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wcastle-my.sharepoint.com/personal/c3026380_newcastle_ac_uk/Documents/3rd year/CEG-3004/Markov/"/>
    </mc:Choice>
  </mc:AlternateContent>
  <xr:revisionPtr revIDLastSave="276" documentId="8_{9D42885F-E1FC-45E8-8DEA-7ED5CADC42A2}" xr6:coauthVersionLast="47" xr6:coauthVersionMax="47" xr10:uidLastSave="{9C4DFC42-5F61-4290-9DA2-22B4F908E3C1}"/>
  <bookViews>
    <workbookView xWindow="19200" yWindow="0" windowWidth="19200" windowHeight="21000" activeTab="3" xr2:uid="{00000000-000D-0000-FFFF-FFFF00000000}"/>
  </bookViews>
  <sheets>
    <sheet name="READ ME" sheetId="4" r:id="rId1"/>
    <sheet name="markov model" sheetId="2" r:id="rId2"/>
    <sheet name="Output analysis" sheetId="7" r:id="rId3"/>
    <sheet name="Calc transition matrix" sheetId="6" r:id="rId4"/>
    <sheet name="Solutions" sheetId="5" r:id="rId5"/>
  </sheets>
  <definedNames>
    <definedName name="alpha">#REF!</definedName>
    <definedName name="codes">'Calc transition matrix'!$O$2:$P$5</definedName>
    <definedName name="ewp_baseline">#REF!</definedName>
    <definedName name="ewp_baseline_plus1">#REF!</definedName>
    <definedName name="lambda">'markov model'!$M$4</definedName>
    <definedName name="moddata">'markov model'!$M$7:$M$3656</definedName>
    <definedName name="mu">#REF!</definedName>
    <definedName name="mu_err">#REF!</definedName>
    <definedName name="obs">'Calc transition matrix'!#REF!</definedName>
    <definedName name="obsdata">'Calc transition matrix'!$E$2:$E$245</definedName>
    <definedName name="pdd">'markov model'!$E$10</definedName>
    <definedName name="pdw">'markov model'!$D$10</definedName>
    <definedName name="pwd">'markov model'!$E$9</definedName>
    <definedName name="pww">'markov model'!$D$9</definedName>
    <definedName name="rainout">'markov model'!$B$7:$B$3656</definedName>
    <definedName name="sd_err">#REF!</definedName>
  </definedNames>
  <calcPr calcId="191028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62" i="2" l="1"/>
  <c r="T62" i="2"/>
  <c r="V60" i="2"/>
  <c r="T60" i="2"/>
  <c r="V58" i="2"/>
  <c r="T58" i="2"/>
  <c r="V56" i="2"/>
  <c r="T56" i="2"/>
  <c r="M23" i="6"/>
  <c r="K12" i="6"/>
  <c r="K10" i="6"/>
  <c r="I2" i="6"/>
  <c r="H2" i="6"/>
  <c r="AK52" i="2" l="1"/>
  <c r="AI52" i="2"/>
  <c r="AF52" i="2"/>
  <c r="AD52" i="2"/>
  <c r="AA52" i="2"/>
  <c r="Y52" i="2"/>
  <c r="V52" i="2"/>
  <c r="T52" i="2"/>
  <c r="S3" i="2"/>
  <c r="S4" i="2" s="1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2" i="2"/>
  <c r="Q13" i="2"/>
  <c r="M20" i="6"/>
  <c r="K4" i="6"/>
  <c r="K3" i="6"/>
  <c r="K2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F472" i="6"/>
  <c r="F959" i="6"/>
  <c r="F1473" i="6"/>
  <c r="F1461" i="6"/>
  <c r="F1921" i="6"/>
  <c r="F459" i="6"/>
  <c r="F447" i="6"/>
  <c r="F947" i="6"/>
  <c r="F935" i="6"/>
  <c r="F923" i="6"/>
  <c r="F1436" i="6"/>
  <c r="F1424" i="6"/>
  <c r="F1412" i="6"/>
  <c r="F1874" i="6"/>
  <c r="F433" i="6"/>
  <c r="F425" i="6"/>
  <c r="F421" i="6"/>
  <c r="F413" i="6"/>
  <c r="F409" i="6"/>
  <c r="F914" i="6"/>
  <c r="F910" i="6"/>
  <c r="F902" i="6"/>
  <c r="F898" i="6"/>
  <c r="F890" i="6"/>
  <c r="F1410" i="6"/>
  <c r="F1398" i="6"/>
  <c r="F1390" i="6"/>
  <c r="F1863" i="6"/>
  <c r="F1855" i="6"/>
  <c r="F1851" i="6"/>
  <c r="F399" i="6"/>
  <c r="F395" i="6"/>
  <c r="F387" i="6"/>
  <c r="F383" i="6"/>
  <c r="F375" i="6"/>
  <c r="F885" i="6"/>
  <c r="F877" i="6"/>
  <c r="F873" i="6"/>
  <c r="F865" i="6"/>
  <c r="F861" i="6"/>
  <c r="F1376" i="6"/>
  <c r="F1372" i="6"/>
  <c r="F1364" i="6"/>
  <c r="F1360" i="6"/>
  <c r="F1352" i="6"/>
  <c r="F1840" i="6"/>
  <c r="F1832" i="6"/>
  <c r="F1828" i="6"/>
  <c r="F1820" i="6"/>
  <c r="F1816" i="6"/>
  <c r="F373" i="6"/>
  <c r="F369" i="6"/>
  <c r="F361" i="6"/>
  <c r="F357" i="6"/>
  <c r="F349" i="6"/>
  <c r="F345" i="6"/>
  <c r="F852" i="6"/>
  <c r="F848" i="6"/>
  <c r="F840" i="6"/>
  <c r="F836" i="6"/>
  <c r="F828" i="6"/>
  <c r="F1346" i="6"/>
  <c r="F1338" i="6"/>
  <c r="F1334" i="6"/>
  <c r="F1326" i="6"/>
  <c r="F1322" i="6"/>
  <c r="F1809" i="6"/>
  <c r="F1805" i="6"/>
  <c r="F1797" i="6"/>
  <c r="F1793" i="6"/>
  <c r="F1785" i="6"/>
  <c r="F336" i="6"/>
  <c r="F332" i="6"/>
  <c r="F320" i="6"/>
  <c r="F312" i="6"/>
  <c r="F824" i="6"/>
  <c r="F816" i="6"/>
  <c r="F812" i="6"/>
  <c r="F804" i="6"/>
  <c r="F800" i="6"/>
  <c r="F1313" i="6"/>
  <c r="F1309" i="6"/>
  <c r="F1301" i="6"/>
  <c r="F1297" i="6"/>
  <c r="F1289" i="6"/>
  <c r="F1782" i="6"/>
  <c r="F1774" i="6"/>
  <c r="F1770" i="6"/>
  <c r="F1762" i="6"/>
  <c r="F1758" i="6"/>
  <c r="F1757" i="6"/>
  <c r="G1758" i="6" s="1"/>
  <c r="H1758" i="6" s="1"/>
  <c r="I1758" i="6" s="1"/>
  <c r="F1759" i="6"/>
  <c r="F1760" i="6"/>
  <c r="F1761" i="6"/>
  <c r="F1763" i="6"/>
  <c r="F1764" i="6"/>
  <c r="F1765" i="6"/>
  <c r="F1766" i="6"/>
  <c r="F1767" i="6"/>
  <c r="F1768" i="6"/>
  <c r="F1769" i="6"/>
  <c r="F1771" i="6"/>
  <c r="F1772" i="6"/>
  <c r="F1773" i="6"/>
  <c r="F1775" i="6"/>
  <c r="F1776" i="6"/>
  <c r="F1777" i="6"/>
  <c r="F1778" i="6"/>
  <c r="F1779" i="6"/>
  <c r="F1780" i="6"/>
  <c r="F1781" i="6"/>
  <c r="F1783" i="6"/>
  <c r="F1784" i="6"/>
  <c r="F1288" i="6"/>
  <c r="F1290" i="6"/>
  <c r="F1291" i="6"/>
  <c r="F1292" i="6"/>
  <c r="F1293" i="6"/>
  <c r="F1294" i="6"/>
  <c r="F1295" i="6"/>
  <c r="F1296" i="6"/>
  <c r="F1298" i="6"/>
  <c r="F1299" i="6"/>
  <c r="F1300" i="6"/>
  <c r="F1302" i="6"/>
  <c r="F1303" i="6"/>
  <c r="F1304" i="6"/>
  <c r="F1305" i="6"/>
  <c r="F1306" i="6"/>
  <c r="F1307" i="6"/>
  <c r="F1308" i="6"/>
  <c r="F1310" i="6"/>
  <c r="F1311" i="6"/>
  <c r="F1312" i="6"/>
  <c r="F1314" i="6"/>
  <c r="F1315" i="6"/>
  <c r="G1315" i="6" s="1"/>
  <c r="H1315" i="6" s="1"/>
  <c r="I1315" i="6" s="1"/>
  <c r="F1316" i="6"/>
  <c r="F1317" i="6"/>
  <c r="F1318" i="6"/>
  <c r="F798" i="6"/>
  <c r="F799" i="6"/>
  <c r="F801" i="6"/>
  <c r="F802" i="6"/>
  <c r="F803" i="6"/>
  <c r="F805" i="6"/>
  <c r="F806" i="6"/>
  <c r="F807" i="6"/>
  <c r="F808" i="6"/>
  <c r="F809" i="6"/>
  <c r="F810" i="6"/>
  <c r="F811" i="6"/>
  <c r="G812" i="6" s="1"/>
  <c r="H812" i="6" s="1"/>
  <c r="I812" i="6" s="1"/>
  <c r="F813" i="6"/>
  <c r="F814" i="6"/>
  <c r="F815" i="6"/>
  <c r="F817" i="6"/>
  <c r="F818" i="6"/>
  <c r="F819" i="6"/>
  <c r="G819" i="6" s="1"/>
  <c r="H819" i="6" s="1"/>
  <c r="I819" i="6" s="1"/>
  <c r="F820" i="6"/>
  <c r="F821" i="6"/>
  <c r="F822" i="6"/>
  <c r="F823" i="6"/>
  <c r="F825" i="6"/>
  <c r="F826" i="6"/>
  <c r="F827" i="6"/>
  <c r="F313" i="6"/>
  <c r="F314" i="6"/>
  <c r="F315" i="6"/>
  <c r="F316" i="6"/>
  <c r="F317" i="6"/>
  <c r="F318" i="6"/>
  <c r="F319" i="6"/>
  <c r="F321" i="6"/>
  <c r="F322" i="6"/>
  <c r="F323" i="6"/>
  <c r="F324" i="6"/>
  <c r="F325" i="6"/>
  <c r="F326" i="6"/>
  <c r="G326" i="6" s="1"/>
  <c r="H326" i="6" s="1"/>
  <c r="I326" i="6" s="1"/>
  <c r="F327" i="6"/>
  <c r="F328" i="6"/>
  <c r="F329" i="6"/>
  <c r="F330" i="6"/>
  <c r="F331" i="6"/>
  <c r="F333" i="6"/>
  <c r="F334" i="6"/>
  <c r="F335" i="6"/>
  <c r="F337" i="6"/>
  <c r="F338" i="6"/>
  <c r="F339" i="6"/>
  <c r="F340" i="6"/>
  <c r="F341" i="6"/>
  <c r="F342" i="6"/>
  <c r="F1786" i="6"/>
  <c r="F1787" i="6"/>
  <c r="F1788" i="6"/>
  <c r="F1789" i="6"/>
  <c r="F1790" i="6"/>
  <c r="F1791" i="6"/>
  <c r="F1792" i="6"/>
  <c r="F1794" i="6"/>
  <c r="F1795" i="6"/>
  <c r="G1796" i="6" s="1"/>
  <c r="H1796" i="6" s="1"/>
  <c r="I1796" i="6" s="1"/>
  <c r="F1796" i="6"/>
  <c r="F1798" i="6"/>
  <c r="F1799" i="6"/>
  <c r="F1800" i="6"/>
  <c r="F1801" i="6"/>
  <c r="F1802" i="6"/>
  <c r="F1803" i="6"/>
  <c r="F1804" i="6"/>
  <c r="G1805" i="6" s="1"/>
  <c r="H1805" i="6" s="1"/>
  <c r="I1805" i="6" s="1"/>
  <c r="F1806" i="6"/>
  <c r="F1807" i="6"/>
  <c r="F1808" i="6"/>
  <c r="F1810" i="6"/>
  <c r="F1811" i="6"/>
  <c r="F1812" i="6"/>
  <c r="G1812" i="6" s="1"/>
  <c r="H1812" i="6" s="1"/>
  <c r="I1812" i="6" s="1"/>
  <c r="F1813" i="6"/>
  <c r="F1319" i="6"/>
  <c r="F1320" i="6"/>
  <c r="F1321" i="6"/>
  <c r="F1323" i="6"/>
  <c r="F1324" i="6"/>
  <c r="F1325" i="6"/>
  <c r="F1327" i="6"/>
  <c r="F1328" i="6"/>
  <c r="F1329" i="6"/>
  <c r="F1330" i="6"/>
  <c r="F1331" i="6"/>
  <c r="F1332" i="6"/>
  <c r="F1333" i="6"/>
  <c r="F1335" i="6"/>
  <c r="F1336" i="6"/>
  <c r="F1337" i="6"/>
  <c r="F1339" i="6"/>
  <c r="F1340" i="6"/>
  <c r="F1341" i="6"/>
  <c r="F1342" i="6"/>
  <c r="F1343" i="6"/>
  <c r="F1344" i="6"/>
  <c r="F1345" i="6"/>
  <c r="G1346" i="6" s="1"/>
  <c r="H1346" i="6" s="1"/>
  <c r="I1346" i="6" s="1"/>
  <c r="F1347" i="6"/>
  <c r="F1348" i="6"/>
  <c r="F1349" i="6"/>
  <c r="F829" i="6"/>
  <c r="F830" i="6"/>
  <c r="F831" i="6"/>
  <c r="G831" i="6" s="1"/>
  <c r="H831" i="6" s="1"/>
  <c r="I831" i="6" s="1"/>
  <c r="F832" i="6"/>
  <c r="F833" i="6"/>
  <c r="F834" i="6"/>
  <c r="F835" i="6"/>
  <c r="F837" i="6"/>
  <c r="F838" i="6"/>
  <c r="F839" i="6"/>
  <c r="F841" i="6"/>
  <c r="F842" i="6"/>
  <c r="F843" i="6"/>
  <c r="F844" i="6"/>
  <c r="F845" i="6"/>
  <c r="F846" i="6"/>
  <c r="F847" i="6"/>
  <c r="G848" i="6" s="1"/>
  <c r="H848" i="6" s="1"/>
  <c r="I848" i="6" s="1"/>
  <c r="F849" i="6"/>
  <c r="F850" i="6"/>
  <c r="F851" i="6"/>
  <c r="F853" i="6"/>
  <c r="F854" i="6"/>
  <c r="F855" i="6"/>
  <c r="G855" i="6" s="1"/>
  <c r="H855" i="6" s="1"/>
  <c r="I855" i="6" s="1"/>
  <c r="F856" i="6"/>
  <c r="F857" i="6"/>
  <c r="F343" i="6"/>
  <c r="F344" i="6"/>
  <c r="G345" i="6" s="1"/>
  <c r="H345" i="6" s="1"/>
  <c r="I345" i="6" s="1"/>
  <c r="F346" i="6"/>
  <c r="F347" i="6"/>
  <c r="F348" i="6"/>
  <c r="F350" i="6"/>
  <c r="F351" i="6"/>
  <c r="F352" i="6"/>
  <c r="F353" i="6"/>
  <c r="F354" i="6"/>
  <c r="F355" i="6"/>
  <c r="F356" i="6"/>
  <c r="G357" i="6" s="1"/>
  <c r="H357" i="6" s="1"/>
  <c r="I357" i="6" s="1"/>
  <c r="F358" i="6"/>
  <c r="F359" i="6"/>
  <c r="G360" i="6" s="1"/>
  <c r="H360" i="6" s="1"/>
  <c r="I360" i="6" s="1"/>
  <c r="F360" i="6"/>
  <c r="F362" i="6"/>
  <c r="F363" i="6"/>
  <c r="F364" i="6"/>
  <c r="F365" i="6"/>
  <c r="F366" i="6"/>
  <c r="F367" i="6"/>
  <c r="F368" i="6"/>
  <c r="G369" i="6" s="1"/>
  <c r="H369" i="6" s="1"/>
  <c r="I369" i="6" s="1"/>
  <c r="F370" i="6"/>
  <c r="F371" i="6"/>
  <c r="F372" i="6"/>
  <c r="F1814" i="6"/>
  <c r="F1815" i="6"/>
  <c r="F1817" i="6"/>
  <c r="F1818" i="6"/>
  <c r="F1819" i="6"/>
  <c r="F1821" i="6"/>
  <c r="F1822" i="6"/>
  <c r="F1823" i="6"/>
  <c r="F1824" i="6"/>
  <c r="F1825" i="6"/>
  <c r="F1826" i="6"/>
  <c r="F1827" i="6"/>
  <c r="F1829" i="6"/>
  <c r="F1830" i="6"/>
  <c r="F1831" i="6"/>
  <c r="F1833" i="6"/>
  <c r="F1834" i="6"/>
  <c r="F1835" i="6"/>
  <c r="F1836" i="6"/>
  <c r="F1837" i="6"/>
  <c r="F1838" i="6"/>
  <c r="F1839" i="6"/>
  <c r="F1841" i="6"/>
  <c r="F1350" i="6"/>
  <c r="F1351" i="6"/>
  <c r="F1353" i="6"/>
  <c r="F1354" i="6"/>
  <c r="F1355" i="6"/>
  <c r="F1356" i="6"/>
  <c r="F1357" i="6"/>
  <c r="F1358" i="6"/>
  <c r="F1359" i="6"/>
  <c r="F1361" i="6"/>
  <c r="F1362" i="6"/>
  <c r="F1363" i="6"/>
  <c r="F1365" i="6"/>
  <c r="F1366" i="6"/>
  <c r="F1367" i="6"/>
  <c r="F1368" i="6"/>
  <c r="F1369" i="6"/>
  <c r="F1370" i="6"/>
  <c r="F1371" i="6"/>
  <c r="F1373" i="6"/>
  <c r="F1374" i="6"/>
  <c r="F1375" i="6"/>
  <c r="F1377" i="6"/>
  <c r="F1378" i="6"/>
  <c r="F1379" i="6"/>
  <c r="F1380" i="6"/>
  <c r="F858" i="6"/>
  <c r="F859" i="6"/>
  <c r="F860" i="6"/>
  <c r="F862" i="6"/>
  <c r="F863" i="6"/>
  <c r="F864" i="6"/>
  <c r="F866" i="6"/>
  <c r="F867" i="6"/>
  <c r="F868" i="6"/>
  <c r="F869" i="6"/>
  <c r="F870" i="6"/>
  <c r="F871" i="6"/>
  <c r="F872" i="6"/>
  <c r="F874" i="6"/>
  <c r="F875" i="6"/>
  <c r="F876" i="6"/>
  <c r="F878" i="6"/>
  <c r="F879" i="6"/>
  <c r="F880" i="6"/>
  <c r="F881" i="6"/>
  <c r="F882" i="6"/>
  <c r="F883" i="6"/>
  <c r="F884" i="6"/>
  <c r="F886" i="6"/>
  <c r="F887" i="6"/>
  <c r="F374" i="6"/>
  <c r="G375" i="6" s="1"/>
  <c r="H375" i="6" s="1"/>
  <c r="I375" i="6" s="1"/>
  <c r="F376" i="6"/>
  <c r="F377" i="6"/>
  <c r="F378" i="6"/>
  <c r="F379" i="6"/>
  <c r="F380" i="6"/>
  <c r="F381" i="6"/>
  <c r="F382" i="6"/>
  <c r="F384" i="6"/>
  <c r="F385" i="6"/>
  <c r="F386" i="6"/>
  <c r="F388" i="6"/>
  <c r="F389" i="6"/>
  <c r="F390" i="6"/>
  <c r="F391" i="6"/>
  <c r="F392" i="6"/>
  <c r="F393" i="6"/>
  <c r="F394" i="6"/>
  <c r="F396" i="6"/>
  <c r="F397" i="6"/>
  <c r="F398" i="6"/>
  <c r="F400" i="6"/>
  <c r="F401" i="6"/>
  <c r="F402" i="6"/>
  <c r="F403" i="6"/>
  <c r="G403" i="6" s="1"/>
  <c r="H403" i="6" s="1"/>
  <c r="I403" i="6" s="1"/>
  <c r="F404" i="6"/>
  <c r="F1842" i="6"/>
  <c r="F1843" i="6"/>
  <c r="F1844" i="6"/>
  <c r="F1845" i="6"/>
  <c r="F1846" i="6"/>
  <c r="F1847" i="6"/>
  <c r="F1848" i="6"/>
  <c r="F1849" i="6"/>
  <c r="F1850" i="6"/>
  <c r="F1852" i="6"/>
  <c r="F1853" i="6"/>
  <c r="F1854" i="6"/>
  <c r="F1856" i="6"/>
  <c r="F1857" i="6"/>
  <c r="F1858" i="6"/>
  <c r="F1859" i="6"/>
  <c r="F1860" i="6"/>
  <c r="F1861" i="6"/>
  <c r="F1862" i="6"/>
  <c r="G1863" i="6" s="1"/>
  <c r="H1863" i="6" s="1"/>
  <c r="I1863" i="6" s="1"/>
  <c r="F1864" i="6"/>
  <c r="F1865" i="6"/>
  <c r="F1866" i="6"/>
  <c r="F1867" i="6"/>
  <c r="F1868" i="6"/>
  <c r="F1869" i="6"/>
  <c r="F1381" i="6"/>
  <c r="F1382" i="6"/>
  <c r="F1383" i="6"/>
  <c r="F1384" i="6"/>
  <c r="F1385" i="6"/>
  <c r="F1386" i="6"/>
  <c r="F1387" i="6"/>
  <c r="F1388" i="6"/>
  <c r="F1389" i="6"/>
  <c r="G1389" i="6"/>
  <c r="H1389" i="6" s="1"/>
  <c r="I1389" i="6" s="1"/>
  <c r="F1391" i="6"/>
  <c r="F1392" i="6"/>
  <c r="F1393" i="6"/>
  <c r="F1394" i="6"/>
  <c r="F1395" i="6"/>
  <c r="G1396" i="6" s="1"/>
  <c r="H1396" i="6" s="1"/>
  <c r="I1396" i="6" s="1"/>
  <c r="F1396" i="6"/>
  <c r="F1397" i="6"/>
  <c r="F1399" i="6"/>
  <c r="F1400" i="6"/>
  <c r="F1401" i="6"/>
  <c r="F1402" i="6"/>
  <c r="F1403" i="6"/>
  <c r="F1404" i="6"/>
  <c r="F1405" i="6"/>
  <c r="F1406" i="6"/>
  <c r="F1407" i="6"/>
  <c r="F1408" i="6"/>
  <c r="F1409" i="6"/>
  <c r="F1411" i="6"/>
  <c r="F888" i="6"/>
  <c r="F889" i="6"/>
  <c r="G890" i="6" s="1"/>
  <c r="H890" i="6" s="1"/>
  <c r="I890" i="6" s="1"/>
  <c r="F891" i="6"/>
  <c r="F892" i="6"/>
  <c r="F893" i="6"/>
  <c r="F894" i="6"/>
  <c r="F895" i="6"/>
  <c r="F896" i="6"/>
  <c r="F897" i="6"/>
  <c r="F899" i="6"/>
  <c r="F900" i="6"/>
  <c r="F901" i="6"/>
  <c r="F903" i="6"/>
  <c r="F904" i="6"/>
  <c r="F905" i="6"/>
  <c r="F906" i="6"/>
  <c r="F907" i="6"/>
  <c r="F908" i="6"/>
  <c r="F909" i="6"/>
  <c r="G910" i="6" s="1"/>
  <c r="H910" i="6" s="1"/>
  <c r="I910" i="6" s="1"/>
  <c r="F911" i="6"/>
  <c r="F912" i="6"/>
  <c r="F913" i="6"/>
  <c r="G913" i="6" s="1"/>
  <c r="H913" i="6" s="1"/>
  <c r="I913" i="6" s="1"/>
  <c r="F915" i="6"/>
  <c r="F916" i="6"/>
  <c r="F917" i="6"/>
  <c r="F405" i="6"/>
  <c r="G406" i="6" s="1"/>
  <c r="H406" i="6" s="1"/>
  <c r="I406" i="6" s="1"/>
  <c r="F406" i="6"/>
  <c r="F407" i="6"/>
  <c r="F408" i="6"/>
  <c r="F410" i="6"/>
  <c r="F411" i="6"/>
  <c r="F412" i="6"/>
  <c r="G412" i="6" s="1"/>
  <c r="H412" i="6" s="1"/>
  <c r="I412" i="6" s="1"/>
  <c r="F414" i="6"/>
  <c r="F415" i="6"/>
  <c r="F416" i="6"/>
  <c r="F417" i="6"/>
  <c r="F418" i="6"/>
  <c r="F419" i="6"/>
  <c r="F420" i="6"/>
  <c r="F422" i="6"/>
  <c r="F423" i="6"/>
  <c r="F424" i="6"/>
  <c r="F426" i="6"/>
  <c r="F427" i="6"/>
  <c r="F428" i="6"/>
  <c r="F429" i="6"/>
  <c r="F430" i="6"/>
  <c r="F431" i="6"/>
  <c r="F432" i="6"/>
  <c r="G433" i="6" s="1"/>
  <c r="H433" i="6" s="1"/>
  <c r="I433" i="6" s="1"/>
  <c r="F434" i="6"/>
  <c r="F435" i="6"/>
  <c r="F1870" i="6"/>
  <c r="F1871" i="6"/>
  <c r="F1872" i="6"/>
  <c r="F1873" i="6"/>
  <c r="G1874" i="6" s="1"/>
  <c r="H1874" i="6" s="1"/>
  <c r="I1874" i="6" s="1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413" i="6"/>
  <c r="F1414" i="6"/>
  <c r="F1415" i="6"/>
  <c r="F1416" i="6"/>
  <c r="F1417" i="6"/>
  <c r="F1418" i="6"/>
  <c r="F1419" i="6"/>
  <c r="F1420" i="6"/>
  <c r="F1421" i="6"/>
  <c r="F1422" i="6"/>
  <c r="F1423" i="6"/>
  <c r="G1424" i="6" s="1"/>
  <c r="H1424" i="6" s="1"/>
  <c r="I1424" i="6" s="1"/>
  <c r="F1425" i="6"/>
  <c r="F1426" i="6"/>
  <c r="F1427" i="6"/>
  <c r="F1428" i="6"/>
  <c r="F1429" i="6"/>
  <c r="F1430" i="6"/>
  <c r="F1431" i="6"/>
  <c r="F1432" i="6"/>
  <c r="F1433" i="6"/>
  <c r="F1434" i="6"/>
  <c r="F1435" i="6"/>
  <c r="F1437" i="6"/>
  <c r="F1438" i="6"/>
  <c r="F1439" i="6"/>
  <c r="F1440" i="6"/>
  <c r="F1441" i="6"/>
  <c r="F1442" i="6"/>
  <c r="F918" i="6"/>
  <c r="F919" i="6"/>
  <c r="F920" i="6"/>
  <c r="G921" i="6" s="1"/>
  <c r="H921" i="6" s="1"/>
  <c r="I921" i="6" s="1"/>
  <c r="F921" i="6"/>
  <c r="F922" i="6"/>
  <c r="F924" i="6"/>
  <c r="F925" i="6"/>
  <c r="F926" i="6"/>
  <c r="F927" i="6"/>
  <c r="F928" i="6"/>
  <c r="F929" i="6"/>
  <c r="F930" i="6"/>
  <c r="F931" i="6"/>
  <c r="F932" i="6"/>
  <c r="F933" i="6"/>
  <c r="F934" i="6"/>
  <c r="F936" i="6"/>
  <c r="F937" i="6"/>
  <c r="F938" i="6"/>
  <c r="F939" i="6"/>
  <c r="F940" i="6"/>
  <c r="F941" i="6"/>
  <c r="F942" i="6"/>
  <c r="F943" i="6"/>
  <c r="F944" i="6"/>
  <c r="F945" i="6"/>
  <c r="F946" i="6"/>
  <c r="F436" i="6"/>
  <c r="F437" i="6"/>
  <c r="F438" i="6"/>
  <c r="F439" i="6"/>
  <c r="F440" i="6"/>
  <c r="F441" i="6"/>
  <c r="F442" i="6"/>
  <c r="F443" i="6"/>
  <c r="F444" i="6"/>
  <c r="F445" i="6"/>
  <c r="F446" i="6"/>
  <c r="F448" i="6"/>
  <c r="F449" i="6"/>
  <c r="F450" i="6"/>
  <c r="F451" i="6"/>
  <c r="F452" i="6"/>
  <c r="F453" i="6"/>
  <c r="F454" i="6"/>
  <c r="F455" i="6"/>
  <c r="F456" i="6"/>
  <c r="F457" i="6"/>
  <c r="F458" i="6"/>
  <c r="F460" i="6"/>
  <c r="F461" i="6"/>
  <c r="F462" i="6"/>
  <c r="F463" i="6"/>
  <c r="F464" i="6"/>
  <c r="F465" i="6"/>
  <c r="F466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G1921" i="6" s="1"/>
  <c r="H1921" i="6" s="1"/>
  <c r="I1921" i="6" s="1"/>
  <c r="F1922" i="6"/>
  <c r="F1923" i="6"/>
  <c r="F1924" i="6"/>
  <c r="F1925" i="6"/>
  <c r="F1926" i="6"/>
  <c r="F1443" i="6"/>
  <c r="F1444" i="6"/>
  <c r="F1445" i="6"/>
  <c r="F1446" i="6"/>
  <c r="F1447" i="6"/>
  <c r="G1447" i="6" s="1"/>
  <c r="H1447" i="6" s="1"/>
  <c r="I1447" i="6" s="1"/>
  <c r="F1448" i="6"/>
  <c r="F1449" i="6"/>
  <c r="F1450" i="6"/>
  <c r="F1451" i="6"/>
  <c r="F1452" i="6"/>
  <c r="F1453" i="6"/>
  <c r="G1453" i="6"/>
  <c r="H1453" i="6" s="1"/>
  <c r="I1453" i="6" s="1"/>
  <c r="F1454" i="6"/>
  <c r="F1455" i="6"/>
  <c r="F1456" i="6"/>
  <c r="F1457" i="6"/>
  <c r="F1458" i="6"/>
  <c r="F1459" i="6"/>
  <c r="F1460" i="6"/>
  <c r="F1462" i="6"/>
  <c r="F1463" i="6"/>
  <c r="F1464" i="6"/>
  <c r="F1465" i="6"/>
  <c r="F1466" i="6"/>
  <c r="F1467" i="6"/>
  <c r="F1468" i="6"/>
  <c r="F1469" i="6"/>
  <c r="F1470" i="6"/>
  <c r="F1471" i="6"/>
  <c r="F1472" i="6"/>
  <c r="F948" i="6"/>
  <c r="F949" i="6"/>
  <c r="G949" i="6" s="1"/>
  <c r="H949" i="6" s="1"/>
  <c r="I949" i="6" s="1"/>
  <c r="F950" i="6"/>
  <c r="F951" i="6"/>
  <c r="F952" i="6"/>
  <c r="F953" i="6"/>
  <c r="F954" i="6"/>
  <c r="F955" i="6"/>
  <c r="F956" i="6"/>
  <c r="F957" i="6"/>
  <c r="F958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467" i="6"/>
  <c r="F468" i="6"/>
  <c r="F469" i="6"/>
  <c r="G469" i="6" s="1"/>
  <c r="H469" i="6" s="1"/>
  <c r="I469" i="6" s="1"/>
  <c r="F470" i="6"/>
  <c r="F471" i="6"/>
  <c r="F473" i="6"/>
  <c r="F474" i="6"/>
  <c r="F475" i="6"/>
  <c r="F476" i="6"/>
  <c r="F477" i="6"/>
  <c r="F478" i="6"/>
  <c r="G478" i="6"/>
  <c r="H478" i="6" s="1"/>
  <c r="I478" i="6" s="1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G495" i="6"/>
  <c r="H495" i="6" s="1"/>
  <c r="I495" i="6" s="1"/>
  <c r="F496" i="6"/>
  <c r="F497" i="6"/>
  <c r="F15" i="5"/>
  <c r="E16" i="5" s="1"/>
  <c r="C17" i="5" s="1"/>
  <c r="G482" i="6" l="1"/>
  <c r="H482" i="6" s="1"/>
  <c r="I482" i="6" s="1"/>
  <c r="G894" i="6"/>
  <c r="H894" i="6" s="1"/>
  <c r="I894" i="6" s="1"/>
  <c r="G839" i="6"/>
  <c r="H839" i="6" s="1"/>
  <c r="I839" i="6" s="1"/>
  <c r="G1308" i="6"/>
  <c r="H1308" i="6" s="1"/>
  <c r="I1308" i="6" s="1"/>
  <c r="G1884" i="6"/>
  <c r="H1884" i="6" s="1"/>
  <c r="I1884" i="6" s="1"/>
  <c r="G951" i="6"/>
  <c r="H951" i="6" s="1"/>
  <c r="I951" i="6" s="1"/>
  <c r="G1899" i="6"/>
  <c r="H1899" i="6" s="1"/>
  <c r="I1899" i="6" s="1"/>
  <c r="G1393" i="6"/>
  <c r="H1393" i="6" s="1"/>
  <c r="I1393" i="6" s="1"/>
  <c r="G1835" i="6"/>
  <c r="H1835" i="6" s="1"/>
  <c r="I1835" i="6" s="1"/>
  <c r="G836" i="6"/>
  <c r="H836" i="6" s="1"/>
  <c r="I836" i="6" s="1"/>
  <c r="G1779" i="6"/>
  <c r="H1779" i="6" s="1"/>
  <c r="I1779" i="6" s="1"/>
  <c r="G935" i="6"/>
  <c r="H935" i="6" s="1"/>
  <c r="I935" i="6" s="1"/>
  <c r="G1439" i="6"/>
  <c r="H1439" i="6" s="1"/>
  <c r="I1439" i="6" s="1"/>
  <c r="G1366" i="6"/>
  <c r="H1366" i="6" s="1"/>
  <c r="I1366" i="6" s="1"/>
  <c r="G1333" i="6"/>
  <c r="H1333" i="6" s="1"/>
  <c r="I1333" i="6" s="1"/>
  <c r="G1832" i="6"/>
  <c r="H1832" i="6" s="1"/>
  <c r="I1832" i="6" s="1"/>
  <c r="G933" i="6"/>
  <c r="H933" i="6" s="1"/>
  <c r="I933" i="6" s="1"/>
  <c r="G1436" i="6"/>
  <c r="H1436" i="6" s="1"/>
  <c r="I1436" i="6" s="1"/>
  <c r="G442" i="6"/>
  <c r="H442" i="6" s="1"/>
  <c r="I442" i="6" s="1"/>
  <c r="G932" i="6"/>
  <c r="H932" i="6" s="1"/>
  <c r="I932" i="6" s="1"/>
  <c r="G1414" i="6"/>
  <c r="H1414" i="6" s="1"/>
  <c r="I1414" i="6" s="1"/>
  <c r="G421" i="6"/>
  <c r="H421" i="6" s="1"/>
  <c r="I421" i="6" s="1"/>
  <c r="G335" i="6"/>
  <c r="H335" i="6" s="1"/>
  <c r="I335" i="6" s="1"/>
  <c r="G1412" i="6"/>
  <c r="H1412" i="6" s="1"/>
  <c r="I1412" i="6" s="1"/>
  <c r="G1302" i="6"/>
  <c r="H1302" i="6" s="1"/>
  <c r="I1302" i="6" s="1"/>
  <c r="G930" i="6"/>
  <c r="H930" i="6" s="1"/>
  <c r="I930" i="6" s="1"/>
  <c r="G419" i="6"/>
  <c r="H419" i="6" s="1"/>
  <c r="I419" i="6" s="1"/>
  <c r="G394" i="6"/>
  <c r="H394" i="6" s="1"/>
  <c r="I394" i="6" s="1"/>
  <c r="G363" i="6"/>
  <c r="H363" i="6" s="1"/>
  <c r="I363" i="6" s="1"/>
  <c r="G854" i="6"/>
  <c r="H854" i="6" s="1"/>
  <c r="I854" i="6" s="1"/>
  <c r="G830" i="6"/>
  <c r="H830" i="6" s="1"/>
  <c r="I830" i="6" s="1"/>
  <c r="G332" i="6"/>
  <c r="H332" i="6" s="1"/>
  <c r="I332" i="6" s="1"/>
  <c r="G494" i="6"/>
  <c r="H494" i="6" s="1"/>
  <c r="I494" i="6" s="1"/>
  <c r="G1449" i="6"/>
  <c r="H1449" i="6" s="1"/>
  <c r="I1449" i="6" s="1"/>
  <c r="G1911" i="6"/>
  <c r="H1911" i="6" s="1"/>
  <c r="I1911" i="6" s="1"/>
  <c r="G1407" i="6"/>
  <c r="H1407" i="6" s="1"/>
  <c r="I1407" i="6" s="1"/>
  <c r="G1386" i="6"/>
  <c r="H1386" i="6" s="1"/>
  <c r="I1386" i="6" s="1"/>
  <c r="G859" i="6"/>
  <c r="H859" i="6" s="1"/>
  <c r="I859" i="6" s="1"/>
  <c r="G1358" i="6"/>
  <c r="H1358" i="6" s="1"/>
  <c r="I1358" i="6" s="1"/>
  <c r="G1826" i="6"/>
  <c r="H1826" i="6" s="1"/>
  <c r="I1826" i="6" s="1"/>
  <c r="G824" i="6"/>
  <c r="H824" i="6" s="1"/>
  <c r="I824" i="6" s="1"/>
  <c r="G800" i="6"/>
  <c r="H800" i="6" s="1"/>
  <c r="I800" i="6" s="1"/>
  <c r="G1768" i="6"/>
  <c r="H1768" i="6" s="1"/>
  <c r="I1768" i="6" s="1"/>
  <c r="G821" i="6"/>
  <c r="H821" i="6" s="1"/>
  <c r="I821" i="6" s="1"/>
  <c r="G1352" i="6"/>
  <c r="H1352" i="6" s="1"/>
  <c r="I1352" i="6" s="1"/>
  <c r="G957" i="6"/>
  <c r="H957" i="6" s="1"/>
  <c r="I957" i="6" s="1"/>
  <c r="G411" i="6"/>
  <c r="H411" i="6" s="1"/>
  <c r="I411" i="6" s="1"/>
  <c r="G1343" i="6"/>
  <c r="H1343" i="6" s="1"/>
  <c r="I1343" i="6" s="1"/>
  <c r="G1790" i="6"/>
  <c r="H1790" i="6" s="1"/>
  <c r="I1790" i="6" s="1"/>
  <c r="G1851" i="6"/>
  <c r="H1851" i="6" s="1"/>
  <c r="I1851" i="6" s="1"/>
  <c r="G1873" i="6"/>
  <c r="H1873" i="6" s="1"/>
  <c r="I1873" i="6" s="1"/>
  <c r="G1446" i="6"/>
  <c r="H1446" i="6" s="1"/>
  <c r="I1446" i="6" s="1"/>
  <c r="G947" i="6"/>
  <c r="H947" i="6" s="1"/>
  <c r="I947" i="6" s="1"/>
  <c r="G904" i="6"/>
  <c r="H904" i="6" s="1"/>
  <c r="I904" i="6" s="1"/>
  <c r="G1793" i="6"/>
  <c r="H1793" i="6" s="1"/>
  <c r="I1793" i="6" s="1"/>
  <c r="G1289" i="6"/>
  <c r="H1289" i="6" s="1"/>
  <c r="I1289" i="6" s="1"/>
  <c r="G1762" i="6"/>
  <c r="H1762" i="6" s="1"/>
  <c r="I1762" i="6" s="1"/>
  <c r="G457" i="6"/>
  <c r="H457" i="6" s="1"/>
  <c r="I457" i="6" s="1"/>
  <c r="G1461" i="6"/>
  <c r="H1461" i="6" s="1"/>
  <c r="I1461" i="6" s="1"/>
  <c r="G1867" i="6"/>
  <c r="H1867" i="6" s="1"/>
  <c r="I1867" i="6" s="1"/>
  <c r="G927" i="6"/>
  <c r="H927" i="6" s="1"/>
  <c r="I927" i="6" s="1"/>
  <c r="G329" i="6"/>
  <c r="H329" i="6" s="1"/>
  <c r="I329" i="6" s="1"/>
  <c r="G490" i="6"/>
  <c r="H490" i="6" s="1"/>
  <c r="I490" i="6" s="1"/>
  <c r="G961" i="6"/>
  <c r="H961" i="6" s="1"/>
  <c r="I961" i="6" s="1"/>
  <c r="G1428" i="6"/>
  <c r="H1428" i="6" s="1"/>
  <c r="I1428" i="6" s="1"/>
  <c r="G1871" i="6"/>
  <c r="H1871" i="6" s="1"/>
  <c r="I1871" i="6" s="1"/>
  <c r="G923" i="6"/>
  <c r="H923" i="6" s="1"/>
  <c r="I923" i="6" s="1"/>
  <c r="G1402" i="6"/>
  <c r="H1402" i="6" s="1"/>
  <c r="I1402" i="6" s="1"/>
  <c r="G409" i="6"/>
  <c r="H409" i="6" s="1"/>
  <c r="I409" i="6" s="1"/>
  <c r="G1844" i="6"/>
  <c r="H1844" i="6" s="1"/>
  <c r="I1844" i="6" s="1"/>
  <c r="G873" i="6"/>
  <c r="H873" i="6" s="1"/>
  <c r="I873" i="6" s="1"/>
  <c r="G976" i="6"/>
  <c r="H976" i="6" s="1"/>
  <c r="I976" i="6" s="1"/>
  <c r="G955" i="6"/>
  <c r="H955" i="6" s="1"/>
  <c r="I955" i="6" s="1"/>
  <c r="G896" i="6"/>
  <c r="H896" i="6" s="1"/>
  <c r="I896" i="6" s="1"/>
  <c r="G1397" i="6"/>
  <c r="H1397" i="6" s="1"/>
  <c r="I1397" i="6" s="1"/>
  <c r="G842" i="6"/>
  <c r="H842" i="6" s="1"/>
  <c r="I842" i="6" s="1"/>
  <c r="G1811" i="6"/>
  <c r="H1811" i="6" s="1"/>
  <c r="I1811" i="6" s="1"/>
  <c r="G815" i="6"/>
  <c r="H815" i="6" s="1"/>
  <c r="I815" i="6" s="1"/>
  <c r="G1444" i="6"/>
  <c r="H1444" i="6" s="1"/>
  <c r="I1444" i="6" s="1"/>
  <c r="G451" i="6"/>
  <c r="H451" i="6" s="1"/>
  <c r="I451" i="6" s="1"/>
  <c r="G941" i="6"/>
  <c r="H941" i="6" s="1"/>
  <c r="I941" i="6" s="1"/>
  <c r="G1887" i="6"/>
  <c r="H1887" i="6" s="1"/>
  <c r="I1887" i="6" s="1"/>
  <c r="G423" i="6"/>
  <c r="H423" i="6" s="1"/>
  <c r="I423" i="6" s="1"/>
  <c r="G1860" i="6"/>
  <c r="H1860" i="6" s="1"/>
  <c r="I1860" i="6" s="1"/>
  <c r="G1819" i="6"/>
  <c r="H1819" i="6" s="1"/>
  <c r="I1819" i="6" s="1"/>
  <c r="G857" i="6"/>
  <c r="H857" i="6" s="1"/>
  <c r="I857" i="6" s="1"/>
  <c r="G833" i="6"/>
  <c r="H833" i="6" s="1"/>
  <c r="I833" i="6" s="1"/>
  <c r="G1421" i="6"/>
  <c r="H1421" i="6" s="1"/>
  <c r="I1421" i="6" s="1"/>
  <c r="G1350" i="6"/>
  <c r="H1350" i="6" s="1"/>
  <c r="I1350" i="6" s="1"/>
  <c r="G1330" i="6"/>
  <c r="H1330" i="6" s="1"/>
  <c r="I1330" i="6" s="1"/>
  <c r="G320" i="6"/>
  <c r="H320" i="6" s="1"/>
  <c r="I320" i="6" s="1"/>
  <c r="G1761" i="6"/>
  <c r="H1761" i="6" s="1"/>
  <c r="I1761" i="6" s="1"/>
  <c r="G1445" i="6"/>
  <c r="H1445" i="6" s="1"/>
  <c r="I1445" i="6" s="1"/>
  <c r="G468" i="6"/>
  <c r="H468" i="6" s="1"/>
  <c r="I468" i="6" s="1"/>
  <c r="G939" i="6"/>
  <c r="H939" i="6" s="1"/>
  <c r="I939" i="6" s="1"/>
  <c r="G1442" i="6"/>
  <c r="H1442" i="6" s="1"/>
  <c r="I1442" i="6" s="1"/>
  <c r="G420" i="6"/>
  <c r="H420" i="6" s="1"/>
  <c r="I420" i="6" s="1"/>
  <c r="G382" i="6"/>
  <c r="H382" i="6" s="1"/>
  <c r="I382" i="6" s="1"/>
  <c r="G1840" i="6"/>
  <c r="H1840" i="6" s="1"/>
  <c r="I1840" i="6" s="1"/>
  <c r="G1800" i="6"/>
  <c r="H1800" i="6" s="1"/>
  <c r="I1800" i="6" s="1"/>
  <c r="G810" i="6"/>
  <c r="H810" i="6" s="1"/>
  <c r="I810" i="6" s="1"/>
  <c r="G1309" i="6"/>
  <c r="H1309" i="6" s="1"/>
  <c r="I1309" i="6" s="1"/>
  <c r="G1781" i="6"/>
  <c r="H1781" i="6" s="1"/>
  <c r="I1781" i="6" s="1"/>
  <c r="G974" i="6"/>
  <c r="H974" i="6" s="1"/>
  <c r="I974" i="6" s="1"/>
  <c r="G1924" i="6"/>
  <c r="H1924" i="6" s="1"/>
  <c r="I1924" i="6" s="1"/>
  <c r="G445" i="6"/>
  <c r="H445" i="6" s="1"/>
  <c r="I445" i="6" s="1"/>
  <c r="G907" i="6"/>
  <c r="H907" i="6" s="1"/>
  <c r="I907" i="6" s="1"/>
  <c r="G1408" i="6"/>
  <c r="H1408" i="6" s="1"/>
  <c r="I1408" i="6" s="1"/>
  <c r="G1854" i="6"/>
  <c r="H1854" i="6" s="1"/>
  <c r="I1854" i="6" s="1"/>
  <c r="G1815" i="6"/>
  <c r="H1815" i="6" s="1"/>
  <c r="I1815" i="6" s="1"/>
  <c r="G317" i="6"/>
  <c r="H317" i="6" s="1"/>
  <c r="I317" i="6" s="1"/>
  <c r="G1814" i="6"/>
  <c r="H1814" i="6" s="1"/>
  <c r="I1814" i="6" s="1"/>
  <c r="G1312" i="6"/>
  <c r="H1312" i="6" s="1"/>
  <c r="I1312" i="6" s="1"/>
  <c r="G1901" i="6"/>
  <c r="H1901" i="6" s="1"/>
  <c r="I1901" i="6" s="1"/>
  <c r="G1416" i="6"/>
  <c r="H1416" i="6" s="1"/>
  <c r="I1416" i="6" s="1"/>
  <c r="G1881" i="6"/>
  <c r="H1881" i="6" s="1"/>
  <c r="I1881" i="6" s="1"/>
  <c r="G415" i="6"/>
  <c r="H415" i="6" s="1"/>
  <c r="I415" i="6" s="1"/>
  <c r="G1385" i="6"/>
  <c r="H1385" i="6" s="1"/>
  <c r="I1385" i="6" s="1"/>
  <c r="G1324" i="6"/>
  <c r="H1324" i="6" s="1"/>
  <c r="I1324" i="6" s="1"/>
  <c r="G338" i="6"/>
  <c r="H338" i="6" s="1"/>
  <c r="I338" i="6" s="1"/>
  <c r="G1305" i="6"/>
  <c r="H1305" i="6" s="1"/>
  <c r="I1305" i="6" s="1"/>
  <c r="G1322" i="6"/>
  <c r="H1322" i="6" s="1"/>
  <c r="I1322" i="6" s="1"/>
  <c r="G336" i="6"/>
  <c r="H336" i="6" s="1"/>
  <c r="I336" i="6" s="1"/>
  <c r="G1304" i="6"/>
  <c r="H1304" i="6" s="1"/>
  <c r="I1304" i="6" s="1"/>
  <c r="G1434" i="6"/>
  <c r="H1434" i="6" s="1"/>
  <c r="I1434" i="6" s="1"/>
  <c r="G901" i="6"/>
  <c r="H901" i="6" s="1"/>
  <c r="I901" i="6" s="1"/>
  <c r="G1382" i="6"/>
  <c r="H1382" i="6" s="1"/>
  <c r="I1382" i="6" s="1"/>
  <c r="G1364" i="6"/>
  <c r="H1364" i="6" s="1"/>
  <c r="I1364" i="6" s="1"/>
  <c r="G1791" i="6"/>
  <c r="H1791" i="6" s="1"/>
  <c r="I1791" i="6" s="1"/>
  <c r="G827" i="6"/>
  <c r="H827" i="6" s="1"/>
  <c r="I827" i="6" s="1"/>
  <c r="G803" i="6"/>
  <c r="H803" i="6" s="1"/>
  <c r="I803" i="6" s="1"/>
  <c r="G1776" i="6"/>
  <c r="H1776" i="6" s="1"/>
  <c r="I1776" i="6" s="1"/>
  <c r="G1774" i="6"/>
  <c r="H1774" i="6" s="1"/>
  <c r="I1774" i="6" s="1"/>
  <c r="G1452" i="6"/>
  <c r="H1452" i="6" s="1"/>
  <c r="I1452" i="6" s="1"/>
  <c r="G1342" i="6"/>
  <c r="H1342" i="6" s="1"/>
  <c r="I1342" i="6" s="1"/>
  <c r="G1789" i="6"/>
  <c r="H1789" i="6" s="1"/>
  <c r="I1789" i="6" s="1"/>
  <c r="G1908" i="6"/>
  <c r="H1908" i="6" s="1"/>
  <c r="I1908" i="6" s="1"/>
  <c r="G323" i="6"/>
  <c r="H323" i="6" s="1"/>
  <c r="I323" i="6" s="1"/>
  <c r="G969" i="6"/>
  <c r="H969" i="6" s="1"/>
  <c r="I969" i="6" s="1"/>
  <c r="G929" i="6"/>
  <c r="H929" i="6" s="1"/>
  <c r="I929" i="6" s="1"/>
  <c r="G1896" i="6"/>
  <c r="H1896" i="6" s="1"/>
  <c r="I1896" i="6" s="1"/>
  <c r="G898" i="6"/>
  <c r="H898" i="6" s="1"/>
  <c r="I898" i="6" s="1"/>
  <c r="G1830" i="6"/>
  <c r="H1830" i="6" s="1"/>
  <c r="I1830" i="6" s="1"/>
  <c r="G477" i="6"/>
  <c r="H477" i="6" s="1"/>
  <c r="I477" i="6" s="1"/>
  <c r="G438" i="6"/>
  <c r="H438" i="6" s="1"/>
  <c r="I438" i="6" s="1"/>
  <c r="G1895" i="6"/>
  <c r="H1895" i="6" s="1"/>
  <c r="I1895" i="6" s="1"/>
  <c r="G432" i="6"/>
  <c r="H432" i="6" s="1"/>
  <c r="I432" i="6" s="1"/>
  <c r="G1400" i="6"/>
  <c r="H1400" i="6" s="1"/>
  <c r="I1400" i="6" s="1"/>
  <c r="G1340" i="6"/>
  <c r="H1340" i="6" s="1"/>
  <c r="I1340" i="6" s="1"/>
  <c r="G1297" i="6"/>
  <c r="H1297" i="6" s="1"/>
  <c r="I1297" i="6" s="1"/>
  <c r="G475" i="6"/>
  <c r="H475" i="6" s="1"/>
  <c r="I475" i="6" s="1"/>
  <c r="G1398" i="6"/>
  <c r="H1398" i="6" s="1"/>
  <c r="I1398" i="6" s="1"/>
  <c r="G1769" i="6"/>
  <c r="H1769" i="6" s="1"/>
  <c r="I1769" i="6" s="1"/>
  <c r="G964" i="6"/>
  <c r="H964" i="6" s="1"/>
  <c r="I964" i="6" s="1"/>
  <c r="G1337" i="6"/>
  <c r="H1337" i="6" s="1"/>
  <c r="I1337" i="6" s="1"/>
  <c r="G1809" i="6"/>
  <c r="H1809" i="6" s="1"/>
  <c r="I1809" i="6" s="1"/>
  <c r="G492" i="6"/>
  <c r="H492" i="6" s="1"/>
  <c r="I492" i="6" s="1"/>
  <c r="G945" i="6"/>
  <c r="H945" i="6" s="1"/>
  <c r="I945" i="6" s="1"/>
  <c r="G1891" i="6"/>
  <c r="H1891" i="6" s="1"/>
  <c r="I1891" i="6" s="1"/>
  <c r="G1467" i="6"/>
  <c r="H1467" i="6" s="1"/>
  <c r="I1467" i="6" s="1"/>
  <c r="G391" i="6"/>
  <c r="H391" i="6" s="1"/>
  <c r="I391" i="6" s="1"/>
  <c r="G1910" i="6"/>
  <c r="H1910" i="6" s="1"/>
  <c r="I1910" i="6" s="1"/>
  <c r="G454" i="6"/>
  <c r="H454" i="6" s="1"/>
  <c r="I454" i="6" s="1"/>
  <c r="G1426" i="6"/>
  <c r="H1426" i="6" s="1"/>
  <c r="I1426" i="6" s="1"/>
  <c r="G1355" i="6"/>
  <c r="H1355" i="6" s="1"/>
  <c r="I1355" i="6" s="1"/>
  <c r="G1823" i="6"/>
  <c r="H1823" i="6" s="1"/>
  <c r="I1823" i="6" s="1"/>
  <c r="G1334" i="6"/>
  <c r="H1334" i="6" s="1"/>
  <c r="I1334" i="6" s="1"/>
  <c r="G818" i="6"/>
  <c r="H818" i="6" s="1"/>
  <c r="I818" i="6" s="1"/>
  <c r="G1292" i="6"/>
  <c r="H1292" i="6" s="1"/>
  <c r="I1292" i="6" s="1"/>
  <c r="G1766" i="6"/>
  <c r="H1766" i="6" s="1"/>
  <c r="I1766" i="6" s="1"/>
  <c r="G973" i="6"/>
  <c r="H973" i="6" s="1"/>
  <c r="I973" i="6" s="1"/>
  <c r="G918" i="6"/>
  <c r="H918" i="6" s="1"/>
  <c r="I918" i="6" s="1"/>
  <c r="G1431" i="6"/>
  <c r="H1431" i="6" s="1"/>
  <c r="I1431" i="6" s="1"/>
  <c r="G1419" i="6"/>
  <c r="H1419" i="6" s="1"/>
  <c r="I1419" i="6" s="1"/>
  <c r="G1893" i="6"/>
  <c r="H1893" i="6" s="1"/>
  <c r="I1893" i="6" s="1"/>
  <c r="G430" i="6"/>
  <c r="H430" i="6" s="1"/>
  <c r="I430" i="6" s="1"/>
  <c r="G379" i="6"/>
  <c r="H379" i="6" s="1"/>
  <c r="I379" i="6" s="1"/>
  <c r="G879" i="6"/>
  <c r="H879" i="6" s="1"/>
  <c r="I879" i="6" s="1"/>
  <c r="G864" i="6"/>
  <c r="H864" i="6" s="1"/>
  <c r="I864" i="6" s="1"/>
  <c r="G1837" i="6"/>
  <c r="H1837" i="6" s="1"/>
  <c r="I1837" i="6" s="1"/>
  <c r="G372" i="6"/>
  <c r="H372" i="6" s="1"/>
  <c r="I372" i="6" s="1"/>
  <c r="G843" i="6"/>
  <c r="H843" i="6" s="1"/>
  <c r="I843" i="6" s="1"/>
  <c r="G1807" i="6"/>
  <c r="H1807" i="6" s="1"/>
  <c r="I1807" i="6" s="1"/>
  <c r="G341" i="6"/>
  <c r="H341" i="6" s="1"/>
  <c r="I341" i="6" s="1"/>
  <c r="G806" i="6"/>
  <c r="H806" i="6" s="1"/>
  <c r="I806" i="6" s="1"/>
  <c r="G493" i="6"/>
  <c r="H493" i="6" s="1"/>
  <c r="I493" i="6" s="1"/>
  <c r="G1392" i="6"/>
  <c r="H1392" i="6" s="1"/>
  <c r="I1392" i="6" s="1"/>
  <c r="G340" i="6"/>
  <c r="H340" i="6" s="1"/>
  <c r="I340" i="6" s="1"/>
  <c r="G315" i="6"/>
  <c r="H315" i="6" s="1"/>
  <c r="I315" i="6" s="1"/>
  <c r="G1311" i="6"/>
  <c r="H1311" i="6" s="1"/>
  <c r="I1311" i="6" s="1"/>
  <c r="G1300" i="6"/>
  <c r="H1300" i="6" s="1"/>
  <c r="I1300" i="6" s="1"/>
  <c r="G1770" i="6"/>
  <c r="H1770" i="6" s="1"/>
  <c r="I1770" i="6" s="1"/>
  <c r="G861" i="6"/>
  <c r="H861" i="6" s="1"/>
  <c r="I861" i="6" s="1"/>
  <c r="G1338" i="6"/>
  <c r="H1338" i="6" s="1"/>
  <c r="I1338" i="6" s="1"/>
  <c r="G471" i="6"/>
  <c r="H471" i="6" s="1"/>
  <c r="I471" i="6" s="1"/>
  <c r="G958" i="6"/>
  <c r="H958" i="6" s="1"/>
  <c r="I958" i="6" s="1"/>
  <c r="G1923" i="6"/>
  <c r="H1923" i="6" s="1"/>
  <c r="I1923" i="6" s="1"/>
  <c r="G892" i="6"/>
  <c r="H892" i="6" s="1"/>
  <c r="I892" i="6" s="1"/>
  <c r="G1859" i="6"/>
  <c r="H1859" i="6" s="1"/>
  <c r="I1859" i="6" s="1"/>
  <c r="G875" i="6"/>
  <c r="H875" i="6" s="1"/>
  <c r="I875" i="6" s="1"/>
  <c r="G1369" i="6"/>
  <c r="H1369" i="6" s="1"/>
  <c r="I1369" i="6" s="1"/>
  <c r="G1834" i="6"/>
  <c r="H1834" i="6" s="1"/>
  <c r="I1834" i="6" s="1"/>
  <c r="G354" i="6"/>
  <c r="H354" i="6" s="1"/>
  <c r="I354" i="6" s="1"/>
  <c r="G828" i="6"/>
  <c r="H828" i="6" s="1"/>
  <c r="I828" i="6" s="1"/>
  <c r="G1802" i="6"/>
  <c r="H1802" i="6" s="1"/>
  <c r="I1802" i="6" s="1"/>
  <c r="G480" i="6"/>
  <c r="H480" i="6" s="1"/>
  <c r="I480" i="6" s="1"/>
  <c r="G968" i="6"/>
  <c r="H968" i="6" s="1"/>
  <c r="I968" i="6" s="1"/>
  <c r="G1919" i="6"/>
  <c r="H1919" i="6" s="1"/>
  <c r="I1919" i="6" s="1"/>
  <c r="G439" i="6"/>
  <c r="H439" i="6" s="1"/>
  <c r="I439" i="6" s="1"/>
  <c r="G938" i="6"/>
  <c r="H938" i="6" s="1"/>
  <c r="I938" i="6" s="1"/>
  <c r="G1427" i="6"/>
  <c r="H1427" i="6" s="1"/>
  <c r="I1427" i="6" s="1"/>
  <c r="G1415" i="6"/>
  <c r="H1415" i="6" s="1"/>
  <c r="I1415" i="6" s="1"/>
  <c r="G900" i="6"/>
  <c r="H900" i="6" s="1"/>
  <c r="I900" i="6" s="1"/>
  <c r="G1857" i="6"/>
  <c r="H1857" i="6" s="1"/>
  <c r="I1857" i="6" s="1"/>
  <c r="G1843" i="6"/>
  <c r="H1843" i="6" s="1"/>
  <c r="I1843" i="6" s="1"/>
  <c r="G401" i="6"/>
  <c r="H401" i="6" s="1"/>
  <c r="I401" i="6" s="1"/>
  <c r="G386" i="6"/>
  <c r="H386" i="6" s="1"/>
  <c r="I386" i="6" s="1"/>
  <c r="G872" i="6"/>
  <c r="H872" i="6" s="1"/>
  <c r="I872" i="6" s="1"/>
  <c r="G858" i="6"/>
  <c r="H858" i="6" s="1"/>
  <c r="I858" i="6" s="1"/>
  <c r="G366" i="6"/>
  <c r="H366" i="6" s="1"/>
  <c r="I366" i="6" s="1"/>
  <c r="G351" i="6"/>
  <c r="H351" i="6" s="1"/>
  <c r="I351" i="6" s="1"/>
  <c r="G851" i="6"/>
  <c r="H851" i="6" s="1"/>
  <c r="I851" i="6" s="1"/>
  <c r="G1348" i="6"/>
  <c r="H1348" i="6" s="1"/>
  <c r="I1348" i="6" s="1"/>
  <c r="G1320" i="6"/>
  <c r="H1320" i="6" s="1"/>
  <c r="I1320" i="6" s="1"/>
  <c r="G324" i="6"/>
  <c r="H324" i="6" s="1"/>
  <c r="I324" i="6" s="1"/>
  <c r="G814" i="6"/>
  <c r="H814" i="6" s="1"/>
  <c r="I814" i="6" s="1"/>
  <c r="G1767" i="6"/>
  <c r="H1767" i="6" s="1"/>
  <c r="I1767" i="6" s="1"/>
  <c r="G1801" i="6"/>
  <c r="H1801" i="6" s="1"/>
  <c r="I1801" i="6" s="1"/>
  <c r="G489" i="6"/>
  <c r="H489" i="6" s="1"/>
  <c r="I489" i="6" s="1"/>
  <c r="G967" i="6"/>
  <c r="H967" i="6" s="1"/>
  <c r="I967" i="6" s="1"/>
  <c r="G1470" i="6"/>
  <c r="H1470" i="6" s="1"/>
  <c r="I1470" i="6" s="1"/>
  <c r="G1886" i="6"/>
  <c r="H1886" i="6" s="1"/>
  <c r="I1886" i="6" s="1"/>
  <c r="G1876" i="6"/>
  <c r="H1876" i="6" s="1"/>
  <c r="I1876" i="6" s="1"/>
  <c r="G1388" i="6"/>
  <c r="H1388" i="6" s="1"/>
  <c r="I1388" i="6" s="1"/>
  <c r="G884" i="6"/>
  <c r="H884" i="6" s="1"/>
  <c r="I884" i="6" s="1"/>
  <c r="G870" i="6"/>
  <c r="H870" i="6" s="1"/>
  <c r="I870" i="6" s="1"/>
  <c r="G1379" i="6"/>
  <c r="H1379" i="6" s="1"/>
  <c r="I1379" i="6" s="1"/>
  <c r="G1351" i="6"/>
  <c r="H1351" i="6" s="1"/>
  <c r="I1351" i="6" s="1"/>
  <c r="G1788" i="6"/>
  <c r="H1788" i="6" s="1"/>
  <c r="I1788" i="6" s="1"/>
  <c r="G322" i="6"/>
  <c r="H322" i="6" s="1"/>
  <c r="I322" i="6" s="1"/>
  <c r="G1318" i="6"/>
  <c r="H1318" i="6" s="1"/>
  <c r="I1318" i="6" s="1"/>
  <c r="G1294" i="6"/>
  <c r="H1294" i="6" s="1"/>
  <c r="I1294" i="6" s="1"/>
  <c r="G1765" i="6"/>
  <c r="H1765" i="6" s="1"/>
  <c r="I1765" i="6" s="1"/>
  <c r="G977" i="6"/>
  <c r="H977" i="6" s="1"/>
  <c r="I977" i="6" s="1"/>
  <c r="G966" i="6"/>
  <c r="H966" i="6" s="1"/>
  <c r="I966" i="6" s="1"/>
  <c r="G1469" i="6"/>
  <c r="H1469" i="6" s="1"/>
  <c r="I1469" i="6" s="1"/>
  <c r="G1916" i="6"/>
  <c r="H1916" i="6" s="1"/>
  <c r="I1916" i="6" s="1"/>
  <c r="G1906" i="6"/>
  <c r="H1906" i="6" s="1"/>
  <c r="I1906" i="6" s="1"/>
  <c r="G1435" i="6"/>
  <c r="H1435" i="6" s="1"/>
  <c r="I1435" i="6" s="1"/>
  <c r="G897" i="6"/>
  <c r="H897" i="6" s="1"/>
  <c r="I897" i="6" s="1"/>
  <c r="G1799" i="6"/>
  <c r="H1799" i="6" s="1"/>
  <c r="I1799" i="6" s="1"/>
  <c r="G809" i="6"/>
  <c r="H809" i="6" s="1"/>
  <c r="I809" i="6" s="1"/>
  <c r="G1316" i="6"/>
  <c r="H1316" i="6" s="1"/>
  <c r="I1316" i="6" s="1"/>
  <c r="G1306" i="6"/>
  <c r="H1306" i="6" s="1"/>
  <c r="I1306" i="6" s="1"/>
  <c r="G431" i="6"/>
  <c r="H431" i="6" s="1"/>
  <c r="I431" i="6" s="1"/>
  <c r="G485" i="6"/>
  <c r="H485" i="6" s="1"/>
  <c r="I485" i="6" s="1"/>
  <c r="G953" i="6"/>
  <c r="H953" i="6" s="1"/>
  <c r="I953" i="6" s="1"/>
  <c r="G1454" i="6"/>
  <c r="H1454" i="6" s="1"/>
  <c r="I1454" i="6" s="1"/>
  <c r="G1903" i="6"/>
  <c r="H1903" i="6" s="1"/>
  <c r="I1903" i="6" s="1"/>
  <c r="G944" i="6"/>
  <c r="H944" i="6" s="1"/>
  <c r="I944" i="6" s="1"/>
  <c r="G1432" i="6"/>
  <c r="H1432" i="6" s="1"/>
  <c r="I1432" i="6" s="1"/>
  <c r="G1420" i="6"/>
  <c r="H1420" i="6" s="1"/>
  <c r="I1420" i="6" s="1"/>
  <c r="G1883" i="6"/>
  <c r="H1883" i="6" s="1"/>
  <c r="I1883" i="6" s="1"/>
  <c r="G418" i="6"/>
  <c r="H418" i="6" s="1"/>
  <c r="I418" i="6" s="1"/>
  <c r="G906" i="6"/>
  <c r="H906" i="6" s="1"/>
  <c r="I906" i="6" s="1"/>
  <c r="G1395" i="6"/>
  <c r="H1395" i="6" s="1"/>
  <c r="I1395" i="6" s="1"/>
  <c r="G1374" i="6"/>
  <c r="H1374" i="6" s="1"/>
  <c r="I1374" i="6" s="1"/>
  <c r="G1838" i="6"/>
  <c r="H1838" i="6" s="1"/>
  <c r="I1838" i="6" s="1"/>
  <c r="G1825" i="6"/>
  <c r="H1825" i="6" s="1"/>
  <c r="I1825" i="6" s="1"/>
  <c r="G845" i="6"/>
  <c r="H845" i="6" s="1"/>
  <c r="I845" i="6" s="1"/>
  <c r="G1328" i="6"/>
  <c r="H1328" i="6" s="1"/>
  <c r="I1328" i="6" s="1"/>
  <c r="G1808" i="6"/>
  <c r="H1808" i="6" s="1"/>
  <c r="I1808" i="6" s="1"/>
  <c r="G1303" i="6"/>
  <c r="H1303" i="6" s="1"/>
  <c r="I1303" i="6" s="1"/>
  <c r="G491" i="6"/>
  <c r="H491" i="6" s="1"/>
  <c r="I491" i="6" s="1"/>
  <c r="G1458" i="6"/>
  <c r="H1458" i="6" s="1"/>
  <c r="I1458" i="6" s="1"/>
  <c r="G1902" i="6"/>
  <c r="H1902" i="6" s="1"/>
  <c r="I1902" i="6" s="1"/>
  <c r="G1897" i="6"/>
  <c r="H1897" i="6" s="1"/>
  <c r="I1897" i="6" s="1"/>
  <c r="G1301" i="6"/>
  <c r="H1301" i="6" s="1"/>
  <c r="I1301" i="6" s="1"/>
  <c r="G962" i="6"/>
  <c r="H962" i="6" s="1"/>
  <c r="I962" i="6" s="1"/>
  <c r="G428" i="6"/>
  <c r="H428" i="6" s="1"/>
  <c r="I428" i="6" s="1"/>
  <c r="G1410" i="6"/>
  <c r="H1410" i="6" s="1"/>
  <c r="I1410" i="6" s="1"/>
  <c r="G1409" i="6"/>
  <c r="H1409" i="6" s="1"/>
  <c r="I1409" i="6" s="1"/>
  <c r="G903" i="6"/>
  <c r="H903" i="6" s="1"/>
  <c r="I903" i="6" s="1"/>
  <c r="G487" i="6"/>
  <c r="H487" i="6" s="1"/>
  <c r="I487" i="6" s="1"/>
  <c r="G479" i="6"/>
  <c r="H479" i="6" s="1"/>
  <c r="I479" i="6" s="1"/>
  <c r="G970" i="6"/>
  <c r="H970" i="6" s="1"/>
  <c r="I970" i="6" s="1"/>
  <c r="G954" i="6"/>
  <c r="H954" i="6" s="1"/>
  <c r="I954" i="6" s="1"/>
  <c r="G1468" i="6"/>
  <c r="H1468" i="6" s="1"/>
  <c r="I1468" i="6" s="1"/>
  <c r="G1455" i="6"/>
  <c r="H1455" i="6" s="1"/>
  <c r="I1455" i="6" s="1"/>
  <c r="G1900" i="6"/>
  <c r="H1900" i="6" s="1"/>
  <c r="I1900" i="6" s="1"/>
  <c r="G926" i="6"/>
  <c r="H926" i="6" s="1"/>
  <c r="I926" i="6" s="1"/>
  <c r="G1440" i="6"/>
  <c r="H1440" i="6" s="1"/>
  <c r="I1440" i="6" s="1"/>
  <c r="G1430" i="6"/>
  <c r="H1430" i="6" s="1"/>
  <c r="I1430" i="6" s="1"/>
  <c r="G1418" i="6"/>
  <c r="H1418" i="6" s="1"/>
  <c r="I1418" i="6" s="1"/>
  <c r="G1894" i="6"/>
  <c r="H1894" i="6" s="1"/>
  <c r="I1894" i="6" s="1"/>
  <c r="G1877" i="6"/>
  <c r="H1877" i="6" s="1"/>
  <c r="I1877" i="6" s="1"/>
  <c r="G427" i="6"/>
  <c r="H427" i="6" s="1"/>
  <c r="I427" i="6" s="1"/>
  <c r="G405" i="6"/>
  <c r="H405" i="6" s="1"/>
  <c r="I405" i="6" s="1"/>
  <c r="G467" i="6"/>
  <c r="H467" i="6" s="1"/>
  <c r="I467" i="6" s="1"/>
  <c r="G952" i="6"/>
  <c r="H952" i="6" s="1"/>
  <c r="I952" i="6" s="1"/>
  <c r="G1466" i="6"/>
  <c r="H1466" i="6" s="1"/>
  <c r="I1466" i="6" s="1"/>
  <c r="G1909" i="6"/>
  <c r="H1909" i="6" s="1"/>
  <c r="I1909" i="6" s="1"/>
  <c r="G466" i="6"/>
  <c r="H466" i="6" s="1"/>
  <c r="I466" i="6" s="1"/>
  <c r="G934" i="6"/>
  <c r="H934" i="6" s="1"/>
  <c r="I934" i="6" s="1"/>
  <c r="G1429" i="6"/>
  <c r="H1429" i="6" s="1"/>
  <c r="I1429" i="6" s="1"/>
  <c r="G1417" i="6"/>
  <c r="H1417" i="6" s="1"/>
  <c r="I1417" i="6" s="1"/>
  <c r="G1892" i="6"/>
  <c r="H1892" i="6" s="1"/>
  <c r="I1892" i="6" s="1"/>
  <c r="G1885" i="6"/>
  <c r="H1885" i="6" s="1"/>
  <c r="I1885" i="6" s="1"/>
  <c r="G916" i="6"/>
  <c r="H916" i="6" s="1"/>
  <c r="I916" i="6" s="1"/>
  <c r="G1332" i="6"/>
  <c r="H1332" i="6" s="1"/>
  <c r="I1332" i="6" s="1"/>
  <c r="G1331" i="6"/>
  <c r="H1331" i="6" s="1"/>
  <c r="I1331" i="6" s="1"/>
  <c r="G486" i="6"/>
  <c r="H486" i="6" s="1"/>
  <c r="I486" i="6" s="1"/>
  <c r="G476" i="6"/>
  <c r="H476" i="6" s="1"/>
  <c r="I476" i="6" s="1"/>
  <c r="G914" i="6"/>
  <c r="H914" i="6" s="1"/>
  <c r="I914" i="6" s="1"/>
  <c r="G484" i="6"/>
  <c r="H484" i="6" s="1"/>
  <c r="I484" i="6" s="1"/>
  <c r="G975" i="6"/>
  <c r="H975" i="6" s="1"/>
  <c r="I975" i="6" s="1"/>
  <c r="G1890" i="6"/>
  <c r="H1890" i="6" s="1"/>
  <c r="I1890" i="6" s="1"/>
  <c r="G373" i="6"/>
  <c r="H373" i="6" s="1"/>
  <c r="I373" i="6" s="1"/>
  <c r="G1443" i="6"/>
  <c r="H1443" i="6" s="1"/>
  <c r="I1443" i="6" s="1"/>
  <c r="G463" i="6"/>
  <c r="H463" i="6" s="1"/>
  <c r="I463" i="6" s="1"/>
  <c r="G920" i="6"/>
  <c r="H920" i="6" s="1"/>
  <c r="I920" i="6" s="1"/>
  <c r="G1882" i="6"/>
  <c r="H1882" i="6" s="1"/>
  <c r="I1882" i="6" s="1"/>
  <c r="G1872" i="6"/>
  <c r="H1872" i="6" s="1"/>
  <c r="I1872" i="6" s="1"/>
  <c r="G483" i="6"/>
  <c r="H483" i="6" s="1"/>
  <c r="I483" i="6" s="1"/>
  <c r="G474" i="6"/>
  <c r="H474" i="6" s="1"/>
  <c r="I474" i="6" s="1"/>
  <c r="G965" i="6"/>
  <c r="H965" i="6" s="1"/>
  <c r="I965" i="6" s="1"/>
  <c r="G1460" i="6"/>
  <c r="H1460" i="6" s="1"/>
  <c r="I1460" i="6" s="1"/>
  <c r="G1925" i="6"/>
  <c r="H1925" i="6" s="1"/>
  <c r="I1925" i="6" s="1"/>
  <c r="G1915" i="6"/>
  <c r="H1915" i="6" s="1"/>
  <c r="I1915" i="6" s="1"/>
  <c r="G942" i="6"/>
  <c r="H942" i="6" s="1"/>
  <c r="I942" i="6" s="1"/>
  <c r="G931" i="6"/>
  <c r="H931" i="6" s="1"/>
  <c r="I931" i="6" s="1"/>
  <c r="G1423" i="6"/>
  <c r="H1423" i="6" s="1"/>
  <c r="I1423" i="6" s="1"/>
  <c r="G1889" i="6"/>
  <c r="H1889" i="6" s="1"/>
  <c r="I1889" i="6" s="1"/>
  <c r="G963" i="6"/>
  <c r="H963" i="6" s="1"/>
  <c r="I963" i="6" s="1"/>
  <c r="G1433" i="6"/>
  <c r="H1433" i="6" s="1"/>
  <c r="I1433" i="6" s="1"/>
  <c r="G1422" i="6"/>
  <c r="H1422" i="6" s="1"/>
  <c r="I1422" i="6" s="1"/>
  <c r="G1888" i="6"/>
  <c r="H1888" i="6" s="1"/>
  <c r="I1888" i="6" s="1"/>
  <c r="G1880" i="6"/>
  <c r="H1880" i="6" s="1"/>
  <c r="I1880" i="6" s="1"/>
  <c r="G1870" i="6"/>
  <c r="H1870" i="6" s="1"/>
  <c r="I1870" i="6" s="1"/>
  <c r="G429" i="6"/>
  <c r="H429" i="6" s="1"/>
  <c r="I429" i="6" s="1"/>
  <c r="G1772" i="6"/>
  <c r="H1772" i="6" s="1"/>
  <c r="I1772" i="6" s="1"/>
  <c r="G1773" i="6"/>
  <c r="H1773" i="6" s="1"/>
  <c r="I1773" i="6" s="1"/>
  <c r="G424" i="6"/>
  <c r="H424" i="6" s="1"/>
  <c r="I424" i="6" s="1"/>
  <c r="G893" i="6"/>
  <c r="H893" i="6" s="1"/>
  <c r="I893" i="6" s="1"/>
  <c r="G1405" i="6"/>
  <c r="H1405" i="6" s="1"/>
  <c r="I1405" i="6" s="1"/>
  <c r="G1387" i="6"/>
  <c r="H1387" i="6" s="1"/>
  <c r="I1387" i="6" s="1"/>
  <c r="G1866" i="6"/>
  <c r="H1866" i="6" s="1"/>
  <c r="I1866" i="6" s="1"/>
  <c r="G1858" i="6"/>
  <c r="H1858" i="6" s="1"/>
  <c r="I1858" i="6" s="1"/>
  <c r="G1847" i="6"/>
  <c r="H1847" i="6" s="1"/>
  <c r="I1847" i="6" s="1"/>
  <c r="G876" i="6"/>
  <c r="H876" i="6" s="1"/>
  <c r="I876" i="6" s="1"/>
  <c r="G1326" i="6"/>
  <c r="H1326" i="6" s="1"/>
  <c r="I1326" i="6" s="1"/>
  <c r="G1361" i="6"/>
  <c r="H1361" i="6" s="1"/>
  <c r="I1361" i="6" s="1"/>
  <c r="G396" i="6"/>
  <c r="H396" i="6" s="1"/>
  <c r="I396" i="6" s="1"/>
  <c r="G891" i="6"/>
  <c r="H891" i="6" s="1"/>
  <c r="I891" i="6" s="1"/>
  <c r="G448" i="6"/>
  <c r="H448" i="6" s="1"/>
  <c r="I448" i="6" s="1"/>
  <c r="G1362" i="6"/>
  <c r="H1362" i="6" s="1"/>
  <c r="I1362" i="6" s="1"/>
  <c r="G799" i="6"/>
  <c r="H799" i="6" s="1"/>
  <c r="I799" i="6" s="1"/>
  <c r="G1764" i="6"/>
  <c r="H1764" i="6" s="1"/>
  <c r="I1764" i="6" s="1"/>
  <c r="G1298" i="6"/>
  <c r="H1298" i="6" s="1"/>
  <c r="I1298" i="6" s="1"/>
  <c r="G337" i="6"/>
  <c r="H337" i="6" s="1"/>
  <c r="I337" i="6" s="1"/>
  <c r="G370" i="6"/>
  <c r="H370" i="6" s="1"/>
  <c r="I370" i="6" s="1"/>
  <c r="G1365" i="6"/>
  <c r="H1365" i="6" s="1"/>
  <c r="I1365" i="6" s="1"/>
  <c r="G400" i="6"/>
  <c r="H400" i="6" s="1"/>
  <c r="I400" i="6" s="1"/>
  <c r="G460" i="6"/>
  <c r="H460" i="6" s="1"/>
  <c r="I460" i="6" s="1"/>
  <c r="G909" i="6"/>
  <c r="H909" i="6" s="1"/>
  <c r="I909" i="6" s="1"/>
  <c r="G1403" i="6"/>
  <c r="H1403" i="6" s="1"/>
  <c r="I1403" i="6" s="1"/>
  <c r="G1865" i="6"/>
  <c r="H1865" i="6" s="1"/>
  <c r="I1865" i="6" s="1"/>
  <c r="G1359" i="6"/>
  <c r="H1359" i="6" s="1"/>
  <c r="I1359" i="6" s="1"/>
  <c r="G1827" i="6"/>
  <c r="H1827" i="6" s="1"/>
  <c r="I1827" i="6" s="1"/>
  <c r="G1818" i="6"/>
  <c r="H1818" i="6" s="1"/>
  <c r="I1818" i="6" s="1"/>
  <c r="G1349" i="6"/>
  <c r="H1349" i="6" s="1"/>
  <c r="I1349" i="6" s="1"/>
  <c r="G1319" i="6"/>
  <c r="H1319" i="6" s="1"/>
  <c r="I1319" i="6" s="1"/>
  <c r="G339" i="6"/>
  <c r="H339" i="6" s="1"/>
  <c r="I339" i="6" s="1"/>
  <c r="G328" i="6"/>
  <c r="H328" i="6" s="1"/>
  <c r="I328" i="6" s="1"/>
  <c r="G1310" i="6"/>
  <c r="H1310" i="6" s="1"/>
  <c r="I1310" i="6" s="1"/>
  <c r="G1347" i="6"/>
  <c r="H1347" i="6" s="1"/>
  <c r="I1347" i="6" s="1"/>
  <c r="G1377" i="6"/>
  <c r="H1377" i="6" s="1"/>
  <c r="I1377" i="6" s="1"/>
  <c r="G829" i="6"/>
  <c r="H829" i="6" s="1"/>
  <c r="I829" i="6" s="1"/>
  <c r="G862" i="6"/>
  <c r="H862" i="6" s="1"/>
  <c r="I862" i="6" s="1"/>
  <c r="G915" i="6"/>
  <c r="H915" i="6" s="1"/>
  <c r="I915" i="6" s="1"/>
  <c r="G1922" i="6"/>
  <c r="H1922" i="6" s="1"/>
  <c r="I1922" i="6" s="1"/>
  <c r="G1853" i="6"/>
  <c r="H1853" i="6" s="1"/>
  <c r="I1853" i="6" s="1"/>
  <c r="G1842" i="6"/>
  <c r="H1842" i="6" s="1"/>
  <c r="I1842" i="6" s="1"/>
  <c r="G397" i="6"/>
  <c r="H397" i="6" s="1"/>
  <c r="I397" i="6" s="1"/>
  <c r="G371" i="6"/>
  <c r="H371" i="6" s="1"/>
  <c r="I371" i="6" s="1"/>
  <c r="G348" i="6"/>
  <c r="H348" i="6" s="1"/>
  <c r="I348" i="6" s="1"/>
  <c r="G1329" i="6"/>
  <c r="H1329" i="6" s="1"/>
  <c r="I1329" i="6" s="1"/>
  <c r="G1792" i="6"/>
  <c r="H1792" i="6" s="1"/>
  <c r="I1792" i="6" s="1"/>
  <c r="G327" i="6"/>
  <c r="H327" i="6" s="1"/>
  <c r="I327" i="6" s="1"/>
  <c r="G316" i="6"/>
  <c r="H316" i="6" s="1"/>
  <c r="I316" i="6" s="1"/>
  <c r="G1760" i="6"/>
  <c r="H1760" i="6" s="1"/>
  <c r="I1760" i="6" s="1"/>
  <c r="G866" i="6"/>
  <c r="H866" i="6" s="1"/>
  <c r="I866" i="6" s="1"/>
  <c r="G1875" i="6"/>
  <c r="H1875" i="6" s="1"/>
  <c r="I1875" i="6" s="1"/>
  <c r="G1462" i="6"/>
  <c r="H1462" i="6" s="1"/>
  <c r="I1462" i="6" s="1"/>
  <c r="G871" i="6"/>
  <c r="H871" i="6" s="1"/>
  <c r="I871" i="6" s="1"/>
  <c r="G1824" i="6"/>
  <c r="H1824" i="6" s="1"/>
  <c r="I1824" i="6" s="1"/>
  <c r="G1307" i="6"/>
  <c r="H1307" i="6" s="1"/>
  <c r="I1307" i="6" s="1"/>
  <c r="G804" i="6"/>
  <c r="H804" i="6" s="1"/>
  <c r="I804" i="6" s="1"/>
  <c r="G1785" i="6"/>
  <c r="H1785" i="6" s="1"/>
  <c r="I1785" i="6" s="1"/>
  <c r="G840" i="6"/>
  <c r="H840" i="6" s="1"/>
  <c r="I840" i="6" s="1"/>
  <c r="G874" i="6"/>
  <c r="H874" i="6" s="1"/>
  <c r="I874" i="6" s="1"/>
  <c r="G1852" i="6"/>
  <c r="H1852" i="6" s="1"/>
  <c r="I1852" i="6" s="1"/>
  <c r="G414" i="6"/>
  <c r="H414" i="6" s="1"/>
  <c r="I414" i="6" s="1"/>
  <c r="G1413" i="6"/>
  <c r="H1413" i="6" s="1"/>
  <c r="I1413" i="6" s="1"/>
  <c r="G948" i="6"/>
  <c r="H948" i="6" s="1"/>
  <c r="I948" i="6" s="1"/>
  <c r="G314" i="6"/>
  <c r="H314" i="6" s="1"/>
  <c r="I314" i="6" s="1"/>
  <c r="G1780" i="6"/>
  <c r="H1780" i="6" s="1"/>
  <c r="I1780" i="6" s="1"/>
  <c r="G1759" i="6"/>
  <c r="H1759" i="6" s="1"/>
  <c r="I1759" i="6" s="1"/>
  <c r="G1821" i="6"/>
  <c r="H1821" i="6" s="1"/>
  <c r="I1821" i="6" s="1"/>
  <c r="G878" i="6"/>
  <c r="H878" i="6" s="1"/>
  <c r="I878" i="6" s="1"/>
  <c r="G1856" i="6"/>
  <c r="H1856" i="6" s="1"/>
  <c r="I1856" i="6" s="1"/>
  <c r="G1425" i="6"/>
  <c r="H1425" i="6" s="1"/>
  <c r="I1425" i="6" s="1"/>
  <c r="G408" i="6"/>
  <c r="H408" i="6" s="1"/>
  <c r="I408" i="6" s="1"/>
  <c r="G895" i="6"/>
  <c r="H895" i="6" s="1"/>
  <c r="I895" i="6" s="1"/>
  <c r="G1381" i="6"/>
  <c r="H1381" i="6" s="1"/>
  <c r="I1381" i="6" s="1"/>
  <c r="G393" i="6"/>
  <c r="H393" i="6" s="1"/>
  <c r="I393" i="6" s="1"/>
  <c r="G380" i="6"/>
  <c r="H380" i="6" s="1"/>
  <c r="I380" i="6" s="1"/>
  <c r="G869" i="6"/>
  <c r="H869" i="6" s="1"/>
  <c r="I869" i="6" s="1"/>
  <c r="G1368" i="6"/>
  <c r="H1368" i="6" s="1"/>
  <c r="I1368" i="6" s="1"/>
  <c r="G343" i="6"/>
  <c r="H343" i="6" s="1"/>
  <c r="I343" i="6" s="1"/>
  <c r="G325" i="6"/>
  <c r="H325" i="6" s="1"/>
  <c r="I325" i="6" s="1"/>
  <c r="G1295" i="6"/>
  <c r="H1295" i="6" s="1"/>
  <c r="I1295" i="6" s="1"/>
  <c r="G1778" i="6"/>
  <c r="H1778" i="6" s="1"/>
  <c r="I1778" i="6" s="1"/>
  <c r="G1763" i="6"/>
  <c r="H1763" i="6" s="1"/>
  <c r="I1763" i="6" s="1"/>
  <c r="G816" i="6"/>
  <c r="H816" i="6" s="1"/>
  <c r="I816" i="6" s="1"/>
  <c r="G1797" i="6"/>
  <c r="H1797" i="6" s="1"/>
  <c r="I1797" i="6" s="1"/>
  <c r="G852" i="6"/>
  <c r="H852" i="6" s="1"/>
  <c r="I852" i="6" s="1"/>
  <c r="G1829" i="6"/>
  <c r="H1829" i="6" s="1"/>
  <c r="I1829" i="6" s="1"/>
  <c r="G1864" i="6"/>
  <c r="H1864" i="6" s="1"/>
  <c r="I1864" i="6" s="1"/>
  <c r="G426" i="6"/>
  <c r="H426" i="6" s="1"/>
  <c r="I426" i="6" s="1"/>
  <c r="G1437" i="6"/>
  <c r="H1437" i="6" s="1"/>
  <c r="I1437" i="6" s="1"/>
  <c r="G1356" i="6"/>
  <c r="H1356" i="6" s="1"/>
  <c r="I1356" i="6" s="1"/>
  <c r="G1325" i="6"/>
  <c r="H1325" i="6" s="1"/>
  <c r="I1325" i="6" s="1"/>
  <c r="G1771" i="6"/>
  <c r="H1771" i="6" s="1"/>
  <c r="I1771" i="6" s="1"/>
  <c r="G1806" i="6"/>
  <c r="H1806" i="6" s="1"/>
  <c r="I1806" i="6" s="1"/>
  <c r="G1833" i="6"/>
  <c r="H1833" i="6" s="1"/>
  <c r="I1833" i="6" s="1"/>
  <c r="G1391" i="6"/>
  <c r="H1391" i="6" s="1"/>
  <c r="I1391" i="6" s="1"/>
  <c r="G924" i="6"/>
  <c r="H924" i="6" s="1"/>
  <c r="I924" i="6" s="1"/>
  <c r="G330" i="6"/>
  <c r="H330" i="6" s="1"/>
  <c r="I330" i="6" s="1"/>
  <c r="G1313" i="6"/>
  <c r="H1313" i="6" s="1"/>
  <c r="I1313" i="6" s="1"/>
  <c r="G1777" i="6"/>
  <c r="H1777" i="6" s="1"/>
  <c r="I1777" i="6" s="1"/>
  <c r="G1810" i="6"/>
  <c r="H1810" i="6" s="1"/>
  <c r="I1810" i="6" s="1"/>
  <c r="G349" i="6"/>
  <c r="H349" i="6" s="1"/>
  <c r="I349" i="6" s="1"/>
  <c r="G1841" i="6"/>
  <c r="H1841" i="6" s="1"/>
  <c r="I1841" i="6" s="1"/>
  <c r="G384" i="6"/>
  <c r="H384" i="6" s="1"/>
  <c r="I384" i="6" s="1"/>
  <c r="G936" i="6"/>
  <c r="H936" i="6" s="1"/>
  <c r="I936" i="6" s="1"/>
  <c r="G435" i="6"/>
  <c r="H435" i="6" s="1"/>
  <c r="I435" i="6" s="1"/>
  <c r="G1406" i="6"/>
  <c r="H1406" i="6" s="1"/>
  <c r="I1406" i="6" s="1"/>
  <c r="G1868" i="6"/>
  <c r="H1868" i="6" s="1"/>
  <c r="I1868" i="6" s="1"/>
  <c r="G1848" i="6"/>
  <c r="H1848" i="6" s="1"/>
  <c r="I1848" i="6" s="1"/>
  <c r="G867" i="6"/>
  <c r="H867" i="6" s="1"/>
  <c r="I867" i="6" s="1"/>
  <c r="G1378" i="6"/>
  <c r="H1378" i="6" s="1"/>
  <c r="I1378" i="6" s="1"/>
  <c r="G1783" i="6"/>
  <c r="H1783" i="6" s="1"/>
  <c r="I1783" i="6" s="1"/>
  <c r="G321" i="6"/>
  <c r="H321" i="6" s="1"/>
  <c r="I321" i="6" s="1"/>
  <c r="G1323" i="6"/>
  <c r="H1323" i="6" s="1"/>
  <c r="I1323" i="6" s="1"/>
  <c r="G1353" i="6"/>
  <c r="H1353" i="6" s="1"/>
  <c r="I1353" i="6" s="1"/>
  <c r="G388" i="6"/>
  <c r="H388" i="6" s="1"/>
  <c r="I388" i="6" s="1"/>
  <c r="G1411" i="6"/>
  <c r="H1411" i="6" s="1"/>
  <c r="I1411" i="6" s="1"/>
  <c r="G436" i="6"/>
  <c r="H436" i="6" s="1"/>
  <c r="I436" i="6" s="1"/>
  <c r="G971" i="6"/>
  <c r="H971" i="6" s="1"/>
  <c r="I971" i="6" s="1"/>
  <c r="G972" i="6"/>
  <c r="H972" i="6" s="1"/>
  <c r="I972" i="6" s="1"/>
  <c r="G959" i="6"/>
  <c r="H959" i="6" s="1"/>
  <c r="I959" i="6" s="1"/>
  <c r="G960" i="6"/>
  <c r="H960" i="6" s="1"/>
  <c r="I960" i="6" s="1"/>
  <c r="G472" i="6"/>
  <c r="H472" i="6" s="1"/>
  <c r="I472" i="6" s="1"/>
  <c r="G473" i="6"/>
  <c r="H473" i="6" s="1"/>
  <c r="I473" i="6" s="1"/>
  <c r="G496" i="6"/>
  <c r="H496" i="6" s="1"/>
  <c r="I496" i="6" s="1"/>
  <c r="G497" i="6"/>
  <c r="H497" i="6" s="1"/>
  <c r="I497" i="6" s="1"/>
  <c r="G1471" i="6"/>
  <c r="H1471" i="6" s="1"/>
  <c r="I1471" i="6" s="1"/>
  <c r="G1463" i="6"/>
  <c r="H1463" i="6" s="1"/>
  <c r="I1463" i="6" s="1"/>
  <c r="G333" i="6"/>
  <c r="H333" i="6" s="1"/>
  <c r="I333" i="6" s="1"/>
  <c r="G334" i="6"/>
  <c r="H334" i="6" s="1"/>
  <c r="I334" i="6" s="1"/>
  <c r="G950" i="6"/>
  <c r="H950" i="6" s="1"/>
  <c r="I950" i="6" s="1"/>
  <c r="G817" i="6"/>
  <c r="H817" i="6" s="1"/>
  <c r="I817" i="6" s="1"/>
  <c r="G488" i="6"/>
  <c r="H488" i="6" s="1"/>
  <c r="I488" i="6" s="1"/>
  <c r="G470" i="6"/>
  <c r="H470" i="6" s="1"/>
  <c r="I470" i="6" s="1"/>
  <c r="G956" i="6"/>
  <c r="H956" i="6" s="1"/>
  <c r="I956" i="6" s="1"/>
  <c r="G1898" i="6"/>
  <c r="H1898" i="6" s="1"/>
  <c r="I1898" i="6" s="1"/>
  <c r="G481" i="6"/>
  <c r="H481" i="6" s="1"/>
  <c r="I481" i="6" s="1"/>
  <c r="G822" i="6"/>
  <c r="H822" i="6" s="1"/>
  <c r="I822" i="6" s="1"/>
  <c r="G823" i="6"/>
  <c r="H823" i="6" s="1"/>
  <c r="I823" i="6" s="1"/>
  <c r="G1912" i="6"/>
  <c r="H1912" i="6" s="1"/>
  <c r="I1912" i="6" s="1"/>
  <c r="G1290" i="6"/>
  <c r="H1290" i="6" s="1"/>
  <c r="I1290" i="6" s="1"/>
  <c r="G1291" i="6"/>
  <c r="H1291" i="6" s="1"/>
  <c r="I1291" i="6" s="1"/>
  <c r="G1450" i="6"/>
  <c r="H1450" i="6" s="1"/>
  <c r="I1450" i="6" s="1"/>
  <c r="G1465" i="6"/>
  <c r="H1465" i="6" s="1"/>
  <c r="I1465" i="6" s="1"/>
  <c r="G1784" i="6"/>
  <c r="H1784" i="6" s="1"/>
  <c r="I1784" i="6" s="1"/>
  <c r="G813" i="6"/>
  <c r="H813" i="6" s="1"/>
  <c r="I813" i="6" s="1"/>
  <c r="G346" i="6"/>
  <c r="H346" i="6" s="1"/>
  <c r="I346" i="6" s="1"/>
  <c r="G846" i="6"/>
  <c r="H846" i="6" s="1"/>
  <c r="I846" i="6" s="1"/>
  <c r="G1317" i="6"/>
  <c r="H1317" i="6" s="1"/>
  <c r="I1317" i="6" s="1"/>
  <c r="G1296" i="6"/>
  <c r="H1296" i="6" s="1"/>
  <c r="I1296" i="6" s="1"/>
  <c r="G1786" i="6"/>
  <c r="H1786" i="6" s="1"/>
  <c r="I1786" i="6" s="1"/>
  <c r="G801" i="6"/>
  <c r="H801" i="6" s="1"/>
  <c r="I801" i="6" s="1"/>
  <c r="G1775" i="6"/>
  <c r="H1775" i="6" s="1"/>
  <c r="I1775" i="6" s="1"/>
  <c r="G837" i="6"/>
  <c r="H837" i="6" s="1"/>
  <c r="I837" i="6" s="1"/>
  <c r="G1782" i="6"/>
  <c r="H1782" i="6" s="1"/>
  <c r="I1782" i="6" s="1"/>
  <c r="G881" i="6"/>
  <c r="H881" i="6" s="1"/>
  <c r="I881" i="6" s="1"/>
  <c r="G1360" i="6"/>
  <c r="H1360" i="6" s="1"/>
  <c r="I1360" i="6" s="1"/>
  <c r="G1293" i="6"/>
  <c r="H1293" i="6" s="1"/>
  <c r="I1293" i="6" s="1"/>
  <c r="G1855" i="6"/>
  <c r="H1855" i="6" s="1"/>
  <c r="I1855" i="6" s="1"/>
  <c r="G1335" i="6"/>
  <c r="H1335" i="6" s="1"/>
  <c r="I1335" i="6" s="1"/>
  <c r="G342" i="6"/>
  <c r="H342" i="6" s="1"/>
  <c r="I342" i="6" s="1"/>
  <c r="G318" i="6"/>
  <c r="H318" i="6" s="1"/>
  <c r="I318" i="6" s="1"/>
  <c r="G825" i="6"/>
  <c r="H825" i="6" s="1"/>
  <c r="I825" i="6" s="1"/>
  <c r="G820" i="6"/>
  <c r="H820" i="6" s="1"/>
  <c r="I820" i="6" s="1"/>
  <c r="G807" i="6"/>
  <c r="H807" i="6" s="1"/>
  <c r="I807" i="6" s="1"/>
  <c r="G1314" i="6"/>
  <c r="H1314" i="6" s="1"/>
  <c r="I1314" i="6" s="1"/>
  <c r="G1399" i="6"/>
  <c r="H1399" i="6" s="1"/>
  <c r="I1399" i="6" s="1"/>
  <c r="G849" i="6"/>
  <c r="H849" i="6" s="1"/>
  <c r="I849" i="6" s="1"/>
  <c r="G834" i="6"/>
  <c r="H834" i="6" s="1"/>
  <c r="I834" i="6" s="1"/>
  <c r="G1794" i="6"/>
  <c r="H1794" i="6" s="1"/>
  <c r="I1794" i="6" s="1"/>
  <c r="G1299" i="6"/>
  <c r="H1299" i="6" s="1"/>
  <c r="I1299" i="6" s="1"/>
  <c r="G888" i="6"/>
  <c r="H888" i="6" s="1"/>
  <c r="I888" i="6" s="1"/>
  <c r="G376" i="6"/>
  <c r="H376" i="6" s="1"/>
  <c r="I376" i="6" s="1"/>
  <c r="G462" i="6"/>
  <c r="H462" i="6" s="1"/>
  <c r="I462" i="6" s="1"/>
  <c r="G461" i="6"/>
  <c r="H461" i="6" s="1"/>
  <c r="I461" i="6" s="1"/>
  <c r="G1459" i="6"/>
  <c r="H1459" i="6" s="1"/>
  <c r="I1459" i="6" s="1"/>
  <c r="G1907" i="6"/>
  <c r="H1907" i="6" s="1"/>
  <c r="I1907" i="6" s="1"/>
  <c r="G1464" i="6"/>
  <c r="H1464" i="6" s="1"/>
  <c r="I1464" i="6" s="1"/>
  <c r="G1920" i="6"/>
  <c r="H1920" i="6" s="1"/>
  <c r="I1920" i="6" s="1"/>
  <c r="G1913" i="6"/>
  <c r="H1913" i="6" s="1"/>
  <c r="I1913" i="6" s="1"/>
  <c r="G1914" i="6"/>
  <c r="H1914" i="6" s="1"/>
  <c r="I1914" i="6" s="1"/>
  <c r="G1905" i="6"/>
  <c r="H1905" i="6" s="1"/>
  <c r="I1905" i="6" s="1"/>
  <c r="G1904" i="6"/>
  <c r="H1904" i="6" s="1"/>
  <c r="I1904" i="6" s="1"/>
  <c r="G1472" i="6"/>
  <c r="H1472" i="6" s="1"/>
  <c r="I1472" i="6" s="1"/>
  <c r="G1451" i="6"/>
  <c r="H1451" i="6" s="1"/>
  <c r="I1451" i="6" s="1"/>
  <c r="G1473" i="6"/>
  <c r="H1473" i="6" s="1"/>
  <c r="I1473" i="6" s="1"/>
  <c r="G1457" i="6"/>
  <c r="H1457" i="6" s="1"/>
  <c r="I1457" i="6" s="1"/>
  <c r="G1456" i="6"/>
  <c r="H1456" i="6" s="1"/>
  <c r="I1456" i="6" s="1"/>
  <c r="G1918" i="6"/>
  <c r="H1918" i="6" s="1"/>
  <c r="I1918" i="6" s="1"/>
  <c r="G1917" i="6"/>
  <c r="H1917" i="6" s="1"/>
  <c r="I1917" i="6" s="1"/>
  <c r="G447" i="6"/>
  <c r="H447" i="6" s="1"/>
  <c r="I447" i="6" s="1"/>
  <c r="G446" i="6"/>
  <c r="H446" i="6" s="1"/>
  <c r="I446" i="6" s="1"/>
  <c r="G441" i="6"/>
  <c r="H441" i="6" s="1"/>
  <c r="I441" i="6" s="1"/>
  <c r="G440" i="6"/>
  <c r="H440" i="6" s="1"/>
  <c r="I440" i="6" s="1"/>
  <c r="G1926" i="6"/>
  <c r="H1926" i="6" s="1"/>
  <c r="I1926" i="6" s="1"/>
  <c r="G456" i="6"/>
  <c r="H456" i="6" s="1"/>
  <c r="I456" i="6" s="1"/>
  <c r="G455" i="6"/>
  <c r="H455" i="6" s="1"/>
  <c r="I455" i="6" s="1"/>
  <c r="G1448" i="6"/>
  <c r="H1448" i="6" s="1"/>
  <c r="I1448" i="6" s="1"/>
  <c r="G450" i="6"/>
  <c r="H450" i="6" s="1"/>
  <c r="I450" i="6" s="1"/>
  <c r="G449" i="6"/>
  <c r="H449" i="6" s="1"/>
  <c r="I449" i="6" s="1"/>
  <c r="G465" i="6"/>
  <c r="H465" i="6" s="1"/>
  <c r="I465" i="6" s="1"/>
  <c r="G464" i="6"/>
  <c r="H464" i="6" s="1"/>
  <c r="I464" i="6" s="1"/>
  <c r="G444" i="6"/>
  <c r="H444" i="6" s="1"/>
  <c r="I444" i="6" s="1"/>
  <c r="G443" i="6"/>
  <c r="H443" i="6" s="1"/>
  <c r="I443" i="6" s="1"/>
  <c r="G459" i="6"/>
  <c r="H459" i="6" s="1"/>
  <c r="I459" i="6" s="1"/>
  <c r="G458" i="6"/>
  <c r="H458" i="6" s="1"/>
  <c r="I458" i="6" s="1"/>
  <c r="G1879" i="6"/>
  <c r="H1879" i="6" s="1"/>
  <c r="I1879" i="6" s="1"/>
  <c r="G1878" i="6"/>
  <c r="H1878" i="6" s="1"/>
  <c r="I1878" i="6" s="1"/>
  <c r="G453" i="6"/>
  <c r="H453" i="6" s="1"/>
  <c r="I453" i="6" s="1"/>
  <c r="G452" i="6"/>
  <c r="H452" i="6" s="1"/>
  <c r="I452" i="6" s="1"/>
  <c r="G1384" i="6"/>
  <c r="H1384" i="6" s="1"/>
  <c r="I1384" i="6" s="1"/>
  <c r="G1383" i="6"/>
  <c r="H1383" i="6" s="1"/>
  <c r="I1383" i="6" s="1"/>
  <c r="G437" i="6"/>
  <c r="H437" i="6" s="1"/>
  <c r="I437" i="6" s="1"/>
  <c r="G946" i="6"/>
  <c r="H946" i="6" s="1"/>
  <c r="I946" i="6" s="1"/>
  <c r="G943" i="6"/>
  <c r="H943" i="6" s="1"/>
  <c r="I943" i="6" s="1"/>
  <c r="G940" i="6"/>
  <c r="H940" i="6" s="1"/>
  <c r="I940" i="6" s="1"/>
  <c r="G937" i="6"/>
  <c r="H937" i="6" s="1"/>
  <c r="I937" i="6" s="1"/>
  <c r="G928" i="6"/>
  <c r="H928" i="6" s="1"/>
  <c r="I928" i="6" s="1"/>
  <c r="G925" i="6"/>
  <c r="H925" i="6" s="1"/>
  <c r="I925" i="6" s="1"/>
  <c r="G922" i="6"/>
  <c r="H922" i="6" s="1"/>
  <c r="I922" i="6" s="1"/>
  <c r="G919" i="6"/>
  <c r="H919" i="6" s="1"/>
  <c r="I919" i="6" s="1"/>
  <c r="G1441" i="6"/>
  <c r="H1441" i="6" s="1"/>
  <c r="I1441" i="6" s="1"/>
  <c r="G1438" i="6"/>
  <c r="H1438" i="6" s="1"/>
  <c r="I1438" i="6" s="1"/>
  <c r="G1850" i="6"/>
  <c r="H1850" i="6" s="1"/>
  <c r="I1850" i="6" s="1"/>
  <c r="G1849" i="6"/>
  <c r="H1849" i="6" s="1"/>
  <c r="I1849" i="6" s="1"/>
  <c r="G417" i="6"/>
  <c r="H417" i="6" s="1"/>
  <c r="I417" i="6" s="1"/>
  <c r="G416" i="6"/>
  <c r="H416" i="6" s="1"/>
  <c r="I416" i="6" s="1"/>
  <c r="G912" i="6"/>
  <c r="H912" i="6" s="1"/>
  <c r="I912" i="6" s="1"/>
  <c r="G911" i="6"/>
  <c r="H911" i="6" s="1"/>
  <c r="I911" i="6" s="1"/>
  <c r="G1862" i="6"/>
  <c r="H1862" i="6" s="1"/>
  <c r="I1862" i="6" s="1"/>
  <c r="G1861" i="6"/>
  <c r="H1861" i="6" s="1"/>
  <c r="I1861" i="6" s="1"/>
  <c r="G434" i="6"/>
  <c r="H434" i="6" s="1"/>
  <c r="I434" i="6" s="1"/>
  <c r="G413" i="6"/>
  <c r="H413" i="6" s="1"/>
  <c r="I413" i="6" s="1"/>
  <c r="G908" i="6"/>
  <c r="H908" i="6" s="1"/>
  <c r="I908" i="6" s="1"/>
  <c r="G889" i="6"/>
  <c r="H889" i="6" s="1"/>
  <c r="I889" i="6" s="1"/>
  <c r="G422" i="6"/>
  <c r="H422" i="6" s="1"/>
  <c r="I422" i="6" s="1"/>
  <c r="G917" i="6"/>
  <c r="H917" i="6" s="1"/>
  <c r="I917" i="6" s="1"/>
  <c r="G899" i="6"/>
  <c r="H899" i="6" s="1"/>
  <c r="I899" i="6" s="1"/>
  <c r="G425" i="6"/>
  <c r="H425" i="6" s="1"/>
  <c r="I425" i="6" s="1"/>
  <c r="G407" i="6"/>
  <c r="H407" i="6" s="1"/>
  <c r="I407" i="6" s="1"/>
  <c r="G902" i="6"/>
  <c r="H902" i="6" s="1"/>
  <c r="I902" i="6" s="1"/>
  <c r="G1401" i="6"/>
  <c r="H1401" i="6" s="1"/>
  <c r="I1401" i="6" s="1"/>
  <c r="G1394" i="6"/>
  <c r="H1394" i="6" s="1"/>
  <c r="I1394" i="6" s="1"/>
  <c r="G1390" i="6"/>
  <c r="H1390" i="6" s="1"/>
  <c r="I1390" i="6" s="1"/>
  <c r="G1869" i="6"/>
  <c r="H1869" i="6" s="1"/>
  <c r="I1869" i="6" s="1"/>
  <c r="G410" i="6"/>
  <c r="H410" i="6" s="1"/>
  <c r="I410" i="6" s="1"/>
  <c r="G905" i="6"/>
  <c r="H905" i="6" s="1"/>
  <c r="I905" i="6" s="1"/>
  <c r="G1404" i="6"/>
  <c r="H1404" i="6" s="1"/>
  <c r="I1404" i="6" s="1"/>
  <c r="G1846" i="6"/>
  <c r="H1846" i="6" s="1"/>
  <c r="I1846" i="6" s="1"/>
  <c r="G1845" i="6"/>
  <c r="H1845" i="6" s="1"/>
  <c r="I1845" i="6" s="1"/>
  <c r="G385" i="6"/>
  <c r="H385" i="6" s="1"/>
  <c r="I385" i="6" s="1"/>
  <c r="G863" i="6"/>
  <c r="H863" i="6" s="1"/>
  <c r="I863" i="6" s="1"/>
  <c r="G374" i="6"/>
  <c r="H374" i="6" s="1"/>
  <c r="I374" i="6" s="1"/>
  <c r="G887" i="6"/>
  <c r="H887" i="6" s="1"/>
  <c r="I887" i="6" s="1"/>
  <c r="G1376" i="6"/>
  <c r="H1376" i="6" s="1"/>
  <c r="I1376" i="6" s="1"/>
  <c r="G1371" i="6"/>
  <c r="H1371" i="6" s="1"/>
  <c r="I1371" i="6" s="1"/>
  <c r="G1370" i="6"/>
  <c r="H1370" i="6" s="1"/>
  <c r="I1370" i="6" s="1"/>
  <c r="G1380" i="6"/>
  <c r="H1380" i="6" s="1"/>
  <c r="I1380" i="6" s="1"/>
  <c r="G1375" i="6"/>
  <c r="H1375" i="6" s="1"/>
  <c r="I1375" i="6" s="1"/>
  <c r="G1836" i="6"/>
  <c r="H1836" i="6" s="1"/>
  <c r="I1836" i="6" s="1"/>
  <c r="G1831" i="6"/>
  <c r="H1831" i="6" s="1"/>
  <c r="I1831" i="6" s="1"/>
  <c r="G390" i="6"/>
  <c r="H390" i="6" s="1"/>
  <c r="I390" i="6" s="1"/>
  <c r="G868" i="6"/>
  <c r="H868" i="6" s="1"/>
  <c r="I868" i="6" s="1"/>
  <c r="G361" i="6"/>
  <c r="H361" i="6" s="1"/>
  <c r="I361" i="6" s="1"/>
  <c r="G362" i="6"/>
  <c r="H362" i="6" s="1"/>
  <c r="I362" i="6" s="1"/>
  <c r="G395" i="6"/>
  <c r="H395" i="6" s="1"/>
  <c r="I395" i="6" s="1"/>
  <c r="G883" i="6"/>
  <c r="H883" i="6" s="1"/>
  <c r="I883" i="6" s="1"/>
  <c r="G399" i="6"/>
  <c r="H399" i="6" s="1"/>
  <c r="I399" i="6" s="1"/>
  <c r="G389" i="6"/>
  <c r="H389" i="6" s="1"/>
  <c r="I389" i="6" s="1"/>
  <c r="G877" i="6"/>
  <c r="H877" i="6" s="1"/>
  <c r="I877" i="6" s="1"/>
  <c r="G1373" i="6"/>
  <c r="H1373" i="6" s="1"/>
  <c r="I1373" i="6" s="1"/>
  <c r="G404" i="6"/>
  <c r="H404" i="6" s="1"/>
  <c r="I404" i="6" s="1"/>
  <c r="G378" i="6"/>
  <c r="H378" i="6" s="1"/>
  <c r="I378" i="6" s="1"/>
  <c r="G882" i="6"/>
  <c r="H882" i="6" s="1"/>
  <c r="I882" i="6" s="1"/>
  <c r="G860" i="6"/>
  <c r="H860" i="6" s="1"/>
  <c r="I860" i="6" s="1"/>
  <c r="G1363" i="6"/>
  <c r="H1363" i="6" s="1"/>
  <c r="I1363" i="6" s="1"/>
  <c r="G1357" i="6"/>
  <c r="H1357" i="6" s="1"/>
  <c r="I1357" i="6" s="1"/>
  <c r="G1354" i="6"/>
  <c r="H1354" i="6" s="1"/>
  <c r="I1354" i="6" s="1"/>
  <c r="G1839" i="6"/>
  <c r="H1839" i="6" s="1"/>
  <c r="I1839" i="6" s="1"/>
  <c r="G383" i="6"/>
  <c r="H383" i="6" s="1"/>
  <c r="I383" i="6" s="1"/>
  <c r="G398" i="6"/>
  <c r="H398" i="6" s="1"/>
  <c r="I398" i="6" s="1"/>
  <c r="G886" i="6"/>
  <c r="H886" i="6" s="1"/>
  <c r="I886" i="6" s="1"/>
  <c r="G1822" i="6"/>
  <c r="H1822" i="6" s="1"/>
  <c r="I1822" i="6" s="1"/>
  <c r="G1817" i="6"/>
  <c r="H1817" i="6" s="1"/>
  <c r="I1817" i="6" s="1"/>
  <c r="G1816" i="6"/>
  <c r="H1816" i="6" s="1"/>
  <c r="I1816" i="6" s="1"/>
  <c r="G387" i="6"/>
  <c r="H387" i="6" s="1"/>
  <c r="I387" i="6" s="1"/>
  <c r="G377" i="6"/>
  <c r="H377" i="6" s="1"/>
  <c r="I377" i="6" s="1"/>
  <c r="G865" i="6"/>
  <c r="H865" i="6" s="1"/>
  <c r="I865" i="6" s="1"/>
  <c r="G402" i="6"/>
  <c r="H402" i="6" s="1"/>
  <c r="I402" i="6" s="1"/>
  <c r="G392" i="6"/>
  <c r="H392" i="6" s="1"/>
  <c r="I392" i="6" s="1"/>
  <c r="G880" i="6"/>
  <c r="H880" i="6" s="1"/>
  <c r="I880" i="6" s="1"/>
  <c r="G1372" i="6"/>
  <c r="H1372" i="6" s="1"/>
  <c r="I1372" i="6" s="1"/>
  <c r="G1828" i="6"/>
  <c r="H1828" i="6" s="1"/>
  <c r="I1828" i="6" s="1"/>
  <c r="G381" i="6"/>
  <c r="H381" i="6" s="1"/>
  <c r="I381" i="6" s="1"/>
  <c r="G885" i="6"/>
  <c r="H885" i="6" s="1"/>
  <c r="I885" i="6" s="1"/>
  <c r="G1367" i="6"/>
  <c r="H1367" i="6" s="1"/>
  <c r="I1367" i="6" s="1"/>
  <c r="G367" i="6"/>
  <c r="H367" i="6" s="1"/>
  <c r="I367" i="6" s="1"/>
  <c r="G368" i="6"/>
  <c r="H368" i="6" s="1"/>
  <c r="I368" i="6" s="1"/>
  <c r="G1820" i="6"/>
  <c r="H1820" i="6" s="1"/>
  <c r="I1820" i="6" s="1"/>
  <c r="G355" i="6"/>
  <c r="H355" i="6" s="1"/>
  <c r="I355" i="6" s="1"/>
  <c r="G356" i="6"/>
  <c r="H356" i="6" s="1"/>
  <c r="I356" i="6" s="1"/>
  <c r="G364" i="6"/>
  <c r="H364" i="6" s="1"/>
  <c r="I364" i="6" s="1"/>
  <c r="G365" i="6"/>
  <c r="H365" i="6" s="1"/>
  <c r="I365" i="6" s="1"/>
  <c r="G358" i="6"/>
  <c r="H358" i="6" s="1"/>
  <c r="I358" i="6" s="1"/>
  <c r="G359" i="6"/>
  <c r="H359" i="6" s="1"/>
  <c r="I359" i="6" s="1"/>
  <c r="G352" i="6"/>
  <c r="H352" i="6" s="1"/>
  <c r="I352" i="6" s="1"/>
  <c r="G353" i="6"/>
  <c r="H353" i="6" s="1"/>
  <c r="I353" i="6" s="1"/>
  <c r="G1804" i="6"/>
  <c r="H1804" i="6" s="1"/>
  <c r="I1804" i="6" s="1"/>
  <c r="G1803" i="6"/>
  <c r="H1803" i="6" s="1"/>
  <c r="I1803" i="6" s="1"/>
  <c r="G1321" i="6"/>
  <c r="H1321" i="6" s="1"/>
  <c r="I1321" i="6" s="1"/>
  <c r="G1345" i="6"/>
  <c r="H1345" i="6" s="1"/>
  <c r="I1345" i="6" s="1"/>
  <c r="G1344" i="6"/>
  <c r="H1344" i="6" s="1"/>
  <c r="I1344" i="6" s="1"/>
  <c r="G350" i="6"/>
  <c r="H350" i="6" s="1"/>
  <c r="I350" i="6" s="1"/>
  <c r="G347" i="6"/>
  <c r="H347" i="6" s="1"/>
  <c r="I347" i="6" s="1"/>
  <c r="G344" i="6"/>
  <c r="H344" i="6" s="1"/>
  <c r="I344" i="6" s="1"/>
  <c r="G856" i="6"/>
  <c r="H856" i="6" s="1"/>
  <c r="I856" i="6" s="1"/>
  <c r="G853" i="6"/>
  <c r="H853" i="6" s="1"/>
  <c r="I853" i="6" s="1"/>
  <c r="G850" i="6"/>
  <c r="H850" i="6" s="1"/>
  <c r="I850" i="6" s="1"/>
  <c r="G847" i="6"/>
  <c r="H847" i="6" s="1"/>
  <c r="I847" i="6" s="1"/>
  <c r="G844" i="6"/>
  <c r="H844" i="6" s="1"/>
  <c r="I844" i="6" s="1"/>
  <c r="G841" i="6"/>
  <c r="H841" i="6" s="1"/>
  <c r="I841" i="6" s="1"/>
  <c r="G838" i="6"/>
  <c r="H838" i="6" s="1"/>
  <c r="I838" i="6" s="1"/>
  <c r="G835" i="6"/>
  <c r="H835" i="6" s="1"/>
  <c r="I835" i="6" s="1"/>
  <c r="G832" i="6"/>
  <c r="H832" i="6" s="1"/>
  <c r="I832" i="6" s="1"/>
  <c r="G1341" i="6"/>
  <c r="H1341" i="6" s="1"/>
  <c r="I1341" i="6" s="1"/>
  <c r="G1787" i="6"/>
  <c r="H1787" i="6" s="1"/>
  <c r="I1787" i="6" s="1"/>
  <c r="G1813" i="6"/>
  <c r="H1813" i="6" s="1"/>
  <c r="I1813" i="6" s="1"/>
  <c r="G1327" i="6"/>
  <c r="H1327" i="6" s="1"/>
  <c r="I1327" i="6" s="1"/>
  <c r="G1336" i="6"/>
  <c r="H1336" i="6" s="1"/>
  <c r="I1336" i="6" s="1"/>
  <c r="G1795" i="6"/>
  <c r="H1795" i="6" s="1"/>
  <c r="I1795" i="6" s="1"/>
  <c r="G1339" i="6"/>
  <c r="H1339" i="6" s="1"/>
  <c r="I1339" i="6" s="1"/>
  <c r="G1798" i="6"/>
  <c r="H1798" i="6" s="1"/>
  <c r="I1798" i="6" s="1"/>
  <c r="G331" i="6"/>
  <c r="H331" i="6" s="1"/>
  <c r="I331" i="6" s="1"/>
  <c r="G319" i="6"/>
  <c r="H319" i="6" s="1"/>
  <c r="I319" i="6" s="1"/>
  <c r="G313" i="6"/>
  <c r="H313" i="6" s="1"/>
  <c r="I313" i="6" s="1"/>
  <c r="G826" i="6"/>
  <c r="H826" i="6" s="1"/>
  <c r="I826" i="6" s="1"/>
  <c r="G811" i="6"/>
  <c r="H811" i="6" s="1"/>
  <c r="I811" i="6" s="1"/>
  <c r="G808" i="6"/>
  <c r="H808" i="6" s="1"/>
  <c r="I808" i="6" s="1"/>
  <c r="G805" i="6"/>
  <c r="H805" i="6" s="1"/>
  <c r="I805" i="6" s="1"/>
  <c r="G802" i="6"/>
  <c r="H802" i="6" s="1"/>
  <c r="I802" i="6" s="1"/>
  <c r="L14" i="7"/>
  <c r="K14" i="7"/>
  <c r="J28" i="7"/>
  <c r="Z2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P123" i="7" s="1"/>
  <c r="O5" i="7"/>
  <c r="O6" i="7"/>
  <c r="O7" i="7"/>
  <c r="O8" i="7"/>
  <c r="O9" i="7"/>
  <c r="O10" i="7"/>
  <c r="O11" i="7"/>
  <c r="O12" i="7"/>
  <c r="O13" i="7"/>
  <c r="O14" i="7"/>
  <c r="O15" i="7"/>
  <c r="O4" i="7"/>
  <c r="T18" i="7"/>
  <c r="T20" i="7"/>
  <c r="G13" i="7"/>
  <c r="M4" i="2"/>
  <c r="T21" i="7" l="1"/>
  <c r="T22" i="7" l="1"/>
  <c r="T23" i="7" l="1"/>
  <c r="K18" i="6"/>
  <c r="K17" i="6"/>
  <c r="K16" i="6"/>
  <c r="K15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G1757" i="6" s="1"/>
  <c r="H1757" i="6" s="1"/>
  <c r="I1757" i="6" s="1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G1288" i="6" s="1"/>
  <c r="H1288" i="6" s="1"/>
  <c r="I1288" i="6" s="1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G798" i="6" s="1"/>
  <c r="H798" i="6" s="1"/>
  <c r="I798" i="6" s="1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G312" i="6" s="1"/>
  <c r="H312" i="6" s="1"/>
  <c r="I312" i="6" s="1"/>
  <c r="T24" i="7" l="1"/>
  <c r="T25" i="7" s="1"/>
  <c r="T26" i="7" s="1"/>
  <c r="T27" i="7" s="1"/>
  <c r="O17" i="6"/>
  <c r="O15" i="6"/>
  <c r="O16" i="6"/>
  <c r="O18" i="6"/>
  <c r="G1499" i="6"/>
  <c r="H1499" i="6" s="1"/>
  <c r="I1499" i="6" s="1"/>
  <c r="G1506" i="6"/>
  <c r="H1506" i="6" s="1"/>
  <c r="I1506" i="6" s="1"/>
  <c r="G1522" i="6"/>
  <c r="H1522" i="6" s="1"/>
  <c r="I1522" i="6" s="1"/>
  <c r="G1016" i="6"/>
  <c r="H1016" i="6" s="1"/>
  <c r="I1016" i="6" s="1"/>
  <c r="G1032" i="6"/>
  <c r="H1032" i="6" s="1"/>
  <c r="I1032" i="6" s="1"/>
  <c r="G536" i="6"/>
  <c r="H536" i="6" s="1"/>
  <c r="I536" i="6" s="1"/>
  <c r="G552" i="6"/>
  <c r="H552" i="6" s="1"/>
  <c r="I552" i="6" s="1"/>
  <c r="G43" i="6"/>
  <c r="H43" i="6" s="1"/>
  <c r="I43" i="6" s="1"/>
  <c r="G59" i="6"/>
  <c r="H59" i="6" s="1"/>
  <c r="I59" i="6" s="1"/>
  <c r="A9" i="5"/>
  <c r="B8" i="5"/>
  <c r="D10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E9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9" i="2"/>
  <c r="C10" i="2"/>
  <c r="C11" i="2"/>
  <c r="C12" i="2"/>
  <c r="C13" i="2"/>
  <c r="C14" i="2"/>
  <c r="C15" i="2"/>
  <c r="C16" i="2"/>
  <c r="C17" i="2"/>
  <c r="C18" i="2"/>
  <c r="C8" i="2"/>
  <c r="C7" i="2"/>
  <c r="T28" i="7" l="1"/>
  <c r="T29" i="7" s="1"/>
  <c r="G2" i="6"/>
  <c r="G308" i="6"/>
  <c r="H308" i="6" s="1"/>
  <c r="I308" i="6" s="1"/>
  <c r="G304" i="6"/>
  <c r="H304" i="6" s="1"/>
  <c r="I304" i="6" s="1"/>
  <c r="G300" i="6"/>
  <c r="H300" i="6" s="1"/>
  <c r="I300" i="6" s="1"/>
  <c r="G296" i="6"/>
  <c r="H296" i="6" s="1"/>
  <c r="I296" i="6" s="1"/>
  <c r="G292" i="6"/>
  <c r="H292" i="6" s="1"/>
  <c r="I292" i="6" s="1"/>
  <c r="G288" i="6"/>
  <c r="H288" i="6" s="1"/>
  <c r="I288" i="6" s="1"/>
  <c r="G284" i="6"/>
  <c r="H284" i="6" s="1"/>
  <c r="I284" i="6" s="1"/>
  <c r="G797" i="6"/>
  <c r="H797" i="6" s="1"/>
  <c r="I797" i="6" s="1"/>
  <c r="G793" i="6"/>
  <c r="H793" i="6" s="1"/>
  <c r="I793" i="6" s="1"/>
  <c r="G789" i="6"/>
  <c r="H789" i="6" s="1"/>
  <c r="I789" i="6" s="1"/>
  <c r="G785" i="6"/>
  <c r="H785" i="6" s="1"/>
  <c r="I785" i="6" s="1"/>
  <c r="G781" i="6"/>
  <c r="H781" i="6" s="1"/>
  <c r="I781" i="6" s="1"/>
  <c r="G777" i="6"/>
  <c r="H777" i="6" s="1"/>
  <c r="I777" i="6" s="1"/>
  <c r="G773" i="6"/>
  <c r="H773" i="6" s="1"/>
  <c r="I773" i="6" s="1"/>
  <c r="G769" i="6"/>
  <c r="H769" i="6" s="1"/>
  <c r="I769" i="6" s="1"/>
  <c r="G1285" i="6"/>
  <c r="H1285" i="6" s="1"/>
  <c r="I1285" i="6" s="1"/>
  <c r="G1281" i="6"/>
  <c r="H1281" i="6" s="1"/>
  <c r="I1281" i="6" s="1"/>
  <c r="G1277" i="6"/>
  <c r="H1277" i="6" s="1"/>
  <c r="I1277" i="6" s="1"/>
  <c r="G1273" i="6"/>
  <c r="H1273" i="6" s="1"/>
  <c r="I1273" i="6" s="1"/>
  <c r="G1269" i="6"/>
  <c r="H1269" i="6" s="1"/>
  <c r="I1269" i="6" s="1"/>
  <c r="G1265" i="6"/>
  <c r="H1265" i="6" s="1"/>
  <c r="I1265" i="6" s="1"/>
  <c r="G1261" i="6"/>
  <c r="H1261" i="6" s="1"/>
  <c r="I1261" i="6" s="1"/>
  <c r="G1257" i="6"/>
  <c r="H1257" i="6" s="1"/>
  <c r="I1257" i="6" s="1"/>
  <c r="G1753" i="6"/>
  <c r="H1753" i="6" s="1"/>
  <c r="I1753" i="6" s="1"/>
  <c r="G1749" i="6"/>
  <c r="H1749" i="6" s="1"/>
  <c r="I1749" i="6" s="1"/>
  <c r="G1745" i="6"/>
  <c r="H1745" i="6" s="1"/>
  <c r="I1745" i="6" s="1"/>
  <c r="G1741" i="6"/>
  <c r="H1741" i="6" s="1"/>
  <c r="I1741" i="6" s="1"/>
  <c r="G1737" i="6"/>
  <c r="H1737" i="6" s="1"/>
  <c r="I1737" i="6" s="1"/>
  <c r="G1733" i="6"/>
  <c r="H1733" i="6" s="1"/>
  <c r="I1733" i="6" s="1"/>
  <c r="G1729" i="6"/>
  <c r="H1729" i="6" s="1"/>
  <c r="I1729" i="6" s="1"/>
  <c r="G279" i="6"/>
  <c r="H279" i="6" s="1"/>
  <c r="I279" i="6" s="1"/>
  <c r="G275" i="6"/>
  <c r="H275" i="6" s="1"/>
  <c r="I275" i="6" s="1"/>
  <c r="G271" i="6"/>
  <c r="H271" i="6" s="1"/>
  <c r="I271" i="6" s="1"/>
  <c r="G267" i="6"/>
  <c r="H267" i="6" s="1"/>
  <c r="I267" i="6" s="1"/>
  <c r="G263" i="6"/>
  <c r="H263" i="6" s="1"/>
  <c r="I263" i="6" s="1"/>
  <c r="G259" i="6"/>
  <c r="H259" i="6" s="1"/>
  <c r="I259" i="6" s="1"/>
  <c r="G255" i="6"/>
  <c r="H255" i="6" s="1"/>
  <c r="I255" i="6" s="1"/>
  <c r="G251" i="6"/>
  <c r="H251" i="6" s="1"/>
  <c r="I251" i="6" s="1"/>
  <c r="G765" i="6"/>
  <c r="H765" i="6" s="1"/>
  <c r="I765" i="6" s="1"/>
  <c r="G761" i="6"/>
  <c r="H761" i="6" s="1"/>
  <c r="I761" i="6" s="1"/>
  <c r="G757" i="6"/>
  <c r="H757" i="6" s="1"/>
  <c r="I757" i="6" s="1"/>
  <c r="G753" i="6"/>
  <c r="H753" i="6" s="1"/>
  <c r="I753" i="6" s="1"/>
  <c r="G749" i="6"/>
  <c r="H749" i="6" s="1"/>
  <c r="I749" i="6" s="1"/>
  <c r="G745" i="6"/>
  <c r="H745" i="6" s="1"/>
  <c r="I745" i="6" s="1"/>
  <c r="G741" i="6"/>
  <c r="H741" i="6" s="1"/>
  <c r="I741" i="6" s="1"/>
  <c r="G1256" i="6"/>
  <c r="H1256" i="6" s="1"/>
  <c r="I1256" i="6" s="1"/>
  <c r="G1252" i="6"/>
  <c r="H1252" i="6" s="1"/>
  <c r="I1252" i="6" s="1"/>
  <c r="G1248" i="6"/>
  <c r="H1248" i="6" s="1"/>
  <c r="I1248" i="6" s="1"/>
  <c r="G1244" i="6"/>
  <c r="H1244" i="6" s="1"/>
  <c r="I1244" i="6" s="1"/>
  <c r="G1240" i="6"/>
  <c r="H1240" i="6" s="1"/>
  <c r="I1240" i="6" s="1"/>
  <c r="G1236" i="6"/>
  <c r="H1236" i="6" s="1"/>
  <c r="I1236" i="6" s="1"/>
  <c r="G1232" i="6"/>
  <c r="H1232" i="6" s="1"/>
  <c r="I1232" i="6" s="1"/>
  <c r="G1228" i="6"/>
  <c r="H1228" i="6" s="1"/>
  <c r="I1228" i="6" s="1"/>
  <c r="G1726" i="6"/>
  <c r="H1726" i="6" s="1"/>
  <c r="I1726" i="6" s="1"/>
  <c r="G1722" i="6"/>
  <c r="H1722" i="6" s="1"/>
  <c r="I1722" i="6" s="1"/>
  <c r="G1718" i="6"/>
  <c r="H1718" i="6" s="1"/>
  <c r="I1718" i="6" s="1"/>
  <c r="G1714" i="6"/>
  <c r="H1714" i="6" s="1"/>
  <c r="I1714" i="6" s="1"/>
  <c r="G1710" i="6"/>
  <c r="H1710" i="6" s="1"/>
  <c r="I1710" i="6" s="1"/>
  <c r="G1706" i="6"/>
  <c r="H1706" i="6" s="1"/>
  <c r="I1706" i="6" s="1"/>
  <c r="G1702" i="6"/>
  <c r="H1702" i="6" s="1"/>
  <c r="I1702" i="6" s="1"/>
  <c r="G249" i="6"/>
  <c r="H249" i="6" s="1"/>
  <c r="I249" i="6" s="1"/>
  <c r="G245" i="6"/>
  <c r="H245" i="6" s="1"/>
  <c r="I245" i="6" s="1"/>
  <c r="G241" i="6"/>
  <c r="H241" i="6" s="1"/>
  <c r="I241" i="6" s="1"/>
  <c r="G237" i="6"/>
  <c r="H237" i="6" s="1"/>
  <c r="I237" i="6" s="1"/>
  <c r="G233" i="6"/>
  <c r="H233" i="6" s="1"/>
  <c r="I233" i="6" s="1"/>
  <c r="G229" i="6"/>
  <c r="H229" i="6" s="1"/>
  <c r="I229" i="6" s="1"/>
  <c r="G225" i="6"/>
  <c r="H225" i="6" s="1"/>
  <c r="I225" i="6" s="1"/>
  <c r="G221" i="6"/>
  <c r="H221" i="6" s="1"/>
  <c r="I221" i="6" s="1"/>
  <c r="G736" i="6"/>
  <c r="H736" i="6" s="1"/>
  <c r="I736" i="6" s="1"/>
  <c r="G732" i="6"/>
  <c r="H732" i="6" s="1"/>
  <c r="I732" i="6" s="1"/>
  <c r="G728" i="6"/>
  <c r="H728" i="6" s="1"/>
  <c r="I728" i="6" s="1"/>
  <c r="G724" i="6"/>
  <c r="H724" i="6" s="1"/>
  <c r="I724" i="6" s="1"/>
  <c r="G720" i="6"/>
  <c r="H720" i="6" s="1"/>
  <c r="I720" i="6" s="1"/>
  <c r="G716" i="6"/>
  <c r="H716" i="6" s="1"/>
  <c r="I716" i="6" s="1"/>
  <c r="G712" i="6"/>
  <c r="H712" i="6" s="1"/>
  <c r="I712" i="6" s="1"/>
  <c r="G708" i="6"/>
  <c r="H708" i="6" s="1"/>
  <c r="I708" i="6" s="1"/>
  <c r="G1222" i="6"/>
  <c r="H1222" i="6" s="1"/>
  <c r="I1222" i="6" s="1"/>
  <c r="G1218" i="6"/>
  <c r="H1218" i="6" s="1"/>
  <c r="I1218" i="6" s="1"/>
  <c r="G1214" i="6"/>
  <c r="H1214" i="6" s="1"/>
  <c r="I1214" i="6" s="1"/>
  <c r="G1210" i="6"/>
  <c r="H1210" i="6" s="1"/>
  <c r="I1210" i="6" s="1"/>
  <c r="G1206" i="6"/>
  <c r="H1206" i="6" s="1"/>
  <c r="I1206" i="6" s="1"/>
  <c r="G1202" i="6"/>
  <c r="H1202" i="6" s="1"/>
  <c r="I1202" i="6" s="1"/>
  <c r="G1198" i="6"/>
  <c r="H1198" i="6" s="1"/>
  <c r="I1198" i="6" s="1"/>
  <c r="G1699" i="6"/>
  <c r="H1699" i="6" s="1"/>
  <c r="I1699" i="6" s="1"/>
  <c r="G1695" i="6"/>
  <c r="H1695" i="6" s="1"/>
  <c r="I1695" i="6" s="1"/>
  <c r="G1691" i="6"/>
  <c r="H1691" i="6" s="1"/>
  <c r="I1691" i="6" s="1"/>
  <c r="G1687" i="6"/>
  <c r="H1687" i="6" s="1"/>
  <c r="I1687" i="6" s="1"/>
  <c r="G1683" i="6"/>
  <c r="H1683" i="6" s="1"/>
  <c r="I1683" i="6" s="1"/>
  <c r="G1679" i="6"/>
  <c r="H1679" i="6" s="1"/>
  <c r="I1679" i="6" s="1"/>
  <c r="G1675" i="6"/>
  <c r="H1675" i="6" s="1"/>
  <c r="I1675" i="6" s="1"/>
  <c r="G215" i="6"/>
  <c r="H215" i="6" s="1"/>
  <c r="I215" i="6" s="1"/>
  <c r="G211" i="6"/>
  <c r="H211" i="6" s="1"/>
  <c r="I211" i="6" s="1"/>
  <c r="G207" i="6"/>
  <c r="H207" i="6" s="1"/>
  <c r="I207" i="6" s="1"/>
  <c r="G203" i="6"/>
  <c r="H203" i="6" s="1"/>
  <c r="I203" i="6" s="1"/>
  <c r="G199" i="6"/>
  <c r="H199" i="6" s="1"/>
  <c r="I199" i="6" s="1"/>
  <c r="G195" i="6"/>
  <c r="H195" i="6" s="1"/>
  <c r="I195" i="6" s="1"/>
  <c r="G191" i="6"/>
  <c r="H191" i="6" s="1"/>
  <c r="I191" i="6" s="1"/>
  <c r="G707" i="6"/>
  <c r="H707" i="6" s="1"/>
  <c r="I707" i="6" s="1"/>
  <c r="G703" i="6"/>
  <c r="H703" i="6" s="1"/>
  <c r="I703" i="6" s="1"/>
  <c r="G699" i="6"/>
  <c r="H699" i="6" s="1"/>
  <c r="I699" i="6" s="1"/>
  <c r="G695" i="6"/>
  <c r="H695" i="6" s="1"/>
  <c r="I695" i="6" s="1"/>
  <c r="G691" i="6"/>
  <c r="H691" i="6" s="1"/>
  <c r="I691" i="6" s="1"/>
  <c r="G687" i="6"/>
  <c r="H687" i="6" s="1"/>
  <c r="I687" i="6" s="1"/>
  <c r="G683" i="6"/>
  <c r="H683" i="6" s="1"/>
  <c r="I683" i="6" s="1"/>
  <c r="G679" i="6"/>
  <c r="H679" i="6" s="1"/>
  <c r="I679" i="6" s="1"/>
  <c r="G1192" i="6"/>
  <c r="H1192" i="6" s="1"/>
  <c r="I1192" i="6" s="1"/>
  <c r="G1188" i="6"/>
  <c r="H1188" i="6" s="1"/>
  <c r="I1188" i="6" s="1"/>
  <c r="G1184" i="6"/>
  <c r="H1184" i="6" s="1"/>
  <c r="I1184" i="6" s="1"/>
  <c r="G1180" i="6"/>
  <c r="H1180" i="6" s="1"/>
  <c r="I1180" i="6" s="1"/>
  <c r="G1176" i="6"/>
  <c r="H1176" i="6" s="1"/>
  <c r="I1176" i="6" s="1"/>
  <c r="G1172" i="6"/>
  <c r="H1172" i="6" s="1"/>
  <c r="I1172" i="6" s="1"/>
  <c r="G1168" i="6"/>
  <c r="H1168" i="6" s="1"/>
  <c r="I1168" i="6" s="1"/>
  <c r="G1164" i="6"/>
  <c r="H1164" i="6" s="1"/>
  <c r="I1164" i="6" s="1"/>
  <c r="G1668" i="6"/>
  <c r="H1668" i="6" s="1"/>
  <c r="I1668" i="6" s="1"/>
  <c r="G1664" i="6"/>
  <c r="H1664" i="6" s="1"/>
  <c r="I1664" i="6" s="1"/>
  <c r="G1660" i="6"/>
  <c r="H1660" i="6" s="1"/>
  <c r="I1660" i="6" s="1"/>
  <c r="G1656" i="6"/>
  <c r="H1656" i="6" s="1"/>
  <c r="I1656" i="6" s="1"/>
  <c r="G1652" i="6"/>
  <c r="H1652" i="6" s="1"/>
  <c r="I1652" i="6" s="1"/>
  <c r="G1648" i="6"/>
  <c r="H1648" i="6" s="1"/>
  <c r="I1648" i="6" s="1"/>
  <c r="G1644" i="6"/>
  <c r="H1644" i="6" s="1"/>
  <c r="I1644" i="6" s="1"/>
  <c r="G302" i="6"/>
  <c r="H302" i="6" s="1"/>
  <c r="I302" i="6" s="1"/>
  <c r="G286" i="6"/>
  <c r="H286" i="6" s="1"/>
  <c r="I286" i="6" s="1"/>
  <c r="G771" i="6"/>
  <c r="H771" i="6" s="1"/>
  <c r="I771" i="6" s="1"/>
  <c r="G1275" i="6"/>
  <c r="H1275" i="6" s="1"/>
  <c r="I1275" i="6" s="1"/>
  <c r="G1259" i="6"/>
  <c r="H1259" i="6" s="1"/>
  <c r="I1259" i="6" s="1"/>
  <c r="G269" i="6"/>
  <c r="H269" i="6" s="1"/>
  <c r="I269" i="6" s="1"/>
  <c r="G253" i="6"/>
  <c r="H253" i="6" s="1"/>
  <c r="I253" i="6" s="1"/>
  <c r="G755" i="6"/>
  <c r="H755" i="6" s="1"/>
  <c r="I755" i="6" s="1"/>
  <c r="G1242" i="6"/>
  <c r="H1242" i="6" s="1"/>
  <c r="I1242" i="6" s="1"/>
  <c r="G1226" i="6"/>
  <c r="H1226" i="6" s="1"/>
  <c r="I1226" i="6" s="1"/>
  <c r="G1712" i="6"/>
  <c r="H1712" i="6" s="1"/>
  <c r="I1712" i="6" s="1"/>
  <c r="G219" i="6"/>
  <c r="H219" i="6" s="1"/>
  <c r="I219" i="6" s="1"/>
  <c r="G722" i="6"/>
  <c r="H722" i="6" s="1"/>
  <c r="I722" i="6" s="1"/>
  <c r="G1224" i="6"/>
  <c r="H1224" i="6" s="1"/>
  <c r="I1224" i="6" s="1"/>
  <c r="G1697" i="6"/>
  <c r="H1697" i="6" s="1"/>
  <c r="I1697" i="6" s="1"/>
  <c r="G1681" i="6"/>
  <c r="H1681" i="6" s="1"/>
  <c r="I1681" i="6" s="1"/>
  <c r="G185" i="6"/>
  <c r="H185" i="6" s="1"/>
  <c r="I185" i="6" s="1"/>
  <c r="G181" i="6"/>
  <c r="H181" i="6" s="1"/>
  <c r="I181" i="6" s="1"/>
  <c r="G177" i="6"/>
  <c r="H177" i="6" s="1"/>
  <c r="I177" i="6" s="1"/>
  <c r="G173" i="6"/>
  <c r="H173" i="6" s="1"/>
  <c r="I173" i="6" s="1"/>
  <c r="G169" i="6"/>
  <c r="H169" i="6" s="1"/>
  <c r="I169" i="6" s="1"/>
  <c r="G165" i="6"/>
  <c r="H165" i="6" s="1"/>
  <c r="I165" i="6" s="1"/>
  <c r="G161" i="6"/>
  <c r="H161" i="6" s="1"/>
  <c r="I161" i="6" s="1"/>
  <c r="G157" i="6"/>
  <c r="H157" i="6" s="1"/>
  <c r="I157" i="6" s="1"/>
  <c r="G674" i="6"/>
  <c r="H674" i="6" s="1"/>
  <c r="I674" i="6" s="1"/>
  <c r="G670" i="6"/>
  <c r="H670" i="6" s="1"/>
  <c r="I670" i="6" s="1"/>
  <c r="G666" i="6"/>
  <c r="H666" i="6" s="1"/>
  <c r="I666" i="6" s="1"/>
  <c r="G662" i="6"/>
  <c r="H662" i="6" s="1"/>
  <c r="I662" i="6" s="1"/>
  <c r="G658" i="6"/>
  <c r="H658" i="6" s="1"/>
  <c r="I658" i="6" s="1"/>
  <c r="G654" i="6"/>
  <c r="H654" i="6" s="1"/>
  <c r="I654" i="6" s="1"/>
  <c r="G650" i="6"/>
  <c r="H650" i="6" s="1"/>
  <c r="I650" i="6" s="1"/>
  <c r="G1162" i="6"/>
  <c r="H1162" i="6" s="1"/>
  <c r="I1162" i="6" s="1"/>
  <c r="G1158" i="6"/>
  <c r="H1158" i="6" s="1"/>
  <c r="I1158" i="6" s="1"/>
  <c r="G1154" i="6"/>
  <c r="H1154" i="6" s="1"/>
  <c r="I1154" i="6" s="1"/>
  <c r="G1150" i="6"/>
  <c r="H1150" i="6" s="1"/>
  <c r="I1150" i="6" s="1"/>
  <c r="G1146" i="6"/>
  <c r="H1146" i="6" s="1"/>
  <c r="I1146" i="6" s="1"/>
  <c r="G1142" i="6"/>
  <c r="H1142" i="6" s="1"/>
  <c r="I1142" i="6" s="1"/>
  <c r="G1138" i="6"/>
  <c r="H1138" i="6" s="1"/>
  <c r="I1138" i="6" s="1"/>
  <c r="G1134" i="6"/>
  <c r="H1134" i="6" s="1"/>
  <c r="I1134" i="6" s="1"/>
  <c r="G1641" i="6"/>
  <c r="H1641" i="6" s="1"/>
  <c r="I1641" i="6" s="1"/>
  <c r="G1637" i="6"/>
  <c r="H1637" i="6" s="1"/>
  <c r="I1637" i="6" s="1"/>
  <c r="G1633" i="6"/>
  <c r="H1633" i="6" s="1"/>
  <c r="I1633" i="6" s="1"/>
  <c r="G1629" i="6"/>
  <c r="H1629" i="6" s="1"/>
  <c r="I1629" i="6" s="1"/>
  <c r="G1625" i="6"/>
  <c r="H1625" i="6" s="1"/>
  <c r="I1625" i="6" s="1"/>
  <c r="G1621" i="6"/>
  <c r="H1621" i="6" s="1"/>
  <c r="I1621" i="6" s="1"/>
  <c r="G1617" i="6"/>
  <c r="H1617" i="6" s="1"/>
  <c r="I1617" i="6" s="1"/>
  <c r="G156" i="6"/>
  <c r="H156" i="6" s="1"/>
  <c r="I156" i="6" s="1"/>
  <c r="G152" i="6"/>
  <c r="H152" i="6" s="1"/>
  <c r="I152" i="6" s="1"/>
  <c r="G148" i="6"/>
  <c r="H148" i="6" s="1"/>
  <c r="I148" i="6" s="1"/>
  <c r="G144" i="6"/>
  <c r="H144" i="6" s="1"/>
  <c r="I144" i="6" s="1"/>
  <c r="G140" i="6"/>
  <c r="H140" i="6" s="1"/>
  <c r="I140" i="6" s="1"/>
  <c r="G136" i="6"/>
  <c r="H136" i="6" s="1"/>
  <c r="I136" i="6" s="1"/>
  <c r="G132" i="6"/>
  <c r="H132" i="6" s="1"/>
  <c r="I132" i="6" s="1"/>
  <c r="G128" i="6"/>
  <c r="H128" i="6" s="1"/>
  <c r="I128" i="6" s="1"/>
  <c r="G646" i="6"/>
  <c r="H646" i="6" s="1"/>
  <c r="I646" i="6" s="1"/>
  <c r="G642" i="6"/>
  <c r="H642" i="6" s="1"/>
  <c r="I642" i="6" s="1"/>
  <c r="G638" i="6"/>
  <c r="H638" i="6" s="1"/>
  <c r="I638" i="6" s="1"/>
  <c r="G634" i="6"/>
  <c r="H634" i="6" s="1"/>
  <c r="I634" i="6" s="1"/>
  <c r="G630" i="6"/>
  <c r="H630" i="6" s="1"/>
  <c r="I630" i="6" s="1"/>
  <c r="G626" i="6"/>
  <c r="H626" i="6" s="1"/>
  <c r="I626" i="6" s="1"/>
  <c r="G622" i="6"/>
  <c r="H622" i="6" s="1"/>
  <c r="I622" i="6" s="1"/>
  <c r="G618" i="6"/>
  <c r="H618" i="6" s="1"/>
  <c r="I618" i="6" s="1"/>
  <c r="G1129" i="6"/>
  <c r="H1129" i="6" s="1"/>
  <c r="I1129" i="6" s="1"/>
  <c r="G1125" i="6"/>
  <c r="H1125" i="6" s="1"/>
  <c r="I1125" i="6" s="1"/>
  <c r="G1121" i="6"/>
  <c r="H1121" i="6" s="1"/>
  <c r="I1121" i="6" s="1"/>
  <c r="G1117" i="6"/>
  <c r="H1117" i="6" s="1"/>
  <c r="I1117" i="6" s="1"/>
  <c r="G1113" i="6"/>
  <c r="H1113" i="6" s="1"/>
  <c r="I1113" i="6" s="1"/>
  <c r="G1109" i="6"/>
  <c r="H1109" i="6" s="1"/>
  <c r="I1109" i="6" s="1"/>
  <c r="G1105" i="6"/>
  <c r="H1105" i="6" s="1"/>
  <c r="I1105" i="6" s="1"/>
  <c r="G1614" i="6"/>
  <c r="H1614" i="6" s="1"/>
  <c r="I1614" i="6" s="1"/>
  <c r="G1610" i="6"/>
  <c r="H1610" i="6" s="1"/>
  <c r="I1610" i="6" s="1"/>
  <c r="G1606" i="6"/>
  <c r="H1606" i="6" s="1"/>
  <c r="I1606" i="6" s="1"/>
  <c r="G1602" i="6"/>
  <c r="H1602" i="6" s="1"/>
  <c r="I1602" i="6" s="1"/>
  <c r="G1598" i="6"/>
  <c r="H1598" i="6" s="1"/>
  <c r="I1598" i="6" s="1"/>
  <c r="G1594" i="6"/>
  <c r="H1594" i="6" s="1"/>
  <c r="I1594" i="6" s="1"/>
  <c r="G1590" i="6"/>
  <c r="H1590" i="6" s="1"/>
  <c r="I1590" i="6" s="1"/>
  <c r="G632" i="6"/>
  <c r="H632" i="6" s="1"/>
  <c r="I632" i="6" s="1"/>
  <c r="G628" i="6"/>
  <c r="H628" i="6" s="1"/>
  <c r="I628" i="6" s="1"/>
  <c r="G624" i="6"/>
  <c r="H624" i="6" s="1"/>
  <c r="I624" i="6" s="1"/>
  <c r="G620" i="6"/>
  <c r="H620" i="6" s="1"/>
  <c r="I620" i="6" s="1"/>
  <c r="G1131" i="6"/>
  <c r="H1131" i="6" s="1"/>
  <c r="I1131" i="6" s="1"/>
  <c r="G1127" i="6"/>
  <c r="H1127" i="6" s="1"/>
  <c r="I1127" i="6" s="1"/>
  <c r="G1123" i="6"/>
  <c r="H1123" i="6" s="1"/>
  <c r="I1123" i="6" s="1"/>
  <c r="G1119" i="6"/>
  <c r="H1119" i="6" s="1"/>
  <c r="I1119" i="6" s="1"/>
  <c r="G1115" i="6"/>
  <c r="H1115" i="6" s="1"/>
  <c r="I1115" i="6" s="1"/>
  <c r="G1111" i="6"/>
  <c r="H1111" i="6" s="1"/>
  <c r="I1111" i="6" s="1"/>
  <c r="G1107" i="6"/>
  <c r="H1107" i="6" s="1"/>
  <c r="I1107" i="6" s="1"/>
  <c r="G1103" i="6"/>
  <c r="H1103" i="6" s="1"/>
  <c r="I1103" i="6" s="1"/>
  <c r="G1612" i="6"/>
  <c r="H1612" i="6" s="1"/>
  <c r="I1612" i="6" s="1"/>
  <c r="G1608" i="6"/>
  <c r="H1608" i="6" s="1"/>
  <c r="I1608" i="6" s="1"/>
  <c r="G1604" i="6"/>
  <c r="H1604" i="6" s="1"/>
  <c r="I1604" i="6" s="1"/>
  <c r="G1600" i="6"/>
  <c r="H1600" i="6" s="1"/>
  <c r="I1600" i="6" s="1"/>
  <c r="G1596" i="6"/>
  <c r="H1596" i="6" s="1"/>
  <c r="I1596" i="6" s="1"/>
  <c r="G1592" i="6"/>
  <c r="H1592" i="6" s="1"/>
  <c r="I1592" i="6" s="1"/>
  <c r="G1588" i="6"/>
  <c r="H1588" i="6" s="1"/>
  <c r="I1588" i="6" s="1"/>
  <c r="G124" i="6"/>
  <c r="H124" i="6" s="1"/>
  <c r="I124" i="6" s="1"/>
  <c r="G120" i="6"/>
  <c r="H120" i="6" s="1"/>
  <c r="I120" i="6" s="1"/>
  <c r="G116" i="6"/>
  <c r="H116" i="6" s="1"/>
  <c r="I116" i="6" s="1"/>
  <c r="G112" i="6"/>
  <c r="H112" i="6" s="1"/>
  <c r="I112" i="6" s="1"/>
  <c r="G108" i="6"/>
  <c r="H108" i="6" s="1"/>
  <c r="I108" i="6" s="1"/>
  <c r="G104" i="6"/>
  <c r="H104" i="6" s="1"/>
  <c r="I104" i="6" s="1"/>
  <c r="G100" i="6"/>
  <c r="H100" i="6" s="1"/>
  <c r="I100" i="6" s="1"/>
  <c r="G96" i="6"/>
  <c r="H96" i="6" s="1"/>
  <c r="I96" i="6" s="1"/>
  <c r="G615" i="6"/>
  <c r="H615" i="6" s="1"/>
  <c r="I615" i="6" s="1"/>
  <c r="G611" i="6"/>
  <c r="H611" i="6" s="1"/>
  <c r="I611" i="6" s="1"/>
  <c r="G607" i="6"/>
  <c r="H607" i="6" s="1"/>
  <c r="I607" i="6" s="1"/>
  <c r="G603" i="6"/>
  <c r="H603" i="6" s="1"/>
  <c r="I603" i="6" s="1"/>
  <c r="G599" i="6"/>
  <c r="H599" i="6" s="1"/>
  <c r="I599" i="6" s="1"/>
  <c r="G595" i="6"/>
  <c r="H595" i="6" s="1"/>
  <c r="I595" i="6" s="1"/>
  <c r="G591" i="6"/>
  <c r="H591" i="6" s="1"/>
  <c r="I591" i="6" s="1"/>
  <c r="G1101" i="6"/>
  <c r="H1101" i="6" s="1"/>
  <c r="I1101" i="6" s="1"/>
  <c r="G1097" i="6"/>
  <c r="H1097" i="6" s="1"/>
  <c r="I1097" i="6" s="1"/>
  <c r="G1093" i="6"/>
  <c r="H1093" i="6" s="1"/>
  <c r="I1093" i="6" s="1"/>
  <c r="G1089" i="6"/>
  <c r="H1089" i="6" s="1"/>
  <c r="I1089" i="6" s="1"/>
  <c r="G1085" i="6"/>
  <c r="H1085" i="6" s="1"/>
  <c r="I1085" i="6" s="1"/>
  <c r="G1081" i="6"/>
  <c r="H1081" i="6" s="1"/>
  <c r="I1081" i="6" s="1"/>
  <c r="G1077" i="6"/>
  <c r="H1077" i="6" s="1"/>
  <c r="I1077" i="6" s="1"/>
  <c r="G1073" i="6"/>
  <c r="H1073" i="6" s="1"/>
  <c r="I1073" i="6" s="1"/>
  <c r="G1585" i="6"/>
  <c r="H1585" i="6" s="1"/>
  <c r="I1585" i="6" s="1"/>
  <c r="G1581" i="6"/>
  <c r="H1581" i="6" s="1"/>
  <c r="I1581" i="6" s="1"/>
  <c r="G1577" i="6"/>
  <c r="H1577" i="6" s="1"/>
  <c r="I1577" i="6" s="1"/>
  <c r="G1573" i="6"/>
  <c r="H1573" i="6" s="1"/>
  <c r="I1573" i="6" s="1"/>
  <c r="G1569" i="6"/>
  <c r="H1569" i="6" s="1"/>
  <c r="I1569" i="6" s="1"/>
  <c r="G1565" i="6"/>
  <c r="H1565" i="6" s="1"/>
  <c r="I1565" i="6" s="1"/>
  <c r="G1561" i="6"/>
  <c r="H1561" i="6" s="1"/>
  <c r="I1561" i="6" s="1"/>
  <c r="G122" i="6"/>
  <c r="H122" i="6" s="1"/>
  <c r="I122" i="6" s="1"/>
  <c r="G118" i="6"/>
  <c r="H118" i="6" s="1"/>
  <c r="I118" i="6" s="1"/>
  <c r="G114" i="6"/>
  <c r="H114" i="6" s="1"/>
  <c r="I114" i="6" s="1"/>
  <c r="G110" i="6"/>
  <c r="H110" i="6" s="1"/>
  <c r="I110" i="6" s="1"/>
  <c r="G106" i="6"/>
  <c r="H106" i="6" s="1"/>
  <c r="I106" i="6" s="1"/>
  <c r="G102" i="6"/>
  <c r="H102" i="6" s="1"/>
  <c r="I102" i="6" s="1"/>
  <c r="G98" i="6"/>
  <c r="H98" i="6" s="1"/>
  <c r="I98" i="6" s="1"/>
  <c r="G617" i="6"/>
  <c r="H617" i="6" s="1"/>
  <c r="I617" i="6" s="1"/>
  <c r="G613" i="6"/>
  <c r="H613" i="6" s="1"/>
  <c r="I613" i="6" s="1"/>
  <c r="G609" i="6"/>
  <c r="H609" i="6" s="1"/>
  <c r="I609" i="6" s="1"/>
  <c r="G605" i="6"/>
  <c r="H605" i="6" s="1"/>
  <c r="I605" i="6" s="1"/>
  <c r="G601" i="6"/>
  <c r="H601" i="6" s="1"/>
  <c r="I601" i="6" s="1"/>
  <c r="G597" i="6"/>
  <c r="H597" i="6" s="1"/>
  <c r="I597" i="6" s="1"/>
  <c r="G593" i="6"/>
  <c r="H593" i="6" s="1"/>
  <c r="I593" i="6" s="1"/>
  <c r="G589" i="6"/>
  <c r="H589" i="6" s="1"/>
  <c r="I589" i="6" s="1"/>
  <c r="G1099" i="6"/>
  <c r="H1099" i="6" s="1"/>
  <c r="I1099" i="6" s="1"/>
  <c r="G1095" i="6"/>
  <c r="H1095" i="6" s="1"/>
  <c r="I1095" i="6" s="1"/>
  <c r="G1091" i="6"/>
  <c r="H1091" i="6" s="1"/>
  <c r="I1091" i="6" s="1"/>
  <c r="G1087" i="6"/>
  <c r="H1087" i="6" s="1"/>
  <c r="I1087" i="6" s="1"/>
  <c r="G1083" i="6"/>
  <c r="H1083" i="6" s="1"/>
  <c r="I1083" i="6" s="1"/>
  <c r="G1079" i="6"/>
  <c r="H1079" i="6" s="1"/>
  <c r="I1079" i="6" s="1"/>
  <c r="G1075" i="6"/>
  <c r="H1075" i="6" s="1"/>
  <c r="I1075" i="6" s="1"/>
  <c r="G1071" i="6"/>
  <c r="H1071" i="6" s="1"/>
  <c r="I1071" i="6" s="1"/>
  <c r="G1583" i="6"/>
  <c r="H1583" i="6" s="1"/>
  <c r="I1583" i="6" s="1"/>
  <c r="G1579" i="6"/>
  <c r="H1579" i="6" s="1"/>
  <c r="I1579" i="6" s="1"/>
  <c r="G1575" i="6"/>
  <c r="H1575" i="6" s="1"/>
  <c r="I1575" i="6" s="1"/>
  <c r="G1571" i="6"/>
  <c r="H1571" i="6" s="1"/>
  <c r="I1571" i="6" s="1"/>
  <c r="G1567" i="6"/>
  <c r="H1567" i="6" s="1"/>
  <c r="I1567" i="6" s="1"/>
  <c r="G1563" i="6"/>
  <c r="H1563" i="6" s="1"/>
  <c r="I1563" i="6" s="1"/>
  <c r="G1559" i="6"/>
  <c r="H1559" i="6" s="1"/>
  <c r="I1559" i="6" s="1"/>
  <c r="G94" i="6"/>
  <c r="H94" i="6" s="1"/>
  <c r="I94" i="6" s="1"/>
  <c r="G90" i="6"/>
  <c r="H90" i="6" s="1"/>
  <c r="I90" i="6" s="1"/>
  <c r="G86" i="6"/>
  <c r="H86" i="6" s="1"/>
  <c r="I86" i="6" s="1"/>
  <c r="G82" i="6"/>
  <c r="H82" i="6" s="1"/>
  <c r="I82" i="6" s="1"/>
  <c r="G78" i="6"/>
  <c r="H78" i="6" s="1"/>
  <c r="I78" i="6" s="1"/>
  <c r="G74" i="6"/>
  <c r="H74" i="6" s="1"/>
  <c r="I74" i="6" s="1"/>
  <c r="G70" i="6"/>
  <c r="H70" i="6" s="1"/>
  <c r="I70" i="6" s="1"/>
  <c r="G66" i="6"/>
  <c r="H66" i="6" s="1"/>
  <c r="I66" i="6" s="1"/>
  <c r="G586" i="6"/>
  <c r="H586" i="6" s="1"/>
  <c r="I586" i="6" s="1"/>
  <c r="G582" i="6"/>
  <c r="H582" i="6" s="1"/>
  <c r="I582" i="6" s="1"/>
  <c r="G578" i="6"/>
  <c r="H578" i="6" s="1"/>
  <c r="I578" i="6" s="1"/>
  <c r="G574" i="6"/>
  <c r="H574" i="6" s="1"/>
  <c r="I574" i="6" s="1"/>
  <c r="G570" i="6"/>
  <c r="H570" i="6" s="1"/>
  <c r="I570" i="6" s="1"/>
  <c r="G566" i="6"/>
  <c r="H566" i="6" s="1"/>
  <c r="I566" i="6" s="1"/>
  <c r="G562" i="6"/>
  <c r="H562" i="6" s="1"/>
  <c r="I562" i="6" s="1"/>
  <c r="G558" i="6"/>
  <c r="H558" i="6" s="1"/>
  <c r="I558" i="6" s="1"/>
  <c r="G1067" i="6"/>
  <c r="H1067" i="6" s="1"/>
  <c r="I1067" i="6" s="1"/>
  <c r="G1063" i="6"/>
  <c r="H1063" i="6" s="1"/>
  <c r="I1063" i="6" s="1"/>
  <c r="G1059" i="6"/>
  <c r="H1059" i="6" s="1"/>
  <c r="I1059" i="6" s="1"/>
  <c r="G1055" i="6"/>
  <c r="H1055" i="6" s="1"/>
  <c r="I1055" i="6" s="1"/>
  <c r="G1051" i="6"/>
  <c r="H1051" i="6" s="1"/>
  <c r="I1051" i="6" s="1"/>
  <c r="G1047" i="6"/>
  <c r="H1047" i="6" s="1"/>
  <c r="I1047" i="6" s="1"/>
  <c r="G1043" i="6"/>
  <c r="H1043" i="6" s="1"/>
  <c r="I1043" i="6" s="1"/>
  <c r="G1558" i="6"/>
  <c r="H1558" i="6" s="1"/>
  <c r="I1558" i="6" s="1"/>
  <c r="G1554" i="6"/>
  <c r="H1554" i="6" s="1"/>
  <c r="I1554" i="6" s="1"/>
  <c r="G1550" i="6"/>
  <c r="H1550" i="6" s="1"/>
  <c r="I1550" i="6" s="1"/>
  <c r="G1546" i="6"/>
  <c r="H1546" i="6" s="1"/>
  <c r="I1546" i="6" s="1"/>
  <c r="G1542" i="6"/>
  <c r="H1542" i="6" s="1"/>
  <c r="I1542" i="6" s="1"/>
  <c r="G1538" i="6"/>
  <c r="H1538" i="6" s="1"/>
  <c r="I1538" i="6" s="1"/>
  <c r="G1534" i="6"/>
  <c r="H1534" i="6" s="1"/>
  <c r="I1534" i="6" s="1"/>
  <c r="G24" i="6"/>
  <c r="H24" i="6" s="1"/>
  <c r="I24" i="6" s="1"/>
  <c r="G297" i="6"/>
  <c r="H297" i="6" s="1"/>
  <c r="I297" i="6" s="1"/>
  <c r="G281" i="6"/>
  <c r="H281" i="6" s="1"/>
  <c r="I281" i="6" s="1"/>
  <c r="G782" i="6"/>
  <c r="H782" i="6" s="1"/>
  <c r="I782" i="6" s="1"/>
  <c r="G1286" i="6"/>
  <c r="H1286" i="6" s="1"/>
  <c r="I1286" i="6" s="1"/>
  <c r="G1270" i="6"/>
  <c r="H1270" i="6" s="1"/>
  <c r="I1270" i="6" s="1"/>
  <c r="G1754" i="6"/>
  <c r="H1754" i="6" s="1"/>
  <c r="I1754" i="6" s="1"/>
  <c r="G1738" i="6"/>
  <c r="H1738" i="6" s="1"/>
  <c r="I1738" i="6" s="1"/>
  <c r="G739" i="6"/>
  <c r="H739" i="6" s="1"/>
  <c r="I739" i="6" s="1"/>
  <c r="G235" i="6"/>
  <c r="H235" i="6" s="1"/>
  <c r="I235" i="6" s="1"/>
  <c r="G719" i="6"/>
  <c r="H719" i="6" s="1"/>
  <c r="I719" i="6" s="1"/>
  <c r="G715" i="6"/>
  <c r="H715" i="6" s="1"/>
  <c r="I715" i="6" s="1"/>
  <c r="G711" i="6"/>
  <c r="H711" i="6" s="1"/>
  <c r="I711" i="6" s="1"/>
  <c r="G1225" i="6"/>
  <c r="H1225" i="6" s="1"/>
  <c r="I1225" i="6" s="1"/>
  <c r="G1221" i="6"/>
  <c r="H1221" i="6" s="1"/>
  <c r="I1221" i="6" s="1"/>
  <c r="G1217" i="6"/>
  <c r="H1217" i="6" s="1"/>
  <c r="I1217" i="6" s="1"/>
  <c r="G1213" i="6"/>
  <c r="H1213" i="6" s="1"/>
  <c r="I1213" i="6" s="1"/>
  <c r="G1209" i="6"/>
  <c r="H1209" i="6" s="1"/>
  <c r="I1209" i="6" s="1"/>
  <c r="G1205" i="6"/>
  <c r="H1205" i="6" s="1"/>
  <c r="I1205" i="6" s="1"/>
  <c r="G1201" i="6"/>
  <c r="H1201" i="6" s="1"/>
  <c r="I1201" i="6" s="1"/>
  <c r="G1197" i="6"/>
  <c r="H1197" i="6" s="1"/>
  <c r="I1197" i="6" s="1"/>
  <c r="G1698" i="6"/>
  <c r="H1698" i="6" s="1"/>
  <c r="I1698" i="6" s="1"/>
  <c r="G1694" i="6"/>
  <c r="H1694" i="6" s="1"/>
  <c r="I1694" i="6" s="1"/>
  <c r="G1690" i="6"/>
  <c r="H1690" i="6" s="1"/>
  <c r="I1690" i="6" s="1"/>
  <c r="G1686" i="6"/>
  <c r="H1686" i="6" s="1"/>
  <c r="I1686" i="6" s="1"/>
  <c r="G1682" i="6"/>
  <c r="H1682" i="6" s="1"/>
  <c r="I1682" i="6" s="1"/>
  <c r="G1678" i="6"/>
  <c r="H1678" i="6" s="1"/>
  <c r="I1678" i="6" s="1"/>
  <c r="G1674" i="6"/>
  <c r="H1674" i="6" s="1"/>
  <c r="I1674" i="6" s="1"/>
  <c r="G218" i="6"/>
  <c r="H218" i="6" s="1"/>
  <c r="I218" i="6" s="1"/>
  <c r="G214" i="6"/>
  <c r="H214" i="6" s="1"/>
  <c r="I214" i="6" s="1"/>
  <c r="G210" i="6"/>
  <c r="H210" i="6" s="1"/>
  <c r="I210" i="6" s="1"/>
  <c r="G206" i="6"/>
  <c r="H206" i="6" s="1"/>
  <c r="I206" i="6" s="1"/>
  <c r="G202" i="6"/>
  <c r="H202" i="6" s="1"/>
  <c r="I202" i="6" s="1"/>
  <c r="G198" i="6"/>
  <c r="H198" i="6" s="1"/>
  <c r="I198" i="6" s="1"/>
  <c r="G194" i="6"/>
  <c r="H194" i="6" s="1"/>
  <c r="I194" i="6" s="1"/>
  <c r="G190" i="6"/>
  <c r="H190" i="6" s="1"/>
  <c r="I190" i="6" s="1"/>
  <c r="G706" i="6"/>
  <c r="H706" i="6" s="1"/>
  <c r="I706" i="6" s="1"/>
  <c r="G702" i="6"/>
  <c r="H702" i="6" s="1"/>
  <c r="I702" i="6" s="1"/>
  <c r="G698" i="6"/>
  <c r="H698" i="6" s="1"/>
  <c r="I698" i="6" s="1"/>
  <c r="G694" i="6"/>
  <c r="H694" i="6" s="1"/>
  <c r="I694" i="6" s="1"/>
  <c r="G690" i="6"/>
  <c r="H690" i="6" s="1"/>
  <c r="I690" i="6" s="1"/>
  <c r="G686" i="6"/>
  <c r="H686" i="6" s="1"/>
  <c r="I686" i="6" s="1"/>
  <c r="G682" i="6"/>
  <c r="H682" i="6" s="1"/>
  <c r="I682" i="6" s="1"/>
  <c r="G678" i="6"/>
  <c r="H678" i="6" s="1"/>
  <c r="I678" i="6" s="1"/>
  <c r="G1191" i="6"/>
  <c r="H1191" i="6" s="1"/>
  <c r="I1191" i="6" s="1"/>
  <c r="G1187" i="6"/>
  <c r="H1187" i="6" s="1"/>
  <c r="I1187" i="6" s="1"/>
  <c r="G1183" i="6"/>
  <c r="H1183" i="6" s="1"/>
  <c r="I1183" i="6" s="1"/>
  <c r="G1179" i="6"/>
  <c r="H1179" i="6" s="1"/>
  <c r="I1179" i="6" s="1"/>
  <c r="G1175" i="6"/>
  <c r="H1175" i="6" s="1"/>
  <c r="I1175" i="6" s="1"/>
  <c r="G1171" i="6"/>
  <c r="H1171" i="6" s="1"/>
  <c r="I1171" i="6" s="1"/>
  <c r="G1167" i="6"/>
  <c r="H1167" i="6" s="1"/>
  <c r="I1167" i="6" s="1"/>
  <c r="G1671" i="6"/>
  <c r="H1671" i="6" s="1"/>
  <c r="I1671" i="6" s="1"/>
  <c r="G1667" i="6"/>
  <c r="H1667" i="6" s="1"/>
  <c r="I1667" i="6" s="1"/>
  <c r="G1663" i="6"/>
  <c r="H1663" i="6" s="1"/>
  <c r="I1663" i="6" s="1"/>
  <c r="G1659" i="6"/>
  <c r="H1659" i="6" s="1"/>
  <c r="I1659" i="6" s="1"/>
  <c r="G1655" i="6"/>
  <c r="H1655" i="6" s="1"/>
  <c r="I1655" i="6" s="1"/>
  <c r="G1651" i="6"/>
  <c r="H1651" i="6" s="1"/>
  <c r="I1651" i="6" s="1"/>
  <c r="G1647" i="6"/>
  <c r="H1647" i="6" s="1"/>
  <c r="I1647" i="6" s="1"/>
  <c r="G280" i="6"/>
  <c r="H280" i="6" s="1"/>
  <c r="I280" i="6" s="1"/>
  <c r="G264" i="6"/>
  <c r="H264" i="6" s="1"/>
  <c r="I264" i="6" s="1"/>
  <c r="G766" i="6"/>
  <c r="H766" i="6" s="1"/>
  <c r="I766" i="6" s="1"/>
  <c r="G750" i="6"/>
  <c r="H750" i="6" s="1"/>
  <c r="I750" i="6" s="1"/>
  <c r="G1253" i="6"/>
  <c r="H1253" i="6" s="1"/>
  <c r="I1253" i="6" s="1"/>
  <c r="G1237" i="6"/>
  <c r="H1237" i="6" s="1"/>
  <c r="I1237" i="6" s="1"/>
  <c r="G1723" i="6"/>
  <c r="H1723" i="6" s="1"/>
  <c r="I1723" i="6" s="1"/>
  <c r="G1707" i="6"/>
  <c r="H1707" i="6" s="1"/>
  <c r="I1707" i="6" s="1"/>
  <c r="G246" i="6"/>
  <c r="H246" i="6" s="1"/>
  <c r="I246" i="6" s="1"/>
  <c r="G230" i="6"/>
  <c r="H230" i="6" s="1"/>
  <c r="I230" i="6" s="1"/>
  <c r="G733" i="6"/>
  <c r="H733" i="6" s="1"/>
  <c r="I733" i="6" s="1"/>
  <c r="G717" i="6"/>
  <c r="H717" i="6" s="1"/>
  <c r="I717" i="6" s="1"/>
  <c r="G1219" i="6"/>
  <c r="H1219" i="6" s="1"/>
  <c r="I1219" i="6" s="1"/>
  <c r="G1203" i="6"/>
  <c r="H1203" i="6" s="1"/>
  <c r="I1203" i="6" s="1"/>
  <c r="G1692" i="6"/>
  <c r="H1692" i="6" s="1"/>
  <c r="I1692" i="6" s="1"/>
  <c r="G1676" i="6"/>
  <c r="H1676" i="6" s="1"/>
  <c r="I1676" i="6" s="1"/>
  <c r="G1100" i="6"/>
  <c r="H1100" i="6" s="1"/>
  <c r="I1100" i="6" s="1"/>
  <c r="G93" i="6"/>
  <c r="H93" i="6" s="1"/>
  <c r="I93" i="6" s="1"/>
  <c r="G585" i="6"/>
  <c r="H585" i="6" s="1"/>
  <c r="I585" i="6" s="1"/>
  <c r="G569" i="6"/>
  <c r="H569" i="6" s="1"/>
  <c r="I569" i="6" s="1"/>
  <c r="G1066" i="6"/>
  <c r="H1066" i="6" s="1"/>
  <c r="I1066" i="6" s="1"/>
  <c r="G1553" i="6"/>
  <c r="H1553" i="6" s="1"/>
  <c r="I1553" i="6" s="1"/>
  <c r="G1537" i="6"/>
  <c r="H1537" i="6" s="1"/>
  <c r="I1537" i="6" s="1"/>
  <c r="G184" i="6"/>
  <c r="H184" i="6" s="1"/>
  <c r="I184" i="6" s="1"/>
  <c r="G180" i="6"/>
  <c r="H180" i="6" s="1"/>
  <c r="I180" i="6" s="1"/>
  <c r="G176" i="6"/>
  <c r="H176" i="6" s="1"/>
  <c r="I176" i="6" s="1"/>
  <c r="G172" i="6"/>
  <c r="H172" i="6" s="1"/>
  <c r="I172" i="6" s="1"/>
  <c r="G168" i="6"/>
  <c r="H168" i="6" s="1"/>
  <c r="I168" i="6" s="1"/>
  <c r="G164" i="6"/>
  <c r="H164" i="6" s="1"/>
  <c r="I164" i="6" s="1"/>
  <c r="G160" i="6"/>
  <c r="H160" i="6" s="1"/>
  <c r="I160" i="6" s="1"/>
  <c r="G677" i="6"/>
  <c r="H677" i="6" s="1"/>
  <c r="I677" i="6" s="1"/>
  <c r="G673" i="6"/>
  <c r="H673" i="6" s="1"/>
  <c r="I673" i="6" s="1"/>
  <c r="G669" i="6"/>
  <c r="H669" i="6" s="1"/>
  <c r="I669" i="6" s="1"/>
  <c r="G665" i="6"/>
  <c r="H665" i="6" s="1"/>
  <c r="I665" i="6" s="1"/>
  <c r="G661" i="6"/>
  <c r="H661" i="6" s="1"/>
  <c r="I661" i="6" s="1"/>
  <c r="G657" i="6"/>
  <c r="H657" i="6" s="1"/>
  <c r="I657" i="6" s="1"/>
  <c r="G653" i="6"/>
  <c r="H653" i="6" s="1"/>
  <c r="I653" i="6" s="1"/>
  <c r="G649" i="6"/>
  <c r="H649" i="6" s="1"/>
  <c r="I649" i="6" s="1"/>
  <c r="G1161" i="6"/>
  <c r="H1161" i="6" s="1"/>
  <c r="I1161" i="6" s="1"/>
  <c r="G1157" i="6"/>
  <c r="H1157" i="6" s="1"/>
  <c r="I1157" i="6" s="1"/>
  <c r="G1153" i="6"/>
  <c r="H1153" i="6" s="1"/>
  <c r="I1153" i="6" s="1"/>
  <c r="G1149" i="6"/>
  <c r="H1149" i="6" s="1"/>
  <c r="I1149" i="6" s="1"/>
  <c r="G1145" i="6"/>
  <c r="H1145" i="6" s="1"/>
  <c r="I1145" i="6" s="1"/>
  <c r="G1141" i="6"/>
  <c r="H1141" i="6" s="1"/>
  <c r="I1141" i="6" s="1"/>
  <c r="G1137" i="6"/>
  <c r="H1137" i="6" s="1"/>
  <c r="I1137" i="6" s="1"/>
  <c r="G1133" i="6"/>
  <c r="H1133" i="6" s="1"/>
  <c r="I1133" i="6" s="1"/>
  <c r="G1640" i="6"/>
  <c r="H1640" i="6" s="1"/>
  <c r="I1640" i="6" s="1"/>
  <c r="G1636" i="6"/>
  <c r="H1636" i="6" s="1"/>
  <c r="I1636" i="6" s="1"/>
  <c r="G1632" i="6"/>
  <c r="H1632" i="6" s="1"/>
  <c r="I1632" i="6" s="1"/>
  <c r="G1628" i="6"/>
  <c r="H1628" i="6" s="1"/>
  <c r="I1628" i="6" s="1"/>
  <c r="G1624" i="6"/>
  <c r="H1624" i="6" s="1"/>
  <c r="I1624" i="6" s="1"/>
  <c r="G1620" i="6"/>
  <c r="H1620" i="6" s="1"/>
  <c r="I1620" i="6" s="1"/>
  <c r="G1616" i="6"/>
  <c r="H1616" i="6" s="1"/>
  <c r="I1616" i="6" s="1"/>
  <c r="G155" i="6"/>
  <c r="H155" i="6" s="1"/>
  <c r="I155" i="6" s="1"/>
  <c r="G151" i="6"/>
  <c r="H151" i="6" s="1"/>
  <c r="I151" i="6" s="1"/>
  <c r="G147" i="6"/>
  <c r="H147" i="6" s="1"/>
  <c r="I147" i="6" s="1"/>
  <c r="G143" i="6"/>
  <c r="H143" i="6" s="1"/>
  <c r="I143" i="6" s="1"/>
  <c r="G139" i="6"/>
  <c r="H139" i="6" s="1"/>
  <c r="I139" i="6" s="1"/>
  <c r="G135" i="6"/>
  <c r="H135" i="6" s="1"/>
  <c r="I135" i="6" s="1"/>
  <c r="G131" i="6"/>
  <c r="H131" i="6" s="1"/>
  <c r="I131" i="6" s="1"/>
  <c r="G127" i="6"/>
  <c r="H127" i="6" s="1"/>
  <c r="I127" i="6" s="1"/>
  <c r="G645" i="6"/>
  <c r="H645" i="6" s="1"/>
  <c r="I645" i="6" s="1"/>
  <c r="G641" i="6"/>
  <c r="H641" i="6" s="1"/>
  <c r="I641" i="6" s="1"/>
  <c r="G637" i="6"/>
  <c r="H637" i="6" s="1"/>
  <c r="I637" i="6" s="1"/>
  <c r="G625" i="6"/>
  <c r="H625" i="6" s="1"/>
  <c r="I625" i="6" s="1"/>
  <c r="G1124" i="6"/>
  <c r="H1124" i="6" s="1"/>
  <c r="I1124" i="6" s="1"/>
  <c r="G1108" i="6"/>
  <c r="H1108" i="6" s="1"/>
  <c r="I1108" i="6" s="1"/>
  <c r="G1605" i="6"/>
  <c r="H1605" i="6" s="1"/>
  <c r="I1605" i="6" s="1"/>
  <c r="G1589" i="6"/>
  <c r="H1589" i="6" s="1"/>
  <c r="I1589" i="6" s="1"/>
  <c r="G117" i="6"/>
  <c r="H117" i="6" s="1"/>
  <c r="I117" i="6" s="1"/>
  <c r="G101" i="6"/>
  <c r="H101" i="6" s="1"/>
  <c r="I101" i="6" s="1"/>
  <c r="G592" i="6"/>
  <c r="H592" i="6" s="1"/>
  <c r="I592" i="6" s="1"/>
  <c r="G1090" i="6"/>
  <c r="H1090" i="6" s="1"/>
  <c r="I1090" i="6" s="1"/>
  <c r="G1074" i="6"/>
  <c r="H1074" i="6" s="1"/>
  <c r="I1074" i="6" s="1"/>
  <c r="G92" i="6"/>
  <c r="H92" i="6" s="1"/>
  <c r="I92" i="6" s="1"/>
  <c r="G88" i="6"/>
  <c r="H88" i="6" s="1"/>
  <c r="I88" i="6" s="1"/>
  <c r="G84" i="6"/>
  <c r="H84" i="6" s="1"/>
  <c r="I84" i="6" s="1"/>
  <c r="G80" i="6"/>
  <c r="H80" i="6" s="1"/>
  <c r="I80" i="6" s="1"/>
  <c r="G76" i="6"/>
  <c r="H76" i="6" s="1"/>
  <c r="I76" i="6" s="1"/>
  <c r="G72" i="6"/>
  <c r="H72" i="6" s="1"/>
  <c r="I72" i="6" s="1"/>
  <c r="G68" i="6"/>
  <c r="H68" i="6" s="1"/>
  <c r="I68" i="6" s="1"/>
  <c r="G64" i="6"/>
  <c r="H64" i="6" s="1"/>
  <c r="I64" i="6" s="1"/>
  <c r="G584" i="6"/>
  <c r="H584" i="6" s="1"/>
  <c r="I584" i="6" s="1"/>
  <c r="G580" i="6"/>
  <c r="H580" i="6" s="1"/>
  <c r="I580" i="6" s="1"/>
  <c r="G576" i="6"/>
  <c r="H576" i="6" s="1"/>
  <c r="I576" i="6" s="1"/>
  <c r="G572" i="6"/>
  <c r="H572" i="6" s="1"/>
  <c r="I572" i="6" s="1"/>
  <c r="G568" i="6"/>
  <c r="H568" i="6" s="1"/>
  <c r="I568" i="6" s="1"/>
  <c r="G564" i="6"/>
  <c r="H564" i="6" s="1"/>
  <c r="I564" i="6" s="1"/>
  <c r="G560" i="6"/>
  <c r="H560" i="6" s="1"/>
  <c r="I560" i="6" s="1"/>
  <c r="G1069" i="6"/>
  <c r="H1069" i="6" s="1"/>
  <c r="I1069" i="6" s="1"/>
  <c r="G1065" i="6"/>
  <c r="H1065" i="6" s="1"/>
  <c r="I1065" i="6" s="1"/>
  <c r="G1061" i="6"/>
  <c r="H1061" i="6" s="1"/>
  <c r="I1061" i="6" s="1"/>
  <c r="G1057" i="6"/>
  <c r="H1057" i="6" s="1"/>
  <c r="I1057" i="6" s="1"/>
  <c r="G1053" i="6"/>
  <c r="H1053" i="6" s="1"/>
  <c r="I1053" i="6" s="1"/>
  <c r="G1049" i="6"/>
  <c r="H1049" i="6" s="1"/>
  <c r="I1049" i="6" s="1"/>
  <c r="G1045" i="6"/>
  <c r="H1045" i="6" s="1"/>
  <c r="I1045" i="6" s="1"/>
  <c r="G1041" i="6"/>
  <c r="H1041" i="6" s="1"/>
  <c r="I1041" i="6" s="1"/>
  <c r="G1556" i="6"/>
  <c r="H1556" i="6" s="1"/>
  <c r="I1556" i="6" s="1"/>
  <c r="G1552" i="6"/>
  <c r="H1552" i="6" s="1"/>
  <c r="I1552" i="6" s="1"/>
  <c r="G1548" i="6"/>
  <c r="H1548" i="6" s="1"/>
  <c r="I1548" i="6" s="1"/>
  <c r="G1544" i="6"/>
  <c r="H1544" i="6" s="1"/>
  <c r="I1544" i="6" s="1"/>
  <c r="G1540" i="6"/>
  <c r="H1540" i="6" s="1"/>
  <c r="I1540" i="6" s="1"/>
  <c r="G1536" i="6"/>
  <c r="H1536" i="6" s="1"/>
  <c r="I1536" i="6" s="1"/>
  <c r="G1532" i="6"/>
  <c r="H1532" i="6" s="1"/>
  <c r="I1532" i="6" s="1"/>
  <c r="G62" i="6"/>
  <c r="H62" i="6" s="1"/>
  <c r="I62" i="6" s="1"/>
  <c r="G58" i="6"/>
  <c r="H58" i="6" s="1"/>
  <c r="I58" i="6" s="1"/>
  <c r="G54" i="6"/>
  <c r="H54" i="6" s="1"/>
  <c r="I54" i="6" s="1"/>
  <c r="G50" i="6"/>
  <c r="H50" i="6" s="1"/>
  <c r="I50" i="6" s="1"/>
  <c r="G46" i="6"/>
  <c r="H46" i="6" s="1"/>
  <c r="I46" i="6" s="1"/>
  <c r="G42" i="6"/>
  <c r="H42" i="6" s="1"/>
  <c r="I42" i="6" s="1"/>
  <c r="G38" i="6"/>
  <c r="H38" i="6" s="1"/>
  <c r="I38" i="6" s="1"/>
  <c r="G34" i="6"/>
  <c r="H34" i="6" s="1"/>
  <c r="I34" i="6" s="1"/>
  <c r="G555" i="6"/>
  <c r="H555" i="6" s="1"/>
  <c r="I555" i="6" s="1"/>
  <c r="G551" i="6"/>
  <c r="H551" i="6" s="1"/>
  <c r="I551" i="6" s="1"/>
  <c r="G547" i="6"/>
  <c r="H547" i="6" s="1"/>
  <c r="I547" i="6" s="1"/>
  <c r="G543" i="6"/>
  <c r="H543" i="6" s="1"/>
  <c r="I543" i="6" s="1"/>
  <c r="G539" i="6"/>
  <c r="H539" i="6" s="1"/>
  <c r="I539" i="6" s="1"/>
  <c r="G535" i="6"/>
  <c r="H535" i="6" s="1"/>
  <c r="I535" i="6" s="1"/>
  <c r="G531" i="6"/>
  <c r="H531" i="6" s="1"/>
  <c r="I531" i="6" s="1"/>
  <c r="G1039" i="6"/>
  <c r="H1039" i="6" s="1"/>
  <c r="I1039" i="6" s="1"/>
  <c r="G1035" i="6"/>
  <c r="H1035" i="6" s="1"/>
  <c r="I1035" i="6" s="1"/>
  <c r="G1031" i="6"/>
  <c r="H1031" i="6" s="1"/>
  <c r="I1031" i="6" s="1"/>
  <c r="G1027" i="6"/>
  <c r="H1027" i="6" s="1"/>
  <c r="I1027" i="6" s="1"/>
  <c r="G1023" i="6"/>
  <c r="H1023" i="6" s="1"/>
  <c r="I1023" i="6" s="1"/>
  <c r="G1019" i="6"/>
  <c r="H1019" i="6" s="1"/>
  <c r="I1019" i="6" s="1"/>
  <c r="G1015" i="6"/>
  <c r="H1015" i="6" s="1"/>
  <c r="I1015" i="6" s="1"/>
  <c r="G1011" i="6"/>
  <c r="H1011" i="6" s="1"/>
  <c r="I1011" i="6" s="1"/>
  <c r="G1529" i="6"/>
  <c r="H1529" i="6" s="1"/>
  <c r="I1529" i="6" s="1"/>
  <c r="G1525" i="6"/>
  <c r="H1525" i="6" s="1"/>
  <c r="I1525" i="6" s="1"/>
  <c r="G1521" i="6"/>
  <c r="H1521" i="6" s="1"/>
  <c r="I1521" i="6" s="1"/>
  <c r="G1517" i="6"/>
  <c r="H1517" i="6" s="1"/>
  <c r="I1517" i="6" s="1"/>
  <c r="G1513" i="6"/>
  <c r="H1513" i="6" s="1"/>
  <c r="I1513" i="6" s="1"/>
  <c r="G1509" i="6"/>
  <c r="H1509" i="6" s="1"/>
  <c r="I1509" i="6" s="1"/>
  <c r="G1505" i="6"/>
  <c r="H1505" i="6" s="1"/>
  <c r="I1505" i="6" s="1"/>
  <c r="G29" i="6"/>
  <c r="H29" i="6" s="1"/>
  <c r="I29" i="6" s="1"/>
  <c r="G25" i="6"/>
  <c r="H25" i="6" s="1"/>
  <c r="I25" i="6" s="1"/>
  <c r="G21" i="6"/>
  <c r="H21" i="6" s="1"/>
  <c r="I21" i="6" s="1"/>
  <c r="G17" i="6"/>
  <c r="H17" i="6" s="1"/>
  <c r="I17" i="6" s="1"/>
  <c r="G13" i="6"/>
  <c r="H13" i="6" s="1"/>
  <c r="I13" i="6" s="1"/>
  <c r="G9" i="6"/>
  <c r="H9" i="6" s="1"/>
  <c r="I9" i="6" s="1"/>
  <c r="G5" i="6"/>
  <c r="H5" i="6" s="1"/>
  <c r="I5" i="6" s="1"/>
  <c r="G527" i="6"/>
  <c r="H527" i="6" s="1"/>
  <c r="I527" i="6" s="1"/>
  <c r="G523" i="6"/>
  <c r="H523" i="6" s="1"/>
  <c r="I523" i="6" s="1"/>
  <c r="G519" i="6"/>
  <c r="H519" i="6" s="1"/>
  <c r="I519" i="6" s="1"/>
  <c r="G515" i="6"/>
  <c r="H515" i="6" s="1"/>
  <c r="I515" i="6" s="1"/>
  <c r="G511" i="6"/>
  <c r="H511" i="6" s="1"/>
  <c r="I511" i="6" s="1"/>
  <c r="G507" i="6"/>
  <c r="H507" i="6" s="1"/>
  <c r="I507" i="6" s="1"/>
  <c r="G503" i="6"/>
  <c r="H503" i="6" s="1"/>
  <c r="I503" i="6" s="1"/>
  <c r="G499" i="6"/>
  <c r="H499" i="6" s="1"/>
  <c r="I499" i="6" s="1"/>
  <c r="G1006" i="6"/>
  <c r="H1006" i="6" s="1"/>
  <c r="I1006" i="6" s="1"/>
  <c r="G1002" i="6"/>
  <c r="H1002" i="6" s="1"/>
  <c r="I1002" i="6" s="1"/>
  <c r="G998" i="6"/>
  <c r="H998" i="6" s="1"/>
  <c r="I998" i="6" s="1"/>
  <c r="G994" i="6"/>
  <c r="H994" i="6" s="1"/>
  <c r="I994" i="6" s="1"/>
  <c r="G990" i="6"/>
  <c r="H990" i="6" s="1"/>
  <c r="I990" i="6" s="1"/>
  <c r="G986" i="6"/>
  <c r="H986" i="6" s="1"/>
  <c r="I986" i="6" s="1"/>
  <c r="G982" i="6"/>
  <c r="H982" i="6" s="1"/>
  <c r="I982" i="6" s="1"/>
  <c r="G978" i="6"/>
  <c r="H978" i="6" s="1"/>
  <c r="I978" i="6" s="1"/>
  <c r="G1498" i="6"/>
  <c r="H1498" i="6" s="1"/>
  <c r="I1498" i="6" s="1"/>
  <c r="G1494" i="6"/>
  <c r="H1494" i="6" s="1"/>
  <c r="I1494" i="6" s="1"/>
  <c r="G1490" i="6"/>
  <c r="H1490" i="6" s="1"/>
  <c r="I1490" i="6" s="1"/>
  <c r="G1486" i="6"/>
  <c r="H1486" i="6" s="1"/>
  <c r="I1486" i="6" s="1"/>
  <c r="G1482" i="6"/>
  <c r="H1482" i="6" s="1"/>
  <c r="I1482" i="6" s="1"/>
  <c r="G1478" i="6"/>
  <c r="H1478" i="6" s="1"/>
  <c r="I1478" i="6" s="1"/>
  <c r="G1474" i="6"/>
  <c r="H1474" i="6" s="1"/>
  <c r="I1474" i="6" s="1"/>
  <c r="G311" i="6"/>
  <c r="H311" i="6" s="1"/>
  <c r="I311" i="6" s="1"/>
  <c r="G303" i="6"/>
  <c r="H303" i="6" s="1"/>
  <c r="I303" i="6" s="1"/>
  <c r="G299" i="6"/>
  <c r="H299" i="6" s="1"/>
  <c r="I299" i="6" s="1"/>
  <c r="G291" i="6"/>
  <c r="H291" i="6" s="1"/>
  <c r="I291" i="6" s="1"/>
  <c r="G283" i="6"/>
  <c r="H283" i="6" s="1"/>
  <c r="I283" i="6" s="1"/>
  <c r="G792" i="6"/>
  <c r="H792" i="6" s="1"/>
  <c r="I792" i="6" s="1"/>
  <c r="G788" i="6"/>
  <c r="H788" i="6" s="1"/>
  <c r="I788" i="6" s="1"/>
  <c r="G780" i="6"/>
  <c r="H780" i="6" s="1"/>
  <c r="I780" i="6" s="1"/>
  <c r="G772" i="6"/>
  <c r="H772" i="6" s="1"/>
  <c r="I772" i="6" s="1"/>
  <c r="G1284" i="6"/>
  <c r="H1284" i="6" s="1"/>
  <c r="I1284" i="6" s="1"/>
  <c r="G1276" i="6"/>
  <c r="H1276" i="6" s="1"/>
  <c r="I1276" i="6" s="1"/>
  <c r="G1264" i="6"/>
  <c r="H1264" i="6" s="1"/>
  <c r="I1264" i="6" s="1"/>
  <c r="G1756" i="6"/>
  <c r="H1756" i="6" s="1"/>
  <c r="I1756" i="6" s="1"/>
  <c r="G1748" i="6"/>
  <c r="H1748" i="6" s="1"/>
  <c r="I1748" i="6" s="1"/>
  <c r="G1740" i="6"/>
  <c r="H1740" i="6" s="1"/>
  <c r="I1740" i="6" s="1"/>
  <c r="G1732" i="6"/>
  <c r="H1732" i="6" s="1"/>
  <c r="I1732" i="6" s="1"/>
  <c r="G278" i="6"/>
  <c r="H278" i="6" s="1"/>
  <c r="I278" i="6" s="1"/>
  <c r="G270" i="6"/>
  <c r="H270" i="6" s="1"/>
  <c r="I270" i="6" s="1"/>
  <c r="G266" i="6"/>
  <c r="H266" i="6" s="1"/>
  <c r="I266" i="6" s="1"/>
  <c r="G262" i="6"/>
  <c r="H262" i="6" s="1"/>
  <c r="I262" i="6" s="1"/>
  <c r="G258" i="6"/>
  <c r="H258" i="6" s="1"/>
  <c r="I258" i="6" s="1"/>
  <c r="G254" i="6"/>
  <c r="H254" i="6" s="1"/>
  <c r="I254" i="6" s="1"/>
  <c r="G250" i="6"/>
  <c r="H250" i="6" s="1"/>
  <c r="I250" i="6" s="1"/>
  <c r="G760" i="6"/>
  <c r="H760" i="6" s="1"/>
  <c r="I760" i="6" s="1"/>
  <c r="G752" i="6"/>
  <c r="H752" i="6" s="1"/>
  <c r="I752" i="6" s="1"/>
  <c r="G744" i="6"/>
  <c r="H744" i="6" s="1"/>
  <c r="I744" i="6" s="1"/>
  <c r="G1255" i="6"/>
  <c r="H1255" i="6" s="1"/>
  <c r="I1255" i="6" s="1"/>
  <c r="G1247" i="6"/>
  <c r="H1247" i="6" s="1"/>
  <c r="I1247" i="6" s="1"/>
  <c r="G1239" i="6"/>
  <c r="H1239" i="6" s="1"/>
  <c r="I1239" i="6" s="1"/>
  <c r="G1231" i="6"/>
  <c r="H1231" i="6" s="1"/>
  <c r="I1231" i="6" s="1"/>
  <c r="G1725" i="6"/>
  <c r="H1725" i="6" s="1"/>
  <c r="I1725" i="6" s="1"/>
  <c r="G1717" i="6"/>
  <c r="H1717" i="6" s="1"/>
  <c r="I1717" i="6" s="1"/>
  <c r="G1709" i="6"/>
  <c r="H1709" i="6" s="1"/>
  <c r="I1709" i="6" s="1"/>
  <c r="G1701" i="6"/>
  <c r="H1701" i="6" s="1"/>
  <c r="I1701" i="6" s="1"/>
  <c r="G248" i="6"/>
  <c r="H248" i="6" s="1"/>
  <c r="I248" i="6" s="1"/>
  <c r="G240" i="6"/>
  <c r="H240" i="6" s="1"/>
  <c r="I240" i="6" s="1"/>
  <c r="G228" i="6"/>
  <c r="H228" i="6" s="1"/>
  <c r="I228" i="6" s="1"/>
  <c r="G224" i="6"/>
  <c r="H224" i="6" s="1"/>
  <c r="I224" i="6" s="1"/>
  <c r="G735" i="6"/>
  <c r="H735" i="6" s="1"/>
  <c r="I735" i="6" s="1"/>
  <c r="G727" i="6"/>
  <c r="H727" i="6" s="1"/>
  <c r="I727" i="6" s="1"/>
  <c r="G723" i="6"/>
  <c r="H723" i="6" s="1"/>
  <c r="I723" i="6" s="1"/>
  <c r="G787" i="6"/>
  <c r="H787" i="6" s="1"/>
  <c r="I787" i="6" s="1"/>
  <c r="G1208" i="6"/>
  <c r="H1208" i="6" s="1"/>
  <c r="I1208" i="6" s="1"/>
  <c r="G310" i="6"/>
  <c r="H310" i="6" s="1"/>
  <c r="I310" i="6" s="1"/>
  <c r="G306" i="6"/>
  <c r="H306" i="6" s="1"/>
  <c r="I306" i="6" s="1"/>
  <c r="G298" i="6"/>
  <c r="H298" i="6" s="1"/>
  <c r="I298" i="6" s="1"/>
  <c r="G294" i="6"/>
  <c r="H294" i="6" s="1"/>
  <c r="I294" i="6" s="1"/>
  <c r="G290" i="6"/>
  <c r="H290" i="6" s="1"/>
  <c r="I290" i="6" s="1"/>
  <c r="G282" i="6"/>
  <c r="H282" i="6" s="1"/>
  <c r="I282" i="6" s="1"/>
  <c r="G795" i="6"/>
  <c r="H795" i="6" s="1"/>
  <c r="I795" i="6" s="1"/>
  <c r="G791" i="6"/>
  <c r="H791" i="6" s="1"/>
  <c r="I791" i="6" s="1"/>
  <c r="G783" i="6"/>
  <c r="H783" i="6" s="1"/>
  <c r="I783" i="6" s="1"/>
  <c r="G779" i="6"/>
  <c r="H779" i="6" s="1"/>
  <c r="I779" i="6" s="1"/>
  <c r="G775" i="6"/>
  <c r="H775" i="6" s="1"/>
  <c r="I775" i="6" s="1"/>
  <c r="G1287" i="6"/>
  <c r="H1287" i="6" s="1"/>
  <c r="I1287" i="6" s="1"/>
  <c r="G1283" i="6"/>
  <c r="H1283" i="6" s="1"/>
  <c r="I1283" i="6" s="1"/>
  <c r="G1279" i="6"/>
  <c r="H1279" i="6" s="1"/>
  <c r="I1279" i="6" s="1"/>
  <c r="G1271" i="6"/>
  <c r="H1271" i="6" s="1"/>
  <c r="I1271" i="6" s="1"/>
  <c r="G1267" i="6"/>
  <c r="H1267" i="6" s="1"/>
  <c r="I1267" i="6" s="1"/>
  <c r="G1263" i="6"/>
  <c r="H1263" i="6" s="1"/>
  <c r="I1263" i="6" s="1"/>
  <c r="G1755" i="6"/>
  <c r="H1755" i="6" s="1"/>
  <c r="I1755" i="6" s="1"/>
  <c r="G1751" i="6"/>
  <c r="H1751" i="6" s="1"/>
  <c r="I1751" i="6" s="1"/>
  <c r="G1747" i="6"/>
  <c r="H1747" i="6" s="1"/>
  <c r="I1747" i="6" s="1"/>
  <c r="G1739" i="6"/>
  <c r="H1739" i="6" s="1"/>
  <c r="I1739" i="6" s="1"/>
  <c r="G1735" i="6"/>
  <c r="H1735" i="6" s="1"/>
  <c r="I1735" i="6" s="1"/>
  <c r="G1731" i="6"/>
  <c r="H1731" i="6" s="1"/>
  <c r="I1731" i="6" s="1"/>
  <c r="G277" i="6"/>
  <c r="H277" i="6" s="1"/>
  <c r="I277" i="6" s="1"/>
  <c r="G273" i="6"/>
  <c r="H273" i="6" s="1"/>
  <c r="I273" i="6" s="1"/>
  <c r="G265" i="6"/>
  <c r="H265" i="6" s="1"/>
  <c r="I265" i="6" s="1"/>
  <c r="G261" i="6"/>
  <c r="H261" i="6" s="1"/>
  <c r="I261" i="6" s="1"/>
  <c r="G257" i="6"/>
  <c r="H257" i="6" s="1"/>
  <c r="I257" i="6" s="1"/>
  <c r="G767" i="6"/>
  <c r="H767" i="6" s="1"/>
  <c r="I767" i="6" s="1"/>
  <c r="G763" i="6"/>
  <c r="H763" i="6" s="1"/>
  <c r="I763" i="6" s="1"/>
  <c r="G759" i="6"/>
  <c r="H759" i="6" s="1"/>
  <c r="I759" i="6" s="1"/>
  <c r="G751" i="6"/>
  <c r="H751" i="6" s="1"/>
  <c r="I751" i="6" s="1"/>
  <c r="G747" i="6"/>
  <c r="H747" i="6" s="1"/>
  <c r="I747" i="6" s="1"/>
  <c r="G743" i="6"/>
  <c r="H743" i="6" s="1"/>
  <c r="I743" i="6" s="1"/>
  <c r="G1254" i="6"/>
  <c r="H1254" i="6" s="1"/>
  <c r="I1254" i="6" s="1"/>
  <c r="G1250" i="6"/>
  <c r="H1250" i="6" s="1"/>
  <c r="I1250" i="6" s="1"/>
  <c r="G1246" i="6"/>
  <c r="H1246" i="6" s="1"/>
  <c r="I1246" i="6" s="1"/>
  <c r="G1238" i="6"/>
  <c r="H1238" i="6" s="1"/>
  <c r="I1238" i="6" s="1"/>
  <c r="G1234" i="6"/>
  <c r="H1234" i="6" s="1"/>
  <c r="I1234" i="6" s="1"/>
  <c r="G1230" i="6"/>
  <c r="H1230" i="6" s="1"/>
  <c r="I1230" i="6" s="1"/>
  <c r="G1724" i="6"/>
  <c r="H1724" i="6" s="1"/>
  <c r="I1724" i="6" s="1"/>
  <c r="G1720" i="6"/>
  <c r="H1720" i="6" s="1"/>
  <c r="I1720" i="6" s="1"/>
  <c r="G1716" i="6"/>
  <c r="H1716" i="6" s="1"/>
  <c r="I1716" i="6" s="1"/>
  <c r="G1708" i="6"/>
  <c r="H1708" i="6" s="1"/>
  <c r="I1708" i="6" s="1"/>
  <c r="G1704" i="6"/>
  <c r="H1704" i="6" s="1"/>
  <c r="I1704" i="6" s="1"/>
  <c r="G1700" i="6"/>
  <c r="H1700" i="6" s="1"/>
  <c r="I1700" i="6" s="1"/>
  <c r="G247" i="6"/>
  <c r="H247" i="6" s="1"/>
  <c r="I247" i="6" s="1"/>
  <c r="G243" i="6"/>
  <c r="H243" i="6" s="1"/>
  <c r="I243" i="6" s="1"/>
  <c r="G239" i="6"/>
  <c r="H239" i="6" s="1"/>
  <c r="I239" i="6" s="1"/>
  <c r="G231" i="6"/>
  <c r="H231" i="6" s="1"/>
  <c r="I231" i="6" s="1"/>
  <c r="G227" i="6"/>
  <c r="H227" i="6" s="1"/>
  <c r="I227" i="6" s="1"/>
  <c r="G223" i="6"/>
  <c r="H223" i="6" s="1"/>
  <c r="I223" i="6" s="1"/>
  <c r="G734" i="6"/>
  <c r="H734" i="6" s="1"/>
  <c r="I734" i="6" s="1"/>
  <c r="G730" i="6"/>
  <c r="H730" i="6" s="1"/>
  <c r="I730" i="6" s="1"/>
  <c r="G726" i="6"/>
  <c r="H726" i="6" s="1"/>
  <c r="I726" i="6" s="1"/>
  <c r="G718" i="6"/>
  <c r="H718" i="6" s="1"/>
  <c r="I718" i="6" s="1"/>
  <c r="G714" i="6"/>
  <c r="H714" i="6" s="1"/>
  <c r="I714" i="6" s="1"/>
  <c r="G710" i="6"/>
  <c r="H710" i="6" s="1"/>
  <c r="I710" i="6" s="1"/>
  <c r="G1220" i="6"/>
  <c r="H1220" i="6" s="1"/>
  <c r="I1220" i="6" s="1"/>
  <c r="G1216" i="6"/>
  <c r="H1216" i="6" s="1"/>
  <c r="I1216" i="6" s="1"/>
  <c r="G1212" i="6"/>
  <c r="H1212" i="6" s="1"/>
  <c r="I1212" i="6" s="1"/>
  <c r="G1204" i="6"/>
  <c r="H1204" i="6" s="1"/>
  <c r="I1204" i="6" s="1"/>
  <c r="G1200" i="6"/>
  <c r="H1200" i="6" s="1"/>
  <c r="I1200" i="6" s="1"/>
  <c r="G1196" i="6"/>
  <c r="H1196" i="6" s="1"/>
  <c r="I1196" i="6" s="1"/>
  <c r="G1693" i="6"/>
  <c r="H1693" i="6" s="1"/>
  <c r="I1693" i="6" s="1"/>
  <c r="G1689" i="6"/>
  <c r="H1689" i="6" s="1"/>
  <c r="I1689" i="6" s="1"/>
  <c r="G1685" i="6"/>
  <c r="H1685" i="6" s="1"/>
  <c r="I1685" i="6" s="1"/>
  <c r="G1677" i="6"/>
  <c r="H1677" i="6" s="1"/>
  <c r="I1677" i="6" s="1"/>
  <c r="G1673" i="6"/>
  <c r="H1673" i="6" s="1"/>
  <c r="I1673" i="6" s="1"/>
  <c r="G217" i="6"/>
  <c r="H217" i="6" s="1"/>
  <c r="I217" i="6" s="1"/>
  <c r="G213" i="6"/>
  <c r="H213" i="6" s="1"/>
  <c r="I213" i="6" s="1"/>
  <c r="G209" i="6"/>
  <c r="H209" i="6" s="1"/>
  <c r="I209" i="6" s="1"/>
  <c r="G205" i="6"/>
  <c r="H205" i="6" s="1"/>
  <c r="I205" i="6" s="1"/>
  <c r="G201" i="6"/>
  <c r="H201" i="6" s="1"/>
  <c r="I201" i="6" s="1"/>
  <c r="G197" i="6"/>
  <c r="H197" i="6" s="1"/>
  <c r="I197" i="6" s="1"/>
  <c r="G193" i="6"/>
  <c r="H193" i="6" s="1"/>
  <c r="I193" i="6" s="1"/>
  <c r="G189" i="6"/>
  <c r="H189" i="6" s="1"/>
  <c r="I189" i="6" s="1"/>
  <c r="G705" i="6"/>
  <c r="H705" i="6" s="1"/>
  <c r="I705" i="6" s="1"/>
  <c r="G701" i="6"/>
  <c r="H701" i="6" s="1"/>
  <c r="I701" i="6" s="1"/>
  <c r="G697" i="6"/>
  <c r="H697" i="6" s="1"/>
  <c r="I697" i="6" s="1"/>
  <c r="G693" i="6"/>
  <c r="H693" i="6" s="1"/>
  <c r="I693" i="6" s="1"/>
  <c r="G689" i="6"/>
  <c r="H689" i="6" s="1"/>
  <c r="I689" i="6" s="1"/>
  <c r="G685" i="6"/>
  <c r="H685" i="6" s="1"/>
  <c r="I685" i="6" s="1"/>
  <c r="G681" i="6"/>
  <c r="H681" i="6" s="1"/>
  <c r="I681" i="6" s="1"/>
  <c r="G1194" i="6"/>
  <c r="H1194" i="6" s="1"/>
  <c r="I1194" i="6" s="1"/>
  <c r="G1190" i="6"/>
  <c r="H1190" i="6" s="1"/>
  <c r="I1190" i="6" s="1"/>
  <c r="G1186" i="6"/>
  <c r="H1186" i="6" s="1"/>
  <c r="I1186" i="6" s="1"/>
  <c r="G1182" i="6"/>
  <c r="H1182" i="6" s="1"/>
  <c r="I1182" i="6" s="1"/>
  <c r="G1178" i="6"/>
  <c r="H1178" i="6" s="1"/>
  <c r="I1178" i="6" s="1"/>
  <c r="G1174" i="6"/>
  <c r="H1174" i="6" s="1"/>
  <c r="I1174" i="6" s="1"/>
  <c r="G1170" i="6"/>
  <c r="H1170" i="6" s="1"/>
  <c r="I1170" i="6" s="1"/>
  <c r="G1166" i="6"/>
  <c r="H1166" i="6" s="1"/>
  <c r="I1166" i="6" s="1"/>
  <c r="G1670" i="6"/>
  <c r="H1670" i="6" s="1"/>
  <c r="I1670" i="6" s="1"/>
  <c r="G1666" i="6"/>
  <c r="H1666" i="6" s="1"/>
  <c r="I1666" i="6" s="1"/>
  <c r="G1662" i="6"/>
  <c r="H1662" i="6" s="1"/>
  <c r="I1662" i="6" s="1"/>
  <c r="G1658" i="6"/>
  <c r="H1658" i="6" s="1"/>
  <c r="I1658" i="6" s="1"/>
  <c r="G1654" i="6"/>
  <c r="H1654" i="6" s="1"/>
  <c r="I1654" i="6" s="1"/>
  <c r="G1650" i="6"/>
  <c r="H1650" i="6" s="1"/>
  <c r="I1650" i="6" s="1"/>
  <c r="G1646" i="6"/>
  <c r="H1646" i="6" s="1"/>
  <c r="I1646" i="6" s="1"/>
  <c r="G187" i="6"/>
  <c r="H187" i="6" s="1"/>
  <c r="I187" i="6" s="1"/>
  <c r="G183" i="6"/>
  <c r="H183" i="6" s="1"/>
  <c r="I183" i="6" s="1"/>
  <c r="G179" i="6"/>
  <c r="H179" i="6" s="1"/>
  <c r="I179" i="6" s="1"/>
  <c r="G175" i="6"/>
  <c r="H175" i="6" s="1"/>
  <c r="I175" i="6" s="1"/>
  <c r="G171" i="6"/>
  <c r="H171" i="6" s="1"/>
  <c r="I171" i="6" s="1"/>
  <c r="G167" i="6"/>
  <c r="H167" i="6" s="1"/>
  <c r="I167" i="6" s="1"/>
  <c r="G163" i="6"/>
  <c r="H163" i="6" s="1"/>
  <c r="I163" i="6" s="1"/>
  <c r="G159" i="6"/>
  <c r="H159" i="6" s="1"/>
  <c r="I159" i="6" s="1"/>
  <c r="G676" i="6"/>
  <c r="H676" i="6" s="1"/>
  <c r="I676" i="6" s="1"/>
  <c r="G672" i="6"/>
  <c r="H672" i="6" s="1"/>
  <c r="I672" i="6" s="1"/>
  <c r="G668" i="6"/>
  <c r="H668" i="6" s="1"/>
  <c r="I668" i="6" s="1"/>
  <c r="G664" i="6"/>
  <c r="H664" i="6" s="1"/>
  <c r="I664" i="6" s="1"/>
  <c r="G660" i="6"/>
  <c r="H660" i="6" s="1"/>
  <c r="I660" i="6" s="1"/>
  <c r="G656" i="6"/>
  <c r="H656" i="6" s="1"/>
  <c r="I656" i="6" s="1"/>
  <c r="G652" i="6"/>
  <c r="H652" i="6" s="1"/>
  <c r="I652" i="6" s="1"/>
  <c r="G648" i="6"/>
  <c r="H648" i="6" s="1"/>
  <c r="I648" i="6" s="1"/>
  <c r="G1160" i="6"/>
  <c r="H1160" i="6" s="1"/>
  <c r="I1160" i="6" s="1"/>
  <c r="G1156" i="6"/>
  <c r="H1156" i="6" s="1"/>
  <c r="I1156" i="6" s="1"/>
  <c r="G1152" i="6"/>
  <c r="H1152" i="6" s="1"/>
  <c r="I1152" i="6" s="1"/>
  <c r="G1148" i="6"/>
  <c r="H1148" i="6" s="1"/>
  <c r="I1148" i="6" s="1"/>
  <c r="G1144" i="6"/>
  <c r="H1144" i="6" s="1"/>
  <c r="I1144" i="6" s="1"/>
  <c r="G1140" i="6"/>
  <c r="H1140" i="6" s="1"/>
  <c r="I1140" i="6" s="1"/>
  <c r="G1136" i="6"/>
  <c r="H1136" i="6" s="1"/>
  <c r="I1136" i="6" s="1"/>
  <c r="G1643" i="6"/>
  <c r="H1643" i="6" s="1"/>
  <c r="I1643" i="6" s="1"/>
  <c r="G1639" i="6"/>
  <c r="H1639" i="6" s="1"/>
  <c r="I1639" i="6" s="1"/>
  <c r="G1635" i="6"/>
  <c r="H1635" i="6" s="1"/>
  <c r="I1635" i="6" s="1"/>
  <c r="G1631" i="6"/>
  <c r="H1631" i="6" s="1"/>
  <c r="I1631" i="6" s="1"/>
  <c r="G1627" i="6"/>
  <c r="H1627" i="6" s="1"/>
  <c r="I1627" i="6" s="1"/>
  <c r="G1623" i="6"/>
  <c r="H1623" i="6" s="1"/>
  <c r="I1623" i="6" s="1"/>
  <c r="G1619" i="6"/>
  <c r="H1619" i="6" s="1"/>
  <c r="I1619" i="6" s="1"/>
  <c r="G1615" i="6"/>
  <c r="H1615" i="6" s="1"/>
  <c r="I1615" i="6" s="1"/>
  <c r="G154" i="6"/>
  <c r="H154" i="6" s="1"/>
  <c r="I154" i="6" s="1"/>
  <c r="G150" i="6"/>
  <c r="H150" i="6" s="1"/>
  <c r="I150" i="6" s="1"/>
  <c r="G146" i="6"/>
  <c r="H146" i="6" s="1"/>
  <c r="I146" i="6" s="1"/>
  <c r="G142" i="6"/>
  <c r="H142" i="6" s="1"/>
  <c r="I142" i="6" s="1"/>
  <c r="G138" i="6"/>
  <c r="H138" i="6" s="1"/>
  <c r="I138" i="6" s="1"/>
  <c r="G134" i="6"/>
  <c r="H134" i="6" s="1"/>
  <c r="I134" i="6" s="1"/>
  <c r="G130" i="6"/>
  <c r="H130" i="6" s="1"/>
  <c r="I130" i="6" s="1"/>
  <c r="G126" i="6"/>
  <c r="H126" i="6" s="1"/>
  <c r="I126" i="6" s="1"/>
  <c r="G644" i="6"/>
  <c r="H644" i="6" s="1"/>
  <c r="I644" i="6" s="1"/>
  <c r="G640" i="6"/>
  <c r="H640" i="6" s="1"/>
  <c r="I640" i="6" s="1"/>
  <c r="G636" i="6"/>
  <c r="H636" i="6" s="1"/>
  <c r="I636" i="6" s="1"/>
  <c r="G1599" i="6"/>
  <c r="H1599" i="6" s="1"/>
  <c r="I1599" i="6" s="1"/>
  <c r="G307" i="6"/>
  <c r="H307" i="6" s="1"/>
  <c r="I307" i="6" s="1"/>
  <c r="G295" i="6"/>
  <c r="H295" i="6" s="1"/>
  <c r="I295" i="6" s="1"/>
  <c r="G287" i="6"/>
  <c r="H287" i="6" s="1"/>
  <c r="I287" i="6" s="1"/>
  <c r="G796" i="6"/>
  <c r="H796" i="6" s="1"/>
  <c r="I796" i="6" s="1"/>
  <c r="G784" i="6"/>
  <c r="H784" i="6" s="1"/>
  <c r="I784" i="6" s="1"/>
  <c r="G776" i="6"/>
  <c r="H776" i="6" s="1"/>
  <c r="I776" i="6" s="1"/>
  <c r="G768" i="6"/>
  <c r="H768" i="6" s="1"/>
  <c r="I768" i="6" s="1"/>
  <c r="G1280" i="6"/>
  <c r="H1280" i="6" s="1"/>
  <c r="I1280" i="6" s="1"/>
  <c r="G1272" i="6"/>
  <c r="H1272" i="6" s="1"/>
  <c r="I1272" i="6" s="1"/>
  <c r="G1268" i="6"/>
  <c r="H1268" i="6" s="1"/>
  <c r="I1268" i="6" s="1"/>
  <c r="G1260" i="6"/>
  <c r="H1260" i="6" s="1"/>
  <c r="I1260" i="6" s="1"/>
  <c r="G1752" i="6"/>
  <c r="H1752" i="6" s="1"/>
  <c r="I1752" i="6" s="1"/>
  <c r="G1744" i="6"/>
  <c r="H1744" i="6" s="1"/>
  <c r="I1744" i="6" s="1"/>
  <c r="G1736" i="6"/>
  <c r="H1736" i="6" s="1"/>
  <c r="I1736" i="6" s="1"/>
  <c r="G1728" i="6"/>
  <c r="H1728" i="6" s="1"/>
  <c r="I1728" i="6" s="1"/>
  <c r="G274" i="6"/>
  <c r="H274" i="6" s="1"/>
  <c r="I274" i="6" s="1"/>
  <c r="G764" i="6"/>
  <c r="H764" i="6" s="1"/>
  <c r="I764" i="6" s="1"/>
  <c r="G756" i="6"/>
  <c r="H756" i="6" s="1"/>
  <c r="I756" i="6" s="1"/>
  <c r="G748" i="6"/>
  <c r="H748" i="6" s="1"/>
  <c r="I748" i="6" s="1"/>
  <c r="G740" i="6"/>
  <c r="H740" i="6" s="1"/>
  <c r="I740" i="6" s="1"/>
  <c r="G1251" i="6"/>
  <c r="H1251" i="6" s="1"/>
  <c r="I1251" i="6" s="1"/>
  <c r="G1243" i="6"/>
  <c r="H1243" i="6" s="1"/>
  <c r="I1243" i="6" s="1"/>
  <c r="G1235" i="6"/>
  <c r="H1235" i="6" s="1"/>
  <c r="I1235" i="6" s="1"/>
  <c r="G1227" i="6"/>
  <c r="H1227" i="6" s="1"/>
  <c r="I1227" i="6" s="1"/>
  <c r="G1721" i="6"/>
  <c r="H1721" i="6" s="1"/>
  <c r="I1721" i="6" s="1"/>
  <c r="G1713" i="6"/>
  <c r="H1713" i="6" s="1"/>
  <c r="I1713" i="6" s="1"/>
  <c r="G1705" i="6"/>
  <c r="H1705" i="6" s="1"/>
  <c r="I1705" i="6" s="1"/>
  <c r="G244" i="6"/>
  <c r="H244" i="6" s="1"/>
  <c r="I244" i="6" s="1"/>
  <c r="G236" i="6"/>
  <c r="H236" i="6" s="1"/>
  <c r="I236" i="6" s="1"/>
  <c r="G232" i="6"/>
  <c r="H232" i="6" s="1"/>
  <c r="I232" i="6" s="1"/>
  <c r="G220" i="6"/>
  <c r="H220" i="6" s="1"/>
  <c r="I220" i="6" s="1"/>
  <c r="G731" i="6"/>
  <c r="H731" i="6" s="1"/>
  <c r="I731" i="6" s="1"/>
  <c r="G1743" i="6"/>
  <c r="H1743" i="6" s="1"/>
  <c r="I1743" i="6" s="1"/>
  <c r="G309" i="6"/>
  <c r="H309" i="6" s="1"/>
  <c r="I309" i="6" s="1"/>
  <c r="G305" i="6"/>
  <c r="H305" i="6" s="1"/>
  <c r="I305" i="6" s="1"/>
  <c r="G301" i="6"/>
  <c r="H301" i="6" s="1"/>
  <c r="I301" i="6" s="1"/>
  <c r="G293" i="6"/>
  <c r="H293" i="6" s="1"/>
  <c r="I293" i="6" s="1"/>
  <c r="G289" i="6"/>
  <c r="H289" i="6" s="1"/>
  <c r="I289" i="6" s="1"/>
  <c r="G285" i="6"/>
  <c r="H285" i="6" s="1"/>
  <c r="I285" i="6" s="1"/>
  <c r="G794" i="6"/>
  <c r="H794" i="6" s="1"/>
  <c r="I794" i="6" s="1"/>
  <c r="G790" i="6"/>
  <c r="H790" i="6" s="1"/>
  <c r="I790" i="6" s="1"/>
  <c r="G786" i="6"/>
  <c r="H786" i="6" s="1"/>
  <c r="I786" i="6" s="1"/>
  <c r="G778" i="6"/>
  <c r="H778" i="6" s="1"/>
  <c r="I778" i="6" s="1"/>
  <c r="G774" i="6"/>
  <c r="H774" i="6" s="1"/>
  <c r="I774" i="6" s="1"/>
  <c r="G770" i="6"/>
  <c r="H770" i="6" s="1"/>
  <c r="I770" i="6" s="1"/>
  <c r="G1282" i="6"/>
  <c r="H1282" i="6" s="1"/>
  <c r="I1282" i="6" s="1"/>
  <c r="G1278" i="6"/>
  <c r="H1278" i="6" s="1"/>
  <c r="I1278" i="6" s="1"/>
  <c r="G1274" i="6"/>
  <c r="H1274" i="6" s="1"/>
  <c r="I1274" i="6" s="1"/>
  <c r="G1266" i="6"/>
  <c r="H1266" i="6" s="1"/>
  <c r="I1266" i="6" s="1"/>
  <c r="G1262" i="6"/>
  <c r="H1262" i="6" s="1"/>
  <c r="I1262" i="6" s="1"/>
  <c r="G1258" i="6"/>
  <c r="H1258" i="6" s="1"/>
  <c r="I1258" i="6" s="1"/>
  <c r="G1750" i="6"/>
  <c r="H1750" i="6" s="1"/>
  <c r="I1750" i="6" s="1"/>
  <c r="G1746" i="6"/>
  <c r="H1746" i="6" s="1"/>
  <c r="I1746" i="6" s="1"/>
  <c r="G1742" i="6"/>
  <c r="H1742" i="6" s="1"/>
  <c r="I1742" i="6" s="1"/>
  <c r="G1734" i="6"/>
  <c r="H1734" i="6" s="1"/>
  <c r="I1734" i="6" s="1"/>
  <c r="G1730" i="6"/>
  <c r="H1730" i="6" s="1"/>
  <c r="I1730" i="6" s="1"/>
  <c r="G276" i="6"/>
  <c r="H276" i="6" s="1"/>
  <c r="I276" i="6" s="1"/>
  <c r="G272" i="6"/>
  <c r="H272" i="6" s="1"/>
  <c r="I272" i="6" s="1"/>
  <c r="G268" i="6"/>
  <c r="H268" i="6" s="1"/>
  <c r="I268" i="6" s="1"/>
  <c r="G260" i="6"/>
  <c r="H260" i="6" s="1"/>
  <c r="I260" i="6" s="1"/>
  <c r="G256" i="6"/>
  <c r="H256" i="6" s="1"/>
  <c r="I256" i="6" s="1"/>
  <c r="G252" i="6"/>
  <c r="H252" i="6" s="1"/>
  <c r="I252" i="6" s="1"/>
  <c r="G762" i="6"/>
  <c r="H762" i="6" s="1"/>
  <c r="I762" i="6" s="1"/>
  <c r="G758" i="6"/>
  <c r="H758" i="6" s="1"/>
  <c r="I758" i="6" s="1"/>
  <c r="G754" i="6"/>
  <c r="H754" i="6" s="1"/>
  <c r="I754" i="6" s="1"/>
  <c r="G746" i="6"/>
  <c r="H746" i="6" s="1"/>
  <c r="I746" i="6" s="1"/>
  <c r="G742" i="6"/>
  <c r="H742" i="6" s="1"/>
  <c r="I742" i="6" s="1"/>
  <c r="G738" i="6"/>
  <c r="H738" i="6" s="1"/>
  <c r="I738" i="6" s="1"/>
  <c r="G1249" i="6"/>
  <c r="H1249" i="6" s="1"/>
  <c r="I1249" i="6" s="1"/>
  <c r="G1245" i="6"/>
  <c r="H1245" i="6" s="1"/>
  <c r="I1245" i="6" s="1"/>
  <c r="G1241" i="6"/>
  <c r="H1241" i="6" s="1"/>
  <c r="I1241" i="6" s="1"/>
  <c r="G1233" i="6"/>
  <c r="H1233" i="6" s="1"/>
  <c r="I1233" i="6" s="1"/>
  <c r="G1229" i="6"/>
  <c r="H1229" i="6" s="1"/>
  <c r="I1229" i="6" s="1"/>
  <c r="G1727" i="6"/>
  <c r="H1727" i="6" s="1"/>
  <c r="I1727" i="6" s="1"/>
  <c r="G1719" i="6"/>
  <c r="H1719" i="6" s="1"/>
  <c r="I1719" i="6" s="1"/>
  <c r="G1715" i="6"/>
  <c r="H1715" i="6" s="1"/>
  <c r="I1715" i="6" s="1"/>
  <c r="G1711" i="6"/>
  <c r="H1711" i="6" s="1"/>
  <c r="I1711" i="6" s="1"/>
  <c r="G1703" i="6"/>
  <c r="H1703" i="6" s="1"/>
  <c r="I1703" i="6" s="1"/>
  <c r="G242" i="6"/>
  <c r="H242" i="6" s="1"/>
  <c r="I242" i="6" s="1"/>
  <c r="G238" i="6"/>
  <c r="H238" i="6" s="1"/>
  <c r="I238" i="6" s="1"/>
  <c r="G234" i="6"/>
  <c r="H234" i="6" s="1"/>
  <c r="I234" i="6" s="1"/>
  <c r="G226" i="6"/>
  <c r="H226" i="6" s="1"/>
  <c r="I226" i="6" s="1"/>
  <c r="G222" i="6"/>
  <c r="H222" i="6" s="1"/>
  <c r="I222" i="6" s="1"/>
  <c r="G737" i="6"/>
  <c r="H737" i="6" s="1"/>
  <c r="I737" i="6" s="1"/>
  <c r="G729" i="6"/>
  <c r="H729" i="6" s="1"/>
  <c r="I729" i="6" s="1"/>
  <c r="G725" i="6"/>
  <c r="H725" i="6" s="1"/>
  <c r="I725" i="6" s="1"/>
  <c r="G721" i="6"/>
  <c r="H721" i="6" s="1"/>
  <c r="I721" i="6" s="1"/>
  <c r="G713" i="6"/>
  <c r="H713" i="6" s="1"/>
  <c r="I713" i="6" s="1"/>
  <c r="G709" i="6"/>
  <c r="H709" i="6" s="1"/>
  <c r="I709" i="6" s="1"/>
  <c r="G1223" i="6"/>
  <c r="H1223" i="6" s="1"/>
  <c r="I1223" i="6" s="1"/>
  <c r="G1215" i="6"/>
  <c r="H1215" i="6" s="1"/>
  <c r="I1215" i="6" s="1"/>
  <c r="G1211" i="6"/>
  <c r="H1211" i="6" s="1"/>
  <c r="I1211" i="6" s="1"/>
  <c r="G1207" i="6"/>
  <c r="H1207" i="6" s="1"/>
  <c r="I1207" i="6" s="1"/>
  <c r="G1199" i="6"/>
  <c r="H1199" i="6" s="1"/>
  <c r="I1199" i="6" s="1"/>
  <c r="G1195" i="6"/>
  <c r="H1195" i="6" s="1"/>
  <c r="I1195" i="6" s="1"/>
  <c r="G1696" i="6"/>
  <c r="H1696" i="6" s="1"/>
  <c r="I1696" i="6" s="1"/>
  <c r="G1688" i="6"/>
  <c r="H1688" i="6" s="1"/>
  <c r="I1688" i="6" s="1"/>
  <c r="G1684" i="6"/>
  <c r="H1684" i="6" s="1"/>
  <c r="I1684" i="6" s="1"/>
  <c r="G1680" i="6"/>
  <c r="H1680" i="6" s="1"/>
  <c r="I1680" i="6" s="1"/>
  <c r="G1672" i="6"/>
  <c r="H1672" i="6" s="1"/>
  <c r="I1672" i="6" s="1"/>
  <c r="G216" i="6"/>
  <c r="H216" i="6" s="1"/>
  <c r="I216" i="6" s="1"/>
  <c r="G212" i="6"/>
  <c r="H212" i="6" s="1"/>
  <c r="I212" i="6" s="1"/>
  <c r="G208" i="6"/>
  <c r="H208" i="6" s="1"/>
  <c r="I208" i="6" s="1"/>
  <c r="G204" i="6"/>
  <c r="H204" i="6" s="1"/>
  <c r="I204" i="6" s="1"/>
  <c r="G200" i="6"/>
  <c r="H200" i="6" s="1"/>
  <c r="I200" i="6" s="1"/>
  <c r="G196" i="6"/>
  <c r="H196" i="6" s="1"/>
  <c r="I196" i="6" s="1"/>
  <c r="G192" i="6"/>
  <c r="H192" i="6" s="1"/>
  <c r="I192" i="6" s="1"/>
  <c r="G667" i="6"/>
  <c r="H667" i="6" s="1"/>
  <c r="I667" i="6" s="1"/>
  <c r="G651" i="6"/>
  <c r="H651" i="6" s="1"/>
  <c r="I651" i="6" s="1"/>
  <c r="G1151" i="6"/>
  <c r="H1151" i="6" s="1"/>
  <c r="I1151" i="6" s="1"/>
  <c r="G1630" i="6"/>
  <c r="H1630" i="6" s="1"/>
  <c r="I1630" i="6" s="1"/>
  <c r="G145" i="6"/>
  <c r="H145" i="6" s="1"/>
  <c r="I145" i="6" s="1"/>
  <c r="G129" i="6"/>
  <c r="H129" i="6" s="1"/>
  <c r="I129" i="6" s="1"/>
  <c r="G619" i="6"/>
  <c r="H619" i="6" s="1"/>
  <c r="I619" i="6" s="1"/>
  <c r="G1118" i="6"/>
  <c r="H1118" i="6" s="1"/>
  <c r="I1118" i="6" s="1"/>
  <c r="G1102" i="6"/>
  <c r="H1102" i="6" s="1"/>
  <c r="I1102" i="6" s="1"/>
  <c r="G111" i="6"/>
  <c r="H111" i="6" s="1"/>
  <c r="I111" i="6" s="1"/>
  <c r="G95" i="6"/>
  <c r="H95" i="6" s="1"/>
  <c r="I95" i="6" s="1"/>
  <c r="G602" i="6"/>
  <c r="H602" i="6" s="1"/>
  <c r="I602" i="6" s="1"/>
  <c r="G1084" i="6"/>
  <c r="H1084" i="6" s="1"/>
  <c r="I1084" i="6" s="1"/>
  <c r="G1584" i="6"/>
  <c r="H1584" i="6" s="1"/>
  <c r="I1584" i="6" s="1"/>
  <c r="G1568" i="6"/>
  <c r="H1568" i="6" s="1"/>
  <c r="I1568" i="6" s="1"/>
  <c r="G635" i="6"/>
  <c r="H635" i="6" s="1"/>
  <c r="I635" i="6" s="1"/>
  <c r="G1574" i="6"/>
  <c r="H1574" i="6" s="1"/>
  <c r="I1574" i="6" s="1"/>
  <c r="G77" i="6"/>
  <c r="H77" i="6" s="1"/>
  <c r="I77" i="6" s="1"/>
  <c r="G997" i="6"/>
  <c r="H997" i="6" s="1"/>
  <c r="I997" i="6" s="1"/>
  <c r="G1135" i="6"/>
  <c r="H1135" i="6" s="1"/>
  <c r="I1135" i="6" s="1"/>
  <c r="G608" i="6"/>
  <c r="H608" i="6" s="1"/>
  <c r="I608" i="6" s="1"/>
  <c r="G1050" i="6"/>
  <c r="H1050" i="6" s="1"/>
  <c r="I1050" i="6" s="1"/>
  <c r="G188" i="6"/>
  <c r="H188" i="6" s="1"/>
  <c r="I188" i="6" s="1"/>
  <c r="G704" i="6"/>
  <c r="H704" i="6" s="1"/>
  <c r="I704" i="6" s="1"/>
  <c r="G700" i="6"/>
  <c r="H700" i="6" s="1"/>
  <c r="I700" i="6" s="1"/>
  <c r="G696" i="6"/>
  <c r="H696" i="6" s="1"/>
  <c r="I696" i="6" s="1"/>
  <c r="G692" i="6"/>
  <c r="H692" i="6" s="1"/>
  <c r="I692" i="6" s="1"/>
  <c r="G688" i="6"/>
  <c r="H688" i="6" s="1"/>
  <c r="I688" i="6" s="1"/>
  <c r="G684" i="6"/>
  <c r="H684" i="6" s="1"/>
  <c r="I684" i="6" s="1"/>
  <c r="G680" i="6"/>
  <c r="H680" i="6" s="1"/>
  <c r="I680" i="6" s="1"/>
  <c r="G1193" i="6"/>
  <c r="H1193" i="6" s="1"/>
  <c r="I1193" i="6" s="1"/>
  <c r="G1189" i="6"/>
  <c r="H1189" i="6" s="1"/>
  <c r="I1189" i="6" s="1"/>
  <c r="G1185" i="6"/>
  <c r="H1185" i="6" s="1"/>
  <c r="I1185" i="6" s="1"/>
  <c r="G1181" i="6"/>
  <c r="H1181" i="6" s="1"/>
  <c r="I1181" i="6" s="1"/>
  <c r="G1177" i="6"/>
  <c r="H1177" i="6" s="1"/>
  <c r="I1177" i="6" s="1"/>
  <c r="G1173" i="6"/>
  <c r="H1173" i="6" s="1"/>
  <c r="I1173" i="6" s="1"/>
  <c r="G1169" i="6"/>
  <c r="H1169" i="6" s="1"/>
  <c r="I1169" i="6" s="1"/>
  <c r="G1165" i="6"/>
  <c r="H1165" i="6" s="1"/>
  <c r="I1165" i="6" s="1"/>
  <c r="G1669" i="6"/>
  <c r="H1669" i="6" s="1"/>
  <c r="I1669" i="6" s="1"/>
  <c r="G1665" i="6"/>
  <c r="H1665" i="6" s="1"/>
  <c r="I1665" i="6" s="1"/>
  <c r="G1661" i="6"/>
  <c r="H1661" i="6" s="1"/>
  <c r="I1661" i="6" s="1"/>
  <c r="G1657" i="6"/>
  <c r="H1657" i="6" s="1"/>
  <c r="I1657" i="6" s="1"/>
  <c r="G1653" i="6"/>
  <c r="H1653" i="6" s="1"/>
  <c r="I1653" i="6" s="1"/>
  <c r="G1649" i="6"/>
  <c r="H1649" i="6" s="1"/>
  <c r="I1649" i="6" s="1"/>
  <c r="G1645" i="6"/>
  <c r="H1645" i="6" s="1"/>
  <c r="I1645" i="6" s="1"/>
  <c r="G186" i="6"/>
  <c r="H186" i="6" s="1"/>
  <c r="I186" i="6" s="1"/>
  <c r="G182" i="6"/>
  <c r="H182" i="6" s="1"/>
  <c r="I182" i="6" s="1"/>
  <c r="G178" i="6"/>
  <c r="H178" i="6" s="1"/>
  <c r="I178" i="6" s="1"/>
  <c r="G174" i="6"/>
  <c r="H174" i="6" s="1"/>
  <c r="I174" i="6" s="1"/>
  <c r="G170" i="6"/>
  <c r="H170" i="6" s="1"/>
  <c r="I170" i="6" s="1"/>
  <c r="G166" i="6"/>
  <c r="H166" i="6" s="1"/>
  <c r="I166" i="6" s="1"/>
  <c r="G162" i="6"/>
  <c r="H162" i="6" s="1"/>
  <c r="I162" i="6" s="1"/>
  <c r="G158" i="6"/>
  <c r="H158" i="6" s="1"/>
  <c r="I158" i="6" s="1"/>
  <c r="G675" i="6"/>
  <c r="H675" i="6" s="1"/>
  <c r="I675" i="6" s="1"/>
  <c r="G671" i="6"/>
  <c r="H671" i="6" s="1"/>
  <c r="I671" i="6" s="1"/>
  <c r="G663" i="6"/>
  <c r="H663" i="6" s="1"/>
  <c r="I663" i="6" s="1"/>
  <c r="G659" i="6"/>
  <c r="H659" i="6" s="1"/>
  <c r="I659" i="6" s="1"/>
  <c r="G655" i="6"/>
  <c r="H655" i="6" s="1"/>
  <c r="I655" i="6" s="1"/>
  <c r="G1163" i="6"/>
  <c r="H1163" i="6" s="1"/>
  <c r="I1163" i="6" s="1"/>
  <c r="G1159" i="6"/>
  <c r="H1159" i="6" s="1"/>
  <c r="I1159" i="6" s="1"/>
  <c r="G1155" i="6"/>
  <c r="H1155" i="6" s="1"/>
  <c r="I1155" i="6" s="1"/>
  <c r="G1147" i="6"/>
  <c r="H1147" i="6" s="1"/>
  <c r="I1147" i="6" s="1"/>
  <c r="G1143" i="6"/>
  <c r="H1143" i="6" s="1"/>
  <c r="I1143" i="6" s="1"/>
  <c r="G1139" i="6"/>
  <c r="H1139" i="6" s="1"/>
  <c r="I1139" i="6" s="1"/>
  <c r="G1642" i="6"/>
  <c r="H1642" i="6" s="1"/>
  <c r="I1642" i="6" s="1"/>
  <c r="G1638" i="6"/>
  <c r="H1638" i="6" s="1"/>
  <c r="I1638" i="6" s="1"/>
  <c r="G1634" i="6"/>
  <c r="H1634" i="6" s="1"/>
  <c r="I1634" i="6" s="1"/>
  <c r="G1626" i="6"/>
  <c r="H1626" i="6" s="1"/>
  <c r="I1626" i="6" s="1"/>
  <c r="G1622" i="6"/>
  <c r="H1622" i="6" s="1"/>
  <c r="I1622" i="6" s="1"/>
  <c r="G1618" i="6"/>
  <c r="H1618" i="6" s="1"/>
  <c r="I1618" i="6" s="1"/>
  <c r="G153" i="6"/>
  <c r="H153" i="6" s="1"/>
  <c r="I153" i="6" s="1"/>
  <c r="G149" i="6"/>
  <c r="H149" i="6" s="1"/>
  <c r="I149" i="6" s="1"/>
  <c r="G141" i="6"/>
  <c r="H141" i="6" s="1"/>
  <c r="I141" i="6" s="1"/>
  <c r="G137" i="6"/>
  <c r="H137" i="6" s="1"/>
  <c r="I137" i="6" s="1"/>
  <c r="G133" i="6"/>
  <c r="H133" i="6" s="1"/>
  <c r="I133" i="6" s="1"/>
  <c r="G647" i="6"/>
  <c r="H647" i="6" s="1"/>
  <c r="I647" i="6" s="1"/>
  <c r="G643" i="6"/>
  <c r="H643" i="6" s="1"/>
  <c r="I643" i="6" s="1"/>
  <c r="G639" i="6"/>
  <c r="H639" i="6" s="1"/>
  <c r="I639" i="6" s="1"/>
  <c r="G631" i="6"/>
  <c r="H631" i="6" s="1"/>
  <c r="I631" i="6" s="1"/>
  <c r="G627" i="6"/>
  <c r="H627" i="6" s="1"/>
  <c r="I627" i="6" s="1"/>
  <c r="G623" i="6"/>
  <c r="H623" i="6" s="1"/>
  <c r="I623" i="6" s="1"/>
  <c r="G1130" i="6"/>
  <c r="H1130" i="6" s="1"/>
  <c r="I1130" i="6" s="1"/>
  <c r="G1126" i="6"/>
  <c r="H1126" i="6" s="1"/>
  <c r="I1126" i="6" s="1"/>
  <c r="G1122" i="6"/>
  <c r="H1122" i="6" s="1"/>
  <c r="I1122" i="6" s="1"/>
  <c r="G1114" i="6"/>
  <c r="H1114" i="6" s="1"/>
  <c r="I1114" i="6" s="1"/>
  <c r="G1110" i="6"/>
  <c r="H1110" i="6" s="1"/>
  <c r="I1110" i="6" s="1"/>
  <c r="G1106" i="6"/>
  <c r="H1106" i="6" s="1"/>
  <c r="I1106" i="6" s="1"/>
  <c r="G1611" i="6"/>
  <c r="H1611" i="6" s="1"/>
  <c r="I1611" i="6" s="1"/>
  <c r="G1607" i="6"/>
  <c r="H1607" i="6" s="1"/>
  <c r="I1607" i="6" s="1"/>
  <c r="G1603" i="6"/>
  <c r="H1603" i="6" s="1"/>
  <c r="I1603" i="6" s="1"/>
  <c r="G1595" i="6"/>
  <c r="H1595" i="6" s="1"/>
  <c r="I1595" i="6" s="1"/>
  <c r="G1591" i="6"/>
  <c r="H1591" i="6" s="1"/>
  <c r="I1591" i="6" s="1"/>
  <c r="G1587" i="6"/>
  <c r="H1587" i="6" s="1"/>
  <c r="I1587" i="6" s="1"/>
  <c r="G123" i="6"/>
  <c r="H123" i="6" s="1"/>
  <c r="I123" i="6" s="1"/>
  <c r="G119" i="6"/>
  <c r="H119" i="6" s="1"/>
  <c r="I119" i="6" s="1"/>
  <c r="G115" i="6"/>
  <c r="H115" i="6" s="1"/>
  <c r="I115" i="6" s="1"/>
  <c r="G107" i="6"/>
  <c r="H107" i="6" s="1"/>
  <c r="I107" i="6" s="1"/>
  <c r="G103" i="6"/>
  <c r="H103" i="6" s="1"/>
  <c r="I103" i="6" s="1"/>
  <c r="G99" i="6"/>
  <c r="H99" i="6" s="1"/>
  <c r="I99" i="6" s="1"/>
  <c r="G614" i="6"/>
  <c r="H614" i="6" s="1"/>
  <c r="I614" i="6" s="1"/>
  <c r="G610" i="6"/>
  <c r="H610" i="6" s="1"/>
  <c r="I610" i="6" s="1"/>
  <c r="G606" i="6"/>
  <c r="H606" i="6" s="1"/>
  <c r="I606" i="6" s="1"/>
  <c r="G598" i="6"/>
  <c r="H598" i="6" s="1"/>
  <c r="I598" i="6" s="1"/>
  <c r="G594" i="6"/>
  <c r="H594" i="6" s="1"/>
  <c r="I594" i="6" s="1"/>
  <c r="G590" i="6"/>
  <c r="H590" i="6" s="1"/>
  <c r="I590" i="6" s="1"/>
  <c r="G1096" i="6"/>
  <c r="H1096" i="6" s="1"/>
  <c r="I1096" i="6" s="1"/>
  <c r="G1092" i="6"/>
  <c r="H1092" i="6" s="1"/>
  <c r="I1092" i="6" s="1"/>
  <c r="G1088" i="6"/>
  <c r="H1088" i="6" s="1"/>
  <c r="I1088" i="6" s="1"/>
  <c r="G1080" i="6"/>
  <c r="H1080" i="6" s="1"/>
  <c r="I1080" i="6" s="1"/>
  <c r="G1076" i="6"/>
  <c r="H1076" i="6" s="1"/>
  <c r="I1076" i="6" s="1"/>
  <c r="G1072" i="6"/>
  <c r="H1072" i="6" s="1"/>
  <c r="I1072" i="6" s="1"/>
  <c r="G1580" i="6"/>
  <c r="H1580" i="6" s="1"/>
  <c r="I1580" i="6" s="1"/>
  <c r="G1576" i="6"/>
  <c r="H1576" i="6" s="1"/>
  <c r="I1576" i="6" s="1"/>
  <c r="G1572" i="6"/>
  <c r="H1572" i="6" s="1"/>
  <c r="I1572" i="6" s="1"/>
  <c r="G1564" i="6"/>
  <c r="H1564" i="6" s="1"/>
  <c r="I1564" i="6" s="1"/>
  <c r="G1560" i="6"/>
  <c r="H1560" i="6" s="1"/>
  <c r="I1560" i="6" s="1"/>
  <c r="G89" i="6"/>
  <c r="H89" i="6" s="1"/>
  <c r="I89" i="6" s="1"/>
  <c r="G85" i="6"/>
  <c r="H85" i="6" s="1"/>
  <c r="I85" i="6" s="1"/>
  <c r="G81" i="6"/>
  <c r="H81" i="6" s="1"/>
  <c r="I81" i="6" s="1"/>
  <c r="G73" i="6"/>
  <c r="H73" i="6" s="1"/>
  <c r="I73" i="6" s="1"/>
  <c r="G69" i="6"/>
  <c r="H69" i="6" s="1"/>
  <c r="I69" i="6" s="1"/>
  <c r="G65" i="6"/>
  <c r="H65" i="6" s="1"/>
  <c r="I65" i="6" s="1"/>
  <c r="G581" i="6"/>
  <c r="H581" i="6" s="1"/>
  <c r="I581" i="6" s="1"/>
  <c r="G577" i="6"/>
  <c r="H577" i="6" s="1"/>
  <c r="I577" i="6" s="1"/>
  <c r="G573" i="6"/>
  <c r="H573" i="6" s="1"/>
  <c r="I573" i="6" s="1"/>
  <c r="G565" i="6"/>
  <c r="H565" i="6" s="1"/>
  <c r="I565" i="6" s="1"/>
  <c r="G561" i="6"/>
  <c r="H561" i="6" s="1"/>
  <c r="I561" i="6" s="1"/>
  <c r="G1070" i="6"/>
  <c r="H1070" i="6" s="1"/>
  <c r="I1070" i="6" s="1"/>
  <c r="G1062" i="6"/>
  <c r="H1062" i="6" s="1"/>
  <c r="I1062" i="6" s="1"/>
  <c r="G1058" i="6"/>
  <c r="H1058" i="6" s="1"/>
  <c r="I1058" i="6" s="1"/>
  <c r="G1054" i="6"/>
  <c r="H1054" i="6" s="1"/>
  <c r="I1054" i="6" s="1"/>
  <c r="G1046" i="6"/>
  <c r="H1046" i="6" s="1"/>
  <c r="I1046" i="6" s="1"/>
  <c r="G1042" i="6"/>
  <c r="H1042" i="6" s="1"/>
  <c r="I1042" i="6" s="1"/>
  <c r="G1557" i="6"/>
  <c r="H1557" i="6" s="1"/>
  <c r="I1557" i="6" s="1"/>
  <c r="G1549" i="6"/>
  <c r="H1549" i="6" s="1"/>
  <c r="I1549" i="6" s="1"/>
  <c r="G1545" i="6"/>
  <c r="H1545" i="6" s="1"/>
  <c r="I1545" i="6" s="1"/>
  <c r="G1541" i="6"/>
  <c r="H1541" i="6" s="1"/>
  <c r="I1541" i="6" s="1"/>
  <c r="G1533" i="6"/>
  <c r="H1533" i="6" s="1"/>
  <c r="I1533" i="6" s="1"/>
  <c r="G63" i="6"/>
  <c r="H63" i="6" s="1"/>
  <c r="I63" i="6" s="1"/>
  <c r="G55" i="6"/>
  <c r="H55" i="6" s="1"/>
  <c r="I55" i="6" s="1"/>
  <c r="G51" i="6"/>
  <c r="H51" i="6" s="1"/>
  <c r="I51" i="6" s="1"/>
  <c r="G47" i="6"/>
  <c r="H47" i="6" s="1"/>
  <c r="I47" i="6" s="1"/>
  <c r="G39" i="6"/>
  <c r="H39" i="6" s="1"/>
  <c r="I39" i="6" s="1"/>
  <c r="G35" i="6"/>
  <c r="H35" i="6" s="1"/>
  <c r="I35" i="6" s="1"/>
  <c r="G556" i="6"/>
  <c r="H556" i="6" s="1"/>
  <c r="I556" i="6" s="1"/>
  <c r="G548" i="6"/>
  <c r="H548" i="6" s="1"/>
  <c r="I548" i="6" s="1"/>
  <c r="G544" i="6"/>
  <c r="H544" i="6" s="1"/>
  <c r="I544" i="6" s="1"/>
  <c r="G540" i="6"/>
  <c r="H540" i="6" s="1"/>
  <c r="I540" i="6" s="1"/>
  <c r="G532" i="6"/>
  <c r="H532" i="6" s="1"/>
  <c r="I532" i="6" s="1"/>
  <c r="G528" i="6"/>
  <c r="H528" i="6" s="1"/>
  <c r="I528" i="6" s="1"/>
  <c r="G1036" i="6"/>
  <c r="H1036" i="6" s="1"/>
  <c r="I1036" i="6" s="1"/>
  <c r="G1028" i="6"/>
  <c r="H1028" i="6" s="1"/>
  <c r="I1028" i="6" s="1"/>
  <c r="G1024" i="6"/>
  <c r="H1024" i="6" s="1"/>
  <c r="I1024" i="6" s="1"/>
  <c r="G1020" i="6"/>
  <c r="H1020" i="6" s="1"/>
  <c r="I1020" i="6" s="1"/>
  <c r="G1012" i="6"/>
  <c r="H1012" i="6" s="1"/>
  <c r="I1012" i="6" s="1"/>
  <c r="G1530" i="6"/>
  <c r="H1530" i="6" s="1"/>
  <c r="I1530" i="6" s="1"/>
  <c r="G1526" i="6"/>
  <c r="H1526" i="6" s="1"/>
  <c r="I1526" i="6" s="1"/>
  <c r="G1518" i="6"/>
  <c r="H1518" i="6" s="1"/>
  <c r="I1518" i="6" s="1"/>
  <c r="G1514" i="6"/>
  <c r="H1514" i="6" s="1"/>
  <c r="I1514" i="6" s="1"/>
  <c r="G1510" i="6"/>
  <c r="H1510" i="6" s="1"/>
  <c r="I1510" i="6" s="1"/>
  <c r="G1502" i="6"/>
  <c r="H1502" i="6" s="1"/>
  <c r="I1502" i="6" s="1"/>
  <c r="G30" i="6"/>
  <c r="H30" i="6" s="1"/>
  <c r="I30" i="6" s="1"/>
  <c r="G26" i="6"/>
  <c r="H26" i="6" s="1"/>
  <c r="I26" i="6" s="1"/>
  <c r="G22" i="6"/>
  <c r="H22" i="6" s="1"/>
  <c r="I22" i="6" s="1"/>
  <c r="G18" i="6"/>
  <c r="H18" i="6" s="1"/>
  <c r="I18" i="6" s="1"/>
  <c r="G14" i="6"/>
  <c r="H14" i="6" s="1"/>
  <c r="I14" i="6" s="1"/>
  <c r="G10" i="6"/>
  <c r="H10" i="6" s="1"/>
  <c r="I10" i="6" s="1"/>
  <c r="G6" i="6"/>
  <c r="H6" i="6" s="1"/>
  <c r="I6" i="6" s="1"/>
  <c r="G524" i="6"/>
  <c r="H524" i="6" s="1"/>
  <c r="I524" i="6" s="1"/>
  <c r="G520" i="6"/>
  <c r="H520" i="6" s="1"/>
  <c r="I520" i="6" s="1"/>
  <c r="G516" i="6"/>
  <c r="H516" i="6" s="1"/>
  <c r="I516" i="6" s="1"/>
  <c r="G512" i="6"/>
  <c r="H512" i="6" s="1"/>
  <c r="I512" i="6" s="1"/>
  <c r="G508" i="6"/>
  <c r="H508" i="6" s="1"/>
  <c r="I508" i="6" s="1"/>
  <c r="G504" i="6"/>
  <c r="H504" i="6" s="1"/>
  <c r="I504" i="6" s="1"/>
  <c r="G500" i="6"/>
  <c r="H500" i="6" s="1"/>
  <c r="I500" i="6" s="1"/>
  <c r="G1007" i="6"/>
  <c r="H1007" i="6" s="1"/>
  <c r="I1007" i="6" s="1"/>
  <c r="G1003" i="6"/>
  <c r="H1003" i="6" s="1"/>
  <c r="I1003" i="6" s="1"/>
  <c r="G999" i="6"/>
  <c r="H999" i="6" s="1"/>
  <c r="I999" i="6" s="1"/>
  <c r="G995" i="6"/>
  <c r="H995" i="6" s="1"/>
  <c r="I995" i="6" s="1"/>
  <c r="G991" i="6"/>
  <c r="H991" i="6" s="1"/>
  <c r="I991" i="6" s="1"/>
  <c r="G987" i="6"/>
  <c r="H987" i="6" s="1"/>
  <c r="I987" i="6" s="1"/>
  <c r="G983" i="6"/>
  <c r="H983" i="6" s="1"/>
  <c r="I983" i="6" s="1"/>
  <c r="G979" i="6"/>
  <c r="H979" i="6" s="1"/>
  <c r="I979" i="6" s="1"/>
  <c r="G1495" i="6"/>
  <c r="H1495" i="6" s="1"/>
  <c r="I1495" i="6" s="1"/>
  <c r="G1491" i="6"/>
  <c r="H1491" i="6" s="1"/>
  <c r="I1491" i="6" s="1"/>
  <c r="G1487" i="6"/>
  <c r="H1487" i="6" s="1"/>
  <c r="I1487" i="6" s="1"/>
  <c r="G1483" i="6"/>
  <c r="H1483" i="6" s="1"/>
  <c r="I1483" i="6" s="1"/>
  <c r="G1479" i="6"/>
  <c r="H1479" i="6" s="1"/>
  <c r="I1479" i="6" s="1"/>
  <c r="G1475" i="6"/>
  <c r="H1475" i="6" s="1"/>
  <c r="I1475" i="6" s="1"/>
  <c r="G633" i="6"/>
  <c r="H633" i="6" s="1"/>
  <c r="I633" i="6" s="1"/>
  <c r="G629" i="6"/>
  <c r="H629" i="6" s="1"/>
  <c r="I629" i="6" s="1"/>
  <c r="G621" i="6"/>
  <c r="H621" i="6" s="1"/>
  <c r="I621" i="6" s="1"/>
  <c r="G1132" i="6"/>
  <c r="H1132" i="6" s="1"/>
  <c r="I1132" i="6" s="1"/>
  <c r="G1128" i="6"/>
  <c r="H1128" i="6" s="1"/>
  <c r="I1128" i="6" s="1"/>
  <c r="G1120" i="6"/>
  <c r="H1120" i="6" s="1"/>
  <c r="I1120" i="6" s="1"/>
  <c r="G1116" i="6"/>
  <c r="H1116" i="6" s="1"/>
  <c r="I1116" i="6" s="1"/>
  <c r="G1112" i="6"/>
  <c r="H1112" i="6" s="1"/>
  <c r="I1112" i="6" s="1"/>
  <c r="G1104" i="6"/>
  <c r="H1104" i="6" s="1"/>
  <c r="I1104" i="6" s="1"/>
  <c r="G1613" i="6"/>
  <c r="H1613" i="6" s="1"/>
  <c r="I1613" i="6" s="1"/>
  <c r="G1609" i="6"/>
  <c r="H1609" i="6" s="1"/>
  <c r="I1609" i="6" s="1"/>
  <c r="G1601" i="6"/>
  <c r="H1601" i="6" s="1"/>
  <c r="I1601" i="6" s="1"/>
  <c r="G1597" i="6"/>
  <c r="H1597" i="6" s="1"/>
  <c r="I1597" i="6" s="1"/>
  <c r="G1593" i="6"/>
  <c r="H1593" i="6" s="1"/>
  <c r="I1593" i="6" s="1"/>
  <c r="G125" i="6"/>
  <c r="H125" i="6" s="1"/>
  <c r="I125" i="6" s="1"/>
  <c r="G121" i="6"/>
  <c r="H121" i="6" s="1"/>
  <c r="I121" i="6" s="1"/>
  <c r="G113" i="6"/>
  <c r="H113" i="6" s="1"/>
  <c r="I113" i="6" s="1"/>
  <c r="G109" i="6"/>
  <c r="H109" i="6" s="1"/>
  <c r="I109" i="6" s="1"/>
  <c r="G105" i="6"/>
  <c r="H105" i="6" s="1"/>
  <c r="I105" i="6" s="1"/>
  <c r="G97" i="6"/>
  <c r="H97" i="6" s="1"/>
  <c r="I97" i="6" s="1"/>
  <c r="G616" i="6"/>
  <c r="H616" i="6" s="1"/>
  <c r="I616" i="6" s="1"/>
  <c r="G612" i="6"/>
  <c r="H612" i="6" s="1"/>
  <c r="I612" i="6" s="1"/>
  <c r="G604" i="6"/>
  <c r="H604" i="6" s="1"/>
  <c r="I604" i="6" s="1"/>
  <c r="G600" i="6"/>
  <c r="H600" i="6" s="1"/>
  <c r="I600" i="6" s="1"/>
  <c r="G596" i="6"/>
  <c r="H596" i="6" s="1"/>
  <c r="I596" i="6" s="1"/>
  <c r="G588" i="6"/>
  <c r="H588" i="6" s="1"/>
  <c r="I588" i="6" s="1"/>
  <c r="G1098" i="6"/>
  <c r="H1098" i="6" s="1"/>
  <c r="I1098" i="6" s="1"/>
  <c r="G1094" i="6"/>
  <c r="H1094" i="6" s="1"/>
  <c r="I1094" i="6" s="1"/>
  <c r="G1086" i="6"/>
  <c r="H1086" i="6" s="1"/>
  <c r="I1086" i="6" s="1"/>
  <c r="G1082" i="6"/>
  <c r="H1082" i="6" s="1"/>
  <c r="I1082" i="6" s="1"/>
  <c r="G1078" i="6"/>
  <c r="H1078" i="6" s="1"/>
  <c r="I1078" i="6" s="1"/>
  <c r="G1586" i="6"/>
  <c r="H1586" i="6" s="1"/>
  <c r="I1586" i="6" s="1"/>
  <c r="G1582" i="6"/>
  <c r="H1582" i="6" s="1"/>
  <c r="I1582" i="6" s="1"/>
  <c r="G1578" i="6"/>
  <c r="H1578" i="6" s="1"/>
  <c r="I1578" i="6" s="1"/>
  <c r="G1570" i="6"/>
  <c r="H1570" i="6" s="1"/>
  <c r="I1570" i="6" s="1"/>
  <c r="G1566" i="6"/>
  <c r="H1566" i="6" s="1"/>
  <c r="I1566" i="6" s="1"/>
  <c r="G1562" i="6"/>
  <c r="H1562" i="6" s="1"/>
  <c r="I1562" i="6" s="1"/>
  <c r="G91" i="6"/>
  <c r="H91" i="6" s="1"/>
  <c r="I91" i="6" s="1"/>
  <c r="G87" i="6"/>
  <c r="H87" i="6" s="1"/>
  <c r="I87" i="6" s="1"/>
  <c r="G83" i="6"/>
  <c r="H83" i="6" s="1"/>
  <c r="I83" i="6" s="1"/>
  <c r="G79" i="6"/>
  <c r="H79" i="6" s="1"/>
  <c r="I79" i="6" s="1"/>
  <c r="G75" i="6"/>
  <c r="H75" i="6" s="1"/>
  <c r="I75" i="6" s="1"/>
  <c r="G71" i="6"/>
  <c r="H71" i="6" s="1"/>
  <c r="I71" i="6" s="1"/>
  <c r="G67" i="6"/>
  <c r="H67" i="6" s="1"/>
  <c r="I67" i="6" s="1"/>
  <c r="G587" i="6"/>
  <c r="H587" i="6" s="1"/>
  <c r="I587" i="6" s="1"/>
  <c r="G583" i="6"/>
  <c r="H583" i="6" s="1"/>
  <c r="I583" i="6" s="1"/>
  <c r="G579" i="6"/>
  <c r="H579" i="6" s="1"/>
  <c r="I579" i="6" s="1"/>
  <c r="G575" i="6"/>
  <c r="H575" i="6" s="1"/>
  <c r="I575" i="6" s="1"/>
  <c r="G571" i="6"/>
  <c r="H571" i="6" s="1"/>
  <c r="I571" i="6" s="1"/>
  <c r="G567" i="6"/>
  <c r="H567" i="6" s="1"/>
  <c r="I567" i="6" s="1"/>
  <c r="G563" i="6"/>
  <c r="H563" i="6" s="1"/>
  <c r="I563" i="6" s="1"/>
  <c r="G559" i="6"/>
  <c r="H559" i="6" s="1"/>
  <c r="I559" i="6" s="1"/>
  <c r="G1068" i="6"/>
  <c r="H1068" i="6" s="1"/>
  <c r="I1068" i="6" s="1"/>
  <c r="G1064" i="6"/>
  <c r="H1064" i="6" s="1"/>
  <c r="I1064" i="6" s="1"/>
  <c r="G1060" i="6"/>
  <c r="H1060" i="6" s="1"/>
  <c r="I1060" i="6" s="1"/>
  <c r="G1056" i="6"/>
  <c r="H1056" i="6" s="1"/>
  <c r="I1056" i="6" s="1"/>
  <c r="G1052" i="6"/>
  <c r="H1052" i="6" s="1"/>
  <c r="I1052" i="6" s="1"/>
  <c r="G1048" i="6"/>
  <c r="H1048" i="6" s="1"/>
  <c r="I1048" i="6" s="1"/>
  <c r="G1044" i="6"/>
  <c r="H1044" i="6" s="1"/>
  <c r="I1044" i="6" s="1"/>
  <c r="G1040" i="6"/>
  <c r="H1040" i="6" s="1"/>
  <c r="I1040" i="6" s="1"/>
  <c r="G1555" i="6"/>
  <c r="H1555" i="6" s="1"/>
  <c r="I1555" i="6" s="1"/>
  <c r="G1551" i="6"/>
  <c r="H1551" i="6" s="1"/>
  <c r="I1551" i="6" s="1"/>
  <c r="G1547" i="6"/>
  <c r="H1547" i="6" s="1"/>
  <c r="I1547" i="6" s="1"/>
  <c r="G1543" i="6"/>
  <c r="H1543" i="6" s="1"/>
  <c r="I1543" i="6" s="1"/>
  <c r="G1539" i="6"/>
  <c r="H1539" i="6" s="1"/>
  <c r="I1539" i="6" s="1"/>
  <c r="G1535" i="6"/>
  <c r="H1535" i="6" s="1"/>
  <c r="I1535" i="6" s="1"/>
  <c r="G1531" i="6"/>
  <c r="H1531" i="6" s="1"/>
  <c r="I1531" i="6" s="1"/>
  <c r="G61" i="6"/>
  <c r="H61" i="6" s="1"/>
  <c r="I61" i="6" s="1"/>
  <c r="G57" i="6"/>
  <c r="H57" i="6" s="1"/>
  <c r="I57" i="6" s="1"/>
  <c r="G53" i="6"/>
  <c r="H53" i="6" s="1"/>
  <c r="I53" i="6" s="1"/>
  <c r="G49" i="6"/>
  <c r="H49" i="6" s="1"/>
  <c r="I49" i="6" s="1"/>
  <c r="G45" i="6"/>
  <c r="H45" i="6" s="1"/>
  <c r="I45" i="6" s="1"/>
  <c r="G41" i="6"/>
  <c r="H41" i="6" s="1"/>
  <c r="I41" i="6" s="1"/>
  <c r="G37" i="6"/>
  <c r="H37" i="6" s="1"/>
  <c r="I37" i="6" s="1"/>
  <c r="G33" i="6"/>
  <c r="H33" i="6" s="1"/>
  <c r="I33" i="6" s="1"/>
  <c r="G554" i="6"/>
  <c r="H554" i="6" s="1"/>
  <c r="I554" i="6" s="1"/>
  <c r="G550" i="6"/>
  <c r="H550" i="6" s="1"/>
  <c r="I550" i="6" s="1"/>
  <c r="G546" i="6"/>
  <c r="H546" i="6" s="1"/>
  <c r="I546" i="6" s="1"/>
  <c r="G542" i="6"/>
  <c r="H542" i="6" s="1"/>
  <c r="I542" i="6" s="1"/>
  <c r="G538" i="6"/>
  <c r="H538" i="6" s="1"/>
  <c r="I538" i="6" s="1"/>
  <c r="G534" i="6"/>
  <c r="H534" i="6" s="1"/>
  <c r="I534" i="6" s="1"/>
  <c r="G530" i="6"/>
  <c r="H530" i="6" s="1"/>
  <c r="I530" i="6" s="1"/>
  <c r="G1038" i="6"/>
  <c r="H1038" i="6" s="1"/>
  <c r="I1038" i="6" s="1"/>
  <c r="G1034" i="6"/>
  <c r="H1034" i="6" s="1"/>
  <c r="I1034" i="6" s="1"/>
  <c r="G1030" i="6"/>
  <c r="H1030" i="6" s="1"/>
  <c r="I1030" i="6" s="1"/>
  <c r="G1026" i="6"/>
  <c r="H1026" i="6" s="1"/>
  <c r="I1026" i="6" s="1"/>
  <c r="G1022" i="6"/>
  <c r="H1022" i="6" s="1"/>
  <c r="I1022" i="6" s="1"/>
  <c r="G1018" i="6"/>
  <c r="H1018" i="6" s="1"/>
  <c r="I1018" i="6" s="1"/>
  <c r="G1014" i="6"/>
  <c r="H1014" i="6" s="1"/>
  <c r="I1014" i="6" s="1"/>
  <c r="G1010" i="6"/>
  <c r="H1010" i="6" s="1"/>
  <c r="I1010" i="6" s="1"/>
  <c r="G1528" i="6"/>
  <c r="H1528" i="6" s="1"/>
  <c r="I1528" i="6" s="1"/>
  <c r="G1524" i="6"/>
  <c r="H1524" i="6" s="1"/>
  <c r="I1524" i="6" s="1"/>
  <c r="G1520" i="6"/>
  <c r="H1520" i="6" s="1"/>
  <c r="I1520" i="6" s="1"/>
  <c r="G1516" i="6"/>
  <c r="H1516" i="6" s="1"/>
  <c r="I1516" i="6" s="1"/>
  <c r="G1512" i="6"/>
  <c r="H1512" i="6" s="1"/>
  <c r="I1512" i="6" s="1"/>
  <c r="G1508" i="6"/>
  <c r="H1508" i="6" s="1"/>
  <c r="I1508" i="6" s="1"/>
  <c r="G1504" i="6"/>
  <c r="H1504" i="6" s="1"/>
  <c r="I1504" i="6" s="1"/>
  <c r="G32" i="6"/>
  <c r="H32" i="6" s="1"/>
  <c r="I32" i="6" s="1"/>
  <c r="G28" i="6"/>
  <c r="H28" i="6" s="1"/>
  <c r="I28" i="6" s="1"/>
  <c r="G20" i="6"/>
  <c r="H20" i="6" s="1"/>
  <c r="I20" i="6" s="1"/>
  <c r="G16" i="6"/>
  <c r="H16" i="6" s="1"/>
  <c r="I16" i="6" s="1"/>
  <c r="G12" i="6"/>
  <c r="H12" i="6" s="1"/>
  <c r="I12" i="6" s="1"/>
  <c r="G8" i="6"/>
  <c r="H8" i="6" s="1"/>
  <c r="I8" i="6" s="1"/>
  <c r="G4" i="6"/>
  <c r="H4" i="6" s="1"/>
  <c r="I4" i="6" s="1"/>
  <c r="G526" i="6"/>
  <c r="H526" i="6" s="1"/>
  <c r="I526" i="6" s="1"/>
  <c r="G522" i="6"/>
  <c r="H522" i="6" s="1"/>
  <c r="I522" i="6" s="1"/>
  <c r="G518" i="6"/>
  <c r="H518" i="6" s="1"/>
  <c r="I518" i="6" s="1"/>
  <c r="G514" i="6"/>
  <c r="H514" i="6" s="1"/>
  <c r="I514" i="6" s="1"/>
  <c r="G510" i="6"/>
  <c r="H510" i="6" s="1"/>
  <c r="I510" i="6" s="1"/>
  <c r="G506" i="6"/>
  <c r="H506" i="6" s="1"/>
  <c r="I506" i="6" s="1"/>
  <c r="G502" i="6"/>
  <c r="H502" i="6" s="1"/>
  <c r="I502" i="6" s="1"/>
  <c r="G498" i="6"/>
  <c r="H498" i="6" s="1"/>
  <c r="I498" i="6" s="1"/>
  <c r="G1005" i="6"/>
  <c r="H1005" i="6" s="1"/>
  <c r="I1005" i="6" s="1"/>
  <c r="G1001" i="6"/>
  <c r="H1001" i="6" s="1"/>
  <c r="I1001" i="6" s="1"/>
  <c r="G993" i="6"/>
  <c r="H993" i="6" s="1"/>
  <c r="I993" i="6" s="1"/>
  <c r="G989" i="6"/>
  <c r="H989" i="6" s="1"/>
  <c r="I989" i="6" s="1"/>
  <c r="G985" i="6"/>
  <c r="H985" i="6" s="1"/>
  <c r="I985" i="6" s="1"/>
  <c r="G981" i="6"/>
  <c r="H981" i="6" s="1"/>
  <c r="I981" i="6" s="1"/>
  <c r="G1501" i="6"/>
  <c r="H1501" i="6" s="1"/>
  <c r="I1501" i="6" s="1"/>
  <c r="G1497" i="6"/>
  <c r="H1497" i="6" s="1"/>
  <c r="I1497" i="6" s="1"/>
  <c r="G1493" i="6"/>
  <c r="H1493" i="6" s="1"/>
  <c r="I1493" i="6" s="1"/>
  <c r="G1489" i="6"/>
  <c r="H1489" i="6" s="1"/>
  <c r="I1489" i="6" s="1"/>
  <c r="G1485" i="6"/>
  <c r="H1485" i="6" s="1"/>
  <c r="I1485" i="6" s="1"/>
  <c r="G1481" i="6"/>
  <c r="H1481" i="6" s="1"/>
  <c r="I1481" i="6" s="1"/>
  <c r="G1477" i="6"/>
  <c r="H1477" i="6" s="1"/>
  <c r="I1477" i="6" s="1"/>
  <c r="G60" i="6"/>
  <c r="H60" i="6" s="1"/>
  <c r="I60" i="6" s="1"/>
  <c r="G56" i="6"/>
  <c r="H56" i="6" s="1"/>
  <c r="I56" i="6" s="1"/>
  <c r="G52" i="6"/>
  <c r="H52" i="6" s="1"/>
  <c r="I52" i="6" s="1"/>
  <c r="G48" i="6"/>
  <c r="H48" i="6" s="1"/>
  <c r="I48" i="6" s="1"/>
  <c r="G44" i="6"/>
  <c r="H44" i="6" s="1"/>
  <c r="I44" i="6" s="1"/>
  <c r="G40" i="6"/>
  <c r="H40" i="6" s="1"/>
  <c r="I40" i="6" s="1"/>
  <c r="G36" i="6"/>
  <c r="H36" i="6" s="1"/>
  <c r="I36" i="6" s="1"/>
  <c r="G557" i="6"/>
  <c r="H557" i="6" s="1"/>
  <c r="I557" i="6" s="1"/>
  <c r="G553" i="6"/>
  <c r="H553" i="6" s="1"/>
  <c r="I553" i="6" s="1"/>
  <c r="G549" i="6"/>
  <c r="H549" i="6" s="1"/>
  <c r="I549" i="6" s="1"/>
  <c r="G545" i="6"/>
  <c r="H545" i="6" s="1"/>
  <c r="I545" i="6" s="1"/>
  <c r="G541" i="6"/>
  <c r="H541" i="6" s="1"/>
  <c r="I541" i="6" s="1"/>
  <c r="G537" i="6"/>
  <c r="H537" i="6" s="1"/>
  <c r="I537" i="6" s="1"/>
  <c r="G533" i="6"/>
  <c r="H533" i="6" s="1"/>
  <c r="I533" i="6" s="1"/>
  <c r="G529" i="6"/>
  <c r="H529" i="6" s="1"/>
  <c r="I529" i="6" s="1"/>
  <c r="G1037" i="6"/>
  <c r="H1037" i="6" s="1"/>
  <c r="I1037" i="6" s="1"/>
  <c r="G1033" i="6"/>
  <c r="H1033" i="6" s="1"/>
  <c r="I1033" i="6" s="1"/>
  <c r="G1029" i="6"/>
  <c r="H1029" i="6" s="1"/>
  <c r="I1029" i="6" s="1"/>
  <c r="G1025" i="6"/>
  <c r="H1025" i="6" s="1"/>
  <c r="I1025" i="6" s="1"/>
  <c r="G1021" i="6"/>
  <c r="H1021" i="6" s="1"/>
  <c r="I1021" i="6" s="1"/>
  <c r="G1017" i="6"/>
  <c r="H1017" i="6" s="1"/>
  <c r="I1017" i="6" s="1"/>
  <c r="G1013" i="6"/>
  <c r="H1013" i="6" s="1"/>
  <c r="I1013" i="6" s="1"/>
  <c r="G1009" i="6"/>
  <c r="H1009" i="6" s="1"/>
  <c r="I1009" i="6" s="1"/>
  <c r="G1527" i="6"/>
  <c r="H1527" i="6" s="1"/>
  <c r="I1527" i="6" s="1"/>
  <c r="G1523" i="6"/>
  <c r="H1523" i="6" s="1"/>
  <c r="I1523" i="6" s="1"/>
  <c r="G1519" i="6"/>
  <c r="H1519" i="6" s="1"/>
  <c r="I1519" i="6" s="1"/>
  <c r="G1515" i="6"/>
  <c r="H1515" i="6" s="1"/>
  <c r="I1515" i="6" s="1"/>
  <c r="G1511" i="6"/>
  <c r="H1511" i="6" s="1"/>
  <c r="I1511" i="6" s="1"/>
  <c r="G1507" i="6"/>
  <c r="H1507" i="6" s="1"/>
  <c r="I1507" i="6" s="1"/>
  <c r="G1503" i="6"/>
  <c r="H1503" i="6" s="1"/>
  <c r="I1503" i="6" s="1"/>
  <c r="G31" i="6"/>
  <c r="H31" i="6" s="1"/>
  <c r="I31" i="6" s="1"/>
  <c r="G27" i="6"/>
  <c r="H27" i="6" s="1"/>
  <c r="I27" i="6" s="1"/>
  <c r="G23" i="6"/>
  <c r="H23" i="6" s="1"/>
  <c r="I23" i="6" s="1"/>
  <c r="G19" i="6"/>
  <c r="H19" i="6" s="1"/>
  <c r="I19" i="6" s="1"/>
  <c r="G15" i="6"/>
  <c r="H15" i="6" s="1"/>
  <c r="I15" i="6" s="1"/>
  <c r="G11" i="6"/>
  <c r="H11" i="6" s="1"/>
  <c r="I11" i="6" s="1"/>
  <c r="G7" i="6"/>
  <c r="H7" i="6" s="1"/>
  <c r="I7" i="6" s="1"/>
  <c r="G3" i="6"/>
  <c r="H3" i="6" s="1"/>
  <c r="I3" i="6" s="1"/>
  <c r="G525" i="6"/>
  <c r="H525" i="6" s="1"/>
  <c r="I525" i="6" s="1"/>
  <c r="G521" i="6"/>
  <c r="H521" i="6" s="1"/>
  <c r="I521" i="6" s="1"/>
  <c r="G517" i="6"/>
  <c r="H517" i="6" s="1"/>
  <c r="I517" i="6" s="1"/>
  <c r="G513" i="6"/>
  <c r="H513" i="6" s="1"/>
  <c r="I513" i="6" s="1"/>
  <c r="G509" i="6"/>
  <c r="H509" i="6" s="1"/>
  <c r="I509" i="6" s="1"/>
  <c r="G505" i="6"/>
  <c r="H505" i="6" s="1"/>
  <c r="I505" i="6" s="1"/>
  <c r="G501" i="6"/>
  <c r="H501" i="6" s="1"/>
  <c r="I501" i="6" s="1"/>
  <c r="G1008" i="6"/>
  <c r="H1008" i="6" s="1"/>
  <c r="I1008" i="6" s="1"/>
  <c r="G1004" i="6"/>
  <c r="H1004" i="6" s="1"/>
  <c r="I1004" i="6" s="1"/>
  <c r="G1000" i="6"/>
  <c r="H1000" i="6" s="1"/>
  <c r="I1000" i="6" s="1"/>
  <c r="G996" i="6"/>
  <c r="H996" i="6" s="1"/>
  <c r="I996" i="6" s="1"/>
  <c r="G992" i="6"/>
  <c r="H992" i="6" s="1"/>
  <c r="I992" i="6" s="1"/>
  <c r="G988" i="6"/>
  <c r="H988" i="6" s="1"/>
  <c r="I988" i="6" s="1"/>
  <c r="G984" i="6"/>
  <c r="H984" i="6" s="1"/>
  <c r="I984" i="6" s="1"/>
  <c r="G980" i="6"/>
  <c r="H980" i="6" s="1"/>
  <c r="I980" i="6" s="1"/>
  <c r="G1500" i="6"/>
  <c r="H1500" i="6" s="1"/>
  <c r="I1500" i="6" s="1"/>
  <c r="G1496" i="6"/>
  <c r="H1496" i="6" s="1"/>
  <c r="I1496" i="6" s="1"/>
  <c r="G1492" i="6"/>
  <c r="H1492" i="6" s="1"/>
  <c r="I1492" i="6" s="1"/>
  <c r="G1488" i="6"/>
  <c r="H1488" i="6" s="1"/>
  <c r="I1488" i="6" s="1"/>
  <c r="G1484" i="6"/>
  <c r="H1484" i="6" s="1"/>
  <c r="I1484" i="6" s="1"/>
  <c r="G1480" i="6"/>
  <c r="H1480" i="6" s="1"/>
  <c r="I1480" i="6" s="1"/>
  <c r="G1476" i="6"/>
  <c r="H1476" i="6" s="1"/>
  <c r="I1476" i="6" s="1"/>
  <c r="K5" i="6"/>
  <c r="K6" i="6" s="1"/>
  <c r="B8" i="2"/>
  <c r="K11" i="6" l="1"/>
  <c r="K9" i="6"/>
  <c r="T30" i="7"/>
  <c r="T31" i="7" s="1"/>
  <c r="T32" i="7" s="1"/>
  <c r="T33" i="7" s="1"/>
  <c r="J7" i="2"/>
  <c r="B9" i="2"/>
  <c r="K7" i="2"/>
  <c r="T34" i="7" l="1"/>
  <c r="T35" i="7" s="1"/>
  <c r="K8" i="2"/>
  <c r="J8" i="2"/>
  <c r="B10" i="2"/>
  <c r="T36" i="7" l="1"/>
  <c r="T37" i="7" s="1"/>
  <c r="T38" i="7" s="1"/>
  <c r="K9" i="2"/>
  <c r="J9" i="2"/>
  <c r="B11" i="2"/>
  <c r="T39" i="7" l="1"/>
  <c r="T40" i="7" s="1"/>
  <c r="T41" i="7" s="1"/>
  <c r="T42" i="7" s="1"/>
  <c r="T43" i="7" s="1"/>
  <c r="K10" i="2"/>
  <c r="J10" i="2"/>
  <c r="B12" i="2"/>
  <c r="T44" i="7" l="1"/>
  <c r="T45" i="7" s="1"/>
  <c r="T46" i="7" s="1"/>
  <c r="T47" i="7" s="1"/>
  <c r="T17" i="7" s="1"/>
  <c r="K11" i="2"/>
  <c r="B13" i="2"/>
  <c r="J11" i="2"/>
  <c r="J12" i="2" l="1"/>
  <c r="B14" i="2"/>
  <c r="K12" i="2"/>
  <c r="B15" i="2" l="1"/>
  <c r="J13" i="2"/>
  <c r="K13" i="2"/>
  <c r="K14" i="2" l="1"/>
  <c r="J14" i="2"/>
  <c r="B16" i="2"/>
  <c r="J15" i="2" l="1"/>
  <c r="B17" i="2"/>
  <c r="K15" i="2"/>
  <c r="J16" i="2" l="1"/>
  <c r="B18" i="2"/>
  <c r="K16" i="2"/>
  <c r="J17" i="2" l="1"/>
  <c r="B19" i="2"/>
  <c r="K17" i="2"/>
  <c r="K18" i="2" l="1"/>
  <c r="J18" i="2"/>
  <c r="B20" i="2"/>
  <c r="B21" i="2" l="1"/>
  <c r="J19" i="2"/>
  <c r="K19" i="2"/>
  <c r="K20" i="2" l="1"/>
  <c r="B22" i="2"/>
  <c r="J20" i="2"/>
  <c r="K21" i="2" l="1"/>
  <c r="B23" i="2"/>
  <c r="J21" i="2"/>
  <c r="K22" i="2" l="1"/>
  <c r="B24" i="2"/>
  <c r="J22" i="2"/>
  <c r="K23" i="2" l="1"/>
  <c r="B25" i="2"/>
  <c r="J23" i="2"/>
  <c r="B26" i="2" l="1"/>
  <c r="J24" i="2"/>
  <c r="K24" i="2"/>
  <c r="K25" i="2" l="1"/>
  <c r="B27" i="2"/>
  <c r="J25" i="2"/>
  <c r="K26" i="2" l="1"/>
  <c r="B28" i="2"/>
  <c r="J26" i="2"/>
  <c r="K27" i="2" l="1"/>
  <c r="B29" i="2"/>
  <c r="J27" i="2"/>
  <c r="B30" i="2" l="1"/>
  <c r="J29" i="2" s="1"/>
  <c r="J28" i="2"/>
  <c r="K28" i="2"/>
  <c r="K29" i="2" l="1"/>
  <c r="B31" i="2"/>
  <c r="K30" i="2" l="1"/>
  <c r="J30" i="2"/>
  <c r="B32" i="2"/>
  <c r="J31" i="2" l="1"/>
  <c r="B33" i="2"/>
  <c r="K31" i="2"/>
  <c r="J32" i="2" l="1"/>
  <c r="K32" i="2"/>
  <c r="B34" i="2"/>
  <c r="J33" i="2" l="1"/>
  <c r="B35" i="2"/>
  <c r="K33" i="2"/>
  <c r="J34" i="2" l="1"/>
  <c r="B36" i="2"/>
  <c r="K34" i="2"/>
  <c r="J35" i="2" l="1"/>
  <c r="B37" i="2"/>
  <c r="K35" i="2"/>
  <c r="J36" i="2" l="1"/>
  <c r="B38" i="2"/>
  <c r="K36" i="2"/>
  <c r="J37" i="2" l="1"/>
  <c r="B39" i="2"/>
  <c r="K37" i="2"/>
  <c r="J38" i="2" l="1"/>
  <c r="B40" i="2"/>
  <c r="K38" i="2"/>
  <c r="J39" i="2" l="1"/>
  <c r="B41" i="2"/>
  <c r="K39" i="2"/>
  <c r="B42" i="2" l="1"/>
  <c r="J40" i="2"/>
  <c r="K40" i="2"/>
  <c r="K41" i="2" l="1"/>
  <c r="J41" i="2"/>
  <c r="B43" i="2"/>
  <c r="B44" i="2" l="1"/>
  <c r="J43" i="2" s="1"/>
  <c r="J42" i="2"/>
  <c r="K42" i="2"/>
  <c r="K43" i="2" l="1"/>
  <c r="B45" i="2"/>
  <c r="K44" i="2" l="1"/>
  <c r="B46" i="2"/>
  <c r="J44" i="2"/>
  <c r="K45" i="2" l="1"/>
  <c r="J45" i="2"/>
  <c r="B47" i="2"/>
  <c r="B48" i="2" l="1"/>
  <c r="J46" i="2"/>
  <c r="K46" i="2"/>
  <c r="K47" i="2" l="1"/>
  <c r="J47" i="2"/>
  <c r="B49" i="2"/>
  <c r="B50" i="2" l="1"/>
  <c r="J48" i="2"/>
  <c r="K48" i="2"/>
  <c r="K49" i="2" l="1"/>
  <c r="J49" i="2"/>
  <c r="B51" i="2"/>
  <c r="J50" i="2" l="1"/>
  <c r="B52" i="2"/>
  <c r="K50" i="2"/>
  <c r="J51" i="2" l="1"/>
  <c r="B53" i="2"/>
  <c r="K51" i="2"/>
  <c r="J52" i="2" l="1"/>
  <c r="B54" i="2"/>
  <c r="K52" i="2"/>
  <c r="J53" i="2" l="1"/>
  <c r="B55" i="2"/>
  <c r="K53" i="2"/>
  <c r="J54" i="2" l="1"/>
  <c r="B56" i="2"/>
  <c r="K54" i="2"/>
  <c r="J55" i="2" l="1"/>
  <c r="B57" i="2"/>
  <c r="K55" i="2"/>
  <c r="J56" i="2" l="1"/>
  <c r="B58" i="2"/>
  <c r="K56" i="2"/>
  <c r="J57" i="2" l="1"/>
  <c r="B59" i="2"/>
  <c r="K57" i="2"/>
  <c r="J58" i="2" l="1"/>
  <c r="B60" i="2"/>
  <c r="K58" i="2"/>
  <c r="J59" i="2" l="1"/>
  <c r="B61" i="2"/>
  <c r="K59" i="2"/>
  <c r="J60" i="2" l="1"/>
  <c r="B62" i="2"/>
  <c r="K60" i="2"/>
  <c r="J61" i="2" l="1"/>
  <c r="B63" i="2"/>
  <c r="K61" i="2"/>
  <c r="J62" i="2" l="1"/>
  <c r="B64" i="2"/>
  <c r="K62" i="2"/>
  <c r="J63" i="2" l="1"/>
  <c r="B65" i="2"/>
  <c r="K63" i="2"/>
  <c r="J64" i="2" l="1"/>
  <c r="B66" i="2"/>
  <c r="K64" i="2"/>
  <c r="J65" i="2" l="1"/>
  <c r="B67" i="2"/>
  <c r="K65" i="2"/>
  <c r="J66" i="2" l="1"/>
  <c r="B68" i="2"/>
  <c r="K66" i="2"/>
  <c r="J67" i="2" l="1"/>
  <c r="B69" i="2"/>
  <c r="K67" i="2"/>
  <c r="J68" i="2" l="1"/>
  <c r="B70" i="2"/>
  <c r="K68" i="2"/>
  <c r="J69" i="2" l="1"/>
  <c r="B71" i="2"/>
  <c r="K69" i="2"/>
  <c r="J70" i="2" l="1"/>
  <c r="B72" i="2"/>
  <c r="K70" i="2"/>
  <c r="J71" i="2" l="1"/>
  <c r="B73" i="2"/>
  <c r="K71" i="2"/>
  <c r="J72" i="2" l="1"/>
  <c r="B74" i="2"/>
  <c r="K72" i="2"/>
  <c r="J73" i="2" l="1"/>
  <c r="B75" i="2"/>
  <c r="K73" i="2"/>
  <c r="J74" i="2" l="1"/>
  <c r="B76" i="2"/>
  <c r="K74" i="2"/>
  <c r="J75" i="2" l="1"/>
  <c r="B77" i="2"/>
  <c r="K75" i="2"/>
  <c r="J76" i="2" l="1"/>
  <c r="B78" i="2"/>
  <c r="K76" i="2"/>
  <c r="J77" i="2" l="1"/>
  <c r="B79" i="2"/>
  <c r="K77" i="2"/>
  <c r="J78" i="2" l="1"/>
  <c r="B80" i="2"/>
  <c r="K78" i="2"/>
  <c r="J79" i="2" l="1"/>
  <c r="B81" i="2"/>
  <c r="K79" i="2"/>
  <c r="J80" i="2" l="1"/>
  <c r="B82" i="2"/>
  <c r="K80" i="2"/>
  <c r="J81" i="2" l="1"/>
  <c r="B83" i="2"/>
  <c r="K81" i="2"/>
  <c r="J82" i="2" l="1"/>
  <c r="B84" i="2"/>
  <c r="K82" i="2"/>
  <c r="J83" i="2" l="1"/>
  <c r="B85" i="2"/>
  <c r="K83" i="2"/>
  <c r="J84" i="2" l="1"/>
  <c r="B86" i="2"/>
  <c r="K84" i="2"/>
  <c r="J85" i="2" l="1"/>
  <c r="B87" i="2"/>
  <c r="K85" i="2"/>
  <c r="J86" i="2" l="1"/>
  <c r="B88" i="2"/>
  <c r="K86" i="2"/>
  <c r="J87" i="2" l="1"/>
  <c r="B89" i="2"/>
  <c r="K87" i="2"/>
  <c r="J88" i="2" l="1"/>
  <c r="B90" i="2"/>
  <c r="K88" i="2"/>
  <c r="J89" i="2" l="1"/>
  <c r="B91" i="2"/>
  <c r="K89" i="2"/>
  <c r="J90" i="2" l="1"/>
  <c r="B92" i="2"/>
  <c r="K90" i="2"/>
  <c r="J91" i="2" l="1"/>
  <c r="B93" i="2"/>
  <c r="K91" i="2"/>
  <c r="J92" i="2" l="1"/>
  <c r="B94" i="2"/>
  <c r="K92" i="2"/>
  <c r="J93" i="2" l="1"/>
  <c r="B95" i="2"/>
  <c r="K93" i="2"/>
  <c r="J94" i="2" l="1"/>
  <c r="B96" i="2"/>
  <c r="K94" i="2"/>
  <c r="J95" i="2" l="1"/>
  <c r="B97" i="2"/>
  <c r="K95" i="2"/>
  <c r="J96" i="2" l="1"/>
  <c r="B98" i="2"/>
  <c r="K96" i="2"/>
  <c r="J97" i="2" l="1"/>
  <c r="B99" i="2"/>
  <c r="K97" i="2"/>
  <c r="J98" i="2" l="1"/>
  <c r="B100" i="2"/>
  <c r="K98" i="2"/>
  <c r="J99" i="2" l="1"/>
  <c r="B101" i="2"/>
  <c r="K99" i="2"/>
  <c r="J100" i="2" l="1"/>
  <c r="B102" i="2"/>
  <c r="K100" i="2"/>
  <c r="J101" i="2" l="1"/>
  <c r="B103" i="2"/>
  <c r="K101" i="2"/>
  <c r="J102" i="2" l="1"/>
  <c r="B104" i="2"/>
  <c r="K102" i="2"/>
  <c r="J103" i="2" l="1"/>
  <c r="B105" i="2"/>
  <c r="K103" i="2"/>
  <c r="J104" i="2" l="1"/>
  <c r="B106" i="2"/>
  <c r="K104" i="2"/>
  <c r="J105" i="2" l="1"/>
  <c r="B107" i="2"/>
  <c r="K105" i="2"/>
  <c r="J106" i="2" l="1"/>
  <c r="B108" i="2"/>
  <c r="K106" i="2"/>
  <c r="J107" i="2" l="1"/>
  <c r="B109" i="2"/>
  <c r="K107" i="2"/>
  <c r="B110" i="2" l="1"/>
  <c r="J108" i="2"/>
  <c r="K108" i="2"/>
  <c r="K109" i="2" l="1"/>
  <c r="B111" i="2"/>
  <c r="J109" i="2"/>
  <c r="K110" i="2" l="1"/>
  <c r="B112" i="2"/>
  <c r="J110" i="2"/>
  <c r="K111" i="2" l="1"/>
  <c r="J111" i="2"/>
  <c r="B113" i="2"/>
  <c r="B114" i="2" l="1"/>
  <c r="J112" i="2"/>
  <c r="K112" i="2"/>
  <c r="B115" i="2" l="1"/>
  <c r="J113" i="2"/>
  <c r="K113" i="2"/>
  <c r="K114" i="2" l="1"/>
  <c r="J114" i="2"/>
  <c r="B116" i="2"/>
  <c r="J115" i="2" l="1"/>
  <c r="B117" i="2"/>
  <c r="K115" i="2"/>
  <c r="J116" i="2" l="1"/>
  <c r="B118" i="2"/>
  <c r="K116" i="2"/>
  <c r="J117" i="2" l="1"/>
  <c r="B119" i="2"/>
  <c r="K117" i="2"/>
  <c r="J118" i="2" l="1"/>
  <c r="B120" i="2"/>
  <c r="K118" i="2"/>
  <c r="J119" i="2" l="1"/>
  <c r="B121" i="2"/>
  <c r="K119" i="2"/>
  <c r="J120" i="2" l="1"/>
  <c r="B122" i="2"/>
  <c r="K120" i="2"/>
  <c r="J121" i="2" l="1"/>
  <c r="B123" i="2"/>
  <c r="K121" i="2"/>
  <c r="J122" i="2" l="1"/>
  <c r="B124" i="2"/>
  <c r="K122" i="2"/>
  <c r="J123" i="2" l="1"/>
  <c r="B125" i="2"/>
  <c r="K123" i="2"/>
  <c r="J124" i="2" l="1"/>
  <c r="B126" i="2"/>
  <c r="K124" i="2"/>
  <c r="J125" i="2" l="1"/>
  <c r="B127" i="2"/>
  <c r="K125" i="2"/>
  <c r="J126" i="2" l="1"/>
  <c r="B128" i="2"/>
  <c r="K126" i="2"/>
  <c r="J127" i="2" l="1"/>
  <c r="B129" i="2"/>
  <c r="K127" i="2"/>
  <c r="J128" i="2" l="1"/>
  <c r="B130" i="2"/>
  <c r="K128" i="2"/>
  <c r="J129" i="2" l="1"/>
  <c r="B131" i="2"/>
  <c r="K129" i="2"/>
  <c r="J130" i="2" l="1"/>
  <c r="B132" i="2"/>
  <c r="K130" i="2"/>
  <c r="J131" i="2" l="1"/>
  <c r="B133" i="2"/>
  <c r="K131" i="2"/>
  <c r="J132" i="2" l="1"/>
  <c r="B134" i="2"/>
  <c r="K132" i="2"/>
  <c r="J133" i="2" l="1"/>
  <c r="B135" i="2"/>
  <c r="K133" i="2"/>
  <c r="J134" i="2" l="1"/>
  <c r="B136" i="2"/>
  <c r="K134" i="2"/>
  <c r="J135" i="2" l="1"/>
  <c r="B137" i="2"/>
  <c r="K135" i="2"/>
  <c r="J136" i="2" l="1"/>
  <c r="B138" i="2"/>
  <c r="K136" i="2"/>
  <c r="J137" i="2" l="1"/>
  <c r="B139" i="2"/>
  <c r="K137" i="2"/>
  <c r="J138" i="2" l="1"/>
  <c r="B140" i="2"/>
  <c r="K138" i="2"/>
  <c r="J139" i="2" l="1"/>
  <c r="B141" i="2"/>
  <c r="K139" i="2"/>
  <c r="J140" i="2" l="1"/>
  <c r="B142" i="2"/>
  <c r="K140" i="2"/>
  <c r="J141" i="2" l="1"/>
  <c r="B143" i="2"/>
  <c r="K141" i="2"/>
  <c r="J142" i="2" l="1"/>
  <c r="B144" i="2"/>
  <c r="K142" i="2"/>
  <c r="J143" i="2" l="1"/>
  <c r="B145" i="2"/>
  <c r="K143" i="2"/>
  <c r="J144" i="2" l="1"/>
  <c r="B146" i="2"/>
  <c r="K144" i="2"/>
  <c r="J145" i="2" l="1"/>
  <c r="B147" i="2"/>
  <c r="K145" i="2"/>
  <c r="J146" i="2" l="1"/>
  <c r="B148" i="2"/>
  <c r="K146" i="2"/>
  <c r="J147" i="2" l="1"/>
  <c r="B149" i="2"/>
  <c r="K147" i="2"/>
  <c r="J148" i="2" l="1"/>
  <c r="B150" i="2"/>
  <c r="K148" i="2"/>
  <c r="J149" i="2" l="1"/>
  <c r="B151" i="2"/>
  <c r="K149" i="2"/>
  <c r="J150" i="2" l="1"/>
  <c r="B152" i="2"/>
  <c r="K150" i="2"/>
  <c r="J151" i="2" l="1"/>
  <c r="B153" i="2"/>
  <c r="K151" i="2"/>
  <c r="J152" i="2" l="1"/>
  <c r="B154" i="2"/>
  <c r="K152" i="2"/>
  <c r="J153" i="2" l="1"/>
  <c r="B155" i="2"/>
  <c r="K153" i="2"/>
  <c r="J154" i="2" l="1"/>
  <c r="B156" i="2"/>
  <c r="K154" i="2"/>
  <c r="J155" i="2" l="1"/>
  <c r="B157" i="2"/>
  <c r="K155" i="2"/>
  <c r="J156" i="2" l="1"/>
  <c r="B158" i="2"/>
  <c r="K156" i="2"/>
  <c r="J157" i="2" l="1"/>
  <c r="B159" i="2"/>
  <c r="K157" i="2"/>
  <c r="J158" i="2" l="1"/>
  <c r="B160" i="2"/>
  <c r="K158" i="2"/>
  <c r="J159" i="2" l="1"/>
  <c r="B161" i="2"/>
  <c r="K159" i="2"/>
  <c r="J160" i="2" l="1"/>
  <c r="B162" i="2"/>
  <c r="K160" i="2"/>
  <c r="J161" i="2" l="1"/>
  <c r="B163" i="2"/>
  <c r="K161" i="2"/>
  <c r="J162" i="2" l="1"/>
  <c r="B164" i="2"/>
  <c r="K162" i="2"/>
  <c r="J163" i="2" l="1"/>
  <c r="B165" i="2"/>
  <c r="K163" i="2"/>
  <c r="K164" i="2" l="1"/>
  <c r="J164" i="2"/>
  <c r="B166" i="2"/>
  <c r="J165" i="2" l="1"/>
  <c r="B167" i="2"/>
  <c r="K165" i="2"/>
  <c r="J166" i="2" l="1"/>
  <c r="B168" i="2"/>
  <c r="K166" i="2"/>
  <c r="J167" i="2" l="1"/>
  <c r="B169" i="2"/>
  <c r="K167" i="2"/>
  <c r="J168" i="2" l="1"/>
  <c r="B170" i="2"/>
  <c r="K168" i="2"/>
  <c r="J169" i="2" l="1"/>
  <c r="B171" i="2"/>
  <c r="K169" i="2"/>
  <c r="J170" i="2" l="1"/>
  <c r="B172" i="2"/>
  <c r="K170" i="2"/>
  <c r="J171" i="2" l="1"/>
  <c r="B173" i="2"/>
  <c r="K171" i="2"/>
  <c r="J172" i="2" l="1"/>
  <c r="B174" i="2"/>
  <c r="K172" i="2"/>
  <c r="J173" i="2" l="1"/>
  <c r="B175" i="2"/>
  <c r="K173" i="2"/>
  <c r="J174" i="2" l="1"/>
  <c r="B176" i="2"/>
  <c r="K174" i="2"/>
  <c r="J175" i="2" l="1"/>
  <c r="B177" i="2"/>
  <c r="K175" i="2"/>
  <c r="J176" i="2" l="1"/>
  <c r="B178" i="2"/>
  <c r="K176" i="2"/>
  <c r="J177" i="2" l="1"/>
  <c r="B179" i="2"/>
  <c r="K177" i="2"/>
  <c r="J178" i="2" l="1"/>
  <c r="B180" i="2"/>
  <c r="K178" i="2"/>
  <c r="J179" i="2" l="1"/>
  <c r="B181" i="2"/>
  <c r="K179" i="2"/>
  <c r="K180" i="2" l="1"/>
  <c r="J180" i="2"/>
  <c r="B182" i="2"/>
  <c r="K181" i="2" l="1"/>
  <c r="J181" i="2"/>
  <c r="B183" i="2"/>
  <c r="K182" i="2" l="1"/>
  <c r="J182" i="2"/>
  <c r="B184" i="2"/>
  <c r="K183" i="2" l="1"/>
  <c r="J183" i="2"/>
  <c r="B185" i="2"/>
  <c r="J184" i="2" l="1"/>
  <c r="B186" i="2"/>
  <c r="K184" i="2"/>
  <c r="J185" i="2" l="1"/>
  <c r="B187" i="2"/>
  <c r="K185" i="2"/>
  <c r="J186" i="2" l="1"/>
  <c r="B188" i="2"/>
  <c r="K186" i="2"/>
  <c r="J187" i="2" l="1"/>
  <c r="B189" i="2"/>
  <c r="K187" i="2"/>
  <c r="J188" i="2" l="1"/>
  <c r="B190" i="2"/>
  <c r="K188" i="2"/>
  <c r="K189" i="2" l="1"/>
  <c r="J189" i="2"/>
  <c r="B191" i="2"/>
  <c r="K190" i="2" l="1"/>
  <c r="J190" i="2"/>
  <c r="B192" i="2"/>
  <c r="J191" i="2" l="1"/>
  <c r="B193" i="2"/>
  <c r="K191" i="2"/>
  <c r="J192" i="2" l="1"/>
  <c r="B194" i="2"/>
  <c r="K192" i="2"/>
  <c r="J193" i="2" l="1"/>
  <c r="B195" i="2"/>
  <c r="K193" i="2"/>
  <c r="J194" i="2" l="1"/>
  <c r="B196" i="2"/>
  <c r="K194" i="2"/>
  <c r="J195" i="2" l="1"/>
  <c r="B197" i="2"/>
  <c r="K195" i="2"/>
  <c r="J196" i="2" l="1"/>
  <c r="B198" i="2"/>
  <c r="K196" i="2"/>
  <c r="J197" i="2" l="1"/>
  <c r="B199" i="2"/>
  <c r="K197" i="2"/>
  <c r="J198" i="2" l="1"/>
  <c r="B200" i="2"/>
  <c r="K198" i="2"/>
  <c r="J199" i="2" l="1"/>
  <c r="B201" i="2"/>
  <c r="K199" i="2"/>
  <c r="J200" i="2" l="1"/>
  <c r="B202" i="2"/>
  <c r="K200" i="2"/>
  <c r="J201" i="2" l="1"/>
  <c r="B203" i="2"/>
  <c r="K201" i="2"/>
  <c r="J202" i="2" l="1"/>
  <c r="B204" i="2"/>
  <c r="K202" i="2"/>
  <c r="J203" i="2" l="1"/>
  <c r="B205" i="2"/>
  <c r="K203" i="2"/>
  <c r="J204" i="2" l="1"/>
  <c r="B206" i="2"/>
  <c r="K204" i="2"/>
  <c r="J205" i="2" l="1"/>
  <c r="B207" i="2"/>
  <c r="K205" i="2"/>
  <c r="J206" i="2" l="1"/>
  <c r="B208" i="2"/>
  <c r="K206" i="2"/>
  <c r="J207" i="2" l="1"/>
  <c r="B209" i="2"/>
  <c r="K207" i="2"/>
  <c r="J208" i="2" l="1"/>
  <c r="B210" i="2"/>
  <c r="K208" i="2"/>
  <c r="J209" i="2" l="1"/>
  <c r="B211" i="2"/>
  <c r="K209" i="2"/>
  <c r="J210" i="2" l="1"/>
  <c r="B212" i="2"/>
  <c r="K210" i="2"/>
  <c r="J211" i="2" l="1"/>
  <c r="B213" i="2"/>
  <c r="K211" i="2"/>
  <c r="J212" i="2" l="1"/>
  <c r="B214" i="2"/>
  <c r="K212" i="2"/>
  <c r="J213" i="2" l="1"/>
  <c r="B215" i="2"/>
  <c r="K213" i="2"/>
  <c r="J214" i="2" l="1"/>
  <c r="B216" i="2"/>
  <c r="K214" i="2"/>
  <c r="J215" i="2" l="1"/>
  <c r="B217" i="2"/>
  <c r="K215" i="2"/>
  <c r="J216" i="2" l="1"/>
  <c r="B218" i="2"/>
  <c r="K216" i="2"/>
  <c r="J217" i="2" l="1"/>
  <c r="B219" i="2"/>
  <c r="K217" i="2"/>
  <c r="J218" i="2" l="1"/>
  <c r="B220" i="2"/>
  <c r="K218" i="2"/>
  <c r="J219" i="2" l="1"/>
  <c r="B221" i="2"/>
  <c r="K219" i="2"/>
  <c r="J220" i="2" l="1"/>
  <c r="B222" i="2"/>
  <c r="K220" i="2"/>
  <c r="J221" i="2" l="1"/>
  <c r="B223" i="2"/>
  <c r="K221" i="2"/>
  <c r="J222" i="2" l="1"/>
  <c r="B224" i="2"/>
  <c r="K222" i="2"/>
  <c r="B225" i="2" l="1"/>
  <c r="J223" i="2"/>
  <c r="K223" i="2"/>
  <c r="K224" i="2" l="1"/>
  <c r="J224" i="2"/>
  <c r="B226" i="2"/>
  <c r="J225" i="2" l="1"/>
  <c r="B227" i="2"/>
  <c r="K225" i="2"/>
  <c r="J226" i="2" l="1"/>
  <c r="B228" i="2"/>
  <c r="K226" i="2"/>
  <c r="J227" i="2" l="1"/>
  <c r="B229" i="2"/>
  <c r="K227" i="2"/>
  <c r="B230" i="2" l="1"/>
  <c r="J228" i="2"/>
  <c r="K228" i="2"/>
  <c r="K229" i="2" l="1"/>
  <c r="J229" i="2"/>
  <c r="B231" i="2"/>
  <c r="J230" i="2" l="1"/>
  <c r="B232" i="2"/>
  <c r="K230" i="2"/>
  <c r="J231" i="2" l="1"/>
  <c r="B233" i="2"/>
  <c r="K231" i="2"/>
  <c r="J232" i="2" l="1"/>
  <c r="B234" i="2"/>
  <c r="K232" i="2"/>
  <c r="J233" i="2" l="1"/>
  <c r="B235" i="2"/>
  <c r="K233" i="2"/>
  <c r="J234" i="2" l="1"/>
  <c r="B236" i="2"/>
  <c r="K234" i="2"/>
  <c r="J235" i="2" l="1"/>
  <c r="B237" i="2"/>
  <c r="K235" i="2"/>
  <c r="J236" i="2" l="1"/>
  <c r="B238" i="2"/>
  <c r="K236" i="2"/>
  <c r="J237" i="2" l="1"/>
  <c r="B239" i="2"/>
  <c r="K237" i="2"/>
  <c r="J238" i="2" l="1"/>
  <c r="B240" i="2"/>
  <c r="K238" i="2"/>
  <c r="J239" i="2" l="1"/>
  <c r="B241" i="2"/>
  <c r="K239" i="2"/>
  <c r="J240" i="2" l="1"/>
  <c r="B242" i="2"/>
  <c r="K240" i="2"/>
  <c r="B243" i="2" l="1"/>
  <c r="K241" i="2"/>
  <c r="J241" i="2"/>
  <c r="K242" i="2" l="1"/>
  <c r="J242" i="2"/>
  <c r="B244" i="2"/>
  <c r="J243" i="2" l="1"/>
  <c r="B245" i="2"/>
  <c r="K243" i="2"/>
  <c r="J244" i="2" l="1"/>
  <c r="B246" i="2"/>
  <c r="K244" i="2"/>
  <c r="J245" i="2" l="1"/>
  <c r="B247" i="2"/>
  <c r="K245" i="2"/>
  <c r="J246" i="2" l="1"/>
  <c r="B248" i="2"/>
  <c r="K246" i="2"/>
  <c r="J247" i="2" l="1"/>
  <c r="B249" i="2"/>
  <c r="K247" i="2"/>
  <c r="J248" i="2" l="1"/>
  <c r="B250" i="2"/>
  <c r="K248" i="2"/>
  <c r="J249" i="2" l="1"/>
  <c r="B251" i="2"/>
  <c r="K249" i="2"/>
  <c r="J250" i="2" l="1"/>
  <c r="B252" i="2"/>
  <c r="K250" i="2"/>
  <c r="B253" i="2" l="1"/>
  <c r="J251" i="2"/>
  <c r="K251" i="2"/>
  <c r="K252" i="2" l="1"/>
  <c r="J252" i="2"/>
  <c r="B254" i="2"/>
  <c r="J253" i="2" l="1"/>
  <c r="B255" i="2"/>
  <c r="K253" i="2"/>
  <c r="J254" i="2" l="1"/>
  <c r="B256" i="2"/>
  <c r="K254" i="2"/>
  <c r="J255" i="2" l="1"/>
  <c r="B257" i="2"/>
  <c r="K255" i="2"/>
  <c r="J256" i="2" l="1"/>
  <c r="B258" i="2"/>
  <c r="K256" i="2"/>
  <c r="J257" i="2" l="1"/>
  <c r="B259" i="2"/>
  <c r="K257" i="2"/>
  <c r="J258" i="2" l="1"/>
  <c r="B260" i="2"/>
  <c r="K258" i="2"/>
  <c r="J259" i="2" l="1"/>
  <c r="B261" i="2"/>
  <c r="K259" i="2"/>
  <c r="J260" i="2" l="1"/>
  <c r="B262" i="2"/>
  <c r="K260" i="2"/>
  <c r="J261" i="2" l="1"/>
  <c r="B263" i="2"/>
  <c r="K261" i="2"/>
  <c r="J262" i="2" l="1"/>
  <c r="B264" i="2"/>
  <c r="K262" i="2"/>
  <c r="J263" i="2" l="1"/>
  <c r="B265" i="2"/>
  <c r="K263" i="2"/>
  <c r="J264" i="2" l="1"/>
  <c r="B266" i="2"/>
  <c r="K264" i="2"/>
  <c r="J265" i="2" l="1"/>
  <c r="B267" i="2"/>
  <c r="K265" i="2"/>
  <c r="J266" i="2" l="1"/>
  <c r="B268" i="2"/>
  <c r="K266" i="2"/>
  <c r="J267" i="2" l="1"/>
  <c r="B269" i="2"/>
  <c r="K267" i="2"/>
  <c r="J268" i="2" l="1"/>
  <c r="B270" i="2"/>
  <c r="K268" i="2"/>
  <c r="J269" i="2" l="1"/>
  <c r="B271" i="2"/>
  <c r="K269" i="2"/>
  <c r="J270" i="2" l="1"/>
  <c r="B272" i="2"/>
  <c r="K270" i="2"/>
  <c r="J271" i="2" l="1"/>
  <c r="B273" i="2"/>
  <c r="K271" i="2"/>
  <c r="J272" i="2" l="1"/>
  <c r="B274" i="2"/>
  <c r="K272" i="2"/>
  <c r="B275" i="2" l="1"/>
  <c r="J273" i="2"/>
  <c r="K273" i="2"/>
  <c r="K274" i="2" l="1"/>
  <c r="B276" i="2"/>
  <c r="J274" i="2"/>
  <c r="K275" i="2" l="1"/>
  <c r="J275" i="2"/>
  <c r="B277" i="2"/>
  <c r="B278" i="2" l="1"/>
  <c r="J276" i="2"/>
  <c r="K276" i="2"/>
  <c r="K277" i="2" l="1"/>
  <c r="B279" i="2"/>
  <c r="J277" i="2"/>
  <c r="K278" i="2" l="1"/>
  <c r="B280" i="2"/>
  <c r="J278" i="2"/>
  <c r="K279" i="2" l="1"/>
  <c r="J279" i="2"/>
  <c r="B281" i="2"/>
  <c r="J280" i="2" l="1"/>
  <c r="B282" i="2"/>
  <c r="K280" i="2"/>
  <c r="J281" i="2" l="1"/>
  <c r="B283" i="2"/>
  <c r="K281" i="2"/>
  <c r="J282" i="2" l="1"/>
  <c r="B284" i="2"/>
  <c r="K282" i="2"/>
  <c r="J283" i="2" l="1"/>
  <c r="B285" i="2"/>
  <c r="K283" i="2"/>
  <c r="J284" i="2" l="1"/>
  <c r="B286" i="2"/>
  <c r="K284" i="2"/>
  <c r="J285" i="2" l="1"/>
  <c r="B287" i="2"/>
  <c r="K285" i="2"/>
  <c r="J286" i="2" l="1"/>
  <c r="B288" i="2"/>
  <c r="K286" i="2"/>
  <c r="J287" i="2" l="1"/>
  <c r="B289" i="2"/>
  <c r="K287" i="2"/>
  <c r="J288" i="2" l="1"/>
  <c r="B290" i="2"/>
  <c r="K288" i="2"/>
  <c r="J289" i="2" l="1"/>
  <c r="B291" i="2"/>
  <c r="K289" i="2"/>
  <c r="J290" i="2" l="1"/>
  <c r="B292" i="2"/>
  <c r="K290" i="2"/>
  <c r="J291" i="2" l="1"/>
  <c r="B293" i="2"/>
  <c r="K291" i="2"/>
  <c r="J292" i="2" l="1"/>
  <c r="B294" i="2"/>
  <c r="K292" i="2"/>
  <c r="J293" i="2" l="1"/>
  <c r="B295" i="2"/>
  <c r="K293" i="2"/>
  <c r="J294" i="2" l="1"/>
  <c r="B296" i="2"/>
  <c r="K294" i="2"/>
  <c r="J295" i="2" l="1"/>
  <c r="B297" i="2"/>
  <c r="K295" i="2"/>
  <c r="J296" i="2" l="1"/>
  <c r="B298" i="2"/>
  <c r="K296" i="2"/>
  <c r="J297" i="2" l="1"/>
  <c r="B299" i="2"/>
  <c r="K297" i="2"/>
  <c r="J298" i="2" l="1"/>
  <c r="B300" i="2"/>
  <c r="K298" i="2"/>
  <c r="J299" i="2" l="1"/>
  <c r="B301" i="2"/>
  <c r="K299" i="2"/>
  <c r="J300" i="2" l="1"/>
  <c r="B302" i="2"/>
  <c r="K300" i="2"/>
  <c r="K301" i="2" l="1"/>
  <c r="J301" i="2"/>
  <c r="B303" i="2"/>
  <c r="J302" i="2" l="1"/>
  <c r="B304" i="2"/>
  <c r="K302" i="2"/>
  <c r="J303" i="2" l="1"/>
  <c r="B305" i="2"/>
  <c r="K303" i="2"/>
  <c r="J304" i="2" l="1"/>
  <c r="B306" i="2"/>
  <c r="K304" i="2"/>
  <c r="J305" i="2" l="1"/>
  <c r="B307" i="2"/>
  <c r="K305" i="2"/>
  <c r="J306" i="2" l="1"/>
  <c r="B308" i="2"/>
  <c r="K306" i="2"/>
  <c r="J307" i="2" l="1"/>
  <c r="B309" i="2"/>
  <c r="K307" i="2"/>
  <c r="J308" i="2" l="1"/>
  <c r="B310" i="2"/>
  <c r="K308" i="2"/>
  <c r="J309" i="2" l="1"/>
  <c r="B311" i="2"/>
  <c r="K309" i="2"/>
  <c r="J310" i="2" l="1"/>
  <c r="B312" i="2"/>
  <c r="K310" i="2"/>
  <c r="B313" i="2" l="1"/>
  <c r="J311" i="2"/>
  <c r="K311" i="2"/>
  <c r="K312" i="2" l="1"/>
  <c r="J312" i="2"/>
  <c r="B314" i="2"/>
  <c r="B315" i="2" l="1"/>
  <c r="J313" i="2"/>
  <c r="K313" i="2"/>
  <c r="K314" i="2" l="1"/>
  <c r="B316" i="2"/>
  <c r="J314" i="2"/>
  <c r="K315" i="2" l="1"/>
  <c r="J315" i="2"/>
  <c r="B317" i="2"/>
  <c r="B318" i="2" l="1"/>
  <c r="J316" i="2"/>
  <c r="K316" i="2"/>
  <c r="K317" i="2" l="1"/>
  <c r="B319" i="2"/>
  <c r="J317" i="2"/>
  <c r="K318" i="2" l="1"/>
  <c r="B320" i="2"/>
  <c r="J318" i="2"/>
  <c r="K319" i="2" l="1"/>
  <c r="B321" i="2"/>
  <c r="J319" i="2"/>
  <c r="K320" i="2" l="1"/>
  <c r="B322" i="2"/>
  <c r="J320" i="2"/>
  <c r="K321" i="2" l="1"/>
  <c r="J321" i="2"/>
  <c r="B323" i="2"/>
  <c r="B324" i="2" l="1"/>
  <c r="J322" i="2"/>
  <c r="K322" i="2"/>
  <c r="K323" i="2" l="1"/>
  <c r="J323" i="2"/>
  <c r="B325" i="2"/>
  <c r="J324" i="2" l="1"/>
  <c r="B326" i="2"/>
  <c r="K324" i="2"/>
  <c r="B327" i="2" l="1"/>
  <c r="J325" i="2"/>
  <c r="K325" i="2"/>
  <c r="K326" i="2" l="1"/>
  <c r="J326" i="2"/>
  <c r="B328" i="2"/>
  <c r="B329" i="2" l="1"/>
  <c r="J327" i="2"/>
  <c r="K327" i="2"/>
  <c r="K328" i="2" l="1"/>
  <c r="J328" i="2"/>
  <c r="B330" i="2"/>
  <c r="J329" i="2" l="1"/>
  <c r="B331" i="2"/>
  <c r="K329" i="2"/>
  <c r="J330" i="2" l="1"/>
  <c r="B332" i="2"/>
  <c r="K330" i="2"/>
  <c r="J331" i="2" l="1"/>
  <c r="B333" i="2"/>
  <c r="K331" i="2"/>
  <c r="J332" i="2" l="1"/>
  <c r="B334" i="2"/>
  <c r="K332" i="2"/>
  <c r="J333" i="2" l="1"/>
  <c r="B335" i="2"/>
  <c r="K333" i="2"/>
  <c r="J334" i="2" l="1"/>
  <c r="B336" i="2"/>
  <c r="K334" i="2"/>
  <c r="J335" i="2" l="1"/>
  <c r="B337" i="2"/>
  <c r="K335" i="2"/>
  <c r="J336" i="2" l="1"/>
  <c r="B338" i="2"/>
  <c r="K336" i="2"/>
  <c r="J337" i="2" l="1"/>
  <c r="B339" i="2"/>
  <c r="K337" i="2"/>
  <c r="J338" i="2" l="1"/>
  <c r="B340" i="2"/>
  <c r="K338" i="2"/>
  <c r="J339" i="2" l="1"/>
  <c r="B341" i="2"/>
  <c r="K339" i="2"/>
  <c r="J340" i="2" l="1"/>
  <c r="B342" i="2"/>
  <c r="K340" i="2"/>
  <c r="J341" i="2" l="1"/>
  <c r="B343" i="2"/>
  <c r="K341" i="2"/>
  <c r="J342" i="2" l="1"/>
  <c r="B344" i="2"/>
  <c r="K342" i="2"/>
  <c r="J343" i="2" l="1"/>
  <c r="B345" i="2"/>
  <c r="K343" i="2"/>
  <c r="J344" i="2" l="1"/>
  <c r="B346" i="2"/>
  <c r="K344" i="2"/>
  <c r="J345" i="2" l="1"/>
  <c r="B347" i="2"/>
  <c r="K345" i="2"/>
  <c r="J346" i="2" l="1"/>
  <c r="B348" i="2"/>
  <c r="K346" i="2"/>
  <c r="J347" i="2" l="1"/>
  <c r="B349" i="2"/>
  <c r="K347" i="2"/>
  <c r="J348" i="2" l="1"/>
  <c r="B350" i="2"/>
  <c r="K348" i="2"/>
  <c r="J349" i="2" l="1"/>
  <c r="B351" i="2"/>
  <c r="K349" i="2"/>
  <c r="J350" i="2" l="1"/>
  <c r="B352" i="2"/>
  <c r="K350" i="2"/>
  <c r="J351" i="2" l="1"/>
  <c r="B353" i="2"/>
  <c r="K351" i="2"/>
  <c r="J352" i="2" l="1"/>
  <c r="B354" i="2"/>
  <c r="K352" i="2"/>
  <c r="J353" i="2" l="1"/>
  <c r="B355" i="2"/>
  <c r="K353" i="2"/>
  <c r="J354" i="2" l="1"/>
  <c r="B356" i="2"/>
  <c r="K354" i="2"/>
  <c r="J355" i="2" l="1"/>
  <c r="B357" i="2"/>
  <c r="K355" i="2"/>
  <c r="J356" i="2" l="1"/>
  <c r="B358" i="2"/>
  <c r="K356" i="2"/>
  <c r="J357" i="2" l="1"/>
  <c r="B359" i="2"/>
  <c r="K357" i="2"/>
  <c r="J358" i="2" l="1"/>
  <c r="B360" i="2"/>
  <c r="K358" i="2"/>
  <c r="J359" i="2" l="1"/>
  <c r="B361" i="2"/>
  <c r="K359" i="2"/>
  <c r="J360" i="2" l="1"/>
  <c r="B362" i="2"/>
  <c r="K360" i="2"/>
  <c r="J361" i="2" l="1"/>
  <c r="B363" i="2"/>
  <c r="K361" i="2"/>
  <c r="J362" i="2" l="1"/>
  <c r="B364" i="2"/>
  <c r="K362" i="2"/>
  <c r="J363" i="2" l="1"/>
  <c r="B365" i="2"/>
  <c r="K363" i="2"/>
  <c r="J364" i="2" l="1"/>
  <c r="B366" i="2"/>
  <c r="K364" i="2"/>
  <c r="J365" i="2" l="1"/>
  <c r="B367" i="2"/>
  <c r="K365" i="2"/>
  <c r="J366" i="2" l="1"/>
  <c r="B368" i="2"/>
  <c r="K366" i="2"/>
  <c r="J367" i="2" l="1"/>
  <c r="B369" i="2"/>
  <c r="K367" i="2"/>
  <c r="K368" i="2" l="1"/>
  <c r="J368" i="2"/>
  <c r="B370" i="2"/>
  <c r="K369" i="2" l="1"/>
  <c r="J369" i="2"/>
  <c r="B371" i="2"/>
  <c r="K370" i="2" l="1"/>
  <c r="J370" i="2"/>
  <c r="B372" i="2"/>
  <c r="K371" i="2" l="1"/>
  <c r="J371" i="2"/>
  <c r="B373" i="2"/>
  <c r="J372" i="2" l="1"/>
  <c r="B374" i="2"/>
  <c r="K372" i="2"/>
  <c r="J373" i="2" l="1"/>
  <c r="B375" i="2"/>
  <c r="K373" i="2"/>
  <c r="J374" i="2" l="1"/>
  <c r="B376" i="2"/>
  <c r="K374" i="2"/>
  <c r="J375" i="2" l="1"/>
  <c r="B377" i="2"/>
  <c r="K375" i="2"/>
  <c r="J376" i="2" l="1"/>
  <c r="B378" i="2"/>
  <c r="K376" i="2"/>
  <c r="K377" i="2" l="1"/>
  <c r="J377" i="2"/>
  <c r="B379" i="2"/>
  <c r="B380" i="2" l="1"/>
  <c r="J378" i="2"/>
  <c r="K378" i="2"/>
  <c r="K379" i="2" l="1"/>
  <c r="J379" i="2"/>
  <c r="B381" i="2"/>
  <c r="J380" i="2" l="1"/>
  <c r="B382" i="2"/>
  <c r="K380" i="2"/>
  <c r="J381" i="2" l="1"/>
  <c r="B383" i="2"/>
  <c r="K381" i="2"/>
  <c r="K382" i="2" l="1"/>
  <c r="J382" i="2"/>
  <c r="B384" i="2"/>
  <c r="J383" i="2" l="1"/>
  <c r="B385" i="2"/>
  <c r="K383" i="2"/>
  <c r="J384" i="2" l="1"/>
  <c r="B386" i="2"/>
  <c r="K384" i="2"/>
  <c r="J385" i="2" l="1"/>
  <c r="B387" i="2"/>
  <c r="K385" i="2"/>
  <c r="J386" i="2" l="1"/>
  <c r="B388" i="2"/>
  <c r="K386" i="2"/>
  <c r="J387" i="2" l="1"/>
  <c r="B389" i="2"/>
  <c r="K387" i="2"/>
  <c r="J388" i="2" l="1"/>
  <c r="B390" i="2"/>
  <c r="K388" i="2"/>
  <c r="J389" i="2" l="1"/>
  <c r="B391" i="2"/>
  <c r="K389" i="2"/>
  <c r="J390" i="2" l="1"/>
  <c r="B392" i="2"/>
  <c r="K390" i="2"/>
  <c r="J391" i="2" l="1"/>
  <c r="B393" i="2"/>
  <c r="K391" i="2"/>
  <c r="J392" i="2" l="1"/>
  <c r="B394" i="2"/>
  <c r="K392" i="2"/>
  <c r="J393" i="2" l="1"/>
  <c r="B395" i="2"/>
  <c r="K393" i="2"/>
  <c r="J394" i="2" l="1"/>
  <c r="B396" i="2"/>
  <c r="K394" i="2"/>
  <c r="J395" i="2" l="1"/>
  <c r="B397" i="2"/>
  <c r="K395" i="2"/>
  <c r="J396" i="2" l="1"/>
  <c r="B398" i="2"/>
  <c r="K396" i="2"/>
  <c r="J397" i="2" l="1"/>
  <c r="B399" i="2"/>
  <c r="K397" i="2"/>
  <c r="J398" i="2" l="1"/>
  <c r="B400" i="2"/>
  <c r="K398" i="2"/>
  <c r="J399" i="2" l="1"/>
  <c r="B401" i="2"/>
  <c r="K399" i="2"/>
  <c r="J400" i="2" l="1"/>
  <c r="B402" i="2"/>
  <c r="K400" i="2"/>
  <c r="J401" i="2" l="1"/>
  <c r="B403" i="2"/>
  <c r="K401" i="2"/>
  <c r="J402" i="2" l="1"/>
  <c r="B404" i="2"/>
  <c r="K402" i="2"/>
  <c r="J403" i="2" l="1"/>
  <c r="B405" i="2"/>
  <c r="K403" i="2"/>
  <c r="J404" i="2" l="1"/>
  <c r="B406" i="2"/>
  <c r="K404" i="2"/>
  <c r="J405" i="2" l="1"/>
  <c r="B407" i="2"/>
  <c r="K405" i="2"/>
  <c r="J406" i="2" l="1"/>
  <c r="B408" i="2"/>
  <c r="K406" i="2"/>
  <c r="J407" i="2" l="1"/>
  <c r="B409" i="2"/>
  <c r="K407" i="2"/>
  <c r="J408" i="2" l="1"/>
  <c r="B410" i="2"/>
  <c r="K408" i="2"/>
  <c r="J409" i="2" l="1"/>
  <c r="B411" i="2"/>
  <c r="K409" i="2"/>
  <c r="J410" i="2" l="1"/>
  <c r="B412" i="2"/>
  <c r="K410" i="2"/>
  <c r="J411" i="2" l="1"/>
  <c r="B413" i="2"/>
  <c r="K411" i="2"/>
  <c r="J412" i="2" l="1"/>
  <c r="B414" i="2"/>
  <c r="K412" i="2"/>
  <c r="J413" i="2" l="1"/>
  <c r="B415" i="2"/>
  <c r="K413" i="2"/>
  <c r="J414" i="2" l="1"/>
  <c r="B416" i="2"/>
  <c r="K414" i="2"/>
  <c r="J415" i="2" l="1"/>
  <c r="B417" i="2"/>
  <c r="K415" i="2"/>
  <c r="B418" i="2" l="1"/>
  <c r="J416" i="2"/>
  <c r="K416" i="2"/>
  <c r="K417" i="2" l="1"/>
  <c r="B419" i="2"/>
  <c r="J417" i="2"/>
  <c r="K418" i="2" l="1"/>
  <c r="J418" i="2"/>
  <c r="B420" i="2"/>
  <c r="J419" i="2" l="1"/>
  <c r="B421" i="2"/>
  <c r="K419" i="2"/>
  <c r="K420" i="2" l="1"/>
  <c r="J420" i="2"/>
  <c r="B422" i="2"/>
  <c r="J421" i="2" l="1"/>
  <c r="B423" i="2"/>
  <c r="K421" i="2"/>
  <c r="K422" i="2" l="1"/>
  <c r="J422" i="2"/>
  <c r="B424" i="2"/>
  <c r="K423" i="2" l="1"/>
  <c r="J423" i="2"/>
  <c r="B425" i="2"/>
  <c r="J424" i="2" l="1"/>
  <c r="B426" i="2"/>
  <c r="K424" i="2"/>
  <c r="K425" i="2" l="1"/>
  <c r="J425" i="2"/>
  <c r="B427" i="2"/>
  <c r="J426" i="2" l="1"/>
  <c r="B428" i="2"/>
  <c r="K426" i="2"/>
  <c r="J427" i="2" l="1"/>
  <c r="B429" i="2"/>
  <c r="K427" i="2"/>
  <c r="J428" i="2" l="1"/>
  <c r="B430" i="2"/>
  <c r="K428" i="2"/>
  <c r="J429" i="2" l="1"/>
  <c r="B431" i="2"/>
  <c r="K429" i="2"/>
  <c r="J430" i="2" l="1"/>
  <c r="B432" i="2"/>
  <c r="K430" i="2"/>
  <c r="J431" i="2" l="1"/>
  <c r="B433" i="2"/>
  <c r="K431" i="2"/>
  <c r="J432" i="2" l="1"/>
  <c r="B434" i="2"/>
  <c r="K432" i="2"/>
  <c r="J433" i="2" l="1"/>
  <c r="B435" i="2"/>
  <c r="K433" i="2"/>
  <c r="J434" i="2" l="1"/>
  <c r="B436" i="2"/>
  <c r="K434" i="2"/>
  <c r="J435" i="2" l="1"/>
  <c r="B437" i="2"/>
  <c r="K435" i="2"/>
  <c r="J436" i="2" l="1"/>
  <c r="B438" i="2"/>
  <c r="K436" i="2"/>
  <c r="J437" i="2" l="1"/>
  <c r="B439" i="2"/>
  <c r="K437" i="2"/>
  <c r="J438" i="2" l="1"/>
  <c r="B440" i="2"/>
  <c r="K438" i="2"/>
  <c r="J439" i="2" l="1"/>
  <c r="B441" i="2"/>
  <c r="K439" i="2"/>
  <c r="J440" i="2" l="1"/>
  <c r="B442" i="2"/>
  <c r="K440" i="2"/>
  <c r="J441" i="2" l="1"/>
  <c r="B443" i="2"/>
  <c r="K441" i="2"/>
  <c r="K442" i="2" l="1"/>
  <c r="J442" i="2"/>
  <c r="B444" i="2"/>
  <c r="B445" i="2" l="1"/>
  <c r="J443" i="2"/>
  <c r="K443" i="2"/>
  <c r="K444" i="2" l="1"/>
  <c r="J444" i="2"/>
  <c r="B446" i="2"/>
  <c r="J445" i="2" l="1"/>
  <c r="B447" i="2"/>
  <c r="K445" i="2"/>
  <c r="J446" i="2" l="1"/>
  <c r="B448" i="2"/>
  <c r="K446" i="2"/>
  <c r="J447" i="2" l="1"/>
  <c r="B449" i="2"/>
  <c r="K447" i="2"/>
  <c r="J448" i="2" l="1"/>
  <c r="B450" i="2"/>
  <c r="K448" i="2"/>
  <c r="J449" i="2" l="1"/>
  <c r="B451" i="2"/>
  <c r="K449" i="2"/>
  <c r="J450" i="2" l="1"/>
  <c r="B452" i="2"/>
  <c r="K450" i="2"/>
  <c r="J451" i="2" l="1"/>
  <c r="B453" i="2"/>
  <c r="K451" i="2"/>
  <c r="J452" i="2" l="1"/>
  <c r="B454" i="2"/>
  <c r="K452" i="2"/>
  <c r="J453" i="2" l="1"/>
  <c r="B455" i="2"/>
  <c r="K453" i="2"/>
  <c r="K454" i="2" l="1"/>
  <c r="J454" i="2"/>
  <c r="B456" i="2"/>
  <c r="J455" i="2" l="1"/>
  <c r="B457" i="2"/>
  <c r="K455" i="2"/>
  <c r="B458" i="2" l="1"/>
  <c r="J456" i="2"/>
  <c r="K456" i="2"/>
  <c r="K457" i="2" l="1"/>
  <c r="J457" i="2"/>
  <c r="B459" i="2"/>
  <c r="J458" i="2" l="1"/>
  <c r="B460" i="2"/>
  <c r="K458" i="2"/>
  <c r="J459" i="2" l="1"/>
  <c r="B461" i="2"/>
  <c r="K459" i="2"/>
  <c r="J460" i="2" l="1"/>
  <c r="B462" i="2"/>
  <c r="K460" i="2"/>
  <c r="J461" i="2" l="1"/>
  <c r="B463" i="2"/>
  <c r="K461" i="2"/>
  <c r="J462" i="2" l="1"/>
  <c r="B464" i="2"/>
  <c r="K462" i="2"/>
  <c r="J463" i="2" l="1"/>
  <c r="B465" i="2"/>
  <c r="K463" i="2"/>
  <c r="J464" i="2" l="1"/>
  <c r="B466" i="2"/>
  <c r="K464" i="2"/>
  <c r="J465" i="2" l="1"/>
  <c r="B467" i="2"/>
  <c r="K465" i="2"/>
  <c r="J466" i="2" l="1"/>
  <c r="B468" i="2"/>
  <c r="K466" i="2"/>
  <c r="J467" i="2" l="1"/>
  <c r="B469" i="2"/>
  <c r="K467" i="2"/>
  <c r="J468" i="2" l="1"/>
  <c r="B470" i="2"/>
  <c r="K468" i="2"/>
  <c r="J469" i="2" l="1"/>
  <c r="B471" i="2"/>
  <c r="K469" i="2"/>
  <c r="J470" i="2" l="1"/>
  <c r="B472" i="2"/>
  <c r="K470" i="2"/>
  <c r="J471" i="2" l="1"/>
  <c r="B473" i="2"/>
  <c r="K471" i="2"/>
  <c r="J472" i="2" l="1"/>
  <c r="B474" i="2"/>
  <c r="K472" i="2"/>
  <c r="J473" i="2" l="1"/>
  <c r="B475" i="2"/>
  <c r="K473" i="2"/>
  <c r="J474" i="2" l="1"/>
  <c r="B476" i="2"/>
  <c r="K474" i="2"/>
  <c r="J475" i="2" l="1"/>
  <c r="B477" i="2"/>
  <c r="K475" i="2"/>
  <c r="J476" i="2" l="1"/>
  <c r="B478" i="2"/>
  <c r="K476" i="2"/>
  <c r="J477" i="2" l="1"/>
  <c r="B479" i="2"/>
  <c r="K477" i="2"/>
  <c r="J478" i="2" l="1"/>
  <c r="B480" i="2"/>
  <c r="K478" i="2"/>
  <c r="J479" i="2" l="1"/>
  <c r="B481" i="2"/>
  <c r="K479" i="2"/>
  <c r="B482" i="2" l="1"/>
  <c r="J480" i="2"/>
  <c r="K480" i="2"/>
  <c r="K481" i="2" l="1"/>
  <c r="B483" i="2"/>
  <c r="J481" i="2"/>
  <c r="K482" i="2" l="1"/>
  <c r="B484" i="2"/>
  <c r="J482" i="2"/>
  <c r="K483" i="2" l="1"/>
  <c r="B485" i="2"/>
  <c r="J483" i="2"/>
  <c r="K484" i="2" l="1"/>
  <c r="B486" i="2"/>
  <c r="J484" i="2"/>
  <c r="K485" i="2" l="1"/>
  <c r="J485" i="2"/>
  <c r="B487" i="2"/>
  <c r="B488" i="2" l="1"/>
  <c r="J486" i="2"/>
  <c r="K486" i="2"/>
  <c r="K487" i="2" l="1"/>
  <c r="J487" i="2"/>
  <c r="B489" i="2"/>
  <c r="B490" i="2" l="1"/>
  <c r="J488" i="2"/>
  <c r="K488" i="2"/>
  <c r="K489" i="2" l="1"/>
  <c r="B491" i="2"/>
  <c r="J489" i="2"/>
  <c r="K490" i="2" l="1"/>
  <c r="B492" i="2"/>
  <c r="J490" i="2"/>
  <c r="K491" i="2" l="1"/>
  <c r="J491" i="2"/>
  <c r="B493" i="2"/>
  <c r="K492" i="2" l="1"/>
  <c r="J492" i="2"/>
  <c r="B494" i="2"/>
  <c r="J493" i="2" l="1"/>
  <c r="B495" i="2"/>
  <c r="K493" i="2"/>
  <c r="J494" i="2" l="1"/>
  <c r="B496" i="2"/>
  <c r="K494" i="2"/>
  <c r="J495" i="2" l="1"/>
  <c r="B497" i="2"/>
  <c r="K495" i="2"/>
  <c r="J496" i="2" l="1"/>
  <c r="B498" i="2"/>
  <c r="K496" i="2"/>
  <c r="J497" i="2" l="1"/>
  <c r="B499" i="2"/>
  <c r="K497" i="2"/>
  <c r="J498" i="2" l="1"/>
  <c r="B500" i="2"/>
  <c r="K498" i="2"/>
  <c r="J499" i="2" l="1"/>
  <c r="B501" i="2"/>
  <c r="K499" i="2"/>
  <c r="J500" i="2" l="1"/>
  <c r="B502" i="2"/>
  <c r="K500" i="2"/>
  <c r="J501" i="2" l="1"/>
  <c r="B503" i="2"/>
  <c r="K501" i="2"/>
  <c r="J502" i="2" l="1"/>
  <c r="B504" i="2"/>
  <c r="K502" i="2"/>
  <c r="J503" i="2" l="1"/>
  <c r="B505" i="2"/>
  <c r="K503" i="2"/>
  <c r="K504" i="2" l="1"/>
  <c r="J504" i="2"/>
  <c r="B506" i="2"/>
  <c r="J505" i="2" l="1"/>
  <c r="B507" i="2"/>
  <c r="K505" i="2"/>
  <c r="J506" i="2" l="1"/>
  <c r="B508" i="2"/>
  <c r="K506" i="2"/>
  <c r="J507" i="2" l="1"/>
  <c r="B509" i="2"/>
  <c r="K507" i="2"/>
  <c r="J508" i="2" l="1"/>
  <c r="B510" i="2"/>
  <c r="K508" i="2"/>
  <c r="J509" i="2" l="1"/>
  <c r="B511" i="2"/>
  <c r="K509" i="2"/>
  <c r="J510" i="2" l="1"/>
  <c r="B512" i="2"/>
  <c r="K510" i="2"/>
  <c r="J511" i="2" l="1"/>
  <c r="B513" i="2"/>
  <c r="K511" i="2"/>
  <c r="J512" i="2" l="1"/>
  <c r="B514" i="2"/>
  <c r="K512" i="2"/>
  <c r="J513" i="2" l="1"/>
  <c r="B515" i="2"/>
  <c r="K513" i="2"/>
  <c r="J514" i="2" l="1"/>
  <c r="B516" i="2"/>
  <c r="K514" i="2"/>
  <c r="K515" i="2" l="1"/>
  <c r="J515" i="2"/>
  <c r="B517" i="2"/>
  <c r="J516" i="2" l="1"/>
  <c r="B518" i="2"/>
  <c r="K516" i="2"/>
  <c r="J517" i="2" l="1"/>
  <c r="B519" i="2"/>
  <c r="K517" i="2"/>
  <c r="J518" i="2" l="1"/>
  <c r="B520" i="2"/>
  <c r="K518" i="2"/>
  <c r="J519" i="2" l="1"/>
  <c r="B521" i="2"/>
  <c r="K519" i="2"/>
  <c r="J520" i="2" l="1"/>
  <c r="B522" i="2"/>
  <c r="K520" i="2"/>
  <c r="J521" i="2" l="1"/>
  <c r="B523" i="2"/>
  <c r="K521" i="2"/>
  <c r="J522" i="2" l="1"/>
  <c r="B524" i="2"/>
  <c r="K522" i="2"/>
  <c r="J523" i="2" l="1"/>
  <c r="B525" i="2"/>
  <c r="K523" i="2"/>
  <c r="B526" i="2" l="1"/>
  <c r="J524" i="2"/>
  <c r="K524" i="2"/>
  <c r="K525" i="2" l="1"/>
  <c r="J525" i="2"/>
  <c r="B527" i="2"/>
  <c r="J526" i="2" l="1"/>
  <c r="B528" i="2"/>
  <c r="K526" i="2"/>
  <c r="J527" i="2" l="1"/>
  <c r="B529" i="2"/>
  <c r="K527" i="2"/>
  <c r="J528" i="2" l="1"/>
  <c r="B530" i="2"/>
  <c r="K528" i="2"/>
  <c r="J529" i="2" l="1"/>
  <c r="B531" i="2"/>
  <c r="K529" i="2"/>
  <c r="J530" i="2" l="1"/>
  <c r="B532" i="2"/>
  <c r="K530" i="2"/>
  <c r="J531" i="2" l="1"/>
  <c r="B533" i="2"/>
  <c r="K531" i="2"/>
  <c r="J532" i="2" l="1"/>
  <c r="B534" i="2"/>
  <c r="K532" i="2"/>
  <c r="J533" i="2" l="1"/>
  <c r="B535" i="2"/>
  <c r="K533" i="2"/>
  <c r="J534" i="2" l="1"/>
  <c r="B536" i="2"/>
  <c r="K534" i="2"/>
  <c r="J535" i="2" l="1"/>
  <c r="B537" i="2"/>
  <c r="K535" i="2"/>
  <c r="J536" i="2" l="1"/>
  <c r="B538" i="2"/>
  <c r="K536" i="2"/>
  <c r="J537" i="2" l="1"/>
  <c r="B539" i="2"/>
  <c r="K537" i="2"/>
  <c r="J538" i="2" l="1"/>
  <c r="B540" i="2"/>
  <c r="K538" i="2"/>
  <c r="K539" i="2" l="1"/>
  <c r="J539" i="2"/>
  <c r="B541" i="2"/>
  <c r="K540" i="2" l="1"/>
  <c r="J540" i="2"/>
  <c r="B542" i="2"/>
  <c r="K541" i="2" l="1"/>
  <c r="J541" i="2"/>
  <c r="B543" i="2"/>
  <c r="J542" i="2" l="1"/>
  <c r="B544" i="2"/>
  <c r="K542" i="2"/>
  <c r="J543" i="2" l="1"/>
  <c r="B545" i="2"/>
  <c r="K543" i="2"/>
  <c r="J544" i="2" l="1"/>
  <c r="B546" i="2"/>
  <c r="K544" i="2"/>
  <c r="J545" i="2" l="1"/>
  <c r="B547" i="2"/>
  <c r="K545" i="2"/>
  <c r="J546" i="2" l="1"/>
  <c r="B548" i="2"/>
  <c r="K546" i="2"/>
  <c r="J547" i="2" l="1"/>
  <c r="B549" i="2"/>
  <c r="K547" i="2"/>
  <c r="J548" i="2" l="1"/>
  <c r="B550" i="2"/>
  <c r="K548" i="2"/>
  <c r="J549" i="2" l="1"/>
  <c r="B551" i="2"/>
  <c r="K549" i="2"/>
  <c r="J550" i="2" l="1"/>
  <c r="B552" i="2"/>
  <c r="K550" i="2"/>
  <c r="J551" i="2" l="1"/>
  <c r="B553" i="2"/>
  <c r="K551" i="2"/>
  <c r="J552" i="2" l="1"/>
  <c r="B554" i="2"/>
  <c r="K552" i="2"/>
  <c r="K553" i="2" l="1"/>
  <c r="J553" i="2"/>
  <c r="B555" i="2"/>
  <c r="J554" i="2" l="1"/>
  <c r="B556" i="2"/>
  <c r="K554" i="2"/>
  <c r="J555" i="2" l="1"/>
  <c r="B557" i="2"/>
  <c r="K555" i="2"/>
  <c r="J556" i="2" l="1"/>
  <c r="B558" i="2"/>
  <c r="K556" i="2"/>
  <c r="J557" i="2" l="1"/>
  <c r="B559" i="2"/>
  <c r="K557" i="2"/>
  <c r="B560" i="2" l="1"/>
  <c r="J558" i="2"/>
  <c r="K558" i="2"/>
  <c r="K559" i="2" l="1"/>
  <c r="J559" i="2"/>
  <c r="B561" i="2"/>
  <c r="J560" i="2" l="1"/>
  <c r="B562" i="2"/>
  <c r="K560" i="2"/>
  <c r="J561" i="2" l="1"/>
  <c r="B563" i="2"/>
  <c r="K561" i="2"/>
  <c r="J562" i="2" l="1"/>
  <c r="B564" i="2"/>
  <c r="K562" i="2"/>
  <c r="J563" i="2" l="1"/>
  <c r="B565" i="2"/>
  <c r="K563" i="2"/>
  <c r="J564" i="2" l="1"/>
  <c r="B566" i="2"/>
  <c r="K564" i="2"/>
  <c r="J565" i="2" l="1"/>
  <c r="B567" i="2"/>
  <c r="K565" i="2"/>
  <c r="J566" i="2" l="1"/>
  <c r="B568" i="2"/>
  <c r="K566" i="2"/>
  <c r="J567" i="2" l="1"/>
  <c r="B569" i="2"/>
  <c r="K567" i="2"/>
  <c r="J568" i="2" l="1"/>
  <c r="B570" i="2"/>
  <c r="K568" i="2"/>
  <c r="B571" i="2" l="1"/>
  <c r="J569" i="2"/>
  <c r="K569" i="2"/>
  <c r="K570" i="2" l="1"/>
  <c r="J570" i="2"/>
  <c r="B572" i="2"/>
  <c r="J571" i="2" l="1"/>
  <c r="B573" i="2"/>
  <c r="K571" i="2"/>
  <c r="J572" i="2" l="1"/>
  <c r="B574" i="2"/>
  <c r="K572" i="2"/>
  <c r="J573" i="2" l="1"/>
  <c r="B575" i="2"/>
  <c r="K573" i="2"/>
  <c r="J574" i="2" l="1"/>
  <c r="B576" i="2"/>
  <c r="K574" i="2"/>
  <c r="J575" i="2" l="1"/>
  <c r="B577" i="2"/>
  <c r="K575" i="2"/>
  <c r="J576" i="2" l="1"/>
  <c r="B578" i="2"/>
  <c r="K576" i="2"/>
  <c r="J577" i="2" l="1"/>
  <c r="B579" i="2"/>
  <c r="K577" i="2"/>
  <c r="J578" i="2" l="1"/>
  <c r="B580" i="2"/>
  <c r="K578" i="2"/>
  <c r="J579" i="2" l="1"/>
  <c r="B581" i="2"/>
  <c r="K579" i="2"/>
  <c r="J580" i="2" l="1"/>
  <c r="B582" i="2"/>
  <c r="K580" i="2"/>
  <c r="J581" i="2" l="1"/>
  <c r="B583" i="2"/>
  <c r="K581" i="2"/>
  <c r="J582" i="2" l="1"/>
  <c r="B584" i="2"/>
  <c r="K582" i="2"/>
  <c r="J583" i="2" l="1"/>
  <c r="B585" i="2"/>
  <c r="K583" i="2"/>
  <c r="J584" i="2" l="1"/>
  <c r="B586" i="2"/>
  <c r="K584" i="2"/>
  <c r="J585" i="2" l="1"/>
  <c r="B587" i="2"/>
  <c r="K585" i="2"/>
  <c r="K586" i="2" l="1"/>
  <c r="J586" i="2"/>
  <c r="B588" i="2"/>
  <c r="J587" i="2" l="1"/>
  <c r="B589" i="2"/>
  <c r="K587" i="2"/>
  <c r="J588" i="2" l="1"/>
  <c r="B590" i="2"/>
  <c r="K588" i="2"/>
  <c r="J589" i="2" l="1"/>
  <c r="B591" i="2"/>
  <c r="K589" i="2"/>
  <c r="J590" i="2" l="1"/>
  <c r="B592" i="2"/>
  <c r="K590" i="2"/>
  <c r="J591" i="2" l="1"/>
  <c r="B593" i="2"/>
  <c r="K591" i="2"/>
  <c r="B594" i="2" l="1"/>
  <c r="J592" i="2"/>
  <c r="K592" i="2"/>
  <c r="K593" i="2" l="1"/>
  <c r="J593" i="2"/>
  <c r="B595" i="2"/>
  <c r="B596" i="2" l="1"/>
  <c r="J594" i="2"/>
  <c r="K594" i="2"/>
  <c r="K595" i="2" l="1"/>
  <c r="J595" i="2"/>
  <c r="B597" i="2"/>
  <c r="J596" i="2" l="1"/>
  <c r="B598" i="2"/>
  <c r="K596" i="2"/>
  <c r="J597" i="2" l="1"/>
  <c r="B599" i="2"/>
  <c r="K597" i="2"/>
  <c r="J598" i="2" l="1"/>
  <c r="B600" i="2"/>
  <c r="K598" i="2"/>
  <c r="J599" i="2" l="1"/>
  <c r="B601" i="2"/>
  <c r="K599" i="2"/>
  <c r="J600" i="2" l="1"/>
  <c r="B602" i="2"/>
  <c r="K600" i="2"/>
  <c r="J601" i="2" l="1"/>
  <c r="B603" i="2"/>
  <c r="K601" i="2"/>
  <c r="J602" i="2" l="1"/>
  <c r="B604" i="2"/>
  <c r="K602" i="2"/>
  <c r="J603" i="2" l="1"/>
  <c r="B605" i="2"/>
  <c r="K603" i="2"/>
  <c r="J604" i="2" l="1"/>
  <c r="B606" i="2"/>
  <c r="K604" i="2"/>
  <c r="J605" i="2" l="1"/>
  <c r="B607" i="2"/>
  <c r="K605" i="2"/>
  <c r="B608" i="2" l="1"/>
  <c r="J606" i="2"/>
  <c r="K606" i="2"/>
  <c r="K607" i="2" l="1"/>
  <c r="J607" i="2"/>
  <c r="B609" i="2"/>
  <c r="B610" i="2" l="1"/>
  <c r="J608" i="2"/>
  <c r="K608" i="2"/>
  <c r="K609" i="2" l="1"/>
  <c r="J609" i="2"/>
  <c r="B611" i="2"/>
  <c r="J610" i="2" l="1"/>
  <c r="B612" i="2"/>
  <c r="K610" i="2"/>
  <c r="J611" i="2" l="1"/>
  <c r="B613" i="2"/>
  <c r="K611" i="2"/>
  <c r="B614" i="2" l="1"/>
  <c r="J612" i="2"/>
  <c r="K612" i="2"/>
  <c r="K613" i="2" l="1"/>
  <c r="B615" i="2"/>
  <c r="J613" i="2"/>
  <c r="K614" i="2" l="1"/>
  <c r="J614" i="2"/>
  <c r="B616" i="2"/>
  <c r="B617" i="2" l="1"/>
  <c r="J615" i="2"/>
  <c r="K615" i="2"/>
  <c r="K616" i="2" l="1"/>
  <c r="J616" i="2"/>
  <c r="B618" i="2"/>
  <c r="J617" i="2" l="1"/>
  <c r="B619" i="2"/>
  <c r="K617" i="2"/>
  <c r="J618" i="2" l="1"/>
  <c r="B620" i="2"/>
  <c r="K618" i="2"/>
  <c r="K619" i="2" l="1"/>
  <c r="J619" i="2"/>
  <c r="B621" i="2"/>
  <c r="J620" i="2" l="1"/>
  <c r="B622" i="2"/>
  <c r="K620" i="2"/>
  <c r="J621" i="2" l="1"/>
  <c r="B623" i="2"/>
  <c r="K621" i="2"/>
  <c r="K622" i="2" l="1"/>
  <c r="J622" i="2"/>
  <c r="B624" i="2"/>
  <c r="J623" i="2" l="1"/>
  <c r="B625" i="2"/>
  <c r="K623" i="2"/>
  <c r="J624" i="2" l="1"/>
  <c r="B626" i="2"/>
  <c r="K624" i="2"/>
  <c r="J625" i="2" l="1"/>
  <c r="B627" i="2"/>
  <c r="K625" i="2"/>
  <c r="J626" i="2" l="1"/>
  <c r="B628" i="2"/>
  <c r="K626" i="2"/>
  <c r="J627" i="2" l="1"/>
  <c r="B629" i="2"/>
  <c r="K627" i="2"/>
  <c r="J628" i="2" l="1"/>
  <c r="B630" i="2"/>
  <c r="K628" i="2"/>
  <c r="J629" i="2" l="1"/>
  <c r="B631" i="2"/>
  <c r="K629" i="2"/>
  <c r="J630" i="2" l="1"/>
  <c r="B632" i="2"/>
  <c r="K630" i="2"/>
  <c r="J631" i="2" l="1"/>
  <c r="B633" i="2"/>
  <c r="K631" i="2"/>
  <c r="J632" i="2" l="1"/>
  <c r="B634" i="2"/>
  <c r="K632" i="2"/>
  <c r="J633" i="2" l="1"/>
  <c r="B635" i="2"/>
  <c r="K633" i="2"/>
  <c r="J634" i="2" l="1"/>
  <c r="B636" i="2"/>
  <c r="K634" i="2"/>
  <c r="J635" i="2" l="1"/>
  <c r="B637" i="2"/>
  <c r="K635" i="2"/>
  <c r="J636" i="2" l="1"/>
  <c r="B638" i="2"/>
  <c r="K636" i="2"/>
  <c r="J637" i="2" l="1"/>
  <c r="B639" i="2"/>
  <c r="K637" i="2"/>
  <c r="J638" i="2" l="1"/>
  <c r="B640" i="2"/>
  <c r="K638" i="2"/>
  <c r="J639" i="2" l="1"/>
  <c r="B641" i="2"/>
  <c r="K639" i="2"/>
  <c r="K640" i="2" l="1"/>
  <c r="J640" i="2"/>
  <c r="B642" i="2"/>
  <c r="J641" i="2" l="1"/>
  <c r="B643" i="2"/>
  <c r="K641" i="2"/>
  <c r="J642" i="2" l="1"/>
  <c r="B644" i="2"/>
  <c r="K642" i="2"/>
  <c r="J643" i="2" l="1"/>
  <c r="B645" i="2"/>
  <c r="K643" i="2"/>
  <c r="J644" i="2" l="1"/>
  <c r="B646" i="2"/>
  <c r="K644" i="2"/>
  <c r="J645" i="2" l="1"/>
  <c r="B647" i="2"/>
  <c r="K645" i="2"/>
  <c r="J646" i="2" l="1"/>
  <c r="B648" i="2"/>
  <c r="K646" i="2"/>
  <c r="J647" i="2" l="1"/>
  <c r="B649" i="2"/>
  <c r="K647" i="2"/>
  <c r="B650" i="2" l="1"/>
  <c r="J648" i="2"/>
  <c r="K648" i="2"/>
  <c r="K649" i="2" l="1"/>
  <c r="J649" i="2"/>
  <c r="B651" i="2"/>
  <c r="J650" i="2" l="1"/>
  <c r="B652" i="2"/>
  <c r="K650" i="2"/>
  <c r="J651" i="2" l="1"/>
  <c r="B653" i="2"/>
  <c r="K651" i="2"/>
  <c r="J652" i="2" l="1"/>
  <c r="B654" i="2"/>
  <c r="K652" i="2"/>
  <c r="J653" i="2" l="1"/>
  <c r="B655" i="2"/>
  <c r="K653" i="2"/>
  <c r="J654" i="2" l="1"/>
  <c r="B656" i="2"/>
  <c r="K654" i="2"/>
  <c r="J655" i="2" l="1"/>
  <c r="B657" i="2"/>
  <c r="K655" i="2"/>
  <c r="J656" i="2" l="1"/>
  <c r="B658" i="2"/>
  <c r="K656" i="2"/>
  <c r="J657" i="2" l="1"/>
  <c r="B659" i="2"/>
  <c r="K657" i="2"/>
  <c r="K658" i="2" l="1"/>
  <c r="J658" i="2"/>
  <c r="B660" i="2"/>
  <c r="J659" i="2" l="1"/>
  <c r="B661" i="2"/>
  <c r="K659" i="2"/>
  <c r="J660" i="2" l="1"/>
  <c r="B662" i="2"/>
  <c r="K660" i="2"/>
  <c r="J661" i="2" l="1"/>
  <c r="B663" i="2"/>
  <c r="K661" i="2"/>
  <c r="J662" i="2" l="1"/>
  <c r="B664" i="2"/>
  <c r="K662" i="2"/>
  <c r="J663" i="2" l="1"/>
  <c r="B665" i="2"/>
  <c r="K663" i="2"/>
  <c r="J664" i="2" l="1"/>
  <c r="B666" i="2"/>
  <c r="K664" i="2"/>
  <c r="J665" i="2" l="1"/>
  <c r="B667" i="2"/>
  <c r="K665" i="2"/>
  <c r="J666" i="2" l="1"/>
  <c r="B668" i="2"/>
  <c r="K666" i="2"/>
  <c r="J667" i="2" l="1"/>
  <c r="B669" i="2"/>
  <c r="K667" i="2"/>
  <c r="J668" i="2" l="1"/>
  <c r="B670" i="2"/>
  <c r="K668" i="2"/>
  <c r="J669" i="2" l="1"/>
  <c r="B671" i="2"/>
  <c r="K669" i="2"/>
  <c r="J670" i="2" l="1"/>
  <c r="B672" i="2"/>
  <c r="K670" i="2"/>
  <c r="J671" i="2" l="1"/>
  <c r="B673" i="2"/>
  <c r="K671" i="2"/>
  <c r="J672" i="2" l="1"/>
  <c r="B674" i="2"/>
  <c r="K672" i="2"/>
  <c r="J673" i="2" l="1"/>
  <c r="B675" i="2"/>
  <c r="K673" i="2"/>
  <c r="J674" i="2" l="1"/>
  <c r="B676" i="2"/>
  <c r="K674" i="2"/>
  <c r="J675" i="2" l="1"/>
  <c r="B677" i="2"/>
  <c r="K675" i="2"/>
  <c r="K676" i="2" l="1"/>
  <c r="J676" i="2"/>
  <c r="B678" i="2"/>
  <c r="J677" i="2" l="1"/>
  <c r="B679" i="2"/>
  <c r="K677" i="2"/>
  <c r="B680" i="2" l="1"/>
  <c r="J678" i="2"/>
  <c r="K678" i="2"/>
  <c r="K679" i="2" l="1"/>
  <c r="J679" i="2"/>
  <c r="B681" i="2"/>
  <c r="J680" i="2" l="1"/>
  <c r="B682" i="2"/>
  <c r="K680" i="2"/>
  <c r="J681" i="2" l="1"/>
  <c r="B683" i="2"/>
  <c r="K681" i="2"/>
  <c r="J682" i="2" l="1"/>
  <c r="B684" i="2"/>
  <c r="K682" i="2"/>
  <c r="K683" i="2" l="1"/>
  <c r="J683" i="2"/>
  <c r="B685" i="2"/>
  <c r="J684" i="2" l="1"/>
  <c r="B686" i="2"/>
  <c r="K684" i="2"/>
  <c r="J685" i="2" l="1"/>
  <c r="B687" i="2"/>
  <c r="K685" i="2"/>
  <c r="B688" i="2" l="1"/>
  <c r="J686" i="2"/>
  <c r="K686" i="2"/>
  <c r="K687" i="2" l="1"/>
  <c r="J687" i="2"/>
  <c r="B689" i="2"/>
  <c r="J688" i="2" l="1"/>
  <c r="B690" i="2"/>
  <c r="K688" i="2"/>
  <c r="B691" i="2" l="1"/>
  <c r="J689" i="2"/>
  <c r="K689" i="2"/>
  <c r="K690" i="2" l="1"/>
  <c r="J690" i="2"/>
  <c r="B692" i="2"/>
  <c r="J691" i="2" l="1"/>
  <c r="B693" i="2"/>
  <c r="K691" i="2"/>
  <c r="J692" i="2" l="1"/>
  <c r="B694" i="2"/>
  <c r="K692" i="2"/>
  <c r="J693" i="2" l="1"/>
  <c r="B695" i="2"/>
  <c r="K693" i="2"/>
  <c r="K694" i="2" l="1"/>
  <c r="J694" i="2"/>
  <c r="B696" i="2"/>
  <c r="J695" i="2" l="1"/>
  <c r="B697" i="2"/>
  <c r="K695" i="2"/>
  <c r="J696" i="2" l="1"/>
  <c r="B698" i="2"/>
  <c r="K696" i="2"/>
  <c r="J697" i="2" l="1"/>
  <c r="B699" i="2"/>
  <c r="K697" i="2"/>
  <c r="J698" i="2" l="1"/>
  <c r="B700" i="2"/>
  <c r="K698" i="2"/>
  <c r="J699" i="2" l="1"/>
  <c r="B701" i="2"/>
  <c r="K699" i="2"/>
  <c r="J700" i="2" l="1"/>
  <c r="B702" i="2"/>
  <c r="K700" i="2"/>
  <c r="J701" i="2" l="1"/>
  <c r="B703" i="2"/>
  <c r="K701" i="2"/>
  <c r="J702" i="2" l="1"/>
  <c r="B704" i="2"/>
  <c r="K702" i="2"/>
  <c r="J703" i="2" l="1"/>
  <c r="B705" i="2"/>
  <c r="K703" i="2"/>
  <c r="J704" i="2" l="1"/>
  <c r="B706" i="2"/>
  <c r="K704" i="2"/>
  <c r="J705" i="2" l="1"/>
  <c r="B707" i="2"/>
  <c r="K705" i="2"/>
  <c r="J706" i="2" l="1"/>
  <c r="B708" i="2"/>
  <c r="K706" i="2"/>
  <c r="K707" i="2" l="1"/>
  <c r="J707" i="2"/>
  <c r="B709" i="2"/>
  <c r="J708" i="2" l="1"/>
  <c r="B710" i="2"/>
  <c r="K708" i="2"/>
  <c r="J709" i="2" l="1"/>
  <c r="B711" i="2"/>
  <c r="K709" i="2"/>
  <c r="J710" i="2" l="1"/>
  <c r="B712" i="2"/>
  <c r="K710" i="2"/>
  <c r="J711" i="2" l="1"/>
  <c r="B713" i="2"/>
  <c r="K711" i="2"/>
  <c r="J712" i="2" l="1"/>
  <c r="B714" i="2"/>
  <c r="K712" i="2"/>
  <c r="J713" i="2" l="1"/>
  <c r="B715" i="2"/>
  <c r="K713" i="2"/>
  <c r="J714" i="2" l="1"/>
  <c r="B716" i="2"/>
  <c r="K714" i="2"/>
  <c r="J715" i="2" l="1"/>
  <c r="B717" i="2"/>
  <c r="K715" i="2"/>
  <c r="J716" i="2" l="1"/>
  <c r="B718" i="2"/>
  <c r="K716" i="2"/>
  <c r="J717" i="2" l="1"/>
  <c r="B719" i="2"/>
  <c r="K717" i="2"/>
  <c r="J718" i="2" l="1"/>
  <c r="B720" i="2"/>
  <c r="K718" i="2"/>
  <c r="J719" i="2" l="1"/>
  <c r="B721" i="2"/>
  <c r="K719" i="2"/>
  <c r="K720" i="2" l="1"/>
  <c r="J720" i="2"/>
  <c r="B722" i="2"/>
  <c r="J721" i="2" l="1"/>
  <c r="B723" i="2"/>
  <c r="K721" i="2"/>
  <c r="J722" i="2" l="1"/>
  <c r="B724" i="2"/>
  <c r="K722" i="2"/>
  <c r="J723" i="2" l="1"/>
  <c r="B725" i="2"/>
  <c r="K723" i="2"/>
  <c r="J724" i="2" l="1"/>
  <c r="B726" i="2"/>
  <c r="K724" i="2"/>
  <c r="J725" i="2" l="1"/>
  <c r="B727" i="2"/>
  <c r="K725" i="2"/>
  <c r="J726" i="2" l="1"/>
  <c r="B728" i="2"/>
  <c r="K726" i="2"/>
  <c r="J727" i="2" l="1"/>
  <c r="B729" i="2"/>
  <c r="K727" i="2"/>
  <c r="K728" i="2" l="1"/>
  <c r="J728" i="2"/>
  <c r="B730" i="2"/>
  <c r="K729" i="2" l="1"/>
  <c r="J729" i="2"/>
  <c r="B731" i="2"/>
  <c r="J730" i="2" l="1"/>
  <c r="B732" i="2"/>
  <c r="K730" i="2"/>
  <c r="J731" i="2" l="1"/>
  <c r="B733" i="2"/>
  <c r="K731" i="2"/>
  <c r="J732" i="2" l="1"/>
  <c r="B734" i="2"/>
  <c r="K732" i="2"/>
  <c r="J733" i="2" l="1"/>
  <c r="B735" i="2"/>
  <c r="K733" i="2"/>
  <c r="J734" i="2" l="1"/>
  <c r="B736" i="2"/>
  <c r="K734" i="2"/>
  <c r="J735" i="2" l="1"/>
  <c r="B737" i="2"/>
  <c r="K735" i="2"/>
  <c r="J736" i="2" l="1"/>
  <c r="B738" i="2"/>
  <c r="K736" i="2"/>
  <c r="J737" i="2" l="1"/>
  <c r="B739" i="2"/>
  <c r="K737" i="2"/>
  <c r="J738" i="2" l="1"/>
  <c r="B740" i="2"/>
  <c r="K738" i="2"/>
  <c r="J739" i="2" l="1"/>
  <c r="B741" i="2"/>
  <c r="K739" i="2"/>
  <c r="J740" i="2" l="1"/>
  <c r="B742" i="2"/>
  <c r="K740" i="2"/>
  <c r="J741" i="2" l="1"/>
  <c r="B743" i="2"/>
  <c r="K741" i="2"/>
  <c r="B744" i="2" l="1"/>
  <c r="J742" i="2"/>
  <c r="K742" i="2"/>
  <c r="K743" i="2" l="1"/>
  <c r="J743" i="2"/>
  <c r="B745" i="2"/>
  <c r="J744" i="2" l="1"/>
  <c r="B746" i="2"/>
  <c r="K744" i="2"/>
  <c r="B747" i="2" l="1"/>
  <c r="J745" i="2"/>
  <c r="K745" i="2"/>
  <c r="K746" i="2" l="1"/>
  <c r="J746" i="2"/>
  <c r="B748" i="2"/>
  <c r="J747" i="2" l="1"/>
  <c r="B749" i="2"/>
  <c r="K747" i="2"/>
  <c r="B750" i="2" l="1"/>
  <c r="J748" i="2"/>
  <c r="K748" i="2"/>
  <c r="K749" i="2" l="1"/>
  <c r="J749" i="2"/>
  <c r="B751" i="2"/>
  <c r="B752" i="2" l="1"/>
  <c r="J750" i="2"/>
  <c r="K750" i="2"/>
  <c r="K751" i="2" l="1"/>
  <c r="J751" i="2"/>
  <c r="B753" i="2"/>
  <c r="B754" i="2" l="1"/>
  <c r="J752" i="2"/>
  <c r="K752" i="2"/>
  <c r="K753" i="2" l="1"/>
  <c r="B755" i="2"/>
  <c r="J753" i="2"/>
  <c r="K754" i="2" l="1"/>
  <c r="B756" i="2"/>
  <c r="J754" i="2"/>
  <c r="J755" i="2" l="1"/>
  <c r="B757" i="2"/>
  <c r="K755" i="2"/>
  <c r="K756" i="2" l="1"/>
  <c r="J756" i="2"/>
  <c r="B758" i="2"/>
  <c r="J757" i="2" l="1"/>
  <c r="B759" i="2"/>
  <c r="K757" i="2"/>
  <c r="B760" i="2" l="1"/>
  <c r="J758" i="2"/>
  <c r="K758" i="2"/>
  <c r="K759" i="2" l="1"/>
  <c r="J759" i="2"/>
  <c r="B761" i="2"/>
  <c r="J760" i="2" l="1"/>
  <c r="B762" i="2"/>
  <c r="K760" i="2"/>
  <c r="J761" i="2" l="1"/>
  <c r="B763" i="2"/>
  <c r="K761" i="2"/>
  <c r="J762" i="2" l="1"/>
  <c r="B764" i="2"/>
  <c r="K762" i="2"/>
  <c r="J763" i="2" l="1"/>
  <c r="B765" i="2"/>
  <c r="K763" i="2"/>
  <c r="J764" i="2" l="1"/>
  <c r="B766" i="2"/>
  <c r="K764" i="2"/>
  <c r="K765" i="2" l="1"/>
  <c r="J765" i="2"/>
  <c r="B767" i="2"/>
  <c r="J766" i="2" l="1"/>
  <c r="B768" i="2"/>
  <c r="K766" i="2"/>
  <c r="J767" i="2" l="1"/>
  <c r="B769" i="2"/>
  <c r="K767" i="2"/>
  <c r="J768" i="2" l="1"/>
  <c r="B770" i="2"/>
  <c r="K768" i="2"/>
  <c r="J769" i="2" l="1"/>
  <c r="B771" i="2"/>
  <c r="K769" i="2"/>
  <c r="J770" i="2" l="1"/>
  <c r="B772" i="2"/>
  <c r="K770" i="2"/>
  <c r="J771" i="2" l="1"/>
  <c r="B773" i="2"/>
  <c r="K771" i="2"/>
  <c r="J772" i="2" l="1"/>
  <c r="B774" i="2"/>
  <c r="K772" i="2"/>
  <c r="J773" i="2" l="1"/>
  <c r="B775" i="2"/>
  <c r="K773" i="2"/>
  <c r="K774" i="2" l="1"/>
  <c r="J774" i="2"/>
  <c r="B776" i="2"/>
  <c r="J775" i="2" l="1"/>
  <c r="B777" i="2"/>
  <c r="K775" i="2"/>
  <c r="J776" i="2" l="1"/>
  <c r="B778" i="2"/>
  <c r="K776" i="2"/>
  <c r="J777" i="2" l="1"/>
  <c r="B779" i="2"/>
  <c r="K777" i="2"/>
  <c r="B780" i="2" l="1"/>
  <c r="J778" i="2"/>
  <c r="K778" i="2"/>
  <c r="K779" i="2" l="1"/>
  <c r="J779" i="2"/>
  <c r="B781" i="2"/>
  <c r="B782" i="2" l="1"/>
  <c r="J780" i="2"/>
  <c r="K780" i="2"/>
  <c r="K781" i="2" l="1"/>
  <c r="B783" i="2"/>
  <c r="J781" i="2"/>
  <c r="K782" i="2" l="1"/>
  <c r="B784" i="2"/>
  <c r="J782" i="2"/>
  <c r="K783" i="2" l="1"/>
  <c r="B785" i="2"/>
  <c r="J783" i="2"/>
  <c r="K784" i="2" l="1"/>
  <c r="B786" i="2"/>
  <c r="J784" i="2"/>
  <c r="K785" i="2" l="1"/>
  <c r="B787" i="2"/>
  <c r="J785" i="2"/>
  <c r="K786" i="2" l="1"/>
  <c r="B788" i="2"/>
  <c r="J786" i="2"/>
  <c r="K787" i="2" l="1"/>
  <c r="B789" i="2"/>
  <c r="J787" i="2"/>
  <c r="K788" i="2" l="1"/>
  <c r="B790" i="2"/>
  <c r="J788" i="2"/>
  <c r="K789" i="2" l="1"/>
  <c r="J789" i="2"/>
  <c r="B791" i="2"/>
  <c r="B792" i="2" l="1"/>
  <c r="J790" i="2"/>
  <c r="K790" i="2"/>
  <c r="J791" i="2" l="1"/>
  <c r="B793" i="2"/>
  <c r="K791" i="2"/>
  <c r="K792" i="2" l="1"/>
  <c r="J792" i="2"/>
  <c r="B794" i="2"/>
  <c r="J793" i="2" l="1"/>
  <c r="B795" i="2"/>
  <c r="K793" i="2"/>
  <c r="J794" i="2" l="1"/>
  <c r="B796" i="2"/>
  <c r="K794" i="2"/>
  <c r="J795" i="2" l="1"/>
  <c r="B797" i="2"/>
  <c r="K795" i="2"/>
  <c r="J796" i="2" l="1"/>
  <c r="B798" i="2"/>
  <c r="K796" i="2"/>
  <c r="J797" i="2" l="1"/>
  <c r="B799" i="2"/>
  <c r="K797" i="2"/>
  <c r="J798" i="2" l="1"/>
  <c r="B800" i="2"/>
  <c r="K798" i="2"/>
  <c r="J799" i="2" l="1"/>
  <c r="B801" i="2"/>
  <c r="K799" i="2"/>
  <c r="K800" i="2" l="1"/>
  <c r="J800" i="2"/>
  <c r="B802" i="2"/>
  <c r="K801" i="2" l="1"/>
  <c r="J801" i="2"/>
  <c r="B803" i="2"/>
  <c r="J802" i="2" l="1"/>
  <c r="B804" i="2"/>
  <c r="K802" i="2"/>
  <c r="J803" i="2" l="1"/>
  <c r="B805" i="2"/>
  <c r="K803" i="2"/>
  <c r="J804" i="2" l="1"/>
  <c r="B806" i="2"/>
  <c r="K804" i="2"/>
  <c r="K805" i="2" l="1"/>
  <c r="J805" i="2"/>
  <c r="B807" i="2"/>
  <c r="K806" i="2" l="1"/>
  <c r="J806" i="2"/>
  <c r="B808" i="2"/>
  <c r="K807" i="2" l="1"/>
  <c r="J807" i="2"/>
  <c r="B809" i="2"/>
  <c r="K808" i="2" l="1"/>
  <c r="J808" i="2"/>
  <c r="B810" i="2"/>
  <c r="K809" i="2" l="1"/>
  <c r="J809" i="2"/>
  <c r="B811" i="2"/>
  <c r="K810" i="2" l="1"/>
  <c r="J810" i="2"/>
  <c r="B812" i="2"/>
  <c r="K811" i="2" l="1"/>
  <c r="J811" i="2"/>
  <c r="B813" i="2"/>
  <c r="J812" i="2" l="1"/>
  <c r="B814" i="2"/>
  <c r="K812" i="2"/>
  <c r="J813" i="2" l="1"/>
  <c r="B815" i="2"/>
  <c r="K813" i="2"/>
  <c r="J814" i="2" l="1"/>
  <c r="B816" i="2"/>
  <c r="K814" i="2"/>
  <c r="K815" i="2" l="1"/>
  <c r="J815" i="2"/>
  <c r="B817" i="2"/>
  <c r="J816" i="2" l="1"/>
  <c r="B818" i="2"/>
  <c r="K816" i="2"/>
  <c r="J817" i="2" l="1"/>
  <c r="B819" i="2"/>
  <c r="K817" i="2"/>
  <c r="K818" i="2" l="1"/>
  <c r="J818" i="2"/>
  <c r="B820" i="2"/>
  <c r="K819" i="2" l="1"/>
  <c r="J819" i="2"/>
  <c r="B821" i="2"/>
  <c r="J820" i="2" l="1"/>
  <c r="B822" i="2"/>
  <c r="K820" i="2"/>
  <c r="K821" i="2" l="1"/>
  <c r="J821" i="2"/>
  <c r="B823" i="2"/>
  <c r="J822" i="2" l="1"/>
  <c r="B824" i="2"/>
  <c r="K822" i="2"/>
  <c r="J823" i="2" l="1"/>
  <c r="B825" i="2"/>
  <c r="K823" i="2"/>
  <c r="J824" i="2" l="1"/>
  <c r="B826" i="2"/>
  <c r="K824" i="2"/>
  <c r="J825" i="2" l="1"/>
  <c r="B827" i="2"/>
  <c r="K825" i="2"/>
  <c r="J826" i="2" l="1"/>
  <c r="B828" i="2"/>
  <c r="K826" i="2"/>
  <c r="J827" i="2" l="1"/>
  <c r="B829" i="2"/>
  <c r="K827" i="2"/>
  <c r="K828" i="2" l="1"/>
  <c r="J828" i="2"/>
  <c r="B830" i="2"/>
  <c r="K829" i="2" l="1"/>
  <c r="J829" i="2"/>
  <c r="B831" i="2"/>
  <c r="J830" i="2" l="1"/>
  <c r="B832" i="2"/>
  <c r="K830" i="2"/>
  <c r="J831" i="2" l="1"/>
  <c r="B833" i="2"/>
  <c r="K831" i="2"/>
  <c r="J832" i="2" l="1"/>
  <c r="B834" i="2"/>
  <c r="K832" i="2"/>
  <c r="J833" i="2" l="1"/>
  <c r="B835" i="2"/>
  <c r="K833" i="2"/>
  <c r="J834" i="2" l="1"/>
  <c r="B836" i="2"/>
  <c r="K834" i="2"/>
  <c r="J835" i="2" l="1"/>
  <c r="B837" i="2"/>
  <c r="K835" i="2"/>
  <c r="J836" i="2" l="1"/>
  <c r="B838" i="2"/>
  <c r="K836" i="2"/>
  <c r="K837" i="2" l="1"/>
  <c r="J837" i="2"/>
  <c r="B839" i="2"/>
  <c r="J838" i="2" l="1"/>
  <c r="B840" i="2"/>
  <c r="K838" i="2"/>
  <c r="J839" i="2" l="1"/>
  <c r="B841" i="2"/>
  <c r="K839" i="2"/>
  <c r="J840" i="2" l="1"/>
  <c r="B842" i="2"/>
  <c r="K840" i="2"/>
  <c r="J841" i="2" l="1"/>
  <c r="B843" i="2"/>
  <c r="K841" i="2"/>
  <c r="J842" i="2" l="1"/>
  <c r="B844" i="2"/>
  <c r="K842" i="2"/>
  <c r="J843" i="2" l="1"/>
  <c r="B845" i="2"/>
  <c r="K843" i="2"/>
  <c r="J844" i="2" l="1"/>
  <c r="B846" i="2"/>
  <c r="K844" i="2"/>
  <c r="K845" i="2" l="1"/>
  <c r="J845" i="2"/>
  <c r="B847" i="2"/>
  <c r="K846" i="2" l="1"/>
  <c r="J846" i="2"/>
  <c r="B848" i="2"/>
  <c r="J847" i="2" l="1"/>
  <c r="B849" i="2"/>
  <c r="K847" i="2"/>
  <c r="J848" i="2" l="1"/>
  <c r="B850" i="2"/>
  <c r="K848" i="2"/>
  <c r="J849" i="2" l="1"/>
  <c r="B851" i="2"/>
  <c r="K849" i="2"/>
  <c r="J850" i="2" l="1"/>
  <c r="B852" i="2"/>
  <c r="K850" i="2"/>
  <c r="J851" i="2" l="1"/>
  <c r="B853" i="2"/>
  <c r="K851" i="2"/>
  <c r="K852" i="2" l="1"/>
  <c r="J852" i="2"/>
  <c r="B854" i="2"/>
  <c r="J853" i="2" l="1"/>
  <c r="B855" i="2"/>
  <c r="K853" i="2"/>
  <c r="K854" i="2" l="1"/>
  <c r="J854" i="2"/>
  <c r="B856" i="2"/>
  <c r="J855" i="2" l="1"/>
  <c r="B857" i="2"/>
  <c r="K855" i="2"/>
  <c r="J856" i="2" l="1"/>
  <c r="B858" i="2"/>
  <c r="K856" i="2"/>
  <c r="J857" i="2" l="1"/>
  <c r="B859" i="2"/>
  <c r="K857" i="2"/>
  <c r="J858" i="2" l="1"/>
  <c r="B860" i="2"/>
  <c r="K858" i="2"/>
  <c r="J859" i="2" l="1"/>
  <c r="B861" i="2"/>
  <c r="K859" i="2"/>
  <c r="J860" i="2" l="1"/>
  <c r="B862" i="2"/>
  <c r="K860" i="2"/>
  <c r="J861" i="2" l="1"/>
  <c r="B863" i="2"/>
  <c r="K861" i="2"/>
  <c r="K862" i="2" l="1"/>
  <c r="J862" i="2"/>
  <c r="B864" i="2"/>
  <c r="B865" i="2" l="1"/>
  <c r="J863" i="2"/>
  <c r="K863" i="2"/>
  <c r="K864" i="2" l="1"/>
  <c r="J864" i="2"/>
  <c r="B866" i="2"/>
  <c r="J865" i="2" l="1"/>
  <c r="B867" i="2"/>
  <c r="K865" i="2"/>
  <c r="J866" i="2" l="1"/>
  <c r="B868" i="2"/>
  <c r="K866" i="2"/>
  <c r="J867" i="2" l="1"/>
  <c r="B869" i="2"/>
  <c r="K867" i="2"/>
  <c r="J868" i="2" l="1"/>
  <c r="B870" i="2"/>
  <c r="K868" i="2"/>
  <c r="J869" i="2" l="1"/>
  <c r="B871" i="2"/>
  <c r="K869" i="2"/>
  <c r="J870" i="2" l="1"/>
  <c r="B872" i="2"/>
  <c r="K870" i="2"/>
  <c r="J871" i="2" l="1"/>
  <c r="B873" i="2"/>
  <c r="K871" i="2"/>
  <c r="K872" i="2" l="1"/>
  <c r="J872" i="2"/>
  <c r="B874" i="2"/>
  <c r="K873" i="2" l="1"/>
  <c r="J873" i="2"/>
  <c r="B875" i="2"/>
  <c r="J874" i="2" l="1"/>
  <c r="B876" i="2"/>
  <c r="K874" i="2"/>
  <c r="J875" i="2" l="1"/>
  <c r="B877" i="2"/>
  <c r="K875" i="2"/>
  <c r="J876" i="2" l="1"/>
  <c r="B878" i="2"/>
  <c r="K876" i="2"/>
  <c r="J877" i="2" l="1"/>
  <c r="B879" i="2"/>
  <c r="K877" i="2"/>
  <c r="J878" i="2" l="1"/>
  <c r="B880" i="2"/>
  <c r="K878" i="2"/>
  <c r="J879" i="2" l="1"/>
  <c r="B881" i="2"/>
  <c r="K879" i="2"/>
  <c r="J880" i="2" l="1"/>
  <c r="B882" i="2"/>
  <c r="K880" i="2"/>
  <c r="J881" i="2" l="1"/>
  <c r="B883" i="2"/>
  <c r="K881" i="2"/>
  <c r="J882" i="2" l="1"/>
  <c r="B884" i="2"/>
  <c r="K882" i="2"/>
  <c r="J883" i="2" l="1"/>
  <c r="B885" i="2"/>
  <c r="K883" i="2"/>
  <c r="J884" i="2" l="1"/>
  <c r="B886" i="2"/>
  <c r="K884" i="2"/>
  <c r="J885" i="2" l="1"/>
  <c r="B887" i="2"/>
  <c r="K885" i="2"/>
  <c r="J886" i="2" l="1"/>
  <c r="B888" i="2"/>
  <c r="K886" i="2"/>
  <c r="J887" i="2" l="1"/>
  <c r="B889" i="2"/>
  <c r="K887" i="2"/>
  <c r="J888" i="2" l="1"/>
  <c r="B890" i="2"/>
  <c r="K888" i="2"/>
  <c r="B891" i="2" l="1"/>
  <c r="J889" i="2"/>
  <c r="K889" i="2"/>
  <c r="K890" i="2" l="1"/>
  <c r="B892" i="2"/>
  <c r="J890" i="2"/>
  <c r="K891" i="2" l="1"/>
  <c r="J891" i="2"/>
  <c r="B893" i="2"/>
  <c r="B894" i="2" l="1"/>
  <c r="J892" i="2"/>
  <c r="K892" i="2"/>
  <c r="K893" i="2" l="1"/>
  <c r="J893" i="2"/>
  <c r="B895" i="2"/>
  <c r="B896" i="2" l="1"/>
  <c r="J894" i="2"/>
  <c r="K894" i="2"/>
  <c r="K895" i="2" l="1"/>
  <c r="J895" i="2"/>
  <c r="B897" i="2"/>
  <c r="K896" i="2" l="1"/>
  <c r="J896" i="2"/>
  <c r="B898" i="2"/>
  <c r="J897" i="2" l="1"/>
  <c r="B899" i="2"/>
  <c r="K897" i="2"/>
  <c r="B900" i="2" l="1"/>
  <c r="J898" i="2"/>
  <c r="K898" i="2"/>
  <c r="K899" i="2" l="1"/>
  <c r="B901" i="2"/>
  <c r="J899" i="2"/>
  <c r="K900" i="2" l="1"/>
  <c r="J900" i="2"/>
  <c r="B902" i="2"/>
  <c r="K901" i="2" l="1"/>
  <c r="J901" i="2"/>
  <c r="B903" i="2"/>
  <c r="J902" i="2" l="1"/>
  <c r="K902" i="2"/>
  <c r="B904" i="2"/>
  <c r="K903" i="2" l="1"/>
  <c r="J903" i="2"/>
  <c r="B905" i="2"/>
  <c r="J904" i="2" l="1"/>
  <c r="B906" i="2"/>
  <c r="K904" i="2"/>
  <c r="J905" i="2" l="1"/>
  <c r="B907" i="2"/>
  <c r="K905" i="2"/>
  <c r="J906" i="2" l="1"/>
  <c r="B908" i="2"/>
  <c r="K906" i="2"/>
  <c r="J907" i="2" l="1"/>
  <c r="B909" i="2"/>
  <c r="K907" i="2"/>
  <c r="K908" i="2" l="1"/>
  <c r="J908" i="2"/>
  <c r="B910" i="2"/>
  <c r="J909" i="2" l="1"/>
  <c r="B911" i="2"/>
  <c r="K909" i="2"/>
  <c r="B912" i="2" l="1"/>
  <c r="J910" i="2"/>
  <c r="K910" i="2"/>
  <c r="K911" i="2" l="1"/>
  <c r="J911" i="2"/>
  <c r="B913" i="2"/>
  <c r="J912" i="2" l="1"/>
  <c r="B914" i="2"/>
  <c r="K912" i="2"/>
  <c r="B915" i="2" l="1"/>
  <c r="J913" i="2"/>
  <c r="K913" i="2"/>
  <c r="K914" i="2" l="1"/>
  <c r="J914" i="2"/>
  <c r="B916" i="2"/>
  <c r="J915" i="2" l="1"/>
  <c r="B917" i="2"/>
  <c r="K915" i="2"/>
  <c r="J916" i="2" l="1"/>
  <c r="B918" i="2"/>
  <c r="K916" i="2"/>
  <c r="J917" i="2" l="1"/>
  <c r="B919" i="2"/>
  <c r="K917" i="2"/>
  <c r="J918" i="2" l="1"/>
  <c r="B920" i="2"/>
  <c r="K918" i="2"/>
  <c r="K919" i="2" l="1"/>
  <c r="J919" i="2"/>
  <c r="B921" i="2"/>
  <c r="J920" i="2" l="1"/>
  <c r="K920" i="2"/>
  <c r="B922" i="2"/>
  <c r="J921" i="2" l="1"/>
  <c r="B923" i="2"/>
  <c r="K921" i="2"/>
  <c r="J922" i="2" l="1"/>
  <c r="B924" i="2"/>
  <c r="K922" i="2"/>
  <c r="J923" i="2" l="1"/>
  <c r="B925" i="2"/>
  <c r="K923" i="2"/>
  <c r="J924" i="2" l="1"/>
  <c r="B926" i="2"/>
  <c r="K924" i="2"/>
  <c r="J925" i="2" l="1"/>
  <c r="B927" i="2"/>
  <c r="K925" i="2"/>
  <c r="J926" i="2" l="1"/>
  <c r="B928" i="2"/>
  <c r="K926" i="2"/>
  <c r="J927" i="2" l="1"/>
  <c r="B929" i="2"/>
  <c r="K927" i="2"/>
  <c r="J928" i="2" l="1"/>
  <c r="B930" i="2"/>
  <c r="K928" i="2"/>
  <c r="J929" i="2" l="1"/>
  <c r="B931" i="2"/>
  <c r="K929" i="2"/>
  <c r="J930" i="2" l="1"/>
  <c r="B932" i="2"/>
  <c r="K930" i="2"/>
  <c r="J931" i="2" l="1"/>
  <c r="B933" i="2"/>
  <c r="K931" i="2"/>
  <c r="J932" i="2" l="1"/>
  <c r="B934" i="2"/>
  <c r="K932" i="2"/>
  <c r="J933" i="2" l="1"/>
  <c r="B935" i="2"/>
  <c r="K933" i="2"/>
  <c r="J934" i="2" l="1"/>
  <c r="B936" i="2"/>
  <c r="K934" i="2"/>
  <c r="J935" i="2" l="1"/>
  <c r="B937" i="2"/>
  <c r="K935" i="2"/>
  <c r="J936" i="2" l="1"/>
  <c r="B938" i="2"/>
  <c r="K936" i="2"/>
  <c r="J937" i="2" l="1"/>
  <c r="B939" i="2"/>
  <c r="K937" i="2"/>
  <c r="J938" i="2" l="1"/>
  <c r="B940" i="2"/>
  <c r="K938" i="2"/>
  <c r="J939" i="2" l="1"/>
  <c r="B941" i="2"/>
  <c r="K939" i="2"/>
  <c r="J940" i="2" l="1"/>
  <c r="B942" i="2"/>
  <c r="K940" i="2"/>
  <c r="J941" i="2" l="1"/>
  <c r="B943" i="2"/>
  <c r="K941" i="2"/>
  <c r="J942" i="2" l="1"/>
  <c r="B944" i="2"/>
  <c r="K942" i="2"/>
  <c r="J943" i="2" l="1"/>
  <c r="B945" i="2"/>
  <c r="K943" i="2"/>
  <c r="J944" i="2" l="1"/>
  <c r="B946" i="2"/>
  <c r="K944" i="2"/>
  <c r="J945" i="2" l="1"/>
  <c r="B947" i="2"/>
  <c r="K945" i="2"/>
  <c r="J946" i="2" l="1"/>
  <c r="B948" i="2"/>
  <c r="K946" i="2"/>
  <c r="J947" i="2" l="1"/>
  <c r="B949" i="2"/>
  <c r="K947" i="2"/>
  <c r="J948" i="2" l="1"/>
  <c r="B950" i="2"/>
  <c r="K948" i="2"/>
  <c r="J949" i="2" l="1"/>
  <c r="B951" i="2"/>
  <c r="K949" i="2"/>
  <c r="J950" i="2" l="1"/>
  <c r="B952" i="2"/>
  <c r="K950" i="2"/>
  <c r="J951" i="2" l="1"/>
  <c r="B953" i="2"/>
  <c r="K951" i="2"/>
  <c r="J952" i="2" l="1"/>
  <c r="B954" i="2"/>
  <c r="K952" i="2"/>
  <c r="J953" i="2" l="1"/>
  <c r="B955" i="2"/>
  <c r="K953" i="2"/>
  <c r="J954" i="2" l="1"/>
  <c r="B956" i="2"/>
  <c r="K954" i="2"/>
  <c r="J955" i="2" l="1"/>
  <c r="B957" i="2"/>
  <c r="K955" i="2"/>
  <c r="J956" i="2" l="1"/>
  <c r="B958" i="2"/>
  <c r="K956" i="2"/>
  <c r="J957" i="2" l="1"/>
  <c r="B959" i="2"/>
  <c r="K957" i="2"/>
  <c r="J958" i="2" l="1"/>
  <c r="B960" i="2"/>
  <c r="K958" i="2"/>
  <c r="J959" i="2" l="1"/>
  <c r="B961" i="2"/>
  <c r="K959" i="2"/>
  <c r="J960" i="2" l="1"/>
  <c r="B962" i="2"/>
  <c r="K960" i="2"/>
  <c r="J961" i="2" l="1"/>
  <c r="B963" i="2"/>
  <c r="K961" i="2"/>
  <c r="J962" i="2" l="1"/>
  <c r="B964" i="2"/>
  <c r="K962" i="2"/>
  <c r="K963" i="2" l="1"/>
  <c r="J963" i="2"/>
  <c r="B965" i="2"/>
  <c r="J964" i="2" l="1"/>
  <c r="B966" i="2"/>
  <c r="K964" i="2"/>
  <c r="J965" i="2" l="1"/>
  <c r="B967" i="2"/>
  <c r="K965" i="2"/>
  <c r="J966" i="2" l="1"/>
  <c r="B968" i="2"/>
  <c r="K966" i="2"/>
  <c r="J967" i="2" l="1"/>
  <c r="B969" i="2"/>
  <c r="K967" i="2"/>
  <c r="J968" i="2" l="1"/>
  <c r="B970" i="2"/>
  <c r="K968" i="2"/>
  <c r="J969" i="2" l="1"/>
  <c r="B971" i="2"/>
  <c r="K969" i="2"/>
  <c r="J970" i="2" l="1"/>
  <c r="B972" i="2"/>
  <c r="K970" i="2"/>
  <c r="J971" i="2" l="1"/>
  <c r="B973" i="2"/>
  <c r="K971" i="2"/>
  <c r="J972" i="2" l="1"/>
  <c r="B974" i="2"/>
  <c r="K972" i="2"/>
  <c r="J973" i="2" l="1"/>
  <c r="B975" i="2"/>
  <c r="K973" i="2"/>
  <c r="J974" i="2" l="1"/>
  <c r="B976" i="2"/>
  <c r="K974" i="2"/>
  <c r="J975" i="2" l="1"/>
  <c r="B977" i="2"/>
  <c r="K975" i="2"/>
  <c r="J976" i="2" l="1"/>
  <c r="B978" i="2"/>
  <c r="K976" i="2"/>
  <c r="J977" i="2" l="1"/>
  <c r="B979" i="2"/>
  <c r="K977" i="2"/>
  <c r="B980" i="2" l="1"/>
  <c r="J978" i="2"/>
  <c r="K978" i="2"/>
  <c r="K979" i="2" l="1"/>
  <c r="J979" i="2"/>
  <c r="B981" i="2"/>
  <c r="B982" i="2" l="1"/>
  <c r="J980" i="2"/>
  <c r="K980" i="2"/>
  <c r="K981" i="2" l="1"/>
  <c r="B983" i="2"/>
  <c r="J981" i="2"/>
  <c r="K982" i="2" l="1"/>
  <c r="B984" i="2"/>
  <c r="J982" i="2"/>
  <c r="K983" i="2" l="1"/>
  <c r="B985" i="2"/>
  <c r="J983" i="2"/>
  <c r="K984" i="2" l="1"/>
  <c r="B986" i="2"/>
  <c r="J984" i="2"/>
  <c r="K985" i="2" l="1"/>
  <c r="B987" i="2"/>
  <c r="J985" i="2"/>
  <c r="K986" i="2" l="1"/>
  <c r="B988" i="2"/>
  <c r="J986" i="2"/>
  <c r="K987" i="2" l="1"/>
  <c r="B989" i="2"/>
  <c r="J988" i="2" s="1"/>
  <c r="J987" i="2"/>
  <c r="K988" i="2" l="1"/>
  <c r="B990" i="2"/>
  <c r="K989" i="2" l="1"/>
  <c r="J989" i="2"/>
  <c r="B991" i="2"/>
  <c r="J990" i="2" l="1"/>
  <c r="B992" i="2"/>
  <c r="K990" i="2"/>
  <c r="J991" i="2" l="1"/>
  <c r="B993" i="2"/>
  <c r="K991" i="2"/>
  <c r="J992" i="2" l="1"/>
  <c r="B994" i="2"/>
  <c r="K992" i="2"/>
  <c r="J993" i="2" l="1"/>
  <c r="B995" i="2"/>
  <c r="K993" i="2"/>
  <c r="J994" i="2" l="1"/>
  <c r="B996" i="2"/>
  <c r="K994" i="2"/>
  <c r="J995" i="2" l="1"/>
  <c r="B997" i="2"/>
  <c r="K995" i="2"/>
  <c r="J996" i="2" l="1"/>
  <c r="B998" i="2"/>
  <c r="K996" i="2"/>
  <c r="J997" i="2" l="1"/>
  <c r="B999" i="2"/>
  <c r="K997" i="2"/>
  <c r="J998" i="2" l="1"/>
  <c r="B1000" i="2"/>
  <c r="K998" i="2"/>
  <c r="J999" i="2" l="1"/>
  <c r="B1001" i="2"/>
  <c r="K999" i="2"/>
  <c r="J1000" i="2" l="1"/>
  <c r="B1002" i="2"/>
  <c r="K1000" i="2"/>
  <c r="B1003" i="2" l="1"/>
  <c r="J1001" i="2"/>
  <c r="K1001" i="2"/>
  <c r="K1002" i="2" l="1"/>
  <c r="J1002" i="2"/>
  <c r="B1004" i="2"/>
  <c r="J1003" i="2" l="1"/>
  <c r="B1005" i="2"/>
  <c r="K1003" i="2"/>
  <c r="J1004" i="2" l="1"/>
  <c r="B1006" i="2"/>
  <c r="B1007" i="2" s="1"/>
  <c r="K1004" i="2"/>
  <c r="B1008" i="2" l="1"/>
  <c r="J1007" i="2" s="1"/>
  <c r="J1005" i="2"/>
  <c r="K1006" i="2"/>
  <c r="J1006" i="2"/>
  <c r="K1005" i="2"/>
  <c r="B1009" i="2" l="1"/>
  <c r="K1008" i="2" s="1"/>
  <c r="K1007" i="2"/>
  <c r="B1010" i="2" l="1"/>
  <c r="J1008" i="2"/>
  <c r="J1009" i="2" l="1"/>
  <c r="B1011" i="2"/>
  <c r="K1010" i="2" s="1"/>
  <c r="K1009" i="2"/>
  <c r="B1012" i="2" l="1"/>
  <c r="J1010" i="2"/>
  <c r="J1011" i="2" l="1"/>
  <c r="B1013" i="2"/>
  <c r="K1012" i="2" s="1"/>
  <c r="K1011" i="2"/>
  <c r="B1014" i="2" l="1"/>
  <c r="J1012" i="2"/>
  <c r="J1013" i="2" l="1"/>
  <c r="B1015" i="2"/>
  <c r="K1014" i="2" s="1"/>
  <c r="K1013" i="2"/>
  <c r="B1016" i="2" l="1"/>
  <c r="J1015" i="2" s="1"/>
  <c r="J1014" i="2"/>
  <c r="B1017" i="2" l="1"/>
  <c r="K1016" i="2" s="1"/>
  <c r="K1015" i="2"/>
  <c r="B1018" i="2" l="1"/>
  <c r="J1017" i="2" s="1"/>
  <c r="J1016" i="2"/>
  <c r="B1019" i="2" l="1"/>
  <c r="K1018" i="2" s="1"/>
  <c r="K1017" i="2"/>
  <c r="B1020" i="2" l="1"/>
  <c r="J1019" i="2" s="1"/>
  <c r="J1018" i="2"/>
  <c r="B1021" i="2" l="1"/>
  <c r="K1020" i="2" s="1"/>
  <c r="K1019" i="2"/>
  <c r="B1022" i="2" l="1"/>
  <c r="J1021" i="2" s="1"/>
  <c r="J1020" i="2"/>
  <c r="B1023" i="2" l="1"/>
  <c r="K1022" i="2" s="1"/>
  <c r="K1021" i="2"/>
  <c r="B1024" i="2" l="1"/>
  <c r="J1023" i="2" s="1"/>
  <c r="J1022" i="2"/>
  <c r="B1025" i="2" l="1"/>
  <c r="K1024" i="2" s="1"/>
  <c r="K1023" i="2"/>
  <c r="B1026" i="2" l="1"/>
  <c r="J1025" i="2" s="1"/>
  <c r="J1024" i="2"/>
  <c r="B1027" i="2" l="1"/>
  <c r="K1026" i="2" s="1"/>
  <c r="K1025" i="2"/>
  <c r="B1028" i="2" l="1"/>
  <c r="J1027" i="2" s="1"/>
  <c r="J1026" i="2"/>
  <c r="B1029" i="2" l="1"/>
  <c r="K1028" i="2" s="1"/>
  <c r="K1027" i="2"/>
  <c r="B1030" i="2" l="1"/>
  <c r="J1029" i="2" s="1"/>
  <c r="J1028" i="2"/>
  <c r="B1031" i="2" l="1"/>
  <c r="K1030" i="2" s="1"/>
  <c r="K1029" i="2"/>
  <c r="B1032" i="2" l="1"/>
  <c r="J1031" i="2" s="1"/>
  <c r="J1030" i="2"/>
  <c r="B1033" i="2" l="1"/>
  <c r="K1032" i="2" s="1"/>
  <c r="K1031" i="2"/>
  <c r="B1034" i="2" l="1"/>
  <c r="K1033" i="2" s="1"/>
  <c r="J1032" i="2"/>
  <c r="J1033" i="2" l="1"/>
  <c r="B1035" i="2"/>
  <c r="J1034" i="2" s="1"/>
  <c r="K1034" i="2" l="1"/>
  <c r="B1036" i="2"/>
  <c r="J1035" i="2" s="1"/>
  <c r="B1037" i="2" l="1"/>
  <c r="K1036" i="2" s="1"/>
  <c r="K1035" i="2"/>
  <c r="B1038" i="2" l="1"/>
  <c r="J1037" i="2" s="1"/>
  <c r="J1036" i="2"/>
  <c r="B1039" i="2" l="1"/>
  <c r="K1038" i="2" s="1"/>
  <c r="K1037" i="2"/>
  <c r="B1040" i="2" l="1"/>
  <c r="J1039" i="2" s="1"/>
  <c r="J1038" i="2"/>
  <c r="B1041" i="2" l="1"/>
  <c r="K1040" i="2" s="1"/>
  <c r="K1039" i="2"/>
  <c r="B1042" i="2" l="1"/>
  <c r="J1041" i="2" s="1"/>
  <c r="J1040" i="2"/>
  <c r="B1043" i="2" l="1"/>
  <c r="K1042" i="2" s="1"/>
  <c r="K1041" i="2"/>
  <c r="B1044" i="2" l="1"/>
  <c r="J1043" i="2" s="1"/>
  <c r="J1042" i="2"/>
  <c r="B1045" i="2" l="1"/>
  <c r="K1044" i="2" s="1"/>
  <c r="K1043" i="2"/>
  <c r="B1046" i="2" l="1"/>
  <c r="J1045" i="2" s="1"/>
  <c r="J1044" i="2"/>
  <c r="B1047" i="2" l="1"/>
  <c r="K1046" i="2" s="1"/>
  <c r="K1045" i="2"/>
  <c r="B1048" i="2" l="1"/>
  <c r="J1047" i="2" s="1"/>
  <c r="J1046" i="2"/>
  <c r="B1049" i="2" l="1"/>
  <c r="K1048" i="2" s="1"/>
  <c r="K1047" i="2"/>
  <c r="B1050" i="2" l="1"/>
  <c r="J1049" i="2" s="1"/>
  <c r="J1048" i="2"/>
  <c r="B1051" i="2" l="1"/>
  <c r="K1050" i="2" s="1"/>
  <c r="K1049" i="2"/>
  <c r="B1052" i="2" l="1"/>
  <c r="K1051" i="2" s="1"/>
  <c r="J1050" i="2"/>
  <c r="J1051" i="2" l="1"/>
  <c r="B1053" i="2"/>
  <c r="J1052" i="2" s="1"/>
  <c r="K1052" i="2" l="1"/>
  <c r="B1054" i="2"/>
  <c r="J1053" i="2" s="1"/>
  <c r="B1055" i="2" l="1"/>
  <c r="K1054" i="2" s="1"/>
  <c r="K1053" i="2"/>
  <c r="B1056" i="2" l="1"/>
  <c r="J1055" i="2" s="1"/>
  <c r="J1054" i="2"/>
  <c r="B1057" i="2" l="1"/>
  <c r="J1056" i="2" s="1"/>
  <c r="K1055" i="2"/>
  <c r="K1056" i="2" l="1"/>
  <c r="B1058" i="2"/>
  <c r="J1057" i="2" s="1"/>
  <c r="B1059" i="2" l="1"/>
  <c r="K1058" i="2" s="1"/>
  <c r="K1057" i="2"/>
  <c r="B1060" i="2" l="1"/>
  <c r="J1059" i="2" s="1"/>
  <c r="J1058" i="2"/>
  <c r="B1061" i="2" l="1"/>
  <c r="K1060" i="2" s="1"/>
  <c r="K1059" i="2"/>
  <c r="B1062" i="2" l="1"/>
  <c r="J1061" i="2" s="1"/>
  <c r="J1060" i="2"/>
  <c r="B1063" i="2" l="1"/>
  <c r="K1062" i="2" s="1"/>
  <c r="K1061" i="2"/>
  <c r="B1064" i="2" l="1"/>
  <c r="J1063" i="2" s="1"/>
  <c r="J1062" i="2"/>
  <c r="B1065" i="2" l="1"/>
  <c r="K1064" i="2" s="1"/>
  <c r="K1063" i="2"/>
  <c r="B1066" i="2" l="1"/>
  <c r="J1065" i="2" s="1"/>
  <c r="J1064" i="2"/>
  <c r="B1067" i="2" l="1"/>
  <c r="K1066" i="2" s="1"/>
  <c r="K1065" i="2"/>
  <c r="B1068" i="2" l="1"/>
  <c r="J1067" i="2" s="1"/>
  <c r="J1066" i="2"/>
  <c r="B1069" i="2" l="1"/>
  <c r="J1068" i="2" s="1"/>
  <c r="K1067" i="2"/>
  <c r="K1068" i="2" l="1"/>
  <c r="B1070" i="2"/>
  <c r="K1069" i="2" s="1"/>
  <c r="J1069" i="2" l="1"/>
  <c r="B1071" i="2"/>
  <c r="K1070" i="2" s="1"/>
  <c r="B1072" i="2" l="1"/>
  <c r="K1071" i="2" s="1"/>
  <c r="J1070" i="2"/>
  <c r="J1071" i="2" l="1"/>
  <c r="B1073" i="2"/>
  <c r="J1072" i="2" s="1"/>
  <c r="K1072" i="2" l="1"/>
  <c r="B1074" i="2"/>
  <c r="J1073" i="2" s="1"/>
  <c r="B1075" i="2" l="1"/>
  <c r="K1074" i="2" s="1"/>
  <c r="K1073" i="2"/>
  <c r="B1076" i="2" l="1"/>
  <c r="J1075" i="2" s="1"/>
  <c r="J1074" i="2"/>
  <c r="B1077" i="2" l="1"/>
  <c r="K1076" i="2" s="1"/>
  <c r="K1075" i="2"/>
  <c r="B1078" i="2" l="1"/>
  <c r="J1077" i="2" s="1"/>
  <c r="J1076" i="2"/>
  <c r="B1079" i="2" l="1"/>
  <c r="K1078" i="2" s="1"/>
  <c r="K1077" i="2"/>
  <c r="B1080" i="2" l="1"/>
  <c r="J1079" i="2" s="1"/>
  <c r="J1078" i="2"/>
  <c r="B1081" i="2" l="1"/>
  <c r="K1080" i="2" s="1"/>
  <c r="K1079" i="2"/>
  <c r="B1082" i="2" l="1"/>
  <c r="J1081" i="2" s="1"/>
  <c r="J1080" i="2"/>
  <c r="B1083" i="2" l="1"/>
  <c r="K1082" i="2" s="1"/>
  <c r="K1081" i="2"/>
  <c r="B1084" i="2" l="1"/>
  <c r="J1083" i="2" s="1"/>
  <c r="J1082" i="2"/>
  <c r="B1085" i="2" l="1"/>
  <c r="K1084" i="2" s="1"/>
  <c r="K1083" i="2"/>
  <c r="B1086" i="2" l="1"/>
  <c r="J1085" i="2" s="1"/>
  <c r="J1084" i="2"/>
  <c r="B1087" i="2" l="1"/>
  <c r="K1086" i="2" s="1"/>
  <c r="K1085" i="2"/>
  <c r="B1088" i="2" l="1"/>
  <c r="K1087" i="2" s="1"/>
  <c r="J1086" i="2"/>
  <c r="J1087" i="2" l="1"/>
  <c r="B1089" i="2"/>
  <c r="K1088" i="2" s="1"/>
  <c r="B1090" i="2" l="1"/>
  <c r="J1089" i="2" s="1"/>
  <c r="J1088" i="2"/>
  <c r="B1091" i="2" l="1"/>
  <c r="K1090" i="2" s="1"/>
  <c r="K1089" i="2"/>
  <c r="B1092" i="2" l="1"/>
  <c r="J1091" i="2" s="1"/>
  <c r="J1090" i="2"/>
  <c r="B1093" i="2" l="1"/>
  <c r="K1092" i="2" s="1"/>
  <c r="K1091" i="2"/>
  <c r="B1094" i="2" l="1"/>
  <c r="J1093" i="2" s="1"/>
  <c r="J1092" i="2"/>
  <c r="B1095" i="2" l="1"/>
  <c r="K1094" i="2" s="1"/>
  <c r="K1093" i="2"/>
  <c r="B1096" i="2" l="1"/>
  <c r="J1095" i="2" s="1"/>
  <c r="J1094" i="2"/>
  <c r="B1097" i="2" l="1"/>
  <c r="K1096" i="2" s="1"/>
  <c r="K1095" i="2"/>
  <c r="B1098" i="2" l="1"/>
  <c r="J1097" i="2" s="1"/>
  <c r="J1096" i="2"/>
  <c r="B1099" i="2" l="1"/>
  <c r="K1098" i="2" s="1"/>
  <c r="K1097" i="2"/>
  <c r="B1100" i="2" l="1"/>
  <c r="J1099" i="2" s="1"/>
  <c r="J1098" i="2"/>
  <c r="B1101" i="2" l="1"/>
  <c r="K1100" i="2" s="1"/>
  <c r="K1099" i="2"/>
  <c r="B1102" i="2" l="1"/>
  <c r="J1101" i="2" s="1"/>
  <c r="J1100" i="2"/>
  <c r="B1103" i="2" l="1"/>
  <c r="K1102" i="2" s="1"/>
  <c r="K1101" i="2"/>
  <c r="B1104" i="2" l="1"/>
  <c r="J1103" i="2" s="1"/>
  <c r="J1102" i="2"/>
  <c r="B1105" i="2" l="1"/>
  <c r="K1104" i="2" s="1"/>
  <c r="K1103" i="2"/>
  <c r="B1106" i="2" l="1"/>
  <c r="K1105" i="2" s="1"/>
  <c r="J1104" i="2"/>
  <c r="J1105" i="2" l="1"/>
  <c r="B1107" i="2"/>
  <c r="J1106" i="2" s="1"/>
  <c r="K1106" i="2" l="1"/>
  <c r="B1108" i="2"/>
  <c r="K1107" i="2" s="1"/>
  <c r="J1107" i="2" l="1"/>
  <c r="B1109" i="2"/>
  <c r="J1108" i="2" s="1"/>
  <c r="K1108" i="2" l="1"/>
  <c r="B1110" i="2"/>
  <c r="J1109" i="2" s="1"/>
  <c r="B1111" i="2" l="1"/>
  <c r="K1110" i="2" s="1"/>
  <c r="K1109" i="2"/>
  <c r="B1112" i="2" l="1"/>
  <c r="J1111" i="2" s="1"/>
  <c r="J1110" i="2"/>
  <c r="B1113" i="2" l="1"/>
  <c r="K1112" i="2" s="1"/>
  <c r="K1111" i="2"/>
  <c r="B1114" i="2" l="1"/>
  <c r="J1113" i="2" s="1"/>
  <c r="J1112" i="2"/>
  <c r="B1115" i="2" l="1"/>
  <c r="K1114" i="2" s="1"/>
  <c r="K1113" i="2"/>
  <c r="B1116" i="2" l="1"/>
  <c r="J1115" i="2" s="1"/>
  <c r="J1114" i="2"/>
  <c r="B1117" i="2" l="1"/>
  <c r="K1116" i="2" s="1"/>
  <c r="K1115" i="2"/>
  <c r="B1118" i="2" l="1"/>
  <c r="J1117" i="2" s="1"/>
  <c r="J1116" i="2"/>
  <c r="B1119" i="2" l="1"/>
  <c r="K1118" i="2" s="1"/>
  <c r="K1117" i="2"/>
  <c r="B1120" i="2" l="1"/>
  <c r="J1119" i="2" s="1"/>
  <c r="J1118" i="2"/>
  <c r="B1121" i="2" l="1"/>
  <c r="K1120" i="2" s="1"/>
  <c r="K1119" i="2"/>
  <c r="B1122" i="2" l="1"/>
  <c r="J1121" i="2" s="1"/>
  <c r="J1120" i="2"/>
  <c r="B1123" i="2" l="1"/>
  <c r="K1122" i="2" s="1"/>
  <c r="K1121" i="2"/>
  <c r="B1124" i="2" l="1"/>
  <c r="J1123" i="2" s="1"/>
  <c r="J1122" i="2"/>
  <c r="B1125" i="2" l="1"/>
  <c r="K1124" i="2" s="1"/>
  <c r="K1123" i="2"/>
  <c r="B1126" i="2" l="1"/>
  <c r="J1125" i="2" s="1"/>
  <c r="J1124" i="2"/>
  <c r="B1127" i="2" l="1"/>
  <c r="K1126" i="2" s="1"/>
  <c r="K1125" i="2"/>
  <c r="B1128" i="2" l="1"/>
  <c r="J1127" i="2" s="1"/>
  <c r="J1126" i="2"/>
  <c r="B1129" i="2" l="1"/>
  <c r="K1128" i="2" s="1"/>
  <c r="K1127" i="2"/>
  <c r="B1130" i="2" l="1"/>
  <c r="J1129" i="2" s="1"/>
  <c r="J1128" i="2"/>
  <c r="B1131" i="2" l="1"/>
  <c r="K1130" i="2" s="1"/>
  <c r="K1129" i="2"/>
  <c r="B1132" i="2" l="1"/>
  <c r="J1131" i="2" s="1"/>
  <c r="J1130" i="2"/>
  <c r="B1133" i="2" l="1"/>
  <c r="K1132" i="2" s="1"/>
  <c r="K1131" i="2"/>
  <c r="B1134" i="2" l="1"/>
  <c r="J1133" i="2" s="1"/>
  <c r="J1132" i="2"/>
  <c r="B1135" i="2" l="1"/>
  <c r="K1134" i="2" s="1"/>
  <c r="K1133" i="2"/>
  <c r="B1136" i="2" l="1"/>
  <c r="J1135" i="2" s="1"/>
  <c r="J1134" i="2"/>
  <c r="B1137" i="2" l="1"/>
  <c r="K1136" i="2" s="1"/>
  <c r="K1135" i="2"/>
  <c r="B1138" i="2" l="1"/>
  <c r="J1137" i="2" s="1"/>
  <c r="J1136" i="2"/>
  <c r="B1139" i="2" l="1"/>
  <c r="K1138" i="2" s="1"/>
  <c r="K1137" i="2"/>
  <c r="B1140" i="2" l="1"/>
  <c r="J1139" i="2" s="1"/>
  <c r="J1138" i="2"/>
  <c r="B1141" i="2" l="1"/>
  <c r="K1140" i="2" s="1"/>
  <c r="K1139" i="2"/>
  <c r="B1142" i="2" l="1"/>
  <c r="J1141" i="2" s="1"/>
  <c r="J1140" i="2"/>
  <c r="B1143" i="2" l="1"/>
  <c r="K1142" i="2" s="1"/>
  <c r="K1141" i="2"/>
  <c r="B1144" i="2" l="1"/>
  <c r="J1143" i="2" s="1"/>
  <c r="J1142" i="2"/>
  <c r="B1145" i="2" l="1"/>
  <c r="K1144" i="2" s="1"/>
  <c r="K1143" i="2"/>
  <c r="B1146" i="2" l="1"/>
  <c r="J1145" i="2" s="1"/>
  <c r="J1144" i="2"/>
  <c r="B1147" i="2" l="1"/>
  <c r="K1146" i="2" s="1"/>
  <c r="K1145" i="2"/>
  <c r="B1148" i="2" l="1"/>
  <c r="J1147" i="2" s="1"/>
  <c r="J1146" i="2"/>
  <c r="B1149" i="2" l="1"/>
  <c r="K1148" i="2" s="1"/>
  <c r="K1147" i="2"/>
  <c r="B1150" i="2" l="1"/>
  <c r="J1149" i="2" s="1"/>
  <c r="J1148" i="2"/>
  <c r="B1151" i="2" l="1"/>
  <c r="K1150" i="2" s="1"/>
  <c r="K1149" i="2"/>
  <c r="B1152" i="2" l="1"/>
  <c r="J1151" i="2" s="1"/>
  <c r="J1150" i="2"/>
  <c r="B1153" i="2" l="1"/>
  <c r="K1152" i="2" s="1"/>
  <c r="K1151" i="2"/>
  <c r="B1154" i="2" l="1"/>
  <c r="J1153" i="2" s="1"/>
  <c r="J1152" i="2"/>
  <c r="B1155" i="2" l="1"/>
  <c r="K1154" i="2" s="1"/>
  <c r="K1153" i="2"/>
  <c r="B1156" i="2" l="1"/>
  <c r="J1155" i="2" s="1"/>
  <c r="J1154" i="2"/>
  <c r="B1157" i="2" l="1"/>
  <c r="K1156" i="2" s="1"/>
  <c r="K1155" i="2"/>
  <c r="B1158" i="2" l="1"/>
  <c r="J1157" i="2" s="1"/>
  <c r="J1156" i="2"/>
  <c r="B1159" i="2" l="1"/>
  <c r="K1158" i="2" s="1"/>
  <c r="K1157" i="2"/>
  <c r="B1160" i="2" l="1"/>
  <c r="K1159" i="2" s="1"/>
  <c r="J1158" i="2"/>
  <c r="J1159" i="2" l="1"/>
  <c r="B1161" i="2"/>
  <c r="J1160" i="2" s="1"/>
  <c r="K1160" i="2" l="1"/>
  <c r="B1162" i="2"/>
  <c r="J1161" i="2" s="1"/>
  <c r="B1163" i="2" l="1"/>
  <c r="K1162" i="2" s="1"/>
  <c r="K1161" i="2"/>
  <c r="B1164" i="2" l="1"/>
  <c r="J1163" i="2" s="1"/>
  <c r="J1162" i="2"/>
  <c r="B1165" i="2" l="1"/>
  <c r="K1164" i="2" s="1"/>
  <c r="K1163" i="2"/>
  <c r="B1166" i="2" l="1"/>
  <c r="J1165" i="2" s="1"/>
  <c r="J1164" i="2"/>
  <c r="B1167" i="2" l="1"/>
  <c r="K1166" i="2" s="1"/>
  <c r="K1165" i="2"/>
  <c r="B1168" i="2" l="1"/>
  <c r="J1167" i="2" s="1"/>
  <c r="J1166" i="2"/>
  <c r="B1169" i="2" l="1"/>
  <c r="K1168" i="2" s="1"/>
  <c r="K1167" i="2"/>
  <c r="B1170" i="2" l="1"/>
  <c r="J1169" i="2" s="1"/>
  <c r="J1168" i="2"/>
  <c r="B1171" i="2" l="1"/>
  <c r="K1170" i="2" s="1"/>
  <c r="K1169" i="2"/>
  <c r="B1172" i="2" l="1"/>
  <c r="J1171" i="2" s="1"/>
  <c r="J1170" i="2"/>
  <c r="B1173" i="2" l="1"/>
  <c r="K1172" i="2" s="1"/>
  <c r="K1171" i="2"/>
  <c r="B1174" i="2" l="1"/>
  <c r="J1173" i="2" s="1"/>
  <c r="J1172" i="2"/>
  <c r="B1175" i="2" l="1"/>
  <c r="K1174" i="2" s="1"/>
  <c r="K1173" i="2"/>
  <c r="B1176" i="2" l="1"/>
  <c r="J1175" i="2" s="1"/>
  <c r="J1174" i="2"/>
  <c r="B1177" i="2" l="1"/>
  <c r="K1176" i="2" s="1"/>
  <c r="K1175" i="2"/>
  <c r="B1178" i="2" l="1"/>
  <c r="K1177" i="2" s="1"/>
  <c r="J1176" i="2"/>
  <c r="J1177" i="2" l="1"/>
  <c r="B1179" i="2"/>
  <c r="K1178" i="2" s="1"/>
  <c r="B1180" i="2" l="1"/>
  <c r="J1179" i="2" s="1"/>
  <c r="J1178" i="2"/>
  <c r="B1181" i="2" l="1"/>
  <c r="K1180" i="2" s="1"/>
  <c r="K1179" i="2"/>
  <c r="B1182" i="2" l="1"/>
  <c r="J1181" i="2" s="1"/>
  <c r="J1180" i="2"/>
  <c r="B1183" i="2" l="1"/>
  <c r="K1182" i="2" s="1"/>
  <c r="K1181" i="2"/>
  <c r="B1184" i="2" l="1"/>
  <c r="J1183" i="2" s="1"/>
  <c r="J1182" i="2"/>
  <c r="B1185" i="2" l="1"/>
  <c r="K1184" i="2" s="1"/>
  <c r="K1183" i="2"/>
  <c r="B1186" i="2" l="1"/>
  <c r="J1185" i="2" s="1"/>
  <c r="J1184" i="2"/>
  <c r="B1187" i="2" l="1"/>
  <c r="K1186" i="2" s="1"/>
  <c r="K1185" i="2"/>
  <c r="B1188" i="2" l="1"/>
  <c r="K1187" i="2" s="1"/>
  <c r="J1186" i="2"/>
  <c r="J1187" i="2" l="1"/>
  <c r="B1189" i="2"/>
  <c r="K1188" i="2" s="1"/>
  <c r="B1190" i="2" l="1"/>
  <c r="J1189" i="2" s="1"/>
  <c r="J1188" i="2"/>
  <c r="B1191" i="2" l="1"/>
  <c r="K1190" i="2" s="1"/>
  <c r="K1189" i="2"/>
  <c r="B1192" i="2" l="1"/>
  <c r="J1191" i="2" s="1"/>
  <c r="J1190" i="2"/>
  <c r="B1193" i="2" l="1"/>
  <c r="K1192" i="2" s="1"/>
  <c r="K1191" i="2"/>
  <c r="B1194" i="2" l="1"/>
  <c r="J1193" i="2" s="1"/>
  <c r="J1192" i="2"/>
  <c r="B1195" i="2" l="1"/>
  <c r="K1194" i="2" s="1"/>
  <c r="K1193" i="2"/>
  <c r="B1196" i="2" l="1"/>
  <c r="J1195" i="2" s="1"/>
  <c r="J1194" i="2"/>
  <c r="B1197" i="2" l="1"/>
  <c r="K1196" i="2" s="1"/>
  <c r="K1195" i="2"/>
  <c r="B1198" i="2" l="1"/>
  <c r="J1197" i="2" s="1"/>
  <c r="J1196" i="2"/>
  <c r="B1199" i="2" l="1"/>
  <c r="K1198" i="2" s="1"/>
  <c r="K1197" i="2"/>
  <c r="B1200" i="2" l="1"/>
  <c r="J1199" i="2" s="1"/>
  <c r="J1198" i="2"/>
  <c r="B1201" i="2" l="1"/>
  <c r="K1200" i="2" s="1"/>
  <c r="K1199" i="2"/>
  <c r="B1202" i="2" l="1"/>
  <c r="J1201" i="2" s="1"/>
  <c r="J1200" i="2"/>
  <c r="B1203" i="2" l="1"/>
  <c r="K1202" i="2" s="1"/>
  <c r="K1201" i="2"/>
  <c r="B1204" i="2" l="1"/>
  <c r="J1203" i="2" s="1"/>
  <c r="J1202" i="2"/>
  <c r="B1205" i="2" l="1"/>
  <c r="K1204" i="2" s="1"/>
  <c r="K1203" i="2"/>
  <c r="B1206" i="2" l="1"/>
  <c r="J1205" i="2" s="1"/>
  <c r="J1204" i="2"/>
  <c r="B1207" i="2" l="1"/>
  <c r="K1206" i="2" s="1"/>
  <c r="K1205" i="2"/>
  <c r="B1208" i="2" l="1"/>
  <c r="J1207" i="2" s="1"/>
  <c r="J1206" i="2"/>
  <c r="B1209" i="2" l="1"/>
  <c r="K1207" i="2"/>
  <c r="B1210" i="2" l="1"/>
  <c r="J1209" i="2" s="1"/>
  <c r="K1208" i="2"/>
  <c r="J1208" i="2"/>
  <c r="B1211" i="2" l="1"/>
  <c r="K1210" i="2" s="1"/>
  <c r="K1209" i="2"/>
  <c r="B1212" i="2" l="1"/>
  <c r="J1211" i="2" s="1"/>
  <c r="J1210" i="2"/>
  <c r="B1213" i="2" l="1"/>
  <c r="K1212" i="2" s="1"/>
  <c r="K1211" i="2"/>
  <c r="B1214" i="2" l="1"/>
  <c r="K1213" i="2" s="1"/>
  <c r="J1212" i="2"/>
  <c r="J1213" i="2" l="1"/>
  <c r="B1215" i="2"/>
  <c r="K1214" i="2" s="1"/>
  <c r="B1216" i="2" l="1"/>
  <c r="J1215" i="2" s="1"/>
  <c r="J1214" i="2"/>
  <c r="B1217" i="2" l="1"/>
  <c r="K1216" i="2" s="1"/>
  <c r="K1215" i="2"/>
  <c r="B1218" i="2" l="1"/>
  <c r="J1217" i="2" s="1"/>
  <c r="J1216" i="2"/>
  <c r="B1219" i="2" l="1"/>
  <c r="K1218" i="2" s="1"/>
  <c r="K1217" i="2"/>
  <c r="B1220" i="2" l="1"/>
  <c r="J1219" i="2" s="1"/>
  <c r="J1218" i="2"/>
  <c r="B1221" i="2" l="1"/>
  <c r="K1220" i="2" s="1"/>
  <c r="K1219" i="2"/>
  <c r="B1222" i="2" l="1"/>
  <c r="K1221" i="2" s="1"/>
  <c r="J1220" i="2"/>
  <c r="J1221" i="2" l="1"/>
  <c r="B1223" i="2"/>
  <c r="K1222" i="2" s="1"/>
  <c r="B1224" i="2" l="1"/>
  <c r="J1223" i="2" s="1"/>
  <c r="J1222" i="2"/>
  <c r="B1225" i="2" l="1"/>
  <c r="K1224" i="2" s="1"/>
  <c r="K1223" i="2"/>
  <c r="B1226" i="2" l="1"/>
  <c r="J1225" i="2" s="1"/>
  <c r="J1224" i="2"/>
  <c r="B1227" i="2" l="1"/>
  <c r="K1226" i="2" s="1"/>
  <c r="K1225" i="2"/>
  <c r="B1228" i="2" l="1"/>
  <c r="J1227" i="2" s="1"/>
  <c r="J1226" i="2"/>
  <c r="B1229" i="2" l="1"/>
  <c r="K1228" i="2" s="1"/>
  <c r="K1227" i="2"/>
  <c r="B1230" i="2" l="1"/>
  <c r="J1229" i="2" s="1"/>
  <c r="J1228" i="2"/>
  <c r="B1231" i="2" l="1"/>
  <c r="K1230" i="2" s="1"/>
  <c r="K1229" i="2"/>
  <c r="B1232" i="2" l="1"/>
  <c r="K1231" i="2" s="1"/>
  <c r="J1230" i="2"/>
  <c r="J1231" i="2" l="1"/>
  <c r="B1233" i="2"/>
  <c r="K1232" i="2" s="1"/>
  <c r="B1234" i="2" l="1"/>
  <c r="J1233" i="2" s="1"/>
  <c r="J1232" i="2"/>
  <c r="B1235" i="2" l="1"/>
  <c r="K1234" i="2" s="1"/>
  <c r="K1233" i="2"/>
  <c r="B1236" i="2" l="1"/>
  <c r="J1235" i="2" s="1"/>
  <c r="J1234" i="2"/>
  <c r="B1237" i="2" l="1"/>
  <c r="K1236" i="2" s="1"/>
  <c r="K1235" i="2"/>
  <c r="B1238" i="2" l="1"/>
  <c r="J1237" i="2" s="1"/>
  <c r="J1236" i="2"/>
  <c r="B1239" i="2" l="1"/>
  <c r="K1238" i="2" s="1"/>
  <c r="K1237" i="2"/>
  <c r="B1240" i="2" l="1"/>
  <c r="J1239" i="2" s="1"/>
  <c r="J1238" i="2"/>
  <c r="B1241" i="2" l="1"/>
  <c r="K1240" i="2" s="1"/>
  <c r="K1239" i="2"/>
  <c r="B1242" i="2" l="1"/>
  <c r="J1241" i="2" s="1"/>
  <c r="J1240" i="2"/>
  <c r="B1243" i="2" l="1"/>
  <c r="K1242" i="2" s="1"/>
  <c r="K1241" i="2"/>
  <c r="B1244" i="2" l="1"/>
  <c r="J1243" i="2" s="1"/>
  <c r="J1242" i="2"/>
  <c r="B1245" i="2" l="1"/>
  <c r="K1244" i="2" s="1"/>
  <c r="K1243" i="2"/>
  <c r="B1246" i="2" l="1"/>
  <c r="J1245" i="2" s="1"/>
  <c r="J1244" i="2"/>
  <c r="B1247" i="2" l="1"/>
  <c r="K1246" i="2" s="1"/>
  <c r="K1245" i="2"/>
  <c r="B1248" i="2" l="1"/>
  <c r="J1247" i="2" s="1"/>
  <c r="J1246" i="2"/>
  <c r="B1249" i="2" l="1"/>
  <c r="K1248" i="2" s="1"/>
  <c r="K1247" i="2"/>
  <c r="B1250" i="2" l="1"/>
  <c r="K1249" i="2" s="1"/>
  <c r="J1248" i="2"/>
  <c r="J1249" i="2" l="1"/>
  <c r="B1251" i="2"/>
  <c r="K1250" i="2" s="1"/>
  <c r="B1252" i="2" l="1"/>
  <c r="J1251" i="2" s="1"/>
  <c r="J1250" i="2"/>
  <c r="B1253" i="2" l="1"/>
  <c r="K1252" i="2" s="1"/>
  <c r="K1251" i="2"/>
  <c r="B1254" i="2" l="1"/>
  <c r="J1253" i="2" s="1"/>
  <c r="J1252" i="2"/>
  <c r="B1255" i="2" l="1"/>
  <c r="K1254" i="2" s="1"/>
  <c r="K1253" i="2"/>
  <c r="B1256" i="2" l="1"/>
  <c r="K1255" i="2" s="1"/>
  <c r="J1254" i="2"/>
  <c r="J1255" i="2" l="1"/>
  <c r="B1257" i="2"/>
  <c r="K1256" i="2" s="1"/>
  <c r="B1258" i="2" l="1"/>
  <c r="J1257" i="2" s="1"/>
  <c r="J1256" i="2"/>
  <c r="B1259" i="2" l="1"/>
  <c r="K1258" i="2" s="1"/>
  <c r="K1257" i="2"/>
  <c r="B1260" i="2" l="1"/>
  <c r="J1259" i="2" s="1"/>
  <c r="J1258" i="2"/>
  <c r="B1261" i="2" l="1"/>
  <c r="K1260" i="2" s="1"/>
  <c r="K1259" i="2"/>
  <c r="B1262" i="2" l="1"/>
  <c r="J1261" i="2" s="1"/>
  <c r="J1260" i="2"/>
  <c r="B1263" i="2" l="1"/>
  <c r="K1262" i="2" s="1"/>
  <c r="K1261" i="2"/>
  <c r="B1264" i="2" l="1"/>
  <c r="K1263" i="2" s="1"/>
  <c r="J1262" i="2"/>
  <c r="J1263" i="2" l="1"/>
  <c r="B1265" i="2"/>
  <c r="K1264" i="2" s="1"/>
  <c r="B1266" i="2" l="1"/>
  <c r="J1265" i="2" s="1"/>
  <c r="J1264" i="2"/>
  <c r="B1267" i="2" l="1"/>
  <c r="K1266" i="2" s="1"/>
  <c r="K1265" i="2"/>
  <c r="B1268" i="2" l="1"/>
  <c r="J1267" i="2" s="1"/>
  <c r="J1266" i="2"/>
  <c r="B1269" i="2" l="1"/>
  <c r="K1268" i="2" s="1"/>
  <c r="K1267" i="2"/>
  <c r="B1270" i="2" l="1"/>
  <c r="J1269" i="2" s="1"/>
  <c r="J1268" i="2"/>
  <c r="B1271" i="2" l="1"/>
  <c r="K1270" i="2" s="1"/>
  <c r="K1269" i="2"/>
  <c r="B1272" i="2" l="1"/>
  <c r="J1271" i="2" s="1"/>
  <c r="J1270" i="2"/>
  <c r="B1273" i="2" l="1"/>
  <c r="K1272" i="2" s="1"/>
  <c r="K1271" i="2"/>
  <c r="B1274" i="2" l="1"/>
  <c r="J1273" i="2" s="1"/>
  <c r="J1272" i="2"/>
  <c r="B1275" i="2" l="1"/>
  <c r="J1274" i="2" s="1"/>
  <c r="K1273" i="2"/>
  <c r="K1274" i="2" l="1"/>
  <c r="B1276" i="2"/>
  <c r="J1275" i="2" s="1"/>
  <c r="B1277" i="2" l="1"/>
  <c r="K1276" i="2" s="1"/>
  <c r="K1275" i="2"/>
  <c r="B1278" i="2" l="1"/>
  <c r="J1277" i="2" s="1"/>
  <c r="J1276" i="2"/>
  <c r="B1279" i="2" l="1"/>
  <c r="K1278" i="2" s="1"/>
  <c r="K1277" i="2"/>
  <c r="B1280" i="2" l="1"/>
  <c r="J1279" i="2" s="1"/>
  <c r="J1278" i="2"/>
  <c r="B1281" i="2" l="1"/>
  <c r="K1280" i="2" s="1"/>
  <c r="K1279" i="2"/>
  <c r="B1282" i="2" l="1"/>
  <c r="J1281" i="2" s="1"/>
  <c r="J1280" i="2"/>
  <c r="B1283" i="2" l="1"/>
  <c r="K1282" i="2" s="1"/>
  <c r="K1281" i="2"/>
  <c r="B1284" i="2" l="1"/>
  <c r="J1283" i="2" s="1"/>
  <c r="J1282" i="2"/>
  <c r="B1285" i="2" l="1"/>
  <c r="K1284" i="2" s="1"/>
  <c r="K1283" i="2"/>
  <c r="B1286" i="2" l="1"/>
  <c r="J1285" i="2" s="1"/>
  <c r="J1284" i="2"/>
  <c r="B1287" i="2" l="1"/>
  <c r="K1286" i="2" s="1"/>
  <c r="K1285" i="2"/>
  <c r="B1288" i="2" l="1"/>
  <c r="J1287" i="2" s="1"/>
  <c r="J1286" i="2"/>
  <c r="B1289" i="2" l="1"/>
  <c r="K1288" i="2" s="1"/>
  <c r="K1287" i="2"/>
  <c r="B1290" i="2" l="1"/>
  <c r="J1289" i="2" s="1"/>
  <c r="J1288" i="2"/>
  <c r="B1291" i="2" l="1"/>
  <c r="K1290" i="2" s="1"/>
  <c r="K1289" i="2"/>
  <c r="B1292" i="2" l="1"/>
  <c r="J1291" i="2" s="1"/>
  <c r="J1290" i="2"/>
  <c r="B1293" i="2" l="1"/>
  <c r="K1292" i="2" s="1"/>
  <c r="K1291" i="2"/>
  <c r="B1294" i="2" l="1"/>
  <c r="J1293" i="2" s="1"/>
  <c r="J1292" i="2"/>
  <c r="B1295" i="2" l="1"/>
  <c r="K1294" i="2" s="1"/>
  <c r="K1293" i="2"/>
  <c r="B1296" i="2" l="1"/>
  <c r="J1295" i="2" s="1"/>
  <c r="J1294" i="2"/>
  <c r="B1297" i="2" l="1"/>
  <c r="K1296" i="2" s="1"/>
  <c r="K1295" i="2"/>
  <c r="B1298" i="2" l="1"/>
  <c r="J1297" i="2" s="1"/>
  <c r="J1296" i="2"/>
  <c r="B1299" i="2" l="1"/>
  <c r="K1298" i="2" s="1"/>
  <c r="K1297" i="2"/>
  <c r="B1300" i="2" l="1"/>
  <c r="J1299" i="2" s="1"/>
  <c r="J1298" i="2"/>
  <c r="B1301" i="2" l="1"/>
  <c r="K1300" i="2" s="1"/>
  <c r="K1299" i="2"/>
  <c r="B1302" i="2" l="1"/>
  <c r="J1301" i="2" s="1"/>
  <c r="J1300" i="2"/>
  <c r="B1303" i="2" l="1"/>
  <c r="K1302" i="2" s="1"/>
  <c r="K1301" i="2"/>
  <c r="B1304" i="2" l="1"/>
  <c r="J1303" i="2" s="1"/>
  <c r="J1302" i="2"/>
  <c r="B1305" i="2" l="1"/>
  <c r="K1304" i="2" s="1"/>
  <c r="K1303" i="2"/>
  <c r="B1306" i="2" l="1"/>
  <c r="J1305" i="2" s="1"/>
  <c r="J1304" i="2"/>
  <c r="B1307" i="2" l="1"/>
  <c r="K1306" i="2" s="1"/>
  <c r="K1305" i="2"/>
  <c r="B1308" i="2" l="1"/>
  <c r="J1307" i="2" s="1"/>
  <c r="J1306" i="2"/>
  <c r="B1309" i="2" l="1"/>
  <c r="K1308" i="2" s="1"/>
  <c r="K1307" i="2"/>
  <c r="B1310" i="2" l="1"/>
  <c r="J1309" i="2" s="1"/>
  <c r="J1308" i="2"/>
  <c r="B1311" i="2" l="1"/>
  <c r="K1310" i="2" s="1"/>
  <c r="K1309" i="2"/>
  <c r="B1312" i="2" l="1"/>
  <c r="J1311" i="2" s="1"/>
  <c r="J1310" i="2"/>
  <c r="B1313" i="2" l="1"/>
  <c r="K1312" i="2" s="1"/>
  <c r="K1311" i="2"/>
  <c r="B1314" i="2" l="1"/>
  <c r="J1313" i="2" s="1"/>
  <c r="J1312" i="2"/>
  <c r="B1315" i="2" l="1"/>
  <c r="K1314" i="2" s="1"/>
  <c r="K1313" i="2"/>
  <c r="B1316" i="2" l="1"/>
  <c r="J1315" i="2" s="1"/>
  <c r="J1314" i="2"/>
  <c r="B1317" i="2" l="1"/>
  <c r="K1316" i="2" s="1"/>
  <c r="K1315" i="2"/>
  <c r="B1318" i="2" l="1"/>
  <c r="J1317" i="2" s="1"/>
  <c r="J1316" i="2"/>
  <c r="B1319" i="2" l="1"/>
  <c r="K1318" i="2" s="1"/>
  <c r="K1317" i="2"/>
  <c r="B1320" i="2" l="1"/>
  <c r="J1319" i="2" s="1"/>
  <c r="J1318" i="2"/>
  <c r="B1321" i="2" l="1"/>
  <c r="K1320" i="2" s="1"/>
  <c r="K1319" i="2"/>
  <c r="B1322" i="2" l="1"/>
  <c r="K1321" i="2" s="1"/>
  <c r="J1320" i="2"/>
  <c r="J1321" i="2" l="1"/>
  <c r="B1323" i="2"/>
  <c r="J1322" i="2" s="1"/>
  <c r="K1322" i="2" l="1"/>
  <c r="B1324" i="2"/>
  <c r="J1323" i="2" s="1"/>
  <c r="B1325" i="2" l="1"/>
  <c r="J1324" i="2" s="1"/>
  <c r="K1323" i="2"/>
  <c r="K1324" i="2" l="1"/>
  <c r="B1326" i="2"/>
  <c r="J1325" i="2" s="1"/>
  <c r="B1327" i="2" l="1"/>
  <c r="K1326" i="2" s="1"/>
  <c r="K1325" i="2"/>
  <c r="B1328" i="2" l="1"/>
  <c r="J1327" i="2" s="1"/>
  <c r="J1326" i="2"/>
  <c r="B1329" i="2" l="1"/>
  <c r="K1328" i="2" s="1"/>
  <c r="K1327" i="2"/>
  <c r="B1330" i="2" l="1"/>
  <c r="J1329" i="2" s="1"/>
  <c r="J1328" i="2"/>
  <c r="B1331" i="2" l="1"/>
  <c r="K1330" i="2" s="1"/>
  <c r="K1329" i="2"/>
  <c r="B1332" i="2" l="1"/>
  <c r="J1331" i="2" s="1"/>
  <c r="J1330" i="2"/>
  <c r="B1333" i="2" l="1"/>
  <c r="K1332" i="2" s="1"/>
  <c r="K1331" i="2"/>
  <c r="B1334" i="2" l="1"/>
  <c r="J1333" i="2" s="1"/>
  <c r="J1332" i="2"/>
  <c r="B1335" i="2" l="1"/>
  <c r="K1334" i="2" s="1"/>
  <c r="K1333" i="2"/>
  <c r="B1336" i="2" l="1"/>
  <c r="J1335" i="2" s="1"/>
  <c r="J1334" i="2"/>
  <c r="B1337" i="2" l="1"/>
  <c r="K1336" i="2" s="1"/>
  <c r="K1335" i="2"/>
  <c r="B1338" i="2" l="1"/>
  <c r="J1337" i="2" s="1"/>
  <c r="J1336" i="2"/>
  <c r="B1339" i="2" l="1"/>
  <c r="K1338" i="2" s="1"/>
  <c r="K1337" i="2"/>
  <c r="B1340" i="2" l="1"/>
  <c r="J1339" i="2" s="1"/>
  <c r="J1338" i="2"/>
  <c r="B1341" i="2" l="1"/>
  <c r="K1340" i="2" s="1"/>
  <c r="K1339" i="2"/>
  <c r="B1342" i="2" l="1"/>
  <c r="J1341" i="2" s="1"/>
  <c r="J1340" i="2"/>
  <c r="B1343" i="2" l="1"/>
  <c r="K1342" i="2" s="1"/>
  <c r="K1341" i="2"/>
  <c r="B1344" i="2" l="1"/>
  <c r="J1343" i="2" s="1"/>
  <c r="J1342" i="2"/>
  <c r="B1345" i="2" l="1"/>
  <c r="K1344" i="2" s="1"/>
  <c r="K1343" i="2"/>
  <c r="B1346" i="2" l="1"/>
  <c r="J1345" i="2" s="1"/>
  <c r="J1344" i="2"/>
  <c r="B1347" i="2" l="1"/>
  <c r="K1346" i="2" s="1"/>
  <c r="K1345" i="2"/>
  <c r="B1348" i="2" l="1"/>
  <c r="J1347" i="2" s="1"/>
  <c r="J1346" i="2"/>
  <c r="B1349" i="2" l="1"/>
  <c r="K1348" i="2" s="1"/>
  <c r="K1347" i="2"/>
  <c r="B1350" i="2" l="1"/>
  <c r="K1349" i="2" s="1"/>
  <c r="J1348" i="2"/>
  <c r="J1349" i="2" l="1"/>
  <c r="B1351" i="2"/>
  <c r="K1350" i="2" s="1"/>
  <c r="B1352" i="2" l="1"/>
  <c r="J1351" i="2" s="1"/>
  <c r="J1350" i="2"/>
  <c r="B1353" i="2" l="1"/>
  <c r="K1352" i="2" s="1"/>
  <c r="K1351" i="2"/>
  <c r="B1354" i="2" l="1"/>
  <c r="J1353" i="2" s="1"/>
  <c r="J1352" i="2"/>
  <c r="B1355" i="2" l="1"/>
  <c r="K1354" i="2" s="1"/>
  <c r="K1353" i="2"/>
  <c r="B1356" i="2" l="1"/>
  <c r="J1355" i="2" s="1"/>
  <c r="J1354" i="2"/>
  <c r="B1357" i="2" l="1"/>
  <c r="K1356" i="2" s="1"/>
  <c r="K1355" i="2"/>
  <c r="B1358" i="2" l="1"/>
  <c r="J1357" i="2" s="1"/>
  <c r="J1356" i="2"/>
  <c r="B1359" i="2" l="1"/>
  <c r="K1358" i="2" s="1"/>
  <c r="K1357" i="2"/>
  <c r="B1360" i="2" l="1"/>
  <c r="J1359" i="2" s="1"/>
  <c r="J1358" i="2"/>
  <c r="B1361" i="2" l="1"/>
  <c r="K1360" i="2" s="1"/>
  <c r="K1359" i="2"/>
  <c r="B1362" i="2" l="1"/>
  <c r="J1361" i="2" s="1"/>
  <c r="J1360" i="2"/>
  <c r="B1363" i="2" l="1"/>
  <c r="K1362" i="2" s="1"/>
  <c r="K1361" i="2"/>
  <c r="B1364" i="2" l="1"/>
  <c r="J1363" i="2" s="1"/>
  <c r="J1362" i="2"/>
  <c r="B1365" i="2" l="1"/>
  <c r="K1364" i="2" s="1"/>
  <c r="K1363" i="2"/>
  <c r="B1366" i="2" l="1"/>
  <c r="J1365" i="2" s="1"/>
  <c r="J1364" i="2"/>
  <c r="B1367" i="2" l="1"/>
  <c r="K1366" i="2" s="1"/>
  <c r="K1365" i="2"/>
  <c r="B1368" i="2" l="1"/>
  <c r="J1367" i="2" s="1"/>
  <c r="J1366" i="2"/>
  <c r="B1369" i="2" l="1"/>
  <c r="K1368" i="2" s="1"/>
  <c r="K1367" i="2"/>
  <c r="B1370" i="2" l="1"/>
  <c r="K1369" i="2" s="1"/>
  <c r="J1368" i="2"/>
  <c r="J1369" i="2" l="1"/>
  <c r="B1371" i="2"/>
  <c r="K1370" i="2" s="1"/>
  <c r="B1372" i="2" l="1"/>
  <c r="J1371" i="2" s="1"/>
  <c r="J1370" i="2"/>
  <c r="B1373" i="2" l="1"/>
  <c r="K1372" i="2" s="1"/>
  <c r="K1371" i="2"/>
  <c r="B1374" i="2" l="1"/>
  <c r="J1373" i="2" s="1"/>
  <c r="J1372" i="2"/>
  <c r="B1375" i="2" l="1"/>
  <c r="K1374" i="2" s="1"/>
  <c r="K1373" i="2"/>
  <c r="B1376" i="2" l="1"/>
  <c r="K1375" i="2" s="1"/>
  <c r="J1374" i="2"/>
  <c r="J1375" i="2" l="1"/>
  <c r="B1377" i="2"/>
  <c r="K1376" i="2" s="1"/>
  <c r="B1378" i="2" l="1"/>
  <c r="J1377" i="2" s="1"/>
  <c r="J1376" i="2"/>
  <c r="B1379" i="2" l="1"/>
  <c r="K1378" i="2" s="1"/>
  <c r="K1377" i="2"/>
  <c r="B1380" i="2" l="1"/>
  <c r="J1379" i="2" s="1"/>
  <c r="J1378" i="2"/>
  <c r="B1381" i="2" l="1"/>
  <c r="K1380" i="2" s="1"/>
  <c r="K1379" i="2"/>
  <c r="B1382" i="2" l="1"/>
  <c r="J1381" i="2" s="1"/>
  <c r="J1380" i="2"/>
  <c r="B1383" i="2" l="1"/>
  <c r="K1382" i="2" s="1"/>
  <c r="K1381" i="2"/>
  <c r="B1384" i="2" l="1"/>
  <c r="J1383" i="2" s="1"/>
  <c r="J1382" i="2"/>
  <c r="B1385" i="2" l="1"/>
  <c r="K1384" i="2" s="1"/>
  <c r="K1383" i="2"/>
  <c r="B1386" i="2" l="1"/>
  <c r="J1385" i="2" s="1"/>
  <c r="J1384" i="2"/>
  <c r="B1387" i="2" l="1"/>
  <c r="K1386" i="2" s="1"/>
  <c r="K1385" i="2"/>
  <c r="B1388" i="2" l="1"/>
  <c r="J1387" i="2" s="1"/>
  <c r="J1386" i="2"/>
  <c r="B1389" i="2" l="1"/>
  <c r="K1388" i="2" s="1"/>
  <c r="K1387" i="2"/>
  <c r="B1390" i="2" l="1"/>
  <c r="J1389" i="2" s="1"/>
  <c r="J1388" i="2"/>
  <c r="B1391" i="2" l="1"/>
  <c r="K1390" i="2" s="1"/>
  <c r="K1389" i="2"/>
  <c r="B1392" i="2" l="1"/>
  <c r="J1391" i="2" s="1"/>
  <c r="J1390" i="2"/>
  <c r="B1393" i="2" l="1"/>
  <c r="K1392" i="2" s="1"/>
  <c r="K1391" i="2"/>
  <c r="B1394" i="2" l="1"/>
  <c r="K1393" i="2" s="1"/>
  <c r="J1392" i="2"/>
  <c r="J1393" i="2" l="1"/>
  <c r="B1395" i="2"/>
  <c r="K1394" i="2" s="1"/>
  <c r="B1396" i="2" l="1"/>
  <c r="J1395" i="2" s="1"/>
  <c r="J1394" i="2"/>
  <c r="B1397" i="2" l="1"/>
  <c r="K1396" i="2" s="1"/>
  <c r="K1395" i="2"/>
  <c r="B1398" i="2" l="1"/>
  <c r="J1397" i="2" s="1"/>
  <c r="J1396" i="2"/>
  <c r="B1399" i="2" l="1"/>
  <c r="K1398" i="2" s="1"/>
  <c r="K1397" i="2"/>
  <c r="B1400" i="2" l="1"/>
  <c r="J1399" i="2" s="1"/>
  <c r="J1398" i="2"/>
  <c r="B1401" i="2" l="1"/>
  <c r="K1400" i="2" s="1"/>
  <c r="K1399" i="2"/>
  <c r="B1402" i="2" l="1"/>
  <c r="J1401" i="2" s="1"/>
  <c r="J1400" i="2"/>
  <c r="B1403" i="2" l="1"/>
  <c r="K1402" i="2" s="1"/>
  <c r="K1401" i="2"/>
  <c r="B1404" i="2" l="1"/>
  <c r="J1403" i="2" s="1"/>
  <c r="J1402" i="2"/>
  <c r="B1405" i="2" l="1"/>
  <c r="K1404" i="2" s="1"/>
  <c r="K1403" i="2"/>
  <c r="B1406" i="2" l="1"/>
  <c r="J1405" i="2" s="1"/>
  <c r="J1404" i="2"/>
  <c r="B1407" i="2" l="1"/>
  <c r="K1406" i="2" s="1"/>
  <c r="K1405" i="2"/>
  <c r="B1408" i="2" l="1"/>
  <c r="J1407" i="2" s="1"/>
  <c r="J1406" i="2"/>
  <c r="B1409" i="2" l="1"/>
  <c r="K1408" i="2" s="1"/>
  <c r="K1407" i="2"/>
  <c r="B1410" i="2" l="1"/>
  <c r="J1409" i="2" s="1"/>
  <c r="J1408" i="2"/>
  <c r="B1411" i="2" l="1"/>
  <c r="K1410" i="2" s="1"/>
  <c r="K1409" i="2"/>
  <c r="B1412" i="2" l="1"/>
  <c r="J1411" i="2" s="1"/>
  <c r="J1410" i="2"/>
  <c r="B1413" i="2" l="1"/>
  <c r="K1412" i="2" s="1"/>
  <c r="K1411" i="2"/>
  <c r="B1414" i="2" l="1"/>
  <c r="J1413" i="2" s="1"/>
  <c r="J1412" i="2"/>
  <c r="B1415" i="2" l="1"/>
  <c r="K1414" i="2" s="1"/>
  <c r="K1413" i="2"/>
  <c r="B1416" i="2" l="1"/>
  <c r="J1415" i="2" s="1"/>
  <c r="J1414" i="2"/>
  <c r="B1417" i="2" l="1"/>
  <c r="K1416" i="2" s="1"/>
  <c r="K1415" i="2"/>
  <c r="B1418" i="2" l="1"/>
  <c r="J1417" i="2" s="1"/>
  <c r="J1416" i="2"/>
  <c r="B1419" i="2" l="1"/>
  <c r="K1418" i="2" s="1"/>
  <c r="K1417" i="2"/>
  <c r="B1420" i="2" l="1"/>
  <c r="J1419" i="2" s="1"/>
  <c r="J1418" i="2"/>
  <c r="B1421" i="2" l="1"/>
  <c r="K1420" i="2" s="1"/>
  <c r="K1419" i="2"/>
  <c r="B1422" i="2" l="1"/>
  <c r="J1421" i="2" s="1"/>
  <c r="J1420" i="2"/>
  <c r="B1423" i="2" l="1"/>
  <c r="K1422" i="2" s="1"/>
  <c r="K1421" i="2"/>
  <c r="B1424" i="2" l="1"/>
  <c r="J1423" i="2" s="1"/>
  <c r="J1422" i="2"/>
  <c r="B1425" i="2" l="1"/>
  <c r="K1424" i="2" s="1"/>
  <c r="K1423" i="2"/>
  <c r="B1426" i="2" l="1"/>
  <c r="J1425" i="2" s="1"/>
  <c r="J1424" i="2"/>
  <c r="B1427" i="2" l="1"/>
  <c r="K1426" i="2" s="1"/>
  <c r="K1425" i="2"/>
  <c r="B1428" i="2" l="1"/>
  <c r="J1427" i="2" s="1"/>
  <c r="J1426" i="2"/>
  <c r="B1429" i="2" l="1"/>
  <c r="K1428" i="2" s="1"/>
  <c r="K1427" i="2"/>
  <c r="B1430" i="2" l="1"/>
  <c r="K1429" i="2" s="1"/>
  <c r="J1428" i="2"/>
  <c r="J1429" i="2" l="1"/>
  <c r="B1431" i="2"/>
  <c r="J1430" i="2" s="1"/>
  <c r="K1430" i="2" l="1"/>
  <c r="B1432" i="2"/>
  <c r="J1431" i="2" s="1"/>
  <c r="B1433" i="2" l="1"/>
  <c r="K1432" i="2" s="1"/>
  <c r="K1431" i="2"/>
  <c r="B1434" i="2" l="1"/>
  <c r="J1433" i="2" s="1"/>
  <c r="J1432" i="2"/>
  <c r="B1435" i="2" l="1"/>
  <c r="K1434" i="2" s="1"/>
  <c r="K1433" i="2"/>
  <c r="B1436" i="2" l="1"/>
  <c r="J1435" i="2" s="1"/>
  <c r="J1434" i="2"/>
  <c r="B1437" i="2" l="1"/>
  <c r="K1436" i="2" s="1"/>
  <c r="K1435" i="2"/>
  <c r="B1438" i="2" l="1"/>
  <c r="J1437" i="2" s="1"/>
  <c r="J1436" i="2"/>
  <c r="B1439" i="2" l="1"/>
  <c r="K1438" i="2" s="1"/>
  <c r="K1437" i="2"/>
  <c r="B1440" i="2" l="1"/>
  <c r="J1439" i="2" s="1"/>
  <c r="J1438" i="2"/>
  <c r="B1441" i="2" l="1"/>
  <c r="K1440" i="2" s="1"/>
  <c r="K1439" i="2"/>
  <c r="B1442" i="2" l="1"/>
  <c r="J1441" i="2" s="1"/>
  <c r="J1440" i="2"/>
  <c r="B1443" i="2" l="1"/>
  <c r="K1442" i="2" s="1"/>
  <c r="K1441" i="2"/>
  <c r="B1444" i="2" l="1"/>
  <c r="J1443" i="2" s="1"/>
  <c r="J1442" i="2"/>
  <c r="B1445" i="2" l="1"/>
  <c r="K1444" i="2" s="1"/>
  <c r="K1443" i="2"/>
  <c r="B1446" i="2" l="1"/>
  <c r="J1445" i="2" s="1"/>
  <c r="J1444" i="2"/>
  <c r="B1447" i="2" l="1"/>
  <c r="K1446" i="2" s="1"/>
  <c r="K1445" i="2"/>
  <c r="B1448" i="2" l="1"/>
  <c r="K1447" i="2" s="1"/>
  <c r="J1446" i="2"/>
  <c r="J1447" i="2" l="1"/>
  <c r="B1449" i="2"/>
  <c r="J1448" i="2" s="1"/>
  <c r="K1448" i="2" l="1"/>
  <c r="B1450" i="2"/>
  <c r="K1449" i="2" s="1"/>
  <c r="J1449" i="2" l="1"/>
  <c r="B1451" i="2"/>
  <c r="J1450" i="2" s="1"/>
  <c r="K1450" i="2" l="1"/>
  <c r="B1452" i="2"/>
  <c r="J1451" i="2" s="1"/>
  <c r="B1453" i="2" l="1"/>
  <c r="K1452" i="2" s="1"/>
  <c r="K1451" i="2"/>
  <c r="B1454" i="2" l="1"/>
  <c r="J1453" i="2" s="1"/>
  <c r="J1452" i="2"/>
  <c r="B1455" i="2" l="1"/>
  <c r="K1454" i="2" s="1"/>
  <c r="K1453" i="2"/>
  <c r="B1456" i="2" l="1"/>
  <c r="J1455" i="2" s="1"/>
  <c r="J1454" i="2"/>
  <c r="B1457" i="2" l="1"/>
  <c r="K1456" i="2" s="1"/>
  <c r="K1455" i="2"/>
  <c r="B1458" i="2" l="1"/>
  <c r="J1457" i="2" s="1"/>
  <c r="J1456" i="2"/>
  <c r="B1459" i="2" l="1"/>
  <c r="K1458" i="2" s="1"/>
  <c r="K1457" i="2"/>
  <c r="B1460" i="2" l="1"/>
  <c r="J1459" i="2" s="1"/>
  <c r="J1458" i="2"/>
  <c r="B1461" i="2" l="1"/>
  <c r="K1460" i="2" s="1"/>
  <c r="K1459" i="2"/>
  <c r="B1462" i="2" l="1"/>
  <c r="J1461" i="2" s="1"/>
  <c r="J1460" i="2"/>
  <c r="B1463" i="2" l="1"/>
  <c r="K1462" i="2" s="1"/>
  <c r="K1461" i="2"/>
  <c r="B1464" i="2" l="1"/>
  <c r="J1463" i="2" s="1"/>
  <c r="J1462" i="2"/>
  <c r="B1465" i="2" l="1"/>
  <c r="K1464" i="2" s="1"/>
  <c r="K1463" i="2"/>
  <c r="B1466" i="2" l="1"/>
  <c r="J1465" i="2" s="1"/>
  <c r="J1464" i="2"/>
  <c r="B1467" i="2" l="1"/>
  <c r="K1465" i="2"/>
  <c r="B1468" i="2" l="1"/>
  <c r="J1467" i="2" s="1"/>
  <c r="K1466" i="2"/>
  <c r="J1466" i="2"/>
  <c r="B1469" i="2" l="1"/>
  <c r="K1468" i="2" s="1"/>
  <c r="K1467" i="2"/>
  <c r="B1470" i="2" l="1"/>
  <c r="J1469" i="2" s="1"/>
  <c r="J1468" i="2"/>
  <c r="B1471" i="2" l="1"/>
  <c r="K1470" i="2" s="1"/>
  <c r="K1469" i="2"/>
  <c r="B1472" i="2" l="1"/>
  <c r="J1471" i="2" s="1"/>
  <c r="J1470" i="2"/>
  <c r="B1473" i="2" l="1"/>
  <c r="K1472" i="2" s="1"/>
  <c r="K1471" i="2"/>
  <c r="B1474" i="2" l="1"/>
  <c r="J1473" i="2" s="1"/>
  <c r="J1472" i="2"/>
  <c r="B1475" i="2" l="1"/>
  <c r="K1474" i="2" s="1"/>
  <c r="K1473" i="2"/>
  <c r="B1476" i="2" l="1"/>
  <c r="J1475" i="2" s="1"/>
  <c r="J1474" i="2"/>
  <c r="B1477" i="2" l="1"/>
  <c r="K1476" i="2" s="1"/>
  <c r="K1475" i="2"/>
  <c r="B1478" i="2" l="1"/>
  <c r="J1477" i="2" s="1"/>
  <c r="J1476" i="2"/>
  <c r="B1479" i="2" l="1"/>
  <c r="K1478" i="2" s="1"/>
  <c r="K1477" i="2"/>
  <c r="B1480" i="2" l="1"/>
  <c r="J1479" i="2" s="1"/>
  <c r="J1478" i="2"/>
  <c r="B1481" i="2" l="1"/>
  <c r="K1480" i="2" s="1"/>
  <c r="K1479" i="2"/>
  <c r="B1482" i="2" l="1"/>
  <c r="J1481" i="2" s="1"/>
  <c r="J1480" i="2"/>
  <c r="B1483" i="2" l="1"/>
  <c r="K1482" i="2" s="1"/>
  <c r="K1481" i="2"/>
  <c r="B1484" i="2" l="1"/>
  <c r="K1483" i="2" s="1"/>
  <c r="J1482" i="2"/>
  <c r="J1483" i="2" l="1"/>
  <c r="B1485" i="2"/>
  <c r="J1484" i="2" s="1"/>
  <c r="K1484" i="2" l="1"/>
  <c r="B1486" i="2"/>
  <c r="K1485" i="2" s="1"/>
  <c r="J1485" i="2" l="1"/>
  <c r="B1487" i="2"/>
  <c r="J1486" i="2" s="1"/>
  <c r="K1486" i="2" l="1"/>
  <c r="B1488" i="2"/>
  <c r="J1487" i="2" s="1"/>
  <c r="B1489" i="2" l="1"/>
  <c r="K1488" i="2" s="1"/>
  <c r="K1487" i="2"/>
  <c r="B1490" i="2" l="1"/>
  <c r="J1489" i="2" s="1"/>
  <c r="J1488" i="2"/>
  <c r="B1491" i="2" l="1"/>
  <c r="K1490" i="2" s="1"/>
  <c r="K1489" i="2"/>
  <c r="B1492" i="2" l="1"/>
  <c r="J1491" i="2" s="1"/>
  <c r="J1490" i="2"/>
  <c r="B1493" i="2" l="1"/>
  <c r="K1492" i="2" s="1"/>
  <c r="K1491" i="2"/>
  <c r="B1494" i="2" l="1"/>
  <c r="J1493" i="2" s="1"/>
  <c r="J1492" i="2"/>
  <c r="B1495" i="2" l="1"/>
  <c r="K1494" i="2" s="1"/>
  <c r="K1493" i="2"/>
  <c r="B1496" i="2" l="1"/>
  <c r="J1495" i="2" s="1"/>
  <c r="J1494" i="2"/>
  <c r="B1497" i="2" l="1"/>
  <c r="K1496" i="2" s="1"/>
  <c r="K1495" i="2"/>
  <c r="B1498" i="2" l="1"/>
  <c r="J1497" i="2" s="1"/>
  <c r="J1496" i="2"/>
  <c r="B1499" i="2" l="1"/>
  <c r="K1498" i="2" s="1"/>
  <c r="K1497" i="2"/>
  <c r="B1500" i="2" l="1"/>
  <c r="J1499" i="2" s="1"/>
  <c r="J1498" i="2"/>
  <c r="B1501" i="2" l="1"/>
  <c r="K1500" i="2" s="1"/>
  <c r="K1499" i="2"/>
  <c r="B1502" i="2" l="1"/>
  <c r="J1501" i="2" s="1"/>
  <c r="J1500" i="2"/>
  <c r="B1503" i="2" l="1"/>
  <c r="K1502" i="2" s="1"/>
  <c r="K1501" i="2"/>
  <c r="B1504" i="2" l="1"/>
  <c r="J1503" i="2" s="1"/>
  <c r="J1502" i="2"/>
  <c r="B1505" i="2" l="1"/>
  <c r="K1504" i="2" s="1"/>
  <c r="K1503" i="2"/>
  <c r="B1506" i="2" l="1"/>
  <c r="J1505" i="2" s="1"/>
  <c r="J1504" i="2"/>
  <c r="B1507" i="2" l="1"/>
  <c r="K1506" i="2" s="1"/>
  <c r="K1505" i="2"/>
  <c r="B1508" i="2" l="1"/>
  <c r="J1507" i="2" s="1"/>
  <c r="J1506" i="2"/>
  <c r="B1509" i="2" l="1"/>
  <c r="K1508" i="2" s="1"/>
  <c r="K1507" i="2"/>
  <c r="B1510" i="2" l="1"/>
  <c r="J1509" i="2" s="1"/>
  <c r="J1508" i="2"/>
  <c r="B1511" i="2" l="1"/>
  <c r="K1510" i="2" s="1"/>
  <c r="K1509" i="2"/>
  <c r="B1512" i="2" l="1"/>
  <c r="J1511" i="2" s="1"/>
  <c r="J1510" i="2"/>
  <c r="B1513" i="2" l="1"/>
  <c r="K1512" i="2" s="1"/>
  <c r="K1511" i="2"/>
  <c r="B1514" i="2" l="1"/>
  <c r="J1513" i="2" s="1"/>
  <c r="J1512" i="2"/>
  <c r="B1515" i="2" l="1"/>
  <c r="K1514" i="2" s="1"/>
  <c r="K1513" i="2"/>
  <c r="B1516" i="2" l="1"/>
  <c r="J1515" i="2" s="1"/>
  <c r="J1514" i="2"/>
  <c r="B1517" i="2" l="1"/>
  <c r="K1516" i="2" s="1"/>
  <c r="K1515" i="2"/>
  <c r="B1518" i="2" l="1"/>
  <c r="J1517" i="2" s="1"/>
  <c r="J1516" i="2"/>
  <c r="B1519" i="2" l="1"/>
  <c r="K1518" i="2" s="1"/>
  <c r="K1517" i="2"/>
  <c r="B1520" i="2" l="1"/>
  <c r="J1519" i="2" s="1"/>
  <c r="J1518" i="2"/>
  <c r="B1521" i="2" l="1"/>
  <c r="K1520" i="2" s="1"/>
  <c r="K1519" i="2"/>
  <c r="B1522" i="2" l="1"/>
  <c r="J1521" i="2" s="1"/>
  <c r="J1520" i="2"/>
  <c r="B1523" i="2" l="1"/>
  <c r="K1522" i="2" s="1"/>
  <c r="K1521" i="2"/>
  <c r="B1524" i="2" l="1"/>
  <c r="J1523" i="2" s="1"/>
  <c r="J1522" i="2"/>
  <c r="B1525" i="2" l="1"/>
  <c r="K1524" i="2" s="1"/>
  <c r="K1523" i="2"/>
  <c r="B1526" i="2" l="1"/>
  <c r="J1525" i="2" s="1"/>
  <c r="J1524" i="2"/>
  <c r="B1527" i="2" l="1"/>
  <c r="K1526" i="2" s="1"/>
  <c r="K1525" i="2"/>
  <c r="B1528" i="2" l="1"/>
  <c r="J1527" i="2" s="1"/>
  <c r="J1526" i="2"/>
  <c r="B1529" i="2" l="1"/>
  <c r="K1528" i="2" s="1"/>
  <c r="K1527" i="2"/>
  <c r="B1530" i="2" l="1"/>
  <c r="K1529" i="2" s="1"/>
  <c r="J1528" i="2"/>
  <c r="J1529" i="2" l="1"/>
  <c r="B1531" i="2"/>
  <c r="K1530" i="2" s="1"/>
  <c r="B1532" i="2" l="1"/>
  <c r="J1531" i="2" s="1"/>
  <c r="J1530" i="2"/>
  <c r="B1533" i="2" l="1"/>
  <c r="J1532" i="2" s="1"/>
  <c r="K1531" i="2"/>
  <c r="K1532" i="2" l="1"/>
  <c r="B1534" i="2"/>
  <c r="J1533" i="2" s="1"/>
  <c r="B1535" i="2" l="1"/>
  <c r="K1534" i="2" s="1"/>
  <c r="K1533" i="2"/>
  <c r="B1536" i="2" l="1"/>
  <c r="J1535" i="2" s="1"/>
  <c r="J1534" i="2"/>
  <c r="B1537" i="2" l="1"/>
  <c r="K1536" i="2" s="1"/>
  <c r="K1535" i="2"/>
  <c r="B1538" i="2" l="1"/>
  <c r="K1537" i="2" s="1"/>
  <c r="J1536" i="2"/>
  <c r="J1537" i="2" l="1"/>
  <c r="B1539" i="2"/>
  <c r="J1538" i="2" s="1"/>
  <c r="K1538" i="2" l="1"/>
  <c r="B1540" i="2"/>
  <c r="J1539" i="2" s="1"/>
  <c r="B1541" i="2" l="1"/>
  <c r="K1540" i="2" s="1"/>
  <c r="K1539" i="2"/>
  <c r="B1542" i="2" l="1"/>
  <c r="J1541" i="2" s="1"/>
  <c r="J1540" i="2"/>
  <c r="B1543" i="2" l="1"/>
  <c r="K1542" i="2" s="1"/>
  <c r="K1541" i="2"/>
  <c r="B1544" i="2" l="1"/>
  <c r="J1543" i="2" s="1"/>
  <c r="J1542" i="2"/>
  <c r="B1545" i="2" l="1"/>
  <c r="K1544" i="2" s="1"/>
  <c r="K1543" i="2"/>
  <c r="B1546" i="2" l="1"/>
  <c r="J1545" i="2" s="1"/>
  <c r="J1544" i="2"/>
  <c r="B1547" i="2" l="1"/>
  <c r="K1546" i="2" s="1"/>
  <c r="K1545" i="2"/>
  <c r="B1548" i="2" l="1"/>
  <c r="J1547" i="2" s="1"/>
  <c r="J1546" i="2"/>
  <c r="B1549" i="2" l="1"/>
  <c r="K1548" i="2" s="1"/>
  <c r="K1547" i="2"/>
  <c r="B1550" i="2" l="1"/>
  <c r="J1549" i="2" s="1"/>
  <c r="J1548" i="2"/>
  <c r="B1551" i="2" l="1"/>
  <c r="K1550" i="2" s="1"/>
  <c r="K1549" i="2"/>
  <c r="B1552" i="2" l="1"/>
  <c r="J1551" i="2" s="1"/>
  <c r="J1550" i="2"/>
  <c r="B1553" i="2" l="1"/>
  <c r="K1552" i="2" s="1"/>
  <c r="K1551" i="2"/>
  <c r="B1554" i="2" l="1"/>
  <c r="J1553" i="2" s="1"/>
  <c r="J1552" i="2"/>
  <c r="B1555" i="2" l="1"/>
  <c r="K1554" i="2" s="1"/>
  <c r="K1553" i="2"/>
  <c r="B1556" i="2" l="1"/>
  <c r="J1555" i="2" s="1"/>
  <c r="J1554" i="2"/>
  <c r="B1557" i="2" l="1"/>
  <c r="K1555" i="2"/>
  <c r="B1558" i="2" l="1"/>
  <c r="J1557" i="2" s="1"/>
  <c r="K1556" i="2"/>
  <c r="J1556" i="2"/>
  <c r="B1559" i="2" l="1"/>
  <c r="K1558" i="2" s="1"/>
  <c r="K1557" i="2"/>
  <c r="B1560" i="2" l="1"/>
  <c r="J1559" i="2" s="1"/>
  <c r="J1558" i="2"/>
  <c r="B1561" i="2" l="1"/>
  <c r="K1560" i="2" s="1"/>
  <c r="K1559" i="2"/>
  <c r="B1562" i="2" l="1"/>
  <c r="J1561" i="2" s="1"/>
  <c r="J1560" i="2"/>
  <c r="B1563" i="2" l="1"/>
  <c r="K1562" i="2" s="1"/>
  <c r="K1561" i="2"/>
  <c r="B1564" i="2" l="1"/>
  <c r="J1563" i="2" s="1"/>
  <c r="J1562" i="2"/>
  <c r="B1565" i="2" l="1"/>
  <c r="K1564" i="2" s="1"/>
  <c r="K1563" i="2"/>
  <c r="B1566" i="2" l="1"/>
  <c r="J1565" i="2" s="1"/>
  <c r="J1564" i="2"/>
  <c r="B1567" i="2" l="1"/>
  <c r="K1566" i="2" s="1"/>
  <c r="K1565" i="2"/>
  <c r="B1568" i="2" l="1"/>
  <c r="J1567" i="2" s="1"/>
  <c r="J1566" i="2"/>
  <c r="B1569" i="2" l="1"/>
  <c r="K1568" i="2" s="1"/>
  <c r="K1567" i="2"/>
  <c r="B1570" i="2" l="1"/>
  <c r="J1569" i="2" s="1"/>
  <c r="J1568" i="2"/>
  <c r="B1571" i="2" l="1"/>
  <c r="K1570" i="2" s="1"/>
  <c r="K1569" i="2"/>
  <c r="B1572" i="2" l="1"/>
  <c r="J1571" i="2" s="1"/>
  <c r="J1570" i="2"/>
  <c r="B1573" i="2" l="1"/>
  <c r="J1572" i="2" s="1"/>
  <c r="K1571" i="2"/>
  <c r="K1572" i="2" l="1"/>
  <c r="B1574" i="2"/>
  <c r="J1573" i="2" s="1"/>
  <c r="B1575" i="2" l="1"/>
  <c r="K1573" i="2"/>
  <c r="B1576" i="2" l="1"/>
  <c r="J1575" i="2" s="1"/>
  <c r="K1574" i="2"/>
  <c r="J1574" i="2"/>
  <c r="B1577" i="2" l="1"/>
  <c r="K1576" i="2" s="1"/>
  <c r="K1575" i="2"/>
  <c r="B1578" i="2" l="1"/>
  <c r="J1577" i="2" s="1"/>
  <c r="J1576" i="2"/>
  <c r="B1579" i="2" l="1"/>
  <c r="K1578" i="2" s="1"/>
  <c r="K1577" i="2"/>
  <c r="B1580" i="2" l="1"/>
  <c r="J1579" i="2" s="1"/>
  <c r="J1578" i="2"/>
  <c r="B1581" i="2" l="1"/>
  <c r="K1580" i="2" s="1"/>
  <c r="K1579" i="2"/>
  <c r="B1582" i="2" l="1"/>
  <c r="J1581" i="2" s="1"/>
  <c r="J1580" i="2"/>
  <c r="B1583" i="2" l="1"/>
  <c r="K1582" i="2" s="1"/>
  <c r="K1581" i="2"/>
  <c r="B1584" i="2" l="1"/>
  <c r="J1583" i="2" s="1"/>
  <c r="J1582" i="2"/>
  <c r="B1585" i="2" l="1"/>
  <c r="K1584" i="2" s="1"/>
  <c r="K1583" i="2"/>
  <c r="B1586" i="2" l="1"/>
  <c r="J1585" i="2" s="1"/>
  <c r="J1584" i="2"/>
  <c r="B1587" i="2" l="1"/>
  <c r="K1586" i="2" s="1"/>
  <c r="K1585" i="2"/>
  <c r="B1588" i="2" l="1"/>
  <c r="J1587" i="2" s="1"/>
  <c r="J1586" i="2"/>
  <c r="B1589" i="2" l="1"/>
  <c r="K1588" i="2" s="1"/>
  <c r="K1587" i="2"/>
  <c r="B1590" i="2" l="1"/>
  <c r="J1589" i="2" s="1"/>
  <c r="J1588" i="2"/>
  <c r="B1591" i="2" l="1"/>
  <c r="K1590" i="2" s="1"/>
  <c r="K1589" i="2"/>
  <c r="B1592" i="2" l="1"/>
  <c r="J1591" i="2" s="1"/>
  <c r="J1590" i="2"/>
  <c r="B1593" i="2" l="1"/>
  <c r="K1592" i="2" s="1"/>
  <c r="K1591" i="2"/>
  <c r="B1594" i="2" l="1"/>
  <c r="J1593" i="2" s="1"/>
  <c r="J1592" i="2"/>
  <c r="B1595" i="2" l="1"/>
  <c r="K1594" i="2" s="1"/>
  <c r="K1593" i="2"/>
  <c r="B1596" i="2" l="1"/>
  <c r="J1595" i="2" s="1"/>
  <c r="J1594" i="2"/>
  <c r="B1597" i="2" l="1"/>
  <c r="K1596" i="2" s="1"/>
  <c r="K1595" i="2"/>
  <c r="B1598" i="2" l="1"/>
  <c r="J1597" i="2" s="1"/>
  <c r="J1596" i="2"/>
  <c r="B1599" i="2" l="1"/>
  <c r="K1598" i="2" s="1"/>
  <c r="K1597" i="2"/>
  <c r="B1600" i="2" l="1"/>
  <c r="J1599" i="2" s="1"/>
  <c r="J1598" i="2"/>
  <c r="B1601" i="2" l="1"/>
  <c r="J1600" i="2" s="1"/>
  <c r="K1599" i="2"/>
  <c r="K1600" i="2" l="1"/>
  <c r="B1602" i="2"/>
  <c r="J1601" i="2" s="1"/>
  <c r="B1603" i="2" l="1"/>
  <c r="K1602" i="2" s="1"/>
  <c r="K1601" i="2"/>
  <c r="B1604" i="2" l="1"/>
  <c r="J1603" i="2" s="1"/>
  <c r="J1602" i="2"/>
  <c r="B1605" i="2" l="1"/>
  <c r="K1604" i="2" s="1"/>
  <c r="K1603" i="2"/>
  <c r="B1606" i="2" l="1"/>
  <c r="J1605" i="2" s="1"/>
  <c r="J1604" i="2"/>
  <c r="B1607" i="2" l="1"/>
  <c r="K1606" i="2" s="1"/>
  <c r="K1605" i="2"/>
  <c r="B1608" i="2" l="1"/>
  <c r="J1607" i="2" s="1"/>
  <c r="J1606" i="2"/>
  <c r="B1609" i="2" l="1"/>
  <c r="K1608" i="2" s="1"/>
  <c r="K1607" i="2"/>
  <c r="B1610" i="2" l="1"/>
  <c r="J1609" i="2" s="1"/>
  <c r="J1608" i="2"/>
  <c r="B1611" i="2" l="1"/>
  <c r="J1610" i="2" s="1"/>
  <c r="K1609" i="2"/>
  <c r="K1610" i="2" l="1"/>
  <c r="B1612" i="2"/>
  <c r="K1611" i="2" s="1"/>
  <c r="J1611" i="2" l="1"/>
  <c r="B1613" i="2"/>
  <c r="J1612" i="2" s="1"/>
  <c r="K1612" i="2" l="1"/>
  <c r="B1614" i="2"/>
  <c r="K1613" i="2" s="1"/>
  <c r="J1613" i="2" l="1"/>
  <c r="B1615" i="2"/>
  <c r="J1614" i="2" s="1"/>
  <c r="K1614" i="2" l="1"/>
  <c r="B1616" i="2"/>
  <c r="J1615" i="2" s="1"/>
  <c r="B1617" i="2" l="1"/>
  <c r="K1616" i="2" s="1"/>
  <c r="K1615" i="2"/>
  <c r="B1618" i="2" l="1"/>
  <c r="J1617" i="2" s="1"/>
  <c r="J1616" i="2"/>
  <c r="B1619" i="2" l="1"/>
  <c r="K1618" i="2" s="1"/>
  <c r="K1617" i="2"/>
  <c r="B1620" i="2" l="1"/>
  <c r="J1619" i="2" s="1"/>
  <c r="J1618" i="2"/>
  <c r="B1621" i="2" l="1"/>
  <c r="K1620" i="2" s="1"/>
  <c r="K1619" i="2"/>
  <c r="B1622" i="2" l="1"/>
  <c r="J1621" i="2" s="1"/>
  <c r="J1620" i="2"/>
  <c r="B1623" i="2" l="1"/>
  <c r="K1622" i="2" s="1"/>
  <c r="K1621" i="2"/>
  <c r="B1624" i="2" l="1"/>
  <c r="J1623" i="2" s="1"/>
  <c r="J1622" i="2"/>
  <c r="B1625" i="2" l="1"/>
  <c r="K1624" i="2" s="1"/>
  <c r="K1623" i="2"/>
  <c r="B1626" i="2" l="1"/>
  <c r="J1625" i="2" s="1"/>
  <c r="J1624" i="2"/>
  <c r="B1627" i="2" l="1"/>
  <c r="K1626" i="2" s="1"/>
  <c r="K1625" i="2"/>
  <c r="B1628" i="2" l="1"/>
  <c r="K1627" i="2" s="1"/>
  <c r="J1626" i="2"/>
  <c r="J1627" i="2" l="1"/>
  <c r="B1629" i="2"/>
  <c r="J1628" i="2" s="1"/>
  <c r="K1628" i="2" l="1"/>
  <c r="B1630" i="2"/>
  <c r="J1629" i="2" s="1"/>
  <c r="B1631" i="2" l="1"/>
  <c r="K1630" i="2" s="1"/>
  <c r="K1629" i="2"/>
  <c r="B1632" i="2" l="1"/>
  <c r="J1631" i="2" s="1"/>
  <c r="J1630" i="2"/>
  <c r="B1633" i="2" l="1"/>
  <c r="K1632" i="2" s="1"/>
  <c r="K1631" i="2"/>
  <c r="B1634" i="2" l="1"/>
  <c r="J1633" i="2" s="1"/>
  <c r="J1632" i="2"/>
  <c r="B1635" i="2" l="1"/>
  <c r="K1634" i="2" s="1"/>
  <c r="K1633" i="2"/>
  <c r="B1636" i="2" l="1"/>
  <c r="J1635" i="2" s="1"/>
  <c r="J1634" i="2"/>
  <c r="B1637" i="2" l="1"/>
  <c r="K1636" i="2" s="1"/>
  <c r="K1635" i="2"/>
  <c r="B1638" i="2" l="1"/>
  <c r="J1637" i="2" s="1"/>
  <c r="J1636" i="2"/>
  <c r="B1639" i="2" l="1"/>
  <c r="K1638" i="2" s="1"/>
  <c r="K1637" i="2"/>
  <c r="B1640" i="2" l="1"/>
  <c r="J1639" i="2" s="1"/>
  <c r="J1638" i="2"/>
  <c r="B1641" i="2" l="1"/>
  <c r="K1640" i="2" s="1"/>
  <c r="K1639" i="2"/>
  <c r="B1642" i="2" l="1"/>
  <c r="K1641" i="2" s="1"/>
  <c r="J1640" i="2"/>
  <c r="J1641" i="2" l="1"/>
  <c r="B1643" i="2"/>
  <c r="K1642" i="2" s="1"/>
  <c r="B1644" i="2" l="1"/>
  <c r="J1643" i="2" s="1"/>
  <c r="J1642" i="2"/>
  <c r="B1645" i="2" l="1"/>
  <c r="K1644" i="2" s="1"/>
  <c r="K1643" i="2"/>
  <c r="B1646" i="2" l="1"/>
  <c r="J1645" i="2" s="1"/>
  <c r="J1644" i="2"/>
  <c r="B1647" i="2" l="1"/>
  <c r="K1646" i="2" s="1"/>
  <c r="K1645" i="2"/>
  <c r="B1648" i="2" l="1"/>
  <c r="J1647" i="2" s="1"/>
  <c r="J1646" i="2"/>
  <c r="B1649" i="2" l="1"/>
  <c r="K1648" i="2" s="1"/>
  <c r="K1647" i="2"/>
  <c r="B1650" i="2" l="1"/>
  <c r="J1649" i="2" s="1"/>
  <c r="J1648" i="2"/>
  <c r="B1651" i="2" l="1"/>
  <c r="K1650" i="2" s="1"/>
  <c r="K1649" i="2"/>
  <c r="B1652" i="2" l="1"/>
  <c r="J1651" i="2" s="1"/>
  <c r="J1650" i="2"/>
  <c r="B1653" i="2" l="1"/>
  <c r="K1652" i="2" s="1"/>
  <c r="K1651" i="2"/>
  <c r="B1654" i="2" l="1"/>
  <c r="J1653" i="2" s="1"/>
  <c r="J1652" i="2"/>
  <c r="B1655" i="2" l="1"/>
  <c r="K1654" i="2" s="1"/>
  <c r="K1653" i="2"/>
  <c r="B1656" i="2" l="1"/>
  <c r="J1655" i="2" s="1"/>
  <c r="J1654" i="2"/>
  <c r="B1657" i="2" l="1"/>
  <c r="K1656" i="2" s="1"/>
  <c r="K1655" i="2"/>
  <c r="B1658" i="2" l="1"/>
  <c r="J1657" i="2" s="1"/>
  <c r="J1656" i="2"/>
  <c r="B1659" i="2" l="1"/>
  <c r="K1658" i="2" s="1"/>
  <c r="K1657" i="2"/>
  <c r="B1660" i="2" l="1"/>
  <c r="J1659" i="2" s="1"/>
  <c r="J1658" i="2"/>
  <c r="B1661" i="2" l="1"/>
  <c r="K1660" i="2" s="1"/>
  <c r="K1659" i="2"/>
  <c r="B1662" i="2" l="1"/>
  <c r="J1661" i="2" s="1"/>
  <c r="J1660" i="2"/>
  <c r="B1663" i="2" l="1"/>
  <c r="K1662" i="2" s="1"/>
  <c r="K1661" i="2"/>
  <c r="B1664" i="2" l="1"/>
  <c r="K1663" i="2" s="1"/>
  <c r="J1662" i="2"/>
  <c r="J1663" i="2" l="1"/>
  <c r="B1665" i="2"/>
  <c r="K1664" i="2" s="1"/>
  <c r="B1666" i="2" l="1"/>
  <c r="K1665" i="2" s="1"/>
  <c r="J1664" i="2"/>
  <c r="J1665" i="2" l="1"/>
  <c r="B1667" i="2"/>
  <c r="K1666" i="2" s="1"/>
  <c r="B1668" i="2" l="1"/>
  <c r="J1667" i="2" s="1"/>
  <c r="J1666" i="2"/>
  <c r="B1669" i="2" l="1"/>
  <c r="K1668" i="2" s="1"/>
  <c r="K1667" i="2"/>
  <c r="B1670" i="2" l="1"/>
  <c r="J1669" i="2" s="1"/>
  <c r="J1668" i="2"/>
  <c r="B1671" i="2" l="1"/>
  <c r="K1670" i="2" s="1"/>
  <c r="K1669" i="2"/>
  <c r="B1672" i="2" l="1"/>
  <c r="J1671" i="2" s="1"/>
  <c r="J1670" i="2"/>
  <c r="B1673" i="2" l="1"/>
  <c r="K1672" i="2" s="1"/>
  <c r="K1671" i="2"/>
  <c r="B1674" i="2" l="1"/>
  <c r="J1673" i="2" s="1"/>
  <c r="J1672" i="2"/>
  <c r="B1675" i="2" l="1"/>
  <c r="K1674" i="2" s="1"/>
  <c r="K1673" i="2"/>
  <c r="B1676" i="2" l="1"/>
  <c r="J1675" i="2" s="1"/>
  <c r="J1674" i="2"/>
  <c r="B1677" i="2" l="1"/>
  <c r="K1676" i="2" s="1"/>
  <c r="K1675" i="2"/>
  <c r="B1678" i="2" l="1"/>
  <c r="J1677" i="2" s="1"/>
  <c r="J1676" i="2"/>
  <c r="B1679" i="2" l="1"/>
  <c r="J1678" i="2" s="1"/>
  <c r="K1677" i="2"/>
  <c r="K1678" i="2" l="1"/>
  <c r="B1680" i="2"/>
  <c r="J1679" i="2" s="1"/>
  <c r="B1681" i="2" l="1"/>
  <c r="K1680" i="2" s="1"/>
  <c r="K1679" i="2"/>
  <c r="B1682" i="2" l="1"/>
  <c r="J1681" i="2" s="1"/>
  <c r="J1680" i="2"/>
  <c r="B1683" i="2" l="1"/>
  <c r="K1682" i="2" s="1"/>
  <c r="K1681" i="2"/>
  <c r="B1684" i="2" l="1"/>
  <c r="J1683" i="2" s="1"/>
  <c r="J1682" i="2"/>
  <c r="B1685" i="2" l="1"/>
  <c r="K1684" i="2" s="1"/>
  <c r="K1683" i="2"/>
  <c r="B1686" i="2" l="1"/>
  <c r="K1685" i="2" s="1"/>
  <c r="J1684" i="2"/>
  <c r="J1685" i="2" l="1"/>
  <c r="B1687" i="2"/>
  <c r="K1686" i="2" s="1"/>
  <c r="B1688" i="2" l="1"/>
  <c r="J1687" i="2" s="1"/>
  <c r="J1686" i="2"/>
  <c r="B1689" i="2" l="1"/>
  <c r="K1688" i="2" s="1"/>
  <c r="K1687" i="2"/>
  <c r="B1690" i="2" l="1"/>
  <c r="J1689" i="2" s="1"/>
  <c r="J1688" i="2"/>
  <c r="B1691" i="2" l="1"/>
  <c r="K1690" i="2" s="1"/>
  <c r="K1689" i="2"/>
  <c r="B1692" i="2" l="1"/>
  <c r="J1691" i="2" s="1"/>
  <c r="J1690" i="2"/>
  <c r="B1693" i="2" l="1"/>
  <c r="K1692" i="2" s="1"/>
  <c r="K1691" i="2"/>
  <c r="B1694" i="2" l="1"/>
  <c r="J1693" i="2" s="1"/>
  <c r="J1692" i="2"/>
  <c r="B1695" i="2" l="1"/>
  <c r="K1694" i="2" s="1"/>
  <c r="K1693" i="2"/>
  <c r="B1696" i="2" l="1"/>
  <c r="J1695" i="2" s="1"/>
  <c r="J1694" i="2"/>
  <c r="B1697" i="2" l="1"/>
  <c r="K1696" i="2" s="1"/>
  <c r="K1695" i="2"/>
  <c r="B1698" i="2" l="1"/>
  <c r="J1697" i="2" s="1"/>
  <c r="J1696" i="2"/>
  <c r="B1699" i="2" l="1"/>
  <c r="K1698" i="2" s="1"/>
  <c r="K1697" i="2"/>
  <c r="B1700" i="2" l="1"/>
  <c r="J1699" i="2" s="1"/>
  <c r="J1698" i="2"/>
  <c r="B1701" i="2" l="1"/>
  <c r="K1700" i="2" s="1"/>
  <c r="K1699" i="2"/>
  <c r="B1702" i="2" l="1"/>
  <c r="J1701" i="2" s="1"/>
  <c r="J1700" i="2"/>
  <c r="B1703" i="2" l="1"/>
  <c r="K1702" i="2" s="1"/>
  <c r="K1701" i="2"/>
  <c r="B1704" i="2" l="1"/>
  <c r="J1703" i="2" s="1"/>
  <c r="J1702" i="2"/>
  <c r="B1705" i="2" l="1"/>
  <c r="K1704" i="2" s="1"/>
  <c r="K1703" i="2"/>
  <c r="B1706" i="2" l="1"/>
  <c r="J1705" i="2" s="1"/>
  <c r="J1704" i="2"/>
  <c r="B1707" i="2" l="1"/>
  <c r="K1706" i="2" s="1"/>
  <c r="K1705" i="2"/>
  <c r="B1708" i="2" l="1"/>
  <c r="J1707" i="2" s="1"/>
  <c r="J1706" i="2"/>
  <c r="B1709" i="2" l="1"/>
  <c r="K1708" i="2" s="1"/>
  <c r="K1707" i="2"/>
  <c r="B1710" i="2" l="1"/>
  <c r="J1709" i="2" s="1"/>
  <c r="J1708" i="2"/>
  <c r="B1711" i="2" l="1"/>
  <c r="K1710" i="2" s="1"/>
  <c r="K1709" i="2"/>
  <c r="B1712" i="2" l="1"/>
  <c r="J1711" i="2" s="1"/>
  <c r="J1710" i="2"/>
  <c r="B1713" i="2" l="1"/>
  <c r="K1712" i="2" s="1"/>
  <c r="K1711" i="2"/>
  <c r="B1714" i="2" l="1"/>
  <c r="J1713" i="2" s="1"/>
  <c r="J1712" i="2"/>
  <c r="B1715" i="2" l="1"/>
  <c r="K1714" i="2" s="1"/>
  <c r="K1713" i="2"/>
  <c r="B1716" i="2" l="1"/>
  <c r="J1715" i="2" s="1"/>
  <c r="J1714" i="2"/>
  <c r="B1717" i="2" l="1"/>
  <c r="K1716" i="2" s="1"/>
  <c r="K1715" i="2"/>
  <c r="B1718" i="2" l="1"/>
  <c r="J1717" i="2" s="1"/>
  <c r="J1716" i="2"/>
  <c r="B1719" i="2" l="1"/>
  <c r="K1718" i="2" s="1"/>
  <c r="K1717" i="2"/>
  <c r="B1720" i="2" l="1"/>
  <c r="J1719" i="2" s="1"/>
  <c r="J1718" i="2"/>
  <c r="B1721" i="2" l="1"/>
  <c r="K1720" i="2" s="1"/>
  <c r="K1719" i="2"/>
  <c r="B1722" i="2" l="1"/>
  <c r="J1721" i="2" s="1"/>
  <c r="J1720" i="2"/>
  <c r="B1723" i="2" l="1"/>
  <c r="K1722" i="2" s="1"/>
  <c r="K1721" i="2"/>
  <c r="B1724" i="2" l="1"/>
  <c r="J1723" i="2" s="1"/>
  <c r="J1722" i="2"/>
  <c r="B1725" i="2" l="1"/>
  <c r="K1724" i="2" s="1"/>
  <c r="K1723" i="2"/>
  <c r="B1726" i="2" l="1"/>
  <c r="J1725" i="2" s="1"/>
  <c r="J1724" i="2"/>
  <c r="B1727" i="2" l="1"/>
  <c r="K1726" i="2" s="1"/>
  <c r="K1725" i="2"/>
  <c r="B1728" i="2" l="1"/>
  <c r="J1727" i="2" s="1"/>
  <c r="J1726" i="2"/>
  <c r="B1729" i="2" l="1"/>
  <c r="K1728" i="2" s="1"/>
  <c r="K1727" i="2"/>
  <c r="B1730" i="2" l="1"/>
  <c r="J1729" i="2" s="1"/>
  <c r="J1728" i="2"/>
  <c r="B1731" i="2" l="1"/>
  <c r="K1730" i="2" s="1"/>
  <c r="K1729" i="2"/>
  <c r="B1732" i="2" l="1"/>
  <c r="J1731" i="2" s="1"/>
  <c r="J1730" i="2"/>
  <c r="B1733" i="2" l="1"/>
  <c r="K1732" i="2" s="1"/>
  <c r="K1731" i="2"/>
  <c r="B1734" i="2" l="1"/>
  <c r="J1733" i="2" s="1"/>
  <c r="J1732" i="2"/>
  <c r="B1735" i="2" l="1"/>
  <c r="K1734" i="2" s="1"/>
  <c r="K1733" i="2"/>
  <c r="B1736" i="2" l="1"/>
  <c r="J1735" i="2" s="1"/>
  <c r="J1734" i="2"/>
  <c r="B1737" i="2" l="1"/>
  <c r="K1736" i="2" s="1"/>
  <c r="K1735" i="2"/>
  <c r="B1738" i="2" l="1"/>
  <c r="J1737" i="2" s="1"/>
  <c r="J1736" i="2"/>
  <c r="B1739" i="2" l="1"/>
  <c r="K1738" i="2" s="1"/>
  <c r="K1737" i="2"/>
  <c r="B1740" i="2" l="1"/>
  <c r="J1739" i="2" s="1"/>
  <c r="J1738" i="2"/>
  <c r="B1741" i="2" l="1"/>
  <c r="K1740" i="2" s="1"/>
  <c r="K1739" i="2"/>
  <c r="B1742" i="2" l="1"/>
  <c r="J1741" i="2" s="1"/>
  <c r="J1740" i="2"/>
  <c r="B1743" i="2" l="1"/>
  <c r="K1742" i="2" s="1"/>
  <c r="K1741" i="2"/>
  <c r="B1744" i="2" l="1"/>
  <c r="J1743" i="2" s="1"/>
  <c r="J1742" i="2"/>
  <c r="B1745" i="2" l="1"/>
  <c r="K1744" i="2" s="1"/>
  <c r="K1743" i="2"/>
  <c r="B1746" i="2" l="1"/>
  <c r="J1745" i="2" s="1"/>
  <c r="J1744" i="2"/>
  <c r="B1747" i="2" l="1"/>
  <c r="K1746" i="2" s="1"/>
  <c r="K1745" i="2"/>
  <c r="B1748" i="2" l="1"/>
  <c r="K1747" i="2" s="1"/>
  <c r="J1746" i="2"/>
  <c r="J1747" i="2" l="1"/>
  <c r="B1749" i="2"/>
  <c r="K1748" i="2" s="1"/>
  <c r="B1750" i="2" l="1"/>
  <c r="J1749" i="2" s="1"/>
  <c r="J1748" i="2"/>
  <c r="B1751" i="2" l="1"/>
  <c r="K1750" i="2" s="1"/>
  <c r="K1749" i="2"/>
  <c r="B1752" i="2" l="1"/>
  <c r="J1751" i="2" s="1"/>
  <c r="J1750" i="2"/>
  <c r="B1753" i="2" l="1"/>
  <c r="K1752" i="2" s="1"/>
  <c r="K1751" i="2"/>
  <c r="B1754" i="2" l="1"/>
  <c r="K1753" i="2" s="1"/>
  <c r="J1752" i="2"/>
  <c r="J1753" i="2" l="1"/>
  <c r="B1755" i="2"/>
  <c r="J1754" i="2" s="1"/>
  <c r="K1754" i="2" l="1"/>
  <c r="B1756" i="2"/>
  <c r="K1755" i="2" s="1"/>
  <c r="J1755" i="2" l="1"/>
  <c r="B1757" i="2"/>
  <c r="K1756" i="2" s="1"/>
  <c r="B1758" i="2" l="1"/>
  <c r="J1757" i="2" s="1"/>
  <c r="J1756" i="2"/>
  <c r="B1759" i="2" l="1"/>
  <c r="K1758" i="2" s="1"/>
  <c r="K1757" i="2"/>
  <c r="B1760" i="2" l="1"/>
  <c r="J1759" i="2" s="1"/>
  <c r="J1758" i="2"/>
  <c r="B1761" i="2" l="1"/>
  <c r="K1760" i="2" s="1"/>
  <c r="K1759" i="2"/>
  <c r="B1762" i="2" l="1"/>
  <c r="J1761" i="2" s="1"/>
  <c r="J1760" i="2"/>
  <c r="B1763" i="2" l="1"/>
  <c r="K1762" i="2" s="1"/>
  <c r="K1761" i="2"/>
  <c r="B1764" i="2" l="1"/>
  <c r="J1763" i="2" s="1"/>
  <c r="J1762" i="2"/>
  <c r="B1765" i="2" l="1"/>
  <c r="K1764" i="2" s="1"/>
  <c r="K1763" i="2"/>
  <c r="B1766" i="2" l="1"/>
  <c r="J1765" i="2" s="1"/>
  <c r="J1764" i="2"/>
  <c r="B1767" i="2" l="1"/>
  <c r="K1766" i="2" s="1"/>
  <c r="K1765" i="2"/>
  <c r="B1768" i="2" l="1"/>
  <c r="J1767" i="2" s="1"/>
  <c r="J1766" i="2"/>
  <c r="B1769" i="2" l="1"/>
  <c r="K1768" i="2" s="1"/>
  <c r="K1767" i="2"/>
  <c r="B1770" i="2" l="1"/>
  <c r="J1769" i="2" s="1"/>
  <c r="J1768" i="2"/>
  <c r="B1771" i="2" l="1"/>
  <c r="K1770" i="2" s="1"/>
  <c r="K1769" i="2"/>
  <c r="B1772" i="2" l="1"/>
  <c r="J1771" i="2" s="1"/>
  <c r="J1770" i="2"/>
  <c r="B1773" i="2" l="1"/>
  <c r="K1772" i="2" s="1"/>
  <c r="K1771" i="2"/>
  <c r="B1774" i="2" l="1"/>
  <c r="J1773" i="2" s="1"/>
  <c r="J1772" i="2"/>
  <c r="B1775" i="2" l="1"/>
  <c r="K1774" i="2" s="1"/>
  <c r="K1773" i="2"/>
  <c r="B1776" i="2" l="1"/>
  <c r="J1775" i="2" s="1"/>
  <c r="J1774" i="2"/>
  <c r="B1777" i="2" l="1"/>
  <c r="K1776" i="2" s="1"/>
  <c r="K1775" i="2"/>
  <c r="B1778" i="2" l="1"/>
  <c r="J1777" i="2" s="1"/>
  <c r="J1776" i="2"/>
  <c r="B1779" i="2" l="1"/>
  <c r="K1778" i="2" s="1"/>
  <c r="K1777" i="2"/>
  <c r="B1780" i="2" l="1"/>
  <c r="J1779" i="2" s="1"/>
  <c r="J1778" i="2"/>
  <c r="B1781" i="2" l="1"/>
  <c r="K1780" i="2" s="1"/>
  <c r="K1779" i="2"/>
  <c r="B1782" i="2" l="1"/>
  <c r="J1781" i="2" s="1"/>
  <c r="J1780" i="2"/>
  <c r="B1783" i="2" l="1"/>
  <c r="K1782" i="2" s="1"/>
  <c r="K1781" i="2"/>
  <c r="B1784" i="2" l="1"/>
  <c r="J1783" i="2" s="1"/>
  <c r="J1782" i="2"/>
  <c r="B1785" i="2" l="1"/>
  <c r="K1784" i="2" s="1"/>
  <c r="K1783" i="2"/>
  <c r="B1786" i="2" l="1"/>
  <c r="J1785" i="2" s="1"/>
  <c r="J1784" i="2"/>
  <c r="B1787" i="2" l="1"/>
  <c r="K1786" i="2" s="1"/>
  <c r="K1785" i="2"/>
  <c r="B1788" i="2" l="1"/>
  <c r="J1787" i="2" s="1"/>
  <c r="J1786" i="2"/>
  <c r="B1789" i="2" l="1"/>
  <c r="K1788" i="2" s="1"/>
  <c r="K1787" i="2"/>
  <c r="B1790" i="2" l="1"/>
  <c r="K1789" i="2" s="1"/>
  <c r="J1788" i="2"/>
  <c r="J1789" i="2" l="1"/>
  <c r="B1791" i="2"/>
  <c r="J1790" i="2" s="1"/>
  <c r="K1790" i="2" l="1"/>
  <c r="B1792" i="2"/>
  <c r="K1791" i="2" s="1"/>
  <c r="J1791" i="2" l="1"/>
  <c r="B1793" i="2"/>
  <c r="K1792" i="2" s="1"/>
  <c r="B1794" i="2" l="1"/>
  <c r="J1793" i="2" s="1"/>
  <c r="J1792" i="2"/>
  <c r="B1795" i="2" l="1"/>
  <c r="K1793" i="2"/>
  <c r="B1796" i="2" l="1"/>
  <c r="J1795" i="2" s="1"/>
  <c r="K1794" i="2"/>
  <c r="J1794" i="2"/>
  <c r="B1797" i="2" l="1"/>
  <c r="K1796" i="2" s="1"/>
  <c r="K1795" i="2"/>
  <c r="B1798" i="2" l="1"/>
  <c r="J1797" i="2" s="1"/>
  <c r="J1796" i="2"/>
  <c r="B1799" i="2" l="1"/>
  <c r="K1798" i="2" s="1"/>
  <c r="K1797" i="2"/>
  <c r="B1800" i="2" l="1"/>
  <c r="J1799" i="2" s="1"/>
  <c r="J1798" i="2"/>
  <c r="B1801" i="2" l="1"/>
  <c r="K1800" i="2" s="1"/>
  <c r="K1799" i="2"/>
  <c r="B1802" i="2" l="1"/>
  <c r="J1801" i="2" s="1"/>
  <c r="J1800" i="2"/>
  <c r="B1803" i="2" l="1"/>
  <c r="K1802" i="2" s="1"/>
  <c r="K1801" i="2"/>
  <c r="B1804" i="2" l="1"/>
  <c r="J1803" i="2" s="1"/>
  <c r="J1802" i="2"/>
  <c r="B1805" i="2" l="1"/>
  <c r="K1804" i="2" s="1"/>
  <c r="K1803" i="2"/>
  <c r="B1806" i="2" l="1"/>
  <c r="J1805" i="2" s="1"/>
  <c r="J1804" i="2"/>
  <c r="B1807" i="2" l="1"/>
  <c r="K1806" i="2" s="1"/>
  <c r="K1805" i="2"/>
  <c r="B1808" i="2" l="1"/>
  <c r="J1807" i="2" s="1"/>
  <c r="J1806" i="2"/>
  <c r="B1809" i="2" l="1"/>
  <c r="K1808" i="2" s="1"/>
  <c r="K1807" i="2"/>
  <c r="B1810" i="2" l="1"/>
  <c r="J1809" i="2" s="1"/>
  <c r="J1808" i="2"/>
  <c r="B1811" i="2" l="1"/>
  <c r="K1810" i="2" s="1"/>
  <c r="K1809" i="2"/>
  <c r="B1812" i="2" l="1"/>
  <c r="J1811" i="2" s="1"/>
  <c r="J1810" i="2"/>
  <c r="B1813" i="2" l="1"/>
  <c r="K1812" i="2" s="1"/>
  <c r="K1811" i="2"/>
  <c r="B1814" i="2" l="1"/>
  <c r="J1813" i="2" s="1"/>
  <c r="J1812" i="2"/>
  <c r="B1815" i="2" l="1"/>
  <c r="K1814" i="2" s="1"/>
  <c r="K1813" i="2"/>
  <c r="B1816" i="2" l="1"/>
  <c r="J1815" i="2" s="1"/>
  <c r="J1814" i="2"/>
  <c r="B1817" i="2" l="1"/>
  <c r="K1816" i="2" s="1"/>
  <c r="K1815" i="2"/>
  <c r="B1818" i="2" l="1"/>
  <c r="J1817" i="2" s="1"/>
  <c r="J1816" i="2"/>
  <c r="B1819" i="2" l="1"/>
  <c r="K1818" i="2" s="1"/>
  <c r="K1817" i="2"/>
  <c r="B1820" i="2" l="1"/>
  <c r="J1819" i="2" s="1"/>
  <c r="J1818" i="2"/>
  <c r="B1821" i="2" l="1"/>
  <c r="K1820" i="2" s="1"/>
  <c r="K1819" i="2"/>
  <c r="B1822" i="2" l="1"/>
  <c r="J1821" i="2" s="1"/>
  <c r="J1820" i="2"/>
  <c r="B1823" i="2" l="1"/>
  <c r="K1822" i="2" s="1"/>
  <c r="K1821" i="2"/>
  <c r="B1824" i="2" l="1"/>
  <c r="J1823" i="2" s="1"/>
  <c r="J1822" i="2"/>
  <c r="B1825" i="2" l="1"/>
  <c r="K1824" i="2" s="1"/>
  <c r="K1823" i="2"/>
  <c r="B1826" i="2" l="1"/>
  <c r="J1825" i="2" s="1"/>
  <c r="J1824" i="2"/>
  <c r="B1827" i="2" l="1"/>
  <c r="K1826" i="2" s="1"/>
  <c r="K1825" i="2"/>
  <c r="B1828" i="2" l="1"/>
  <c r="J1827" i="2" s="1"/>
  <c r="J1826" i="2"/>
  <c r="B1829" i="2" l="1"/>
  <c r="K1828" i="2" s="1"/>
  <c r="K1827" i="2"/>
  <c r="B1830" i="2" l="1"/>
  <c r="J1829" i="2" s="1"/>
  <c r="J1828" i="2"/>
  <c r="B1831" i="2" l="1"/>
  <c r="K1830" i="2" s="1"/>
  <c r="K1829" i="2"/>
  <c r="B1832" i="2" l="1"/>
  <c r="K1831" i="2" s="1"/>
  <c r="J1830" i="2"/>
  <c r="J1831" i="2" l="1"/>
  <c r="B1833" i="2"/>
  <c r="K1832" i="2" s="1"/>
  <c r="B1834" i="2" l="1"/>
  <c r="J1833" i="2" s="1"/>
  <c r="J1832" i="2"/>
  <c r="B1835" i="2" l="1"/>
  <c r="K1834" i="2" s="1"/>
  <c r="K1833" i="2"/>
  <c r="B1836" i="2" l="1"/>
  <c r="K1835" i="2" s="1"/>
  <c r="J1834" i="2"/>
  <c r="J1835" i="2" l="1"/>
  <c r="B1837" i="2"/>
  <c r="K1836" i="2" s="1"/>
  <c r="B1838" i="2" l="1"/>
  <c r="J1837" i="2" s="1"/>
  <c r="J1836" i="2"/>
  <c r="B1839" i="2" l="1"/>
  <c r="K1838" i="2" s="1"/>
  <c r="K1837" i="2"/>
  <c r="B1840" i="2" l="1"/>
  <c r="J1839" i="2" s="1"/>
  <c r="J1838" i="2"/>
  <c r="B1841" i="2" l="1"/>
  <c r="K1840" i="2" s="1"/>
  <c r="K1839" i="2"/>
  <c r="B1842" i="2" l="1"/>
  <c r="J1841" i="2" s="1"/>
  <c r="J1840" i="2"/>
  <c r="B1843" i="2" l="1"/>
  <c r="K1842" i="2" s="1"/>
  <c r="K1841" i="2"/>
  <c r="B1844" i="2" l="1"/>
  <c r="J1843" i="2" s="1"/>
  <c r="J1842" i="2"/>
  <c r="B1845" i="2" l="1"/>
  <c r="K1844" i="2" s="1"/>
  <c r="K1843" i="2"/>
  <c r="B1846" i="2" l="1"/>
  <c r="J1845" i="2" s="1"/>
  <c r="J1844" i="2"/>
  <c r="B1847" i="2" l="1"/>
  <c r="K1846" i="2" s="1"/>
  <c r="K1845" i="2"/>
  <c r="B1848" i="2" l="1"/>
  <c r="J1847" i="2" s="1"/>
  <c r="J1846" i="2"/>
  <c r="B1849" i="2" l="1"/>
  <c r="K1848" i="2" s="1"/>
  <c r="K1847" i="2"/>
  <c r="B1850" i="2" l="1"/>
  <c r="J1849" i="2" s="1"/>
  <c r="J1848" i="2"/>
  <c r="B1851" i="2" l="1"/>
  <c r="K1850" i="2" s="1"/>
  <c r="K1849" i="2"/>
  <c r="B1852" i="2" l="1"/>
  <c r="J1851" i="2" s="1"/>
  <c r="J1850" i="2"/>
  <c r="B1853" i="2" l="1"/>
  <c r="K1852" i="2" s="1"/>
  <c r="K1851" i="2"/>
  <c r="B1854" i="2" l="1"/>
  <c r="J1853" i="2" s="1"/>
  <c r="J1852" i="2"/>
  <c r="B1855" i="2" l="1"/>
  <c r="K1854" i="2" s="1"/>
  <c r="K1853" i="2"/>
  <c r="B1856" i="2" l="1"/>
  <c r="J1855" i="2" s="1"/>
  <c r="J1854" i="2"/>
  <c r="B1857" i="2" l="1"/>
  <c r="K1856" i="2" s="1"/>
  <c r="K1855" i="2"/>
  <c r="B1858" i="2" l="1"/>
  <c r="J1857" i="2" s="1"/>
  <c r="J1856" i="2"/>
  <c r="B1859" i="2" l="1"/>
  <c r="K1858" i="2" s="1"/>
  <c r="K1857" i="2"/>
  <c r="B1860" i="2" l="1"/>
  <c r="J1859" i="2" s="1"/>
  <c r="J1858" i="2"/>
  <c r="B1861" i="2" l="1"/>
  <c r="K1860" i="2" s="1"/>
  <c r="K1859" i="2"/>
  <c r="B1862" i="2" l="1"/>
  <c r="K1861" i="2" s="1"/>
  <c r="J1860" i="2"/>
  <c r="J1861" i="2" l="1"/>
  <c r="B1863" i="2"/>
  <c r="K1862" i="2" s="1"/>
  <c r="B1864" i="2" l="1"/>
  <c r="J1863" i="2" s="1"/>
  <c r="J1862" i="2"/>
  <c r="B1865" i="2" l="1"/>
  <c r="K1864" i="2" s="1"/>
  <c r="K1863" i="2"/>
  <c r="B1866" i="2" l="1"/>
  <c r="J1865" i="2" s="1"/>
  <c r="J1864" i="2"/>
  <c r="B1867" i="2" l="1"/>
  <c r="K1866" i="2" s="1"/>
  <c r="K1865" i="2"/>
  <c r="B1868" i="2" l="1"/>
  <c r="J1867" i="2" s="1"/>
  <c r="J1866" i="2"/>
  <c r="B1869" i="2" l="1"/>
  <c r="K1868" i="2" s="1"/>
  <c r="K1867" i="2"/>
  <c r="B1870" i="2" l="1"/>
  <c r="J1869" i="2" s="1"/>
  <c r="J1868" i="2"/>
  <c r="B1871" i="2" l="1"/>
  <c r="K1870" i="2" s="1"/>
  <c r="K1869" i="2"/>
  <c r="B1872" i="2" l="1"/>
  <c r="J1871" i="2" s="1"/>
  <c r="J1870" i="2"/>
  <c r="B1873" i="2" l="1"/>
  <c r="K1872" i="2" s="1"/>
  <c r="K1871" i="2"/>
  <c r="B1874" i="2" l="1"/>
  <c r="J1873" i="2" s="1"/>
  <c r="J1872" i="2"/>
  <c r="B1875" i="2" l="1"/>
  <c r="K1874" i="2" s="1"/>
  <c r="K1873" i="2"/>
  <c r="B1876" i="2" l="1"/>
  <c r="J1875" i="2" s="1"/>
  <c r="J1874" i="2"/>
  <c r="B1877" i="2" l="1"/>
  <c r="K1876" i="2" s="1"/>
  <c r="K1875" i="2"/>
  <c r="B1878" i="2" l="1"/>
  <c r="J1877" i="2" s="1"/>
  <c r="J1876" i="2"/>
  <c r="B1879" i="2" l="1"/>
  <c r="K1878" i="2" s="1"/>
  <c r="K1877" i="2"/>
  <c r="B1880" i="2" l="1"/>
  <c r="K1879" i="2" s="1"/>
  <c r="J1878" i="2"/>
  <c r="J1879" i="2" l="1"/>
  <c r="B1881" i="2"/>
  <c r="B1882" i="2" l="1"/>
  <c r="J1881" i="2" s="1"/>
  <c r="K1880" i="2"/>
  <c r="J1880" i="2"/>
  <c r="B1883" i="2" l="1"/>
  <c r="K1882" i="2" s="1"/>
  <c r="K1881" i="2"/>
  <c r="B1884" i="2" l="1"/>
  <c r="J1883" i="2" s="1"/>
  <c r="J1882" i="2"/>
  <c r="B1885" i="2" l="1"/>
  <c r="K1884" i="2" s="1"/>
  <c r="K1883" i="2"/>
  <c r="B1886" i="2" l="1"/>
  <c r="J1885" i="2" s="1"/>
  <c r="J1884" i="2"/>
  <c r="B1887" i="2" l="1"/>
  <c r="K1886" i="2" s="1"/>
  <c r="K1885" i="2"/>
  <c r="B1888" i="2" l="1"/>
  <c r="J1887" i="2" s="1"/>
  <c r="J1886" i="2"/>
  <c r="B1889" i="2" l="1"/>
  <c r="K1888" i="2" s="1"/>
  <c r="K1887" i="2"/>
  <c r="B1890" i="2" l="1"/>
  <c r="J1889" i="2" s="1"/>
  <c r="J1888" i="2"/>
  <c r="B1891" i="2" l="1"/>
  <c r="K1890" i="2" s="1"/>
  <c r="K1889" i="2"/>
  <c r="B1892" i="2" l="1"/>
  <c r="J1891" i="2" s="1"/>
  <c r="J1890" i="2"/>
  <c r="B1893" i="2" l="1"/>
  <c r="K1892" i="2" s="1"/>
  <c r="K1891" i="2"/>
  <c r="B1894" i="2" l="1"/>
  <c r="J1893" i="2" s="1"/>
  <c r="J1892" i="2"/>
  <c r="B1895" i="2" l="1"/>
  <c r="K1894" i="2" s="1"/>
  <c r="K1893" i="2"/>
  <c r="B1896" i="2" l="1"/>
  <c r="J1895" i="2" s="1"/>
  <c r="J1894" i="2"/>
  <c r="B1897" i="2" l="1"/>
  <c r="K1896" i="2" s="1"/>
  <c r="K1895" i="2"/>
  <c r="B1898" i="2" l="1"/>
  <c r="K1897" i="2" s="1"/>
  <c r="J1896" i="2"/>
  <c r="J1897" i="2" l="1"/>
  <c r="B1899" i="2"/>
  <c r="B1900" i="2" l="1"/>
  <c r="J1899" i="2" s="1"/>
  <c r="K1898" i="2"/>
  <c r="J1898" i="2"/>
  <c r="B1901" i="2" l="1"/>
  <c r="K1900" i="2" s="1"/>
  <c r="K1899" i="2"/>
  <c r="B1902" i="2" l="1"/>
  <c r="J1901" i="2" s="1"/>
  <c r="J1900" i="2"/>
  <c r="B1903" i="2" l="1"/>
  <c r="K1902" i="2" s="1"/>
  <c r="K1901" i="2"/>
  <c r="B1904" i="2" l="1"/>
  <c r="J1903" i="2" s="1"/>
  <c r="J1902" i="2"/>
  <c r="B1905" i="2" l="1"/>
  <c r="K1904" i="2" s="1"/>
  <c r="K1903" i="2"/>
  <c r="B1906" i="2" l="1"/>
  <c r="J1905" i="2" s="1"/>
  <c r="J1904" i="2"/>
  <c r="B1907" i="2" l="1"/>
  <c r="K1906" i="2" s="1"/>
  <c r="K1905" i="2"/>
  <c r="B1908" i="2" l="1"/>
  <c r="J1907" i="2" s="1"/>
  <c r="J1906" i="2"/>
  <c r="B1909" i="2" l="1"/>
  <c r="K1908" i="2" s="1"/>
  <c r="K1907" i="2"/>
  <c r="B1910" i="2" l="1"/>
  <c r="J1909" i="2" s="1"/>
  <c r="J1908" i="2"/>
  <c r="B1911" i="2" l="1"/>
  <c r="K1910" i="2" s="1"/>
  <c r="K1909" i="2"/>
  <c r="B1912" i="2" l="1"/>
  <c r="J1911" i="2" s="1"/>
  <c r="J1910" i="2"/>
  <c r="B1913" i="2" l="1"/>
  <c r="K1912" i="2" s="1"/>
  <c r="K1911" i="2"/>
  <c r="B1914" i="2" l="1"/>
  <c r="J1913" i="2" s="1"/>
  <c r="J1912" i="2"/>
  <c r="B1915" i="2" l="1"/>
  <c r="K1914" i="2" s="1"/>
  <c r="K1913" i="2"/>
  <c r="B1916" i="2" l="1"/>
  <c r="J1915" i="2" s="1"/>
  <c r="J1914" i="2"/>
  <c r="B1917" i="2" l="1"/>
  <c r="K1916" i="2" s="1"/>
  <c r="K1915" i="2"/>
  <c r="B1918" i="2" l="1"/>
  <c r="J1917" i="2" s="1"/>
  <c r="J1916" i="2"/>
  <c r="B1919" i="2" l="1"/>
  <c r="K1918" i="2" s="1"/>
  <c r="K1917" i="2"/>
  <c r="B1920" i="2" l="1"/>
  <c r="J1919" i="2" s="1"/>
  <c r="J1918" i="2"/>
  <c r="B1921" i="2" l="1"/>
  <c r="K1920" i="2" s="1"/>
  <c r="K1919" i="2"/>
  <c r="B1922" i="2" l="1"/>
  <c r="J1921" i="2" s="1"/>
  <c r="J1920" i="2"/>
  <c r="B1923" i="2" l="1"/>
  <c r="K1922" i="2" s="1"/>
  <c r="K1921" i="2"/>
  <c r="B1924" i="2" l="1"/>
  <c r="J1923" i="2" s="1"/>
  <c r="J1922" i="2"/>
  <c r="B1925" i="2" l="1"/>
  <c r="K1924" i="2" s="1"/>
  <c r="K1923" i="2"/>
  <c r="B1926" i="2" l="1"/>
  <c r="J1925" i="2" s="1"/>
  <c r="J1924" i="2"/>
  <c r="B1927" i="2" l="1"/>
  <c r="K1926" i="2" s="1"/>
  <c r="K1925" i="2"/>
  <c r="B1928" i="2" l="1"/>
  <c r="J1927" i="2" s="1"/>
  <c r="J1926" i="2"/>
  <c r="B1929" i="2" l="1"/>
  <c r="K1928" i="2" s="1"/>
  <c r="K1927" i="2"/>
  <c r="B1930" i="2" l="1"/>
  <c r="J1929" i="2" s="1"/>
  <c r="J1928" i="2"/>
  <c r="B1931" i="2" l="1"/>
  <c r="K1930" i="2" s="1"/>
  <c r="K1929" i="2"/>
  <c r="B1932" i="2" l="1"/>
  <c r="J1931" i="2" s="1"/>
  <c r="J1930" i="2"/>
  <c r="B1933" i="2" l="1"/>
  <c r="K1932" i="2" s="1"/>
  <c r="K1931" i="2"/>
  <c r="J1933" i="2" l="1"/>
  <c r="J1932" i="2"/>
  <c r="K1933" i="2" l="1"/>
  <c r="H7" i="2" l="1"/>
  <c r="H6" i="2"/>
  <c r="K6" i="2" l="1"/>
  <c r="H10" i="2" s="1"/>
  <c r="G10" i="2" s="1"/>
  <c r="J6" i="2"/>
  <c r="G9" i="2" s="1"/>
  <c r="H9" i="2" s="1"/>
  <c r="M469" i="2" l="1"/>
  <c r="M1860" i="2"/>
  <c r="M1550" i="2"/>
  <c r="M61" i="2"/>
  <c r="M362" i="2"/>
  <c r="M24" i="2"/>
  <c r="M213" i="2"/>
  <c r="M19" i="2"/>
  <c r="M1120" i="2"/>
  <c r="M1391" i="2"/>
  <c r="M1438" i="2"/>
  <c r="M1523" i="2"/>
  <c r="M1612" i="2"/>
  <c r="M1809" i="2"/>
  <c r="M1002" i="2"/>
  <c r="M368" i="2"/>
  <c r="M949" i="2"/>
  <c r="M763" i="2"/>
  <c r="M147" i="2"/>
  <c r="M559" i="2"/>
  <c r="M1057" i="2"/>
  <c r="M1107" i="2"/>
  <c r="M1280" i="2"/>
  <c r="M1396" i="2"/>
  <c r="M1398" i="2"/>
  <c r="M1436" i="2"/>
  <c r="M1461" i="2"/>
  <c r="M1867" i="2"/>
  <c r="M392" i="2"/>
  <c r="M87" i="2"/>
  <c r="M73" i="2"/>
  <c r="M156" i="2"/>
  <c r="M658" i="2"/>
  <c r="M988" i="2"/>
  <c r="M91" i="2"/>
  <c r="M337" i="2"/>
  <c r="M494" i="2"/>
  <c r="M548" i="2"/>
  <c r="M732" i="2"/>
  <c r="M593" i="2"/>
  <c r="M69" i="2"/>
  <c r="M105" i="2"/>
  <c r="M808" i="2"/>
  <c r="M9" i="2"/>
  <c r="M111" i="2"/>
  <c r="M296" i="2"/>
  <c r="M526" i="2"/>
  <c r="M749" i="2"/>
  <c r="M980" i="2"/>
  <c r="M1063" i="2"/>
  <c r="M1166" i="2"/>
  <c r="M1350" i="2"/>
  <c r="M1479" i="2"/>
  <c r="M1503" i="2"/>
  <c r="M1510" i="2"/>
  <c r="M1532" i="2"/>
  <c r="M1536" i="2"/>
  <c r="M1570" i="2"/>
  <c r="M1601" i="2"/>
  <c r="M1677" i="2"/>
  <c r="M1703" i="2"/>
  <c r="M1782" i="2"/>
  <c r="M1799" i="2"/>
  <c r="M1829" i="2"/>
  <c r="M1832" i="2"/>
  <c r="M1840" i="2"/>
  <c r="M1872" i="2"/>
  <c r="M1898" i="2"/>
  <c r="M685" i="2"/>
  <c r="M346" i="2"/>
  <c r="M183" i="2"/>
  <c r="M675" i="2"/>
  <c r="M955" i="2"/>
  <c r="M350" i="2"/>
  <c r="M527" i="2"/>
  <c r="M62" i="2"/>
  <c r="M98" i="2"/>
  <c r="M209" i="2"/>
  <c r="M591" i="2"/>
  <c r="M633" i="2"/>
  <c r="M767" i="2"/>
  <c r="M782" i="2"/>
  <c r="M27" i="2"/>
  <c r="M134" i="2"/>
  <c r="M273" i="2"/>
  <c r="M656" i="2"/>
  <c r="M721" i="2"/>
  <c r="M976" i="2"/>
  <c r="M279" i="2"/>
  <c r="M498" i="2"/>
  <c r="M568" i="2"/>
  <c r="M769" i="2"/>
  <c r="M982" i="2"/>
  <c r="M204" i="2"/>
  <c r="M553" i="2"/>
  <c r="M562" i="2"/>
  <c r="M598" i="2"/>
  <c r="M670" i="2"/>
  <c r="M734" i="2"/>
  <c r="M753" i="2"/>
  <c r="M768" i="2"/>
  <c r="M1042" i="2"/>
  <c r="M1066" i="2"/>
  <c r="M1085" i="2"/>
  <c r="M1095" i="2"/>
  <c r="M1097" i="2"/>
  <c r="M1133" i="2"/>
  <c r="M1138" i="2"/>
  <c r="M1160" i="2"/>
  <c r="M1200" i="2"/>
  <c r="M1234" i="2"/>
  <c r="M1299" i="2"/>
  <c r="M1388" i="2"/>
  <c r="M1433" i="2"/>
  <c r="M1456" i="2"/>
  <c r="M1459" i="2"/>
  <c r="M1527" i="2"/>
  <c r="M1616" i="2"/>
  <c r="M1681" i="2"/>
  <c r="M1731" i="2"/>
  <c r="M1739" i="2"/>
  <c r="M1780" i="2"/>
  <c r="M1805" i="2"/>
  <c r="M1816" i="2"/>
  <c r="M1825" i="2"/>
  <c r="M1927" i="2"/>
  <c r="M1009" i="2"/>
  <c r="M399" i="2"/>
  <c r="M995" i="2"/>
  <c r="M139" i="2"/>
  <c r="M595" i="2"/>
  <c r="M635" i="2"/>
  <c r="M63" i="2"/>
  <c r="M220" i="2"/>
  <c r="M266" i="2"/>
  <c r="M885" i="2"/>
  <c r="M20" i="2"/>
  <c r="M35" i="2"/>
  <c r="M77" i="2"/>
  <c r="M247" i="2"/>
  <c r="M364" i="2"/>
  <c r="M492" i="2"/>
  <c r="M519" i="2"/>
  <c r="M558" i="2"/>
  <c r="M649" i="2"/>
  <c r="M700" i="2"/>
  <c r="M773" i="2"/>
  <c r="M791" i="2"/>
  <c r="M921" i="2"/>
  <c r="M964" i="2"/>
  <c r="M175" i="2"/>
  <c r="M221" i="2"/>
  <c r="M278" i="2"/>
  <c r="M406" i="2"/>
  <c r="M443" i="2"/>
  <c r="M502" i="2"/>
  <c r="M510" i="2"/>
  <c r="M570" i="2"/>
  <c r="M645" i="2"/>
  <c r="M648" i="2"/>
  <c r="M720" i="2"/>
  <c r="M855" i="2"/>
  <c r="M893" i="2"/>
  <c r="M1001" i="2"/>
  <c r="M928" i="2"/>
  <c r="M596" i="2"/>
  <c r="M224" i="2"/>
  <c r="M396" i="2"/>
  <c r="M879" i="2"/>
  <c r="M993" i="2"/>
  <c r="M198" i="2"/>
  <c r="M222" i="2"/>
  <c r="M521" i="2"/>
  <c r="M547" i="2"/>
  <c r="M563" i="2"/>
  <c r="M610" i="2"/>
  <c r="M789" i="2"/>
  <c r="M937" i="2"/>
  <c r="M989" i="2"/>
  <c r="M12" i="2"/>
  <c r="M71" i="2"/>
  <c r="M197" i="2"/>
  <c r="M270" i="2"/>
  <c r="M286" i="2"/>
  <c r="M313" i="2"/>
  <c r="M355" i="2"/>
  <c r="M383" i="2"/>
  <c r="M432" i="2"/>
  <c r="M505" i="2"/>
  <c r="M617" i="2"/>
  <c r="M637" i="2"/>
  <c r="M647" i="2"/>
  <c r="M655" i="2"/>
  <c r="M682" i="2"/>
  <c r="M741" i="2"/>
  <c r="M839" i="2"/>
  <c r="M881" i="2"/>
  <c r="M931" i="2"/>
  <c r="M979" i="2"/>
  <c r="M1019" i="2"/>
  <c r="M1022" i="2"/>
  <c r="M1029" i="2"/>
  <c r="M1041" i="2"/>
  <c r="M1043" i="2"/>
  <c r="M1050" i="2"/>
  <c r="M1059" i="2"/>
  <c r="M1067" i="2"/>
  <c r="M1069" i="2"/>
  <c r="M1104" i="2"/>
  <c r="M1105" i="2"/>
  <c r="M1117" i="2"/>
  <c r="M1143" i="2"/>
  <c r="M1158" i="2"/>
  <c r="M1173" i="2"/>
  <c r="M1179" i="2"/>
  <c r="M1190" i="2"/>
  <c r="M1219" i="2"/>
  <c r="M1223" i="2"/>
  <c r="M1257" i="2"/>
  <c r="M1270" i="2"/>
  <c r="M1273" i="2"/>
  <c r="M1274" i="2"/>
  <c r="M1283" i="2"/>
  <c r="M1285" i="2"/>
  <c r="M1302" i="2"/>
  <c r="M1313" i="2"/>
  <c r="M1325" i="2"/>
  <c r="M1363" i="2"/>
  <c r="M1377" i="2"/>
  <c r="M1379" i="2"/>
  <c r="M1381" i="2"/>
  <c r="M1387" i="2"/>
  <c r="M1401" i="2"/>
  <c r="M1411" i="2"/>
  <c r="M1484" i="2"/>
  <c r="M1505" i="2"/>
  <c r="M1508" i="2"/>
  <c r="M1522" i="2"/>
  <c r="M1534" i="2"/>
  <c r="M1569" i="2"/>
  <c r="M1590" i="2"/>
  <c r="M1597" i="2"/>
  <c r="M1599" i="2"/>
  <c r="M1627" i="2"/>
  <c r="M1628" i="2"/>
  <c r="M1630" i="2"/>
  <c r="M1642" i="2"/>
  <c r="M1643" i="2"/>
  <c r="M1655" i="2"/>
  <c r="M1656" i="2"/>
  <c r="M1666" i="2"/>
  <c r="M1683" i="2"/>
  <c r="M1698" i="2"/>
  <c r="M1722" i="2"/>
  <c r="M1749" i="2"/>
  <c r="M1766" i="2"/>
  <c r="M1787" i="2"/>
  <c r="M1795" i="2"/>
  <c r="M1814" i="2"/>
  <c r="M1844" i="2"/>
  <c r="M1847" i="2"/>
  <c r="M1879" i="2"/>
  <c r="M1882" i="2"/>
  <c r="M1887" i="2"/>
  <c r="M1903" i="2"/>
  <c r="M1909" i="2"/>
  <c r="M1920" i="2"/>
  <c r="M1923" i="2"/>
  <c r="M1933" i="2"/>
  <c r="M1008" i="2"/>
  <c r="M459" i="2"/>
  <c r="M298" i="2"/>
  <c r="M401" i="2"/>
  <c r="M567" i="2"/>
  <c r="M872" i="2"/>
  <c r="M50" i="2"/>
  <c r="M290" i="2"/>
  <c r="M612" i="2"/>
  <c r="M922" i="2"/>
  <c r="M344" i="2"/>
  <c r="M53" i="2"/>
  <c r="M146" i="2"/>
  <c r="M237" i="2"/>
  <c r="M440" i="2"/>
  <c r="M556" i="2"/>
  <c r="M623" i="2"/>
  <c r="M724" i="2"/>
  <c r="M825" i="2"/>
  <c r="M917" i="2"/>
  <c r="M142" i="2"/>
  <c r="M179" i="2"/>
  <c r="M226" i="2"/>
  <c r="M240" i="2"/>
  <c r="M253" i="2"/>
  <c r="M280" i="2"/>
  <c r="M310" i="2"/>
  <c r="M333" i="2"/>
  <c r="M343" i="2"/>
  <c r="M372" i="2"/>
  <c r="M478" i="2"/>
  <c r="M577" i="2"/>
  <c r="M615" i="2"/>
  <c r="M693" i="2"/>
  <c r="M703" i="2"/>
  <c r="M771" i="2"/>
  <c r="M800" i="2"/>
  <c r="M824" i="2"/>
  <c r="M847" i="2"/>
  <c r="M37" i="2"/>
  <c r="M68" i="2"/>
  <c r="M82" i="2"/>
  <c r="M136" i="2"/>
  <c r="M165" i="2"/>
  <c r="M189" i="2"/>
  <c r="M200" i="2"/>
  <c r="M230" i="2"/>
  <c r="M302" i="2"/>
  <c r="M321" i="2"/>
  <c r="M338" i="2"/>
  <c r="M353" i="2"/>
  <c r="M356" i="2"/>
  <c r="M386" i="2"/>
  <c r="M419" i="2"/>
  <c r="M441" i="2"/>
  <c r="M446" i="2"/>
  <c r="M508" i="2"/>
  <c r="M518" i="2"/>
  <c r="M538" i="2"/>
  <c r="M552" i="2"/>
  <c r="M557" i="2"/>
  <c r="M560" i="2"/>
  <c r="M618" i="2"/>
  <c r="M636" i="2"/>
  <c r="M696" i="2"/>
  <c r="M780" i="2"/>
  <c r="M788" i="2"/>
  <c r="M818" i="2"/>
  <c r="M844" i="2"/>
  <c r="M866" i="2"/>
  <c r="M906" i="2"/>
  <c r="M963" i="2"/>
  <c r="M305" i="2"/>
  <c r="M416" i="2"/>
  <c r="M283" i="2"/>
  <c r="M605" i="2"/>
  <c r="M831" i="2"/>
  <c r="M326" i="2"/>
  <c r="M710" i="2"/>
  <c r="M837" i="2"/>
  <c r="M59" i="2"/>
  <c r="M171" i="2"/>
  <c r="M412" i="2"/>
  <c r="M464" i="2"/>
  <c r="M590" i="2"/>
  <c r="M730" i="2"/>
  <c r="M874" i="2"/>
  <c r="M21" i="2"/>
  <c r="M33" i="2"/>
  <c r="M42" i="2"/>
  <c r="M119" i="2"/>
  <c r="M236" i="2"/>
  <c r="M293" i="2"/>
  <c r="M331" i="2"/>
  <c r="M340" i="2"/>
  <c r="M512" i="2"/>
  <c r="M534" i="2"/>
  <c r="M639" i="2"/>
  <c r="M828" i="2"/>
  <c r="M32" i="2"/>
  <c r="M44" i="2"/>
  <c r="M67" i="2"/>
  <c r="M107" i="2"/>
  <c r="M128" i="2"/>
  <c r="M217" i="2"/>
  <c r="M223" i="2"/>
  <c r="M301" i="2"/>
  <c r="M304" i="2"/>
  <c r="M319" i="2"/>
  <c r="M351" i="2"/>
  <c r="M357" i="2"/>
  <c r="M393" i="2"/>
  <c r="M415" i="2"/>
  <c r="M423" i="2"/>
  <c r="M438" i="2"/>
  <c r="M698" i="2"/>
  <c r="M727" i="2"/>
  <c r="M760" i="2"/>
  <c r="M811" i="2"/>
  <c r="M851" i="2"/>
  <c r="M869" i="2"/>
  <c r="M894" i="2"/>
  <c r="M987" i="2"/>
  <c r="M853" i="2"/>
  <c r="M877" i="2"/>
  <c r="M945" i="2"/>
  <c r="M1010" i="2"/>
  <c r="M1015" i="2"/>
  <c r="M1024" i="2"/>
  <c r="M1025" i="2"/>
  <c r="M1032" i="2"/>
  <c r="M1038" i="2"/>
  <c r="M1039" i="2"/>
  <c r="M1046" i="2"/>
  <c r="M1051" i="2"/>
  <c r="M1056" i="2"/>
  <c r="M1060" i="2"/>
  <c r="M1064" i="2"/>
  <c r="M1072" i="2"/>
  <c r="M1076" i="2"/>
  <c r="M1081" i="2"/>
  <c r="M1088" i="2"/>
  <c r="M1089" i="2"/>
  <c r="M1091" i="2"/>
  <c r="M1101" i="2"/>
  <c r="M1126" i="2"/>
  <c r="M1130" i="2"/>
  <c r="M1136" i="2"/>
  <c r="M1149" i="2"/>
  <c r="M1150" i="2"/>
  <c r="M1159" i="2"/>
  <c r="M1181" i="2"/>
  <c r="M1187" i="2"/>
  <c r="M1194" i="2"/>
  <c r="M1197" i="2"/>
  <c r="M1210" i="2"/>
  <c r="M1212" i="2"/>
  <c r="M1244" i="2"/>
  <c r="M1252" i="2"/>
  <c r="M1262" i="2"/>
  <c r="M1265" i="2"/>
  <c r="M1271" i="2"/>
  <c r="M1279" i="2"/>
  <c r="M1294" i="2"/>
  <c r="M1306" i="2"/>
  <c r="M1308" i="2"/>
  <c r="M1329" i="2"/>
  <c r="M1330" i="2"/>
  <c r="M1333" i="2"/>
  <c r="M1340" i="2"/>
  <c r="M1342" i="2"/>
  <c r="M1353" i="2"/>
  <c r="M1357" i="2"/>
  <c r="M1358" i="2"/>
  <c r="M1360" i="2"/>
  <c r="M1361" i="2"/>
  <c r="M1364" i="2"/>
  <c r="M1372" i="2"/>
  <c r="M1389" i="2"/>
  <c r="M1393" i="2"/>
  <c r="M1400" i="2"/>
  <c r="M1410" i="2"/>
  <c r="M1418" i="2"/>
  <c r="M1420" i="2"/>
  <c r="M1427" i="2"/>
  <c r="M1429" i="2"/>
  <c r="M1444" i="2"/>
  <c r="M1447" i="2"/>
  <c r="M1450" i="2"/>
  <c r="M1467" i="2"/>
  <c r="M1469" i="2"/>
  <c r="M1470" i="2"/>
  <c r="M1482" i="2"/>
  <c r="M1498" i="2"/>
  <c r="M1500" i="2"/>
  <c r="M1502" i="2"/>
  <c r="M1514" i="2"/>
  <c r="M1518" i="2"/>
  <c r="M1519" i="2"/>
  <c r="M1521" i="2"/>
  <c r="M1528" i="2"/>
  <c r="M1539" i="2"/>
  <c r="M1541" i="2"/>
  <c r="M1549" i="2"/>
  <c r="M1558" i="2"/>
  <c r="M1571" i="2"/>
  <c r="M1572" i="2"/>
  <c r="M1594" i="2"/>
  <c r="M1595" i="2"/>
  <c r="M1598" i="2"/>
  <c r="M1603" i="2"/>
  <c r="M1608" i="2"/>
  <c r="M1629" i="2"/>
  <c r="M1637" i="2"/>
  <c r="M1639" i="2"/>
  <c r="M1641" i="2"/>
  <c r="M1649" i="2"/>
  <c r="M1654" i="2"/>
  <c r="M1659" i="2"/>
  <c r="M1660" i="2"/>
  <c r="M1667" i="2"/>
  <c r="M1669" i="2"/>
  <c r="M1674" i="2"/>
  <c r="M1709" i="2"/>
  <c r="M1711" i="2"/>
  <c r="M1725" i="2"/>
  <c r="M1727" i="2"/>
  <c r="M1734" i="2"/>
  <c r="M1738" i="2"/>
  <c r="M1740" i="2"/>
  <c r="M1747" i="2"/>
  <c r="M1756" i="2"/>
  <c r="M1758" i="2"/>
  <c r="M1761" i="2"/>
  <c r="M1767" i="2"/>
  <c r="M1772" i="2"/>
  <c r="M1774" i="2"/>
  <c r="M1778" i="2"/>
  <c r="M1781" i="2"/>
  <c r="M1788" i="2"/>
  <c r="M1802" i="2"/>
  <c r="M1821" i="2"/>
  <c r="M1824" i="2"/>
  <c r="M1827" i="2"/>
  <c r="M1837" i="2"/>
  <c r="M1842" i="2"/>
  <c r="M1849" i="2"/>
  <c r="M1853" i="2"/>
  <c r="M1857" i="2"/>
  <c r="M1864" i="2"/>
  <c r="M1873" i="2"/>
  <c r="M1877" i="2"/>
  <c r="M1881" i="2"/>
  <c r="M1885" i="2"/>
  <c r="M1888" i="2"/>
  <c r="M1895" i="2"/>
  <c r="M1896" i="2"/>
  <c r="M1904" i="2"/>
  <c r="M1917" i="2"/>
  <c r="M367" i="2"/>
  <c r="M15" i="2"/>
  <c r="M374" i="2"/>
  <c r="M312" i="2"/>
  <c r="M151" i="2"/>
  <c r="M210" i="2"/>
  <c r="M488" i="2"/>
  <c r="M775" i="2"/>
  <c r="M952" i="2"/>
  <c r="M26" i="2"/>
  <c r="M75" i="2"/>
  <c r="M378" i="2"/>
  <c r="M430" i="2"/>
  <c r="M546" i="2"/>
  <c r="M628" i="2"/>
  <c r="M777" i="2"/>
  <c r="M896" i="2"/>
  <c r="M936" i="2"/>
  <c r="M28" i="2"/>
  <c r="M135" i="2"/>
  <c r="M186" i="2"/>
  <c r="M190" i="2"/>
  <c r="M260" i="2"/>
  <c r="M339" i="2"/>
  <c r="M422" i="2"/>
  <c r="M449" i="2"/>
  <c r="M511" i="2"/>
  <c r="M575" i="2"/>
  <c r="M642" i="2"/>
  <c r="M665" i="2"/>
  <c r="M786" i="2"/>
  <c r="M857" i="2"/>
  <c r="M862" i="2"/>
  <c r="M911" i="2"/>
  <c r="M88" i="2"/>
  <c r="M103" i="2"/>
  <c r="M106" i="2"/>
  <c r="M188" i="2"/>
  <c r="M195" i="2"/>
  <c r="M199" i="2"/>
  <c r="M205" i="2"/>
  <c r="M256" i="2"/>
  <c r="M265" i="2"/>
  <c r="M284" i="2"/>
  <c r="M328" i="2"/>
  <c r="M390" i="2"/>
  <c r="M428" i="2"/>
  <c r="M465" i="2"/>
  <c r="M515" i="2"/>
  <c r="M588" i="2"/>
  <c r="M657" i="2"/>
  <c r="M661" i="2"/>
  <c r="M680" i="2"/>
  <c r="M683" i="2"/>
  <c r="M688" i="2"/>
  <c r="M737" i="2"/>
  <c r="M758" i="2"/>
  <c r="M823" i="2"/>
  <c r="M836" i="2"/>
  <c r="M852" i="2"/>
  <c r="M920" i="2"/>
  <c r="M935" i="2"/>
  <c r="M943" i="2"/>
  <c r="M953" i="2"/>
  <c r="M972" i="2"/>
  <c r="M985" i="2"/>
  <c r="M1006" i="2"/>
  <c r="M29" i="2"/>
  <c r="M36" i="2"/>
  <c r="M38" i="2"/>
  <c r="M46" i="2"/>
  <c r="M54" i="2"/>
  <c r="M89" i="2"/>
  <c r="M94" i="2"/>
  <c r="M117" i="2"/>
  <c r="M143" i="2"/>
  <c r="M163" i="2"/>
  <c r="M170" i="2"/>
  <c r="M178" i="2"/>
  <c r="M231" i="2"/>
  <c r="M243" i="2"/>
  <c r="M255" i="2"/>
  <c r="M267" i="2"/>
  <c r="M281" i="2"/>
  <c r="M297" i="2"/>
  <c r="M311" i="2"/>
  <c r="M314" i="2"/>
  <c r="M318" i="2"/>
  <c r="M342" i="2"/>
  <c r="M382" i="2"/>
  <c r="M411" i="2"/>
  <c r="M424" i="2"/>
  <c r="M434" i="2"/>
  <c r="M444" i="2"/>
  <c r="M447" i="2"/>
  <c r="M460" i="2"/>
  <c r="M474" i="2"/>
  <c r="M484" i="2"/>
  <c r="M490" i="2"/>
  <c r="M499" i="2"/>
  <c r="M506" i="2"/>
  <c r="M523" i="2"/>
  <c r="M531" i="2"/>
  <c r="M554" i="2"/>
  <c r="M566" i="2"/>
  <c r="M579" i="2"/>
  <c r="M589" i="2"/>
  <c r="M609" i="2"/>
  <c r="M626" i="2"/>
  <c r="M644" i="2"/>
  <c r="M652" i="2"/>
  <c r="M662" i="2"/>
  <c r="M697" i="2"/>
  <c r="M704" i="2"/>
  <c r="M715" i="2"/>
  <c r="M779" i="2"/>
  <c r="M796" i="2"/>
  <c r="M804" i="2"/>
  <c r="M822" i="2"/>
  <c r="M834" i="2"/>
  <c r="M856" i="2"/>
  <c r="M871" i="2"/>
  <c r="M876" i="2"/>
  <c r="M890" i="2"/>
  <c r="M902" i="2"/>
  <c r="M915" i="2"/>
  <c r="M929" i="2"/>
  <c r="M933" i="2"/>
  <c r="M970" i="2"/>
  <c r="M426" i="2"/>
  <c r="M463" i="2"/>
  <c r="M487" i="2"/>
  <c r="M497" i="2"/>
  <c r="M524" i="2"/>
  <c r="M536" i="2"/>
  <c r="M564" i="2"/>
  <c r="M574" i="2"/>
  <c r="M621" i="2"/>
  <c r="M677" i="2"/>
  <c r="M716" i="2"/>
  <c r="M770" i="2"/>
  <c r="M792" i="2"/>
  <c r="M810" i="2"/>
  <c r="M832" i="2"/>
  <c r="M873" i="2"/>
  <c r="M897" i="2"/>
  <c r="M957" i="2"/>
  <c r="M974" i="2"/>
  <c r="M813" i="2"/>
  <c r="M285" i="2"/>
  <c r="M83" i="2"/>
  <c r="M167" i="2"/>
  <c r="M294" i="2"/>
  <c r="M738" i="2"/>
  <c r="M65" i="2"/>
  <c r="M324" i="2"/>
  <c r="M435" i="2"/>
  <c r="M627" i="2"/>
  <c r="M830" i="2"/>
  <c r="M864" i="2"/>
  <c r="M925" i="2"/>
  <c r="M8" i="2"/>
  <c r="M49" i="2"/>
  <c r="M80" i="2"/>
  <c r="M127" i="2"/>
  <c r="M138" i="2"/>
  <c r="M187" i="2"/>
  <c r="M345" i="2"/>
  <c r="M452" i="2"/>
  <c r="M483" i="2"/>
  <c r="M550" i="2"/>
  <c r="M573" i="2"/>
  <c r="M585" i="2"/>
  <c r="M594" i="2"/>
  <c r="M630" i="2"/>
  <c r="M783" i="2"/>
  <c r="M816" i="2"/>
  <c r="M846" i="2"/>
  <c r="M860" i="2"/>
  <c r="M865" i="2"/>
  <c r="M905" i="2"/>
  <c r="M1000" i="2"/>
  <c r="M1004" i="2"/>
  <c r="M57" i="2"/>
  <c r="M100" i="2"/>
  <c r="M109" i="2"/>
  <c r="M129" i="2"/>
  <c r="M185" i="2"/>
  <c r="M191" i="2"/>
  <c r="M202" i="2"/>
  <c r="M262" i="2"/>
  <c r="M275" i="2"/>
  <c r="M322" i="2"/>
  <c r="M379" i="2"/>
  <c r="M413" i="2"/>
  <c r="M454" i="2"/>
  <c r="M561" i="2"/>
  <c r="M582" i="2"/>
  <c r="M654" i="2"/>
  <c r="M668" i="2"/>
  <c r="M681" i="2"/>
  <c r="M686" i="2"/>
  <c r="M691" i="2"/>
  <c r="M695" i="2"/>
  <c r="M755" i="2"/>
  <c r="M765" i="2"/>
  <c r="M794" i="2"/>
  <c r="M833" i="2"/>
  <c r="M882" i="2"/>
  <c r="M946" i="2"/>
  <c r="M961" i="2"/>
  <c r="M968" i="2"/>
  <c r="M978" i="2"/>
  <c r="M983" i="2"/>
  <c r="M990" i="2"/>
  <c r="M13" i="2"/>
  <c r="M48" i="2"/>
  <c r="M125" i="2"/>
  <c r="M145" i="2"/>
  <c r="M154" i="2"/>
  <c r="M184" i="2"/>
  <c r="M203" i="2"/>
  <c r="M238" i="2"/>
  <c r="M250" i="2"/>
  <c r="M258" i="2"/>
  <c r="M268" i="2"/>
  <c r="M282" i="2"/>
  <c r="M300" i="2"/>
  <c r="M307" i="2"/>
  <c r="M315" i="2"/>
  <c r="M329" i="2"/>
  <c r="M348" i="2"/>
  <c r="M360" i="2"/>
  <c r="M380" i="2"/>
  <c r="M408" i="2"/>
  <c r="M433" i="2"/>
  <c r="M458" i="2"/>
  <c r="M477" i="2"/>
  <c r="M491" i="2"/>
  <c r="M501" i="2"/>
  <c r="M529" i="2"/>
  <c r="M569" i="2"/>
  <c r="M587" i="2"/>
  <c r="M606" i="2"/>
  <c r="M667" i="2"/>
  <c r="M705" i="2"/>
  <c r="M743" i="2"/>
  <c r="M784" i="2"/>
  <c r="M801" i="2"/>
  <c r="M858" i="2"/>
  <c r="M884" i="2"/>
  <c r="M924" i="2"/>
  <c r="M965" i="2"/>
  <c r="M994" i="2"/>
  <c r="M1013" i="2"/>
  <c r="M1016" i="2"/>
  <c r="M1027" i="2"/>
  <c r="M1033" i="2"/>
  <c r="M1034" i="2"/>
  <c r="M1036" i="2"/>
  <c r="M1040" i="2"/>
  <c r="M1044" i="2"/>
  <c r="M1052" i="2"/>
  <c r="M1061" i="2"/>
  <c r="M1070" i="2"/>
  <c r="M1074" i="2"/>
  <c r="M1078" i="2"/>
  <c r="M1080" i="2"/>
  <c r="M1083" i="2"/>
  <c r="M1086" i="2"/>
  <c r="M1093" i="2"/>
  <c r="M1099" i="2"/>
  <c r="M1108" i="2"/>
  <c r="M1110" i="2"/>
  <c r="M1113" i="2"/>
  <c r="M1115" i="2"/>
  <c r="M1118" i="2"/>
  <c r="M1121" i="2"/>
  <c r="M1124" i="2"/>
  <c r="M1125" i="2"/>
  <c r="M1127" i="2"/>
  <c r="M1129" i="2"/>
  <c r="M1131" i="2"/>
  <c r="M1152" i="2"/>
  <c r="M1154" i="2"/>
  <c r="M1157" i="2"/>
  <c r="M1162" i="2"/>
  <c r="M1169" i="2"/>
  <c r="M1171" i="2"/>
  <c r="M1175" i="2"/>
  <c r="M1184" i="2"/>
  <c r="M1188" i="2"/>
  <c r="M1191" i="2"/>
  <c r="M1195" i="2"/>
  <c r="M1198" i="2"/>
  <c r="M1206" i="2"/>
  <c r="M1208" i="2"/>
  <c r="M1214" i="2"/>
  <c r="M1221" i="2"/>
  <c r="M1224" i="2"/>
  <c r="M1227" i="2"/>
  <c r="M1232" i="2"/>
  <c r="M1236" i="2"/>
  <c r="M1238" i="2"/>
  <c r="M1245" i="2"/>
  <c r="M1248" i="2"/>
  <c r="M1266" i="2"/>
  <c r="M1268" i="2"/>
  <c r="M1275" i="2"/>
  <c r="M1284" i="2"/>
  <c r="M1287" i="2"/>
  <c r="M1288" i="2"/>
  <c r="M1290" i="2"/>
  <c r="M1292" i="2"/>
  <c r="M1293" i="2"/>
  <c r="M1310" i="2"/>
  <c r="M1312" i="2"/>
  <c r="M1315" i="2"/>
  <c r="M1319" i="2"/>
  <c r="M1323" i="2"/>
  <c r="M1324" i="2"/>
  <c r="M1328" i="2"/>
  <c r="M1338" i="2"/>
  <c r="M1343" i="2"/>
  <c r="M1345" i="2"/>
  <c r="M1347" i="2"/>
  <c r="M1354" i="2"/>
  <c r="M1369" i="2"/>
  <c r="M1376" i="2"/>
  <c r="M1380" i="2"/>
  <c r="M1382" i="2"/>
  <c r="M1385" i="2"/>
  <c r="M1395" i="2"/>
  <c r="M1402" i="2"/>
  <c r="M1403" i="2"/>
  <c r="M1406" i="2"/>
  <c r="M1408" i="2"/>
  <c r="M1412" i="2"/>
  <c r="M1414" i="2"/>
  <c r="M1417" i="2"/>
  <c r="M1422" i="2"/>
  <c r="M1431" i="2"/>
  <c r="M1437" i="2"/>
  <c r="M1439" i="2"/>
  <c r="M1441" i="2"/>
  <c r="M1443" i="2"/>
  <c r="M1445" i="2"/>
  <c r="M1446" i="2"/>
  <c r="M1448" i="2"/>
  <c r="M1452" i="2"/>
  <c r="M1454" i="2"/>
  <c r="M1458" i="2"/>
  <c r="M1462" i="2"/>
  <c r="M1464" i="2"/>
  <c r="M1465" i="2"/>
  <c r="M1472" i="2"/>
  <c r="M1473" i="2"/>
  <c r="M1474" i="2"/>
  <c r="M1477" i="2"/>
  <c r="M1480" i="2"/>
  <c r="M1487" i="2"/>
  <c r="M1488" i="2"/>
  <c r="M1493" i="2"/>
  <c r="M1494" i="2"/>
  <c r="M1497" i="2"/>
  <c r="M1499" i="2"/>
  <c r="M1506" i="2"/>
  <c r="M1511" i="2"/>
  <c r="M1520" i="2"/>
  <c r="M1524" i="2"/>
  <c r="M1525" i="2"/>
  <c r="M1529" i="2"/>
  <c r="M1533" i="2"/>
  <c r="M1544" i="2"/>
  <c r="M1545" i="2"/>
  <c r="M1547" i="2"/>
  <c r="M1553" i="2"/>
  <c r="M1555" i="2"/>
  <c r="M1562" i="2"/>
  <c r="M1563" i="2"/>
  <c r="M1568" i="2"/>
  <c r="M1575" i="2"/>
  <c r="M1577" i="2"/>
  <c r="M1579" i="2"/>
  <c r="M1584" i="2"/>
  <c r="M1585" i="2"/>
  <c r="M1587" i="2"/>
  <c r="M1602" i="2"/>
  <c r="M1604" i="2"/>
  <c r="M1607" i="2"/>
  <c r="M1609" i="2"/>
  <c r="M1613" i="2"/>
  <c r="M1615" i="2"/>
  <c r="M1618" i="2"/>
  <c r="M1619" i="2"/>
  <c r="M1620" i="2"/>
  <c r="M1621" i="2"/>
  <c r="M1623" i="2"/>
  <c r="M1624" i="2"/>
  <c r="M1634" i="2"/>
  <c r="M1636" i="2"/>
  <c r="M1646" i="2"/>
  <c r="M1653" i="2"/>
  <c r="M1661" i="2"/>
  <c r="M1664" i="2"/>
  <c r="M1670" i="2"/>
  <c r="M1672" i="2"/>
  <c r="M1673" i="2"/>
  <c r="M1676" i="2"/>
  <c r="M1678" i="2"/>
  <c r="M1679" i="2"/>
  <c r="M1680" i="2"/>
  <c r="M1682" i="2"/>
  <c r="M1685" i="2"/>
  <c r="M1687" i="2"/>
  <c r="M1689" i="2"/>
  <c r="M1692" i="2"/>
  <c r="M1694" i="2"/>
  <c r="M1695" i="2"/>
  <c r="M1701" i="2"/>
  <c r="M1704" i="2"/>
  <c r="M1705" i="2"/>
  <c r="M1706" i="2"/>
  <c r="M1712" i="2"/>
  <c r="M1715" i="2"/>
  <c r="M1717" i="2"/>
  <c r="M1718" i="2"/>
  <c r="M1726" i="2"/>
  <c r="M1729" i="2"/>
  <c r="M1732" i="2"/>
  <c r="M1733" i="2"/>
  <c r="M1735" i="2"/>
  <c r="M1741" i="2"/>
  <c r="M1744" i="2"/>
  <c r="M1745" i="2"/>
  <c r="M1751" i="2"/>
  <c r="M1752" i="2"/>
  <c r="M1755" i="2"/>
  <c r="M1760" i="2"/>
  <c r="M1763" i="2"/>
  <c r="M1765" i="2"/>
  <c r="M1776" i="2"/>
  <c r="M1784" i="2"/>
  <c r="M1791" i="2"/>
  <c r="M1793" i="2"/>
  <c r="M1797" i="2"/>
  <c r="M1800" i="2"/>
  <c r="M1808" i="2"/>
  <c r="M1811" i="2"/>
  <c r="M1815" i="2"/>
  <c r="M1818" i="2"/>
  <c r="M1823" i="2"/>
  <c r="M1836" i="2"/>
  <c r="M1839" i="2"/>
  <c r="M1841" i="2"/>
  <c r="M1845" i="2"/>
  <c r="M1852" i="2"/>
  <c r="M1866" i="2"/>
  <c r="M1869" i="2"/>
  <c r="M1871" i="2"/>
  <c r="M1874" i="2"/>
  <c r="M1889" i="2"/>
  <c r="M1891" i="2"/>
  <c r="M1893" i="2"/>
  <c r="M1900" i="2"/>
  <c r="M1901" i="2"/>
  <c r="M1905" i="2"/>
  <c r="M1913" i="2"/>
  <c r="M1916" i="2"/>
  <c r="M1919" i="2"/>
  <c r="M1921" i="2"/>
  <c r="M1007" i="2"/>
  <c r="M451" i="2"/>
  <c r="M870" i="2"/>
  <c r="M387" i="2"/>
  <c r="M555" i="2"/>
  <c r="M899" i="2"/>
  <c r="M254" i="2"/>
  <c r="M448" i="2"/>
  <c r="M634" i="2"/>
  <c r="M690" i="2"/>
  <c r="M722" i="2"/>
  <c r="M842" i="2"/>
  <c r="M900" i="2"/>
  <c r="M17" i="2"/>
  <c r="M31" i="2"/>
  <c r="M64" i="2"/>
  <c r="M108" i="2"/>
  <c r="M149" i="2"/>
  <c r="M182" i="2"/>
  <c r="M277" i="2"/>
  <c r="M287" i="2"/>
  <c r="M388" i="2"/>
  <c r="M601" i="2"/>
  <c r="M708" i="2"/>
  <c r="M744" i="2"/>
  <c r="M901" i="2"/>
  <c r="M958" i="2"/>
  <c r="M14" i="2"/>
  <c r="M113" i="2"/>
  <c r="M172" i="2"/>
  <c r="M201" i="2"/>
  <c r="M257" i="2"/>
  <c r="M317" i="2"/>
  <c r="M407" i="2"/>
  <c r="M450" i="2"/>
  <c r="M535" i="2"/>
  <c r="M624" i="2"/>
  <c r="M653" i="2"/>
  <c r="M673" i="2"/>
  <c r="M701" i="2"/>
  <c r="M713" i="2"/>
  <c r="M733" i="2"/>
  <c r="M838" i="2"/>
  <c r="M85" i="2"/>
  <c r="M110" i="2"/>
  <c r="M157" i="2"/>
  <c r="M215" i="2"/>
  <c r="M241" i="2"/>
  <c r="M246" i="2"/>
  <c r="M251" i="2"/>
  <c r="M261" i="2"/>
  <c r="M269" i="2"/>
  <c r="M347" i="2"/>
  <c r="M375" i="2"/>
  <c r="M420" i="2"/>
  <c r="M522" i="2"/>
  <c r="M620" i="2"/>
  <c r="M629" i="2"/>
  <c r="M663" i="2"/>
  <c r="M714" i="2"/>
  <c r="M735" i="2"/>
  <c r="M750" i="2"/>
  <c r="M802" i="2"/>
  <c r="M840" i="2"/>
  <c r="M907" i="2"/>
  <c r="M932" i="2"/>
  <c r="M962" i="2"/>
  <c r="M967" i="2"/>
  <c r="M984" i="2"/>
  <c r="M11" i="2"/>
  <c r="M23" i="2"/>
  <c r="M39" i="2"/>
  <c r="M45" i="2"/>
  <c r="M97" i="2"/>
  <c r="M112" i="2"/>
  <c r="M124" i="2"/>
  <c r="M130" i="2"/>
  <c r="M137" i="2"/>
  <c r="M148" i="2"/>
  <c r="M162" i="2"/>
  <c r="M193" i="2"/>
  <c r="M208" i="2"/>
  <c r="M232" i="2"/>
  <c r="M242" i="2"/>
  <c r="M248" i="2"/>
  <c r="M264" i="2"/>
  <c r="M288" i="2"/>
  <c r="M299" i="2"/>
  <c r="M323" i="2"/>
  <c r="M359" i="2"/>
  <c r="M373" i="2"/>
  <c r="M397" i="2"/>
  <c r="M403" i="2"/>
  <c r="M421" i="2"/>
  <c r="M427" i="2"/>
  <c r="M439" i="2"/>
  <c r="M456" i="2"/>
  <c r="M475" i="2"/>
  <c r="M481" i="2"/>
  <c r="M500" i="2"/>
  <c r="M507" i="2"/>
  <c r="M539" i="2"/>
  <c r="M572" i="2"/>
  <c r="M581" i="2"/>
  <c r="M584" i="2"/>
  <c r="M597" i="2"/>
  <c r="M603" i="2"/>
  <c r="M625" i="2"/>
  <c r="M678" i="2"/>
  <c r="M707" i="2"/>
  <c r="M717" i="2"/>
  <c r="M787" i="2"/>
  <c r="M805" i="2"/>
  <c r="M820" i="2"/>
  <c r="M875" i="2"/>
  <c r="M880" i="2"/>
  <c r="M883" i="2"/>
  <c r="M903" i="2"/>
  <c r="M910" i="2"/>
  <c r="M913" i="2"/>
  <c r="M918" i="2"/>
  <c r="M934" i="2"/>
  <c r="M941" i="2"/>
  <c r="M959" i="2"/>
  <c r="M969" i="2"/>
  <c r="M998" i="2"/>
  <c r="M16" i="2"/>
  <c r="M41" i="2"/>
  <c r="M47" i="2"/>
  <c r="M52" i="2"/>
  <c r="M55" i="2"/>
  <c r="M74" i="2"/>
  <c r="M78" i="2"/>
  <c r="M81" i="2"/>
  <c r="M84" i="2"/>
  <c r="M101" i="2"/>
  <c r="M104" i="2"/>
  <c r="M115" i="2"/>
  <c r="M120" i="2"/>
  <c r="M123" i="2"/>
  <c r="M126" i="2"/>
  <c r="M131" i="2"/>
  <c r="M141" i="2"/>
  <c r="M150" i="2"/>
  <c r="M159" i="2"/>
  <c r="M169" i="2"/>
  <c r="M173" i="2"/>
  <c r="M192" i="2"/>
  <c r="M207" i="2"/>
  <c r="M212" i="2"/>
  <c r="M216" i="2"/>
  <c r="M219" i="2"/>
  <c r="M227" i="2"/>
  <c r="M235" i="2"/>
  <c r="M239" i="2"/>
  <c r="M245" i="2"/>
  <c r="M252" i="2"/>
  <c r="M274" i="2"/>
  <c r="M289" i="2"/>
  <c r="M309" i="2"/>
  <c r="M320" i="2"/>
  <c r="M327" i="2"/>
  <c r="M330" i="2"/>
  <c r="M334" i="2"/>
  <c r="M358" i="2"/>
  <c r="M361" i="2"/>
  <c r="M365" i="2"/>
  <c r="M370" i="2"/>
  <c r="M376" i="2"/>
  <c r="M381" i="2"/>
  <c r="M391" i="2"/>
  <c r="M395" i="2"/>
  <c r="M402" i="2"/>
  <c r="M405" i="2"/>
  <c r="M429" i="2"/>
  <c r="M442" i="2"/>
  <c r="M453" i="2"/>
  <c r="M457" i="2"/>
  <c r="M468" i="2"/>
  <c r="M480" i="2"/>
  <c r="M486" i="2"/>
  <c r="M489" i="2"/>
  <c r="M496" i="2"/>
  <c r="M533" i="2"/>
  <c r="M541" i="2"/>
  <c r="M543" i="2"/>
  <c r="M565" i="2"/>
  <c r="M571" i="2"/>
  <c r="M578" i="2"/>
  <c r="M583" i="2"/>
  <c r="M602" i="2"/>
  <c r="M608" i="2"/>
  <c r="M613" i="2"/>
  <c r="M616" i="2"/>
  <c r="M631" i="2"/>
  <c r="M638" i="2"/>
  <c r="M641" i="2"/>
  <c r="M650" i="2"/>
  <c r="M664" i="2"/>
  <c r="M672" i="2"/>
  <c r="M689" i="2"/>
  <c r="M706" i="2"/>
  <c r="M711" i="2"/>
  <c r="M725" i="2"/>
  <c r="M739" i="2"/>
  <c r="M745" i="2"/>
  <c r="M756" i="2"/>
  <c r="M764" i="2"/>
  <c r="M778" i="2"/>
  <c r="M785" i="2"/>
  <c r="M790" i="2"/>
  <c r="M795" i="2"/>
  <c r="M799" i="2"/>
  <c r="M809" i="2"/>
  <c r="M814" i="2"/>
  <c r="M821" i="2"/>
  <c r="M826" i="2"/>
  <c r="M848" i="2"/>
  <c r="M859" i="2"/>
  <c r="M863" i="2"/>
  <c r="M867" i="2"/>
  <c r="M887" i="2"/>
  <c r="M889" i="2"/>
  <c r="M891" i="2"/>
  <c r="M908" i="2"/>
  <c r="M916" i="2"/>
  <c r="M923" i="2"/>
  <c r="M926" i="2"/>
  <c r="M930" i="2"/>
  <c r="M940" i="2"/>
  <c r="M944" i="2"/>
  <c r="M947" i="2"/>
  <c r="M956" i="2"/>
  <c r="M973" i="2"/>
  <c r="M975" i="2"/>
  <c r="M981" i="2"/>
  <c r="M991" i="2"/>
  <c r="M997" i="2"/>
  <c r="M895" i="2"/>
  <c r="M919" i="2"/>
  <c r="M942" i="2"/>
  <c r="M948" i="2"/>
  <c r="M971" i="2"/>
  <c r="M1003" i="2"/>
  <c r="M854" i="2"/>
  <c r="M121" i="2"/>
  <c r="M600" i="2"/>
  <c r="M56" i="2"/>
  <c r="M272" i="2"/>
  <c r="M470" i="2"/>
  <c r="M576" i="2"/>
  <c r="M719" i="2"/>
  <c r="M798" i="2"/>
  <c r="M960" i="2"/>
  <c r="M118" i="2"/>
  <c r="M181" i="2"/>
  <c r="M196" i="2"/>
  <c r="M233" i="2"/>
  <c r="M394" i="2"/>
  <c r="M471" i="2"/>
  <c r="M517" i="2"/>
  <c r="M676" i="2"/>
  <c r="M747" i="2"/>
  <c r="M70" i="2"/>
  <c r="M95" i="2"/>
  <c r="M168" i="2"/>
  <c r="M228" i="2"/>
  <c r="M263" i="2"/>
  <c r="M292" i="2"/>
  <c r="M436" i="2"/>
  <c r="M516" i="2"/>
  <c r="M537" i="2"/>
  <c r="M580" i="2"/>
  <c r="M659" i="2"/>
  <c r="M694" i="2"/>
  <c r="M729" i="2"/>
  <c r="M736" i="2"/>
  <c r="M850" i="2"/>
  <c r="M892" i="2"/>
  <c r="M992" i="2"/>
  <c r="M10" i="2"/>
  <c r="M116" i="2"/>
  <c r="M144" i="2"/>
  <c r="M155" i="2"/>
  <c r="M166" i="2"/>
  <c r="M177" i="2"/>
  <c r="M206" i="2"/>
  <c r="M244" i="2"/>
  <c r="M249" i="2"/>
  <c r="M336" i="2"/>
  <c r="M354" i="2"/>
  <c r="M384" i="2"/>
  <c r="M462" i="2"/>
  <c r="M466" i="2"/>
  <c r="M485" i="2"/>
  <c r="M514" i="2"/>
  <c r="M592" i="2"/>
  <c r="M611" i="2"/>
  <c r="M684" i="2"/>
  <c r="M742" i="2"/>
  <c r="M752" i="2"/>
  <c r="M829" i="2"/>
  <c r="M909" i="2"/>
  <c r="M966" i="2"/>
  <c r="M986" i="2"/>
  <c r="M18" i="2"/>
  <c r="M22" i="2"/>
  <c r="M51" i="2"/>
  <c r="M60" i="2"/>
  <c r="M66" i="2"/>
  <c r="M72" i="2"/>
  <c r="M92" i="2"/>
  <c r="M132" i="2"/>
  <c r="M153" i="2"/>
  <c r="M160" i="2"/>
  <c r="M164" i="2"/>
  <c r="M211" i="2"/>
  <c r="M218" i="2"/>
  <c r="M234" i="2"/>
  <c r="M291" i="2"/>
  <c r="M295" i="2"/>
  <c r="M303" i="2"/>
  <c r="M325" i="2"/>
  <c r="M335" i="2"/>
  <c r="M341" i="2"/>
  <c r="M349" i="2"/>
  <c r="M352" i="2"/>
  <c r="M377" i="2"/>
  <c r="M398" i="2"/>
  <c r="M409" i="2"/>
  <c r="M418" i="2"/>
  <c r="M425" i="2"/>
  <c r="M461" i="2"/>
  <c r="M467" i="2"/>
  <c r="M473" i="2"/>
  <c r="M482" i="2"/>
  <c r="M503" i="2"/>
  <c r="M525" i="2"/>
  <c r="M544" i="2"/>
  <c r="M549" i="2"/>
  <c r="M599" i="2"/>
  <c r="M622" i="2"/>
  <c r="M632" i="2"/>
  <c r="M646" i="2"/>
  <c r="M651" i="2"/>
  <c r="M660" i="2"/>
  <c r="M699" i="2"/>
  <c r="M712" i="2"/>
  <c r="M728" i="2"/>
  <c r="M746" i="2"/>
  <c r="M757" i="2"/>
  <c r="M762" i="2"/>
  <c r="M772" i="2"/>
  <c r="M774" i="2"/>
  <c r="M793" i="2"/>
  <c r="M797" i="2"/>
  <c r="M803" i="2"/>
  <c r="M806" i="2"/>
  <c r="M815" i="2"/>
  <c r="M827" i="2"/>
  <c r="M841" i="2"/>
  <c r="M849" i="2"/>
  <c r="M868" i="2"/>
  <c r="M878" i="2"/>
  <c r="M886" i="2"/>
  <c r="M904" i="2"/>
  <c r="M912" i="2"/>
  <c r="M914" i="2"/>
  <c r="M927" i="2"/>
  <c r="M939" i="2"/>
  <c r="M951" i="2"/>
  <c r="M954" i="2"/>
  <c r="M996" i="2"/>
  <c r="M1005" i="2"/>
  <c r="M7" i="2"/>
  <c r="M25" i="2"/>
  <c r="M30" i="2"/>
  <c r="M34" i="2"/>
  <c r="M40" i="2"/>
  <c r="M43" i="2"/>
  <c r="M58" i="2"/>
  <c r="M76" i="2"/>
  <c r="M79" i="2"/>
  <c r="M86" i="2"/>
  <c r="M90" i="2"/>
  <c r="M93" i="2"/>
  <c r="M96" i="2"/>
  <c r="M99" i="2"/>
  <c r="M102" i="2"/>
  <c r="M114" i="2"/>
  <c r="M122" i="2"/>
  <c r="M133" i="2"/>
  <c r="M140" i="2"/>
  <c r="M152" i="2"/>
  <c r="M158" i="2"/>
  <c r="M161" i="2"/>
  <c r="M174" i="2"/>
  <c r="M176" i="2"/>
  <c r="M180" i="2"/>
  <c r="M194" i="2"/>
  <c r="M214" i="2"/>
  <c r="M225" i="2"/>
  <c r="M229" i="2"/>
  <c r="M259" i="2"/>
  <c r="M271" i="2"/>
  <c r="M276" i="2"/>
  <c r="M306" i="2"/>
  <c r="M308" i="2"/>
  <c r="M316" i="2"/>
  <c r="M332" i="2"/>
  <c r="M363" i="2"/>
  <c r="M366" i="2"/>
  <c r="M369" i="2"/>
  <c r="M371" i="2"/>
  <c r="M385" i="2"/>
  <c r="M389" i="2"/>
  <c r="M400" i="2"/>
  <c r="M404" i="2"/>
  <c r="M410" i="2"/>
  <c r="M414" i="2"/>
  <c r="M417" i="2"/>
  <c r="M431" i="2"/>
  <c r="M437" i="2"/>
  <c r="M445" i="2"/>
  <c r="M455" i="2"/>
  <c r="M472" i="2"/>
  <c r="M476" i="2"/>
  <c r="M479" i="2"/>
  <c r="M493" i="2"/>
  <c r="M495" i="2"/>
  <c r="M504" i="2"/>
  <c r="M509" i="2"/>
  <c r="M513" i="2"/>
  <c r="M520" i="2"/>
  <c r="M528" i="2"/>
  <c r="M530" i="2"/>
  <c r="M532" i="2"/>
  <c r="M540" i="2"/>
  <c r="M542" i="2"/>
  <c r="M545" i="2"/>
  <c r="M551" i="2"/>
  <c r="M586" i="2"/>
  <c r="M604" i="2"/>
  <c r="M607" i="2"/>
  <c r="M614" i="2"/>
  <c r="M619" i="2"/>
  <c r="M640" i="2"/>
  <c r="M643" i="2"/>
  <c r="M666" i="2"/>
  <c r="M669" i="2"/>
  <c r="M671" i="2"/>
  <c r="M674" i="2"/>
  <c r="M679" i="2"/>
  <c r="M687" i="2"/>
  <c r="M692" i="2"/>
  <c r="M702" i="2"/>
  <c r="M709" i="2"/>
  <c r="M718" i="2"/>
  <c r="M723" i="2"/>
  <c r="M726" i="2"/>
  <c r="M731" i="2"/>
  <c r="M740" i="2"/>
  <c r="M748" i="2"/>
  <c r="M751" i="2"/>
  <c r="M754" i="2"/>
  <c r="M759" i="2"/>
  <c r="M761" i="2"/>
  <c r="M766" i="2"/>
  <c r="M776" i="2"/>
  <c r="M781" i="2"/>
  <c r="M807" i="2"/>
  <c r="M812" i="2"/>
  <c r="M817" i="2"/>
  <c r="M819" i="2"/>
  <c r="M835" i="2"/>
  <c r="M843" i="2"/>
  <c r="M845" i="2"/>
  <c r="M861" i="2"/>
  <c r="M888" i="2"/>
  <c r="M898" i="2"/>
  <c r="M938" i="2"/>
  <c r="M950" i="2"/>
  <c r="M977" i="2"/>
  <c r="M999" i="2"/>
  <c r="M1011" i="2"/>
  <c r="M1012" i="2"/>
  <c r="M1014" i="2"/>
  <c r="M1017" i="2"/>
  <c r="M1018" i="2"/>
  <c r="M1020" i="2"/>
  <c r="M1021" i="2"/>
  <c r="M1023" i="2"/>
  <c r="M1026" i="2"/>
  <c r="M1028" i="2"/>
  <c r="M1030" i="2"/>
  <c r="M1031" i="2"/>
  <c r="M1035" i="2"/>
  <c r="M1037" i="2"/>
  <c r="M1045" i="2"/>
  <c r="M1047" i="2"/>
  <c r="M1048" i="2"/>
  <c r="M1049" i="2"/>
  <c r="M1053" i="2"/>
  <c r="M1054" i="2"/>
  <c r="M1055" i="2"/>
  <c r="M1058" i="2"/>
  <c r="M1062" i="2"/>
  <c r="M1065" i="2"/>
  <c r="M1068" i="2"/>
  <c r="M1071" i="2"/>
  <c r="M1073" i="2"/>
  <c r="M1075" i="2"/>
  <c r="M1077" i="2"/>
  <c r="M1079" i="2"/>
  <c r="M1082" i="2"/>
  <c r="M1084" i="2"/>
  <c r="M1087" i="2"/>
  <c r="M1090" i="2"/>
  <c r="M1092" i="2"/>
  <c r="M1094" i="2"/>
  <c r="M1096" i="2"/>
  <c r="M1098" i="2"/>
  <c r="M1100" i="2"/>
  <c r="M1102" i="2"/>
  <c r="M1103" i="2"/>
  <c r="M1106" i="2"/>
  <c r="M1109" i="2"/>
  <c r="M1111" i="2"/>
  <c r="M1112" i="2"/>
  <c r="M1114" i="2"/>
  <c r="M1116" i="2"/>
  <c r="M1119" i="2"/>
  <c r="M1122" i="2"/>
  <c r="M1123" i="2"/>
  <c r="M1128" i="2"/>
  <c r="M1132" i="2"/>
  <c r="M1134" i="2"/>
  <c r="M1135" i="2"/>
  <c r="M1137" i="2"/>
  <c r="M1139" i="2"/>
  <c r="M1140" i="2"/>
  <c r="M1141" i="2"/>
  <c r="M1142" i="2"/>
  <c r="M1144" i="2"/>
  <c r="M1145" i="2"/>
  <c r="M1146" i="2"/>
  <c r="M1147" i="2"/>
  <c r="M1148" i="2"/>
  <c r="M1151" i="2"/>
  <c r="M1153" i="2"/>
  <c r="M1155" i="2"/>
  <c r="M1156" i="2"/>
  <c r="M1161" i="2"/>
  <c r="M1163" i="2"/>
  <c r="M1164" i="2"/>
  <c r="M1165" i="2"/>
  <c r="M1167" i="2"/>
  <c r="M1168" i="2"/>
  <c r="M1170" i="2"/>
  <c r="M1172" i="2"/>
  <c r="M1174" i="2"/>
  <c r="M1176" i="2"/>
  <c r="M1177" i="2"/>
  <c r="M1178" i="2"/>
  <c r="M1180" i="2"/>
  <c r="M1182" i="2"/>
  <c r="M1183" i="2"/>
  <c r="M1185" i="2"/>
  <c r="M1186" i="2"/>
  <c r="M1189" i="2"/>
  <c r="M1192" i="2"/>
  <c r="M1193" i="2"/>
  <c r="M1196" i="2"/>
  <c r="M1199" i="2"/>
  <c r="M1201" i="2"/>
  <c r="M1202" i="2"/>
  <c r="M1203" i="2"/>
  <c r="M1204" i="2"/>
  <c r="M1205" i="2"/>
  <c r="M1207" i="2"/>
  <c r="M1209" i="2"/>
  <c r="M1211" i="2"/>
  <c r="M1213" i="2"/>
  <c r="M1215" i="2"/>
  <c r="M1216" i="2"/>
  <c r="M1217" i="2"/>
  <c r="M1218" i="2"/>
  <c r="M1220" i="2"/>
  <c r="M1222" i="2"/>
  <c r="M1225" i="2"/>
  <c r="M1226" i="2"/>
  <c r="M1228" i="2"/>
  <c r="M1229" i="2"/>
  <c r="M1230" i="2"/>
  <c r="M1231" i="2"/>
  <c r="M1233" i="2"/>
  <c r="M1235" i="2"/>
  <c r="M1237" i="2"/>
  <c r="M1239" i="2"/>
  <c r="M1240" i="2"/>
  <c r="M1241" i="2"/>
  <c r="M1242" i="2"/>
  <c r="M1243" i="2"/>
  <c r="M1246" i="2"/>
  <c r="M1247" i="2"/>
  <c r="M1249" i="2"/>
  <c r="M1250" i="2"/>
  <c r="M1251" i="2"/>
  <c r="M1253" i="2"/>
  <c r="M1254" i="2"/>
  <c r="M1255" i="2"/>
  <c r="M1256" i="2"/>
  <c r="M1258" i="2"/>
  <c r="M1259" i="2"/>
  <c r="M1260" i="2"/>
  <c r="M1261" i="2"/>
  <c r="M1263" i="2"/>
  <c r="M1264" i="2"/>
  <c r="M1267" i="2"/>
  <c r="M1269" i="2"/>
  <c r="M1272" i="2"/>
  <c r="M1276" i="2"/>
  <c r="M1277" i="2"/>
  <c r="M1278" i="2"/>
  <c r="M1281" i="2"/>
  <c r="M1282" i="2"/>
  <c r="M1286" i="2"/>
  <c r="M1289" i="2"/>
  <c r="M1291" i="2"/>
  <c r="M1295" i="2"/>
  <c r="M1296" i="2"/>
  <c r="M1297" i="2"/>
  <c r="M1298" i="2"/>
  <c r="M1300" i="2"/>
  <c r="M1301" i="2"/>
  <c r="M1303" i="2"/>
  <c r="M1304" i="2"/>
  <c r="M1305" i="2"/>
  <c r="M1307" i="2"/>
  <c r="M1309" i="2"/>
  <c r="M1311" i="2"/>
  <c r="M1314" i="2"/>
  <c r="M1316" i="2"/>
  <c r="M1317" i="2"/>
  <c r="M1318" i="2"/>
  <c r="M1320" i="2"/>
  <c r="M1321" i="2"/>
  <c r="M1322" i="2"/>
  <c r="M1326" i="2"/>
  <c r="M1327" i="2"/>
  <c r="M1331" i="2"/>
  <c r="M1332" i="2"/>
  <c r="M1334" i="2"/>
  <c r="M1335" i="2"/>
  <c r="M1336" i="2"/>
  <c r="M1337" i="2"/>
  <c r="M1339" i="2"/>
  <c r="M1341" i="2"/>
  <c r="M1344" i="2"/>
  <c r="M1346" i="2"/>
  <c r="M1348" i="2"/>
  <c r="M1349" i="2"/>
  <c r="M1351" i="2"/>
  <c r="M1352" i="2"/>
  <c r="M1355" i="2"/>
  <c r="M1356" i="2"/>
  <c r="M1359" i="2"/>
  <c r="M1362" i="2"/>
  <c r="M1365" i="2"/>
  <c r="M1366" i="2"/>
  <c r="M1367" i="2"/>
  <c r="M1368" i="2"/>
  <c r="M1370" i="2"/>
  <c r="M1371" i="2"/>
  <c r="M1373" i="2"/>
  <c r="M1374" i="2"/>
  <c r="M1375" i="2"/>
  <c r="M1378" i="2"/>
  <c r="M1383" i="2"/>
  <c r="M1384" i="2"/>
  <c r="M1386" i="2"/>
  <c r="M1390" i="2"/>
  <c r="M1392" i="2"/>
  <c r="M1394" i="2"/>
  <c r="M1397" i="2"/>
  <c r="M1399" i="2"/>
  <c r="M1404" i="2"/>
  <c r="M1405" i="2"/>
  <c r="M1407" i="2"/>
  <c r="M1409" i="2"/>
  <c r="M1413" i="2"/>
  <c r="M1415" i="2"/>
  <c r="M1416" i="2"/>
  <c r="M1419" i="2"/>
  <c r="M1421" i="2"/>
  <c r="M1423" i="2"/>
  <c r="M1424" i="2"/>
  <c r="M1425" i="2"/>
  <c r="M1426" i="2"/>
  <c r="M1428" i="2"/>
  <c r="M1430" i="2"/>
  <c r="M1432" i="2"/>
  <c r="M1434" i="2"/>
  <c r="M1435" i="2"/>
  <c r="M1440" i="2"/>
  <c r="M1442" i="2"/>
  <c r="M1449" i="2"/>
  <c r="M1451" i="2"/>
  <c r="M1453" i="2"/>
  <c r="M1455" i="2"/>
  <c r="M1457" i="2"/>
  <c r="M1460" i="2"/>
  <c r="M1463" i="2"/>
  <c r="M1466" i="2"/>
  <c r="M1468" i="2"/>
  <c r="M1471" i="2"/>
  <c r="M1475" i="2"/>
  <c r="M1476" i="2"/>
  <c r="M1478" i="2"/>
  <c r="M1481" i="2"/>
  <c r="M1483" i="2"/>
  <c r="M1485" i="2"/>
  <c r="M1486" i="2"/>
  <c r="M1489" i="2"/>
  <c r="M1490" i="2"/>
  <c r="M1491" i="2"/>
  <c r="M1492" i="2"/>
  <c r="M1495" i="2"/>
  <c r="M1496" i="2"/>
  <c r="M1501" i="2"/>
  <c r="M1504" i="2"/>
  <c r="M1507" i="2"/>
  <c r="M1509" i="2"/>
  <c r="M1512" i="2"/>
  <c r="M1513" i="2"/>
  <c r="M1515" i="2"/>
  <c r="M1516" i="2"/>
  <c r="M1517" i="2"/>
  <c r="M1526" i="2"/>
  <c r="M1530" i="2"/>
  <c r="M1531" i="2"/>
  <c r="M1535" i="2"/>
  <c r="M1537" i="2"/>
  <c r="M1538" i="2"/>
  <c r="M1540" i="2"/>
  <c r="M1542" i="2"/>
  <c r="M1543" i="2"/>
  <c r="M1546" i="2"/>
  <c r="M1548" i="2"/>
  <c r="M1551" i="2"/>
  <c r="M1552" i="2"/>
  <c r="M1554" i="2"/>
  <c r="M1556" i="2"/>
  <c r="M1557" i="2"/>
  <c r="M1559" i="2"/>
  <c r="M1560" i="2"/>
  <c r="M1561" i="2"/>
  <c r="M1564" i="2"/>
  <c r="M1565" i="2"/>
  <c r="M1566" i="2"/>
  <c r="M1567" i="2"/>
  <c r="M1573" i="2"/>
  <c r="M1574" i="2"/>
  <c r="M1576" i="2"/>
  <c r="M1578" i="2"/>
  <c r="M1580" i="2"/>
  <c r="M1581" i="2"/>
  <c r="M1582" i="2"/>
  <c r="M1583" i="2"/>
  <c r="M1586" i="2"/>
  <c r="M1588" i="2"/>
  <c r="M1589" i="2"/>
  <c r="M1591" i="2"/>
  <c r="M1592" i="2"/>
  <c r="M1593" i="2"/>
  <c r="M1596" i="2"/>
  <c r="M1600" i="2"/>
  <c r="M1605" i="2"/>
  <c r="M1606" i="2"/>
  <c r="M1610" i="2"/>
  <c r="M1611" i="2"/>
  <c r="M1614" i="2"/>
  <c r="M1617" i="2"/>
  <c r="M1622" i="2"/>
  <c r="M1625" i="2"/>
  <c r="M1626" i="2"/>
  <c r="M1631" i="2"/>
  <c r="M1632" i="2"/>
  <c r="M1633" i="2"/>
  <c r="M1635" i="2"/>
  <c r="M1638" i="2"/>
  <c r="M1640" i="2"/>
  <c r="M1644" i="2"/>
  <c r="M1645" i="2"/>
  <c r="M1647" i="2"/>
  <c r="M1648" i="2"/>
  <c r="M1650" i="2"/>
  <c r="M1651" i="2"/>
  <c r="M1652" i="2"/>
  <c r="M1657" i="2"/>
  <c r="M1658" i="2"/>
  <c r="M1662" i="2"/>
  <c r="M1663" i="2"/>
  <c r="M1665" i="2"/>
  <c r="M1668" i="2"/>
  <c r="M1671" i="2"/>
  <c r="M1675" i="2"/>
  <c r="M1684" i="2"/>
  <c r="M1686" i="2"/>
  <c r="M1688" i="2"/>
  <c r="M1690" i="2"/>
  <c r="M1691" i="2"/>
  <c r="M1693" i="2"/>
  <c r="M1696" i="2"/>
  <c r="M1697" i="2"/>
  <c r="M1699" i="2"/>
  <c r="M1700" i="2"/>
  <c r="M1702" i="2"/>
  <c r="M1707" i="2"/>
  <c r="M1708" i="2"/>
  <c r="M1710" i="2"/>
  <c r="M1713" i="2"/>
  <c r="M1714" i="2"/>
  <c r="M1716" i="2"/>
  <c r="M1719" i="2"/>
  <c r="M1720" i="2"/>
  <c r="M1721" i="2"/>
  <c r="M1723" i="2"/>
  <c r="M1724" i="2"/>
  <c r="M1728" i="2"/>
  <c r="M1730" i="2"/>
  <c r="M1736" i="2"/>
  <c r="M1737" i="2"/>
  <c r="M1742" i="2"/>
  <c r="M1743" i="2"/>
  <c r="M1746" i="2"/>
  <c r="M1748" i="2"/>
  <c r="M1750" i="2"/>
  <c r="M1753" i="2"/>
  <c r="M1754" i="2"/>
  <c r="M1757" i="2"/>
  <c r="M1759" i="2"/>
  <c r="M1762" i="2"/>
  <c r="M1764" i="2"/>
  <c r="M1768" i="2"/>
  <c r="M1769" i="2"/>
  <c r="M1770" i="2"/>
  <c r="M1771" i="2"/>
  <c r="M1773" i="2"/>
  <c r="M1775" i="2"/>
  <c r="M1777" i="2"/>
  <c r="M1779" i="2"/>
  <c r="M1783" i="2"/>
  <c r="M1785" i="2"/>
  <c r="M1786" i="2"/>
  <c r="M1789" i="2"/>
  <c r="M1790" i="2"/>
  <c r="M1792" i="2"/>
  <c r="M1794" i="2"/>
  <c r="M1796" i="2"/>
  <c r="M1798" i="2"/>
  <c r="M1801" i="2"/>
  <c r="M1803" i="2"/>
  <c r="M1804" i="2"/>
  <c r="M1806" i="2"/>
  <c r="M1807" i="2"/>
  <c r="M1810" i="2"/>
  <c r="M1812" i="2"/>
  <c r="M1813" i="2"/>
  <c r="M1817" i="2"/>
  <c r="M1819" i="2"/>
  <c r="M1820" i="2"/>
  <c r="M1822" i="2"/>
  <c r="M1826" i="2"/>
  <c r="M1828" i="2"/>
  <c r="M1830" i="2"/>
  <c r="M1831" i="2"/>
  <c r="M1833" i="2"/>
  <c r="M1834" i="2"/>
  <c r="M1835" i="2"/>
  <c r="M1838" i="2"/>
  <c r="M1843" i="2"/>
  <c r="M1846" i="2"/>
  <c r="M1848" i="2"/>
  <c r="M1850" i="2"/>
  <c r="M1851" i="2"/>
  <c r="M1854" i="2"/>
  <c r="M1855" i="2"/>
  <c r="M1856" i="2"/>
  <c r="M1858" i="2"/>
  <c r="M1859" i="2"/>
  <c r="M1861" i="2"/>
  <c r="M1862" i="2"/>
  <c r="M1863" i="2"/>
  <c r="M1865" i="2"/>
  <c r="M1868" i="2"/>
  <c r="M1870" i="2"/>
  <c r="M1875" i="2"/>
  <c r="M1876" i="2"/>
  <c r="M1878" i="2"/>
  <c r="M1880" i="2"/>
  <c r="M1883" i="2"/>
  <c r="M1884" i="2"/>
  <c r="M1886" i="2"/>
  <c r="M1890" i="2"/>
  <c r="M1892" i="2"/>
  <c r="M1894" i="2"/>
  <c r="M1897" i="2"/>
  <c r="M1899" i="2"/>
  <c r="M1902" i="2"/>
  <c r="M1906" i="2"/>
  <c r="M1907" i="2"/>
  <c r="M1908" i="2"/>
  <c r="M1910" i="2"/>
  <c r="M1911" i="2"/>
  <c r="M1912" i="2"/>
  <c r="M1914" i="2"/>
  <c r="M1915" i="2"/>
  <c r="M1918" i="2"/>
  <c r="M1922" i="2"/>
  <c r="M1924" i="2"/>
  <c r="M1925" i="2"/>
  <c r="M1926" i="2"/>
  <c r="M1928" i="2"/>
  <c r="M1929" i="2"/>
  <c r="M1930" i="2"/>
  <c r="M1931" i="2"/>
  <c r="M1932" i="2"/>
  <c r="O10" i="2" l="1"/>
  <c r="J29" i="7"/>
  <c r="P110" i="7"/>
  <c r="P106" i="7"/>
  <c r="P89" i="7"/>
  <c r="P63" i="7"/>
  <c r="P92" i="7"/>
  <c r="P54" i="7"/>
  <c r="P23" i="7"/>
  <c r="P18" i="7"/>
  <c r="P76" i="7"/>
  <c r="P64" i="7"/>
  <c r="P101" i="7"/>
  <c r="P84" i="7"/>
  <c r="P68" i="7"/>
  <c r="P50" i="7"/>
  <c r="P49" i="7"/>
  <c r="P48" i="7"/>
  <c r="P40" i="7"/>
  <c r="P29" i="7"/>
  <c r="P20" i="7"/>
  <c r="P113" i="7"/>
  <c r="P78" i="7"/>
  <c r="P75" i="7"/>
  <c r="P73" i="7"/>
  <c r="P58" i="7"/>
  <c r="P26" i="7"/>
  <c r="P24" i="7"/>
  <c r="P86" i="7"/>
  <c r="P59" i="7"/>
  <c r="P21" i="7"/>
  <c r="P4" i="7"/>
  <c r="P33" i="7"/>
  <c r="P69" i="7"/>
  <c r="P87" i="7"/>
  <c r="P85" i="7"/>
  <c r="P109" i="7"/>
  <c r="P90" i="7"/>
  <c r="P80" i="7"/>
  <c r="P108" i="7"/>
  <c r="P102" i="7"/>
  <c r="P99" i="7"/>
  <c r="P95" i="7"/>
  <c r="P67" i="7"/>
  <c r="P61" i="7"/>
  <c r="P57" i="7"/>
  <c r="P56" i="7"/>
  <c r="P47" i="7"/>
  <c r="P6" i="7"/>
  <c r="P3" i="7"/>
  <c r="P105" i="7"/>
  <c r="P98" i="7"/>
  <c r="P52" i="7"/>
  <c r="P42" i="7"/>
  <c r="P38" i="7"/>
  <c r="P37" i="7"/>
  <c r="P31" i="7"/>
  <c r="P17" i="7"/>
  <c r="P72" i="7"/>
  <c r="P44" i="7"/>
  <c r="P14" i="7"/>
  <c r="P13" i="7"/>
  <c r="P74" i="7"/>
  <c r="P60" i="7"/>
  <c r="P41" i="7"/>
  <c r="P12" i="7"/>
  <c r="P28" i="7"/>
  <c r="P114" i="7"/>
  <c r="P97" i="7"/>
  <c r="P65" i="7"/>
  <c r="P120" i="7"/>
  <c r="P91" i="7"/>
  <c r="P122" i="7"/>
  <c r="P104" i="7"/>
  <c r="P121" i="7"/>
  <c r="P119" i="7"/>
  <c r="P107" i="7"/>
  <c r="P94" i="7"/>
  <c r="P71" i="7"/>
  <c r="P70" i="7"/>
  <c r="P55" i="7"/>
  <c r="P51" i="7"/>
  <c r="P45" i="7"/>
  <c r="P15" i="7"/>
  <c r="P10" i="7"/>
  <c r="P34" i="7"/>
  <c r="P32" i="7"/>
  <c r="P22" i="7"/>
  <c r="P8" i="7"/>
  <c r="P118" i="7"/>
  <c r="P83" i="7"/>
  <c r="P79" i="7"/>
  <c r="P77" i="7"/>
  <c r="P35" i="7"/>
  <c r="P36" i="7"/>
  <c r="P112" i="7"/>
  <c r="P25" i="7"/>
  <c r="P117" i="7"/>
  <c r="P11" i="7"/>
  <c r="P27" i="7"/>
  <c r="P30" i="7"/>
  <c r="P16" i="7"/>
  <c r="P7" i="7"/>
  <c r="P111" i="7"/>
  <c r="P96" i="7"/>
  <c r="P93" i="7"/>
  <c r="P81" i="7"/>
  <c r="P66" i="7"/>
  <c r="P62" i="7"/>
  <c r="P53" i="7"/>
  <c r="P43" i="7"/>
  <c r="P19" i="7"/>
  <c r="P9" i="7"/>
  <c r="P5" i="7"/>
  <c r="P116" i="7"/>
  <c r="P115" i="7"/>
  <c r="P103" i="7"/>
  <c r="P100" i="7"/>
  <c r="P88" i="7"/>
  <c r="P39" i="7"/>
  <c r="P46" i="7"/>
  <c r="P82" i="7"/>
  <c r="U18" i="7"/>
  <c r="U20" i="7"/>
  <c r="U21" i="7" s="1"/>
  <c r="H9" i="7"/>
  <c r="H12" i="7"/>
  <c r="H11" i="7"/>
  <c r="H10" i="7"/>
  <c r="H8" i="7"/>
  <c r="H7" i="7"/>
  <c r="H6" i="7"/>
  <c r="H5" i="7"/>
  <c r="H4" i="7"/>
  <c r="H3" i="7"/>
  <c r="L15" i="7" l="1"/>
  <c r="K15" i="7"/>
  <c r="R5" i="7"/>
  <c r="R11" i="7"/>
  <c r="R12" i="7"/>
  <c r="R13" i="7"/>
  <c r="R9" i="7"/>
  <c r="R8" i="7"/>
  <c r="R10" i="7"/>
  <c r="R14" i="7"/>
  <c r="R6" i="7"/>
  <c r="R4" i="7"/>
  <c r="R7" i="7"/>
  <c r="R3" i="7"/>
  <c r="Q11" i="7"/>
  <c r="D11" i="7" s="1"/>
  <c r="Q5" i="7"/>
  <c r="D5" i="7" s="1"/>
  <c r="Q12" i="7"/>
  <c r="D12" i="7" s="1"/>
  <c r="Q13" i="7"/>
  <c r="D13" i="7" s="1"/>
  <c r="Q9" i="7"/>
  <c r="D9" i="7" s="1"/>
  <c r="Q8" i="7"/>
  <c r="D8" i="7" s="1"/>
  <c r="Q10" i="7"/>
  <c r="D10" i="7" s="1"/>
  <c r="Q14" i="7"/>
  <c r="D14" i="7" s="1"/>
  <c r="Q6" i="7"/>
  <c r="D6" i="7" s="1"/>
  <c r="Q4" i="7"/>
  <c r="D4" i="7" s="1"/>
  <c r="Q7" i="7"/>
  <c r="D7" i="7" s="1"/>
  <c r="Q3" i="7"/>
  <c r="D3" i="7" s="1"/>
  <c r="U22" i="7"/>
  <c r="U23" i="7" s="1"/>
  <c r="H13" i="7"/>
  <c r="D30" i="7" l="1"/>
  <c r="U24" i="7"/>
  <c r="U25" i="7" s="1"/>
  <c r="U26" i="7" l="1"/>
  <c r="U27" i="7" s="1"/>
  <c r="U28" i="7" l="1"/>
  <c r="U29" i="7" s="1"/>
  <c r="U30" i="7" l="1"/>
  <c r="U31" i="7" s="1"/>
  <c r="U32" i="7" l="1"/>
  <c r="U33" i="7" s="1"/>
  <c r="U34" i="7" l="1"/>
  <c r="U35" i="7" s="1"/>
  <c r="U36" i="7" s="1"/>
  <c r="U37" i="7" s="1"/>
  <c r="U38" i="7" l="1"/>
  <c r="U39" i="7" s="1"/>
  <c r="U40" i="7" s="1"/>
  <c r="U41" i="7" s="1"/>
  <c r="U42" i="7" s="1"/>
  <c r="U43" i="7" s="1"/>
  <c r="U44" i="7" s="1"/>
  <c r="U45" i="7" s="1"/>
  <c r="U46" i="7" s="1"/>
  <c r="U47" i="7" s="1"/>
  <c r="U17" i="7" s="1"/>
  <c r="Q14" i="2" l="1"/>
  <c r="Q1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ncgk</author>
    <author xml:space="preserve">Kilsby </author>
  </authors>
  <commentList>
    <comment ref="M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ncgk:</t>
        </r>
        <r>
          <rPr>
            <sz val="9"/>
            <color indexed="81"/>
            <rFont val="Tahoma"/>
            <family val="2"/>
          </rPr>
          <t xml:space="preserve">
From obs data
</t>
        </r>
      </text>
    </comment>
    <comment ref="D9" authorId="1" shapeId="0" xr:uid="{00000000-0006-0000-0100-000002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observed stats</t>
        </r>
      </text>
    </comment>
    <comment ref="E9" authorId="1" shapeId="0" xr:uid="{00000000-0006-0000-0100-000003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pww</t>
        </r>
      </text>
    </comment>
    <comment ref="D10" authorId="1" shapeId="0" xr:uid="{00000000-0006-0000-0100-000004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pdd
</t>
        </r>
      </text>
    </comment>
    <comment ref="E10" authorId="1" shapeId="0" xr:uid="{00000000-0006-0000-0100-000005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opbserved stats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ncgk</author>
  </authors>
  <commentList>
    <comment ref="E1" authorId="0" shapeId="0" xr:uid="{00000000-0006-0000-0300-000001000000}">
      <text>
        <r>
          <rPr>
            <b/>
            <sz val="9"/>
            <color indexed="81"/>
            <rFont val="Tahoma"/>
            <charset val="1"/>
          </rPr>
          <t>ncgk:</t>
        </r>
        <r>
          <rPr>
            <sz val="9"/>
            <color indexed="81"/>
            <rFont val="Tahoma"/>
            <charset val="1"/>
          </rPr>
          <t xml:space="preserve">
NB - values &lt;0.2mm set to 0.0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Kilsby </author>
  </authors>
  <commentList>
    <comment ref="A8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observed stats</t>
        </r>
      </text>
    </comment>
    <comment ref="B8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pww</t>
        </r>
      </text>
    </comment>
    <comment ref="A9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pdd
</t>
        </r>
      </text>
    </comment>
    <comment ref="B9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opbserved stats</t>
        </r>
      </text>
    </comment>
  </commentList>
</comments>
</file>

<file path=xl/sharedStrings.xml><?xml version="1.0" encoding="utf-8"?>
<sst xmlns="http://schemas.openxmlformats.org/spreadsheetml/2006/main" count="218" uniqueCount="154">
  <si>
    <t xml:space="preserve">Rainfall model - for Newcastle </t>
  </si>
  <si>
    <t xml:space="preserve">This spreadsheet provides rainfall series for input to rain water harvesting analysis or flood risk analysis. </t>
  </si>
  <si>
    <t>The Markov model approach is to be used for wet and dry day sequences, with wet day amounts generated from an exponential distribution.</t>
  </si>
  <si>
    <t>This is a stochastic model so the outputs will change when re-calculated. To force a re-calculation, press F9</t>
  </si>
  <si>
    <t xml:space="preserve">The observed data set which this is based on (Col A on Calc Transition matrix tab) is from 4 rain gauge records from north of Newcastle (Wansbeck catchment), but can be taken as representative of Newcastle. </t>
  </si>
  <si>
    <t xml:space="preserve">If adjustment is required, the mean annual rainfall could be changed. </t>
  </si>
  <si>
    <t>Objectives</t>
  </si>
  <si>
    <t>First :  need to set up the model to reproduce the observed rainfall behaviour.</t>
  </si>
  <si>
    <t xml:space="preserve">Second, we will modify the stats to change the daily mean rainfall (to represent cliamte change) by plus and minus 20%. </t>
  </si>
  <si>
    <t>Statistics to match</t>
  </si>
  <si>
    <t>10 years of daily data for area-weighted average for the catchment are given</t>
  </si>
  <si>
    <t>Daily observed stats to match</t>
  </si>
  <si>
    <t xml:space="preserve">Assume that all months are the same - i.e. no seasonal variation in rainfall. </t>
  </si>
  <si>
    <t>pdry</t>
  </si>
  <si>
    <t>pww</t>
  </si>
  <si>
    <t>pdd</t>
  </si>
  <si>
    <t>The model is in two parts : (a) occurrence (wet or dry) and (b) Amounts on wet days</t>
  </si>
  <si>
    <t>Mean wet day  (mm)</t>
  </si>
  <si>
    <t>(a) Occurrence model (Markov)</t>
  </si>
  <si>
    <t>Annual rainfall (mm)</t>
  </si>
  <si>
    <t xml:space="preserve">The transition probabilities pww and pdd of the target rainfall regime are given below. </t>
  </si>
  <si>
    <t xml:space="preserve">You should use these to calculate the whole transition matrix and use in the Markov model which has already been coded for you. </t>
  </si>
  <si>
    <t xml:space="preserve">Check the model performance by comparing the transitions and the pdry (probability of  dry day) with the observed  </t>
  </si>
  <si>
    <t>(b) Amount model (Exponential)</t>
  </si>
  <si>
    <t xml:space="preserve">The mean rainfall is given: you should use an exponential distribution to model the amount of rainfall. </t>
  </si>
  <si>
    <t xml:space="preserve">You can do this by selecting an appropriate lambda value </t>
  </si>
  <si>
    <t>Future statistics</t>
  </si>
  <si>
    <t>You will learn how to estimate future climate change in later modules.</t>
  </si>
  <si>
    <t xml:space="preserve">Here, we suggets you carry out a sensitivity analysis: </t>
  </si>
  <si>
    <t>Keeping the transition matrix the same,  try increasing (and decreasing) the mean wet day amount by a factor of 1.2</t>
  </si>
  <si>
    <t>Markov model</t>
  </si>
  <si>
    <t>Observed stats to match</t>
  </si>
  <si>
    <t>Occurrence model</t>
  </si>
  <si>
    <t xml:space="preserve">Statistics </t>
  </si>
  <si>
    <t>Amounts model</t>
  </si>
  <si>
    <t>IF(Xt&gt;0,IF(R&lt;pww,1,0),IF(R&lt;pdw,1,0))</t>
  </si>
  <si>
    <t xml:space="preserve">Exponential </t>
  </si>
  <si>
    <t>w wet</t>
  </si>
  <si>
    <t>From observed data</t>
  </si>
  <si>
    <t>From model output</t>
  </si>
  <si>
    <t>lambda</t>
  </si>
  <si>
    <t>1/mm</t>
  </si>
  <si>
    <t>d dry</t>
  </si>
  <si>
    <t>Transition matrix</t>
  </si>
  <si>
    <t>Stats of model output</t>
  </si>
  <si>
    <t>pdw</t>
  </si>
  <si>
    <t>1/lambda</t>
  </si>
  <si>
    <t>Day</t>
  </si>
  <si>
    <t>State</t>
  </si>
  <si>
    <t>Random No: R 0:1</t>
  </si>
  <si>
    <t>Pww</t>
  </si>
  <si>
    <t>Pwd</t>
  </si>
  <si>
    <t>Sum=1</t>
  </si>
  <si>
    <t>pwet</t>
  </si>
  <si>
    <t>Amount</t>
  </si>
  <si>
    <t>Pdw</t>
  </si>
  <si>
    <t>Pdd</t>
  </si>
  <si>
    <t>raindays</t>
  </si>
  <si>
    <t>mean daily rainfall  (mm)</t>
  </si>
  <si>
    <t>Mean daily rainfall</t>
  </si>
  <si>
    <t xml:space="preserve">Annual rainfall </t>
  </si>
  <si>
    <t>mm</t>
  </si>
  <si>
    <t>Check this!!</t>
  </si>
  <si>
    <t xml:space="preserve">Max </t>
  </si>
  <si>
    <t>Obs</t>
  </si>
  <si>
    <t>Model</t>
  </si>
  <si>
    <t>Inverse cumulative distribution function</t>
  </si>
  <si>
    <t>Seasonal</t>
  </si>
  <si>
    <t>Annual</t>
  </si>
  <si>
    <t>Model monthly analysis</t>
  </si>
  <si>
    <t>Row Labels</t>
  </si>
  <si>
    <t xml:space="preserve">Sum of Obs rainfall (mm) </t>
  </si>
  <si>
    <t>Months</t>
  </si>
  <si>
    <t>SD</t>
  </si>
  <si>
    <t>Month</t>
  </si>
  <si>
    <t>OBS</t>
  </si>
  <si>
    <t>MOD</t>
  </si>
  <si>
    <t>year</t>
  </si>
  <si>
    <t>model</t>
  </si>
  <si>
    <t>Monthly</t>
  </si>
  <si>
    <t>Cumulative</t>
  </si>
  <si>
    <t>Total monthly</t>
  </si>
  <si>
    <t>Mean monthly</t>
  </si>
  <si>
    <t>SD monthly</t>
  </si>
  <si>
    <t>Max + Min</t>
  </si>
  <si>
    <t>Histogram</t>
  </si>
  <si>
    <t>count</t>
  </si>
  <si>
    <t>max (mm)</t>
  </si>
  <si>
    <t>Amount(mm)</t>
  </si>
  <si>
    <t>SD obs</t>
  </si>
  <si>
    <t>SD model</t>
  </si>
  <si>
    <t>Grand Total</t>
  </si>
  <si>
    <t>Date</t>
  </si>
  <si>
    <t>Month cumul</t>
  </si>
  <si>
    <t>Year</t>
  </si>
  <si>
    <t xml:space="preserve">Obs rainfall (mm) </t>
  </si>
  <si>
    <t>WetOrDry</t>
  </si>
  <si>
    <t>Sum</t>
  </si>
  <si>
    <t>code-n</t>
  </si>
  <si>
    <t>code-t</t>
  </si>
  <si>
    <t>Codes</t>
  </si>
  <si>
    <t>No of days</t>
  </si>
  <si>
    <t>dw</t>
  </si>
  <si>
    <t>No of wet days</t>
  </si>
  <si>
    <t>dd</t>
  </si>
  <si>
    <t>No of dry days</t>
  </si>
  <si>
    <t>wd</t>
  </si>
  <si>
    <t>Propwet days pwet</t>
  </si>
  <si>
    <t>ww</t>
  </si>
  <si>
    <t>Propdry pdry</t>
  </si>
  <si>
    <t>NB definition of dry is 0.0 mm: all values 0&lt;p&lt;0.2 have been set to 0.0</t>
  </si>
  <si>
    <t>pwd</t>
  </si>
  <si>
    <t>Days less than 0.5 mm</t>
  </si>
  <si>
    <t>Prop less than 0.5 mm</t>
  </si>
  <si>
    <t>Days less than 1.0 mm</t>
  </si>
  <si>
    <t>Prop less than 1.0 mm</t>
  </si>
  <si>
    <t>Days less than 2.0 mm</t>
  </si>
  <si>
    <t>Prop less than 2.0 mm</t>
  </si>
  <si>
    <t>Days less than 5.0 mm</t>
  </si>
  <si>
    <t>Prop less than 5.0 mm</t>
  </si>
  <si>
    <t>Original figures</t>
  </si>
  <si>
    <t>Newbiggin</t>
  </si>
  <si>
    <t>Harwood</t>
  </si>
  <si>
    <t>Font</t>
  </si>
  <si>
    <t>Wallington</t>
  </si>
  <si>
    <t>AW</t>
  </si>
  <si>
    <t>She</t>
  </si>
  <si>
    <t>Mean wet day amt</t>
  </si>
  <si>
    <t>For exp model</t>
  </si>
  <si>
    <t xml:space="preserve">Markov </t>
  </si>
  <si>
    <t xml:space="preserve">The transition matrix should be </t>
  </si>
  <si>
    <t>Where rows sum to 1</t>
  </si>
  <si>
    <t xml:space="preserve"> This gives a pdry of 0.42 or so, close to the observed 0.43</t>
  </si>
  <si>
    <t xml:space="preserve">For amounts:  lambda is simply 1/mean. </t>
  </si>
  <si>
    <t xml:space="preserve">The mean is the mean daily amount * for wet days* </t>
  </si>
  <si>
    <t xml:space="preserve">The number of wet days per year is (1-pdry)*365 = </t>
  </si>
  <si>
    <t>days</t>
  </si>
  <si>
    <t xml:space="preserve">So mean rain day amount is </t>
  </si>
  <si>
    <t>817/208=</t>
  </si>
  <si>
    <t xml:space="preserve">And so lambda = </t>
  </si>
  <si>
    <t>You can check the mean on the spreadsheet</t>
  </si>
  <si>
    <t>5842 days</t>
  </si>
  <si>
    <t>average</t>
  </si>
  <si>
    <t>transition matrix's for June-sept</t>
  </si>
  <si>
    <t>transition matrix's for Oct-Jan</t>
  </si>
  <si>
    <t xml:space="preserve">transition matrix's for Feb-May </t>
  </si>
  <si>
    <t>1/lamda=3.1</t>
  </si>
  <si>
    <t>1/lamda=2.5</t>
  </si>
  <si>
    <t>25 year (1.07)</t>
  </si>
  <si>
    <t>50 year (1.14)</t>
  </si>
  <si>
    <t>50 year (1.21)</t>
  </si>
  <si>
    <t>current</t>
  </si>
  <si>
    <t>rainfall on a wet day(mm)</t>
  </si>
  <si>
    <t>seasonal rainfall(mm)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</si>
</sst>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6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0" borderId="0" xfId="0" applyNumberFormat="1"/>
    <xf numFmtId="0" fontId="1" fillId="3" borderId="0" xfId="0" applyFont="1" applyFill="1"/>
    <xf numFmtId="2" fontId="0" fillId="3" borderId="0" xfId="0" applyNumberFormat="1" applyFill="1"/>
    <xf numFmtId="164" fontId="0" fillId="3" borderId="0" xfId="0" applyNumberFormat="1" applyFill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6" fillId="3" borderId="0" xfId="0" applyFont="1" applyFill="1"/>
    <xf numFmtId="0" fontId="4" fillId="3" borderId="0" xfId="0" applyFont="1" applyFill="1"/>
    <xf numFmtId="0" fontId="8" fillId="4" borderId="0" xfId="0" applyFont="1" applyFill="1"/>
    <xf numFmtId="0" fontId="10" fillId="2" borderId="0" xfId="0" applyFont="1" applyFill="1"/>
    <xf numFmtId="0" fontId="2" fillId="2" borderId="0" xfId="0" applyFont="1" applyFill="1"/>
    <xf numFmtId="0" fontId="0" fillId="6" borderId="0" xfId="0" applyFill="1"/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2" fontId="0" fillId="3" borderId="1" xfId="0" applyNumberFormat="1" applyFill="1" applyBorder="1"/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1" fillId="6" borderId="5" xfId="0" applyFont="1" applyFill="1" applyBorder="1" applyAlignment="1">
      <alignment horizontal="left"/>
    </xf>
    <xf numFmtId="0" fontId="0" fillId="3" borderId="6" xfId="0" applyFill="1" applyBorder="1"/>
    <xf numFmtId="0" fontId="0" fillId="3" borderId="7" xfId="0" applyFill="1" applyBorder="1" applyAlignment="1">
      <alignment horizontal="center"/>
    </xf>
    <xf numFmtId="0" fontId="0" fillId="3" borderId="8" xfId="0" applyFill="1" applyBorder="1"/>
    <xf numFmtId="0" fontId="0" fillId="3" borderId="9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" fontId="0" fillId="0" borderId="0" xfId="0" applyNumberFormat="1"/>
    <xf numFmtId="2" fontId="1" fillId="6" borderId="1" xfId="0" applyNumberFormat="1" applyFont="1" applyFill="1" applyBorder="1" applyAlignment="1">
      <alignment horizontal="center"/>
    </xf>
    <xf numFmtId="0" fontId="14" fillId="4" borderId="0" xfId="0" applyFont="1" applyFill="1"/>
    <xf numFmtId="0" fontId="0" fillId="5" borderId="0" xfId="0" applyFill="1"/>
    <xf numFmtId="0" fontId="3" fillId="0" borderId="0" xfId="0" applyFont="1"/>
    <xf numFmtId="0" fontId="15" fillId="3" borderId="6" xfId="0" applyFont="1" applyFill="1" applyBorder="1"/>
    <xf numFmtId="0" fontId="15" fillId="3" borderId="10" xfId="0" applyFont="1" applyFill="1" applyBorder="1"/>
    <xf numFmtId="0" fontId="9" fillId="0" borderId="7" xfId="0" applyFont="1" applyBorder="1"/>
    <xf numFmtId="2" fontId="15" fillId="3" borderId="11" xfId="0" applyNumberFormat="1" applyFont="1" applyFill="1" applyBorder="1"/>
    <xf numFmtId="0" fontId="15" fillId="3" borderId="0" xfId="0" applyFont="1" applyFill="1"/>
    <xf numFmtId="1" fontId="15" fillId="3" borderId="0" xfId="0" applyNumberFormat="1" applyFont="1" applyFill="1"/>
    <xf numFmtId="0" fontId="9" fillId="0" borderId="12" xfId="0" applyFont="1" applyBorder="1"/>
    <xf numFmtId="0" fontId="9" fillId="0" borderId="8" xfId="0" applyFont="1" applyBorder="1"/>
    <xf numFmtId="0" fontId="9" fillId="0" borderId="13" xfId="0" applyFont="1" applyBorder="1"/>
    <xf numFmtId="0" fontId="15" fillId="2" borderId="13" xfId="0" applyFont="1" applyFill="1" applyBorder="1"/>
    <xf numFmtId="0" fontId="9" fillId="0" borderId="9" xfId="0" applyFont="1" applyBorder="1"/>
    <xf numFmtId="165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7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3" fillId="7" borderId="0" xfId="0" applyFont="1" applyFill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164" fontId="0" fillId="8" borderId="0" xfId="0" applyNumberFormat="1" applyFill="1"/>
    <xf numFmtId="164" fontId="0" fillId="7" borderId="0" xfId="0" applyNumberFormat="1" applyFill="1"/>
    <xf numFmtId="0" fontId="8" fillId="9" borderId="0" xfId="0" applyFont="1" applyFill="1"/>
    <xf numFmtId="0" fontId="0" fillId="9" borderId="0" xfId="0" applyFill="1"/>
    <xf numFmtId="0" fontId="0" fillId="9" borderId="2" xfId="0" applyFill="1" applyBorder="1"/>
    <xf numFmtId="0" fontId="0" fillId="9" borderId="4" xfId="0" applyFill="1" applyBorder="1"/>
    <xf numFmtId="0" fontId="11" fillId="9" borderId="0" xfId="0" applyFont="1" applyFill="1"/>
    <xf numFmtId="0" fontId="1" fillId="9" borderId="0" xfId="0" applyFont="1" applyFill="1"/>
    <xf numFmtId="164" fontId="1" fillId="9" borderId="0" xfId="0" applyNumberFormat="1" applyFont="1" applyFill="1"/>
    <xf numFmtId="164" fontId="0" fillId="9" borderId="0" xfId="0" applyNumberFormat="1" applyFill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1" fontId="0" fillId="9" borderId="0" xfId="0" applyNumberFormat="1" applyFill="1"/>
    <xf numFmtId="1" fontId="0" fillId="10" borderId="0" xfId="0" applyNumberFormat="1" applyFill="1"/>
    <xf numFmtId="14" fontId="1" fillId="0" borderId="0" xfId="0" applyNumberFormat="1" applyFont="1"/>
    <xf numFmtId="1" fontId="1" fillId="8" borderId="0" xfId="0" applyNumberFormat="1" applyFont="1" applyFill="1"/>
    <xf numFmtId="14" fontId="0" fillId="0" borderId="0" xfId="0" applyNumberFormat="1" applyAlignment="1">
      <alignment wrapText="1"/>
    </xf>
    <xf numFmtId="1" fontId="0" fillId="3" borderId="0" xfId="0" applyNumberFormat="1" applyFill="1" applyAlignment="1">
      <alignment horizontal="left"/>
    </xf>
    <xf numFmtId="1" fontId="1" fillId="3" borderId="0" xfId="0" applyNumberFormat="1" applyFont="1" applyFill="1" applyAlignment="1">
      <alignment horizontal="left"/>
    </xf>
    <xf numFmtId="1" fontId="1" fillId="3" borderId="0" xfId="0" applyNumberFormat="1" applyFont="1" applyFill="1"/>
    <xf numFmtId="0" fontId="1" fillId="3" borderId="0" xfId="0" applyFont="1" applyFill="1" applyAlignment="1">
      <alignment horizontal="right"/>
    </xf>
    <xf numFmtId="2" fontId="20" fillId="9" borderId="3" xfId="0" applyNumberFormat="1" applyFont="1" applyFill="1" applyBorder="1"/>
    <xf numFmtId="2" fontId="7" fillId="2" borderId="1" xfId="0" applyNumberFormat="1" applyFont="1" applyFill="1" applyBorder="1" applyAlignment="1">
      <alignment horizontal="center"/>
    </xf>
    <xf numFmtId="2" fontId="3" fillId="2" borderId="0" xfId="0" applyNumberFormat="1" applyFont="1" applyFill="1"/>
    <xf numFmtId="0" fontId="0" fillId="0" borderId="0" xfId="0" quotePrefix="1"/>
    <xf numFmtId="0" fontId="3" fillId="5" borderId="0" xfId="0" applyFont="1" applyFill="1"/>
    <xf numFmtId="0" fontId="7" fillId="5" borderId="0" xfId="0" applyFont="1" applyFill="1"/>
    <xf numFmtId="22" fontId="0" fillId="0" borderId="0" xfId="0" applyNumberFormat="1"/>
    <xf numFmtId="164" fontId="1" fillId="7" borderId="0" xfId="0" applyNumberFormat="1" applyFont="1" applyFill="1" applyAlignment="1">
      <alignment horizontal="center" wrapText="1"/>
    </xf>
    <xf numFmtId="0" fontId="0" fillId="11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State - wet or dry</a:t>
            </a:r>
          </a:p>
        </c:rich>
      </c:tx>
      <c:layout>
        <c:manualLayout>
          <c:xMode val="edge"/>
          <c:yMode val="edge"/>
          <c:x val="0.35111630184982856"/>
          <c:y val="0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'markov model'!$B$6</c:f>
              <c:strCache>
                <c:ptCount val="1"/>
                <c:pt idx="0">
                  <c:v>State</c:v>
                </c:pt>
              </c:strCache>
            </c:strRef>
          </c:tx>
          <c:xVal>
            <c:numRef>
              <c:f>'markov model'!$A$7:$A$1006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xVal>
          <c:yVal>
            <c:numRef>
              <c:f>'markov model'!$B$7:$B$1006</c:f>
              <c:numCache>
                <c:formatCode>General</c:formatCode>
                <c:ptCount val="100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1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0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0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0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0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0</c:v>
                </c:pt>
                <c:pt idx="353">
                  <c:v>0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1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0</c:v>
                </c:pt>
                <c:pt idx="367">
                  <c:v>1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1</c:v>
                </c:pt>
                <c:pt idx="374">
                  <c:v>0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</c:v>
                </c:pt>
                <c:pt idx="396">
                  <c:v>0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1</c:v>
                </c:pt>
                <c:pt idx="455">
                  <c:v>1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1</c:v>
                </c:pt>
                <c:pt idx="528">
                  <c:v>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0</c:v>
                </c:pt>
                <c:pt idx="536">
                  <c:v>0</c:v>
                </c:pt>
                <c:pt idx="537">
                  <c:v>1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1</c:v>
                </c:pt>
                <c:pt idx="559">
                  <c:v>1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1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0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0</c:v>
                </c:pt>
                <c:pt idx="615">
                  <c:v>0</c:v>
                </c:pt>
                <c:pt idx="616">
                  <c:v>1</c:v>
                </c:pt>
                <c:pt idx="617">
                  <c:v>0</c:v>
                </c:pt>
                <c:pt idx="618">
                  <c:v>0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0</c:v>
                </c:pt>
                <c:pt idx="624">
                  <c:v>1</c:v>
                </c:pt>
                <c:pt idx="625">
                  <c:v>0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0</c:v>
                </c:pt>
                <c:pt idx="635">
                  <c:v>1</c:v>
                </c:pt>
                <c:pt idx="636">
                  <c:v>1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0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1</c:v>
                </c:pt>
                <c:pt idx="681">
                  <c:v>1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1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0</c:v>
                </c:pt>
                <c:pt idx="699">
                  <c:v>1</c:v>
                </c:pt>
                <c:pt idx="700">
                  <c:v>0</c:v>
                </c:pt>
                <c:pt idx="701">
                  <c:v>0</c:v>
                </c:pt>
                <c:pt idx="702">
                  <c:v>1</c:v>
                </c:pt>
                <c:pt idx="703">
                  <c:v>0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1</c:v>
                </c:pt>
                <c:pt idx="723">
                  <c:v>1</c:v>
                </c:pt>
                <c:pt idx="724">
                  <c:v>0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0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0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0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0</c:v>
                </c:pt>
                <c:pt idx="788">
                  <c:v>0</c:v>
                </c:pt>
                <c:pt idx="789">
                  <c:v>1</c:v>
                </c:pt>
                <c:pt idx="790">
                  <c:v>1</c:v>
                </c:pt>
                <c:pt idx="791">
                  <c:v>0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1</c:v>
                </c:pt>
                <c:pt idx="805">
                  <c:v>0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0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0</c:v>
                </c:pt>
                <c:pt idx="817">
                  <c:v>1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1</c:v>
                </c:pt>
                <c:pt idx="832">
                  <c:v>1</c:v>
                </c:pt>
                <c:pt idx="833">
                  <c:v>0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0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0</c:v>
                </c:pt>
                <c:pt idx="862">
                  <c:v>1</c:v>
                </c:pt>
                <c:pt idx="863">
                  <c:v>0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0</c:v>
                </c:pt>
                <c:pt idx="877">
                  <c:v>0</c:v>
                </c:pt>
                <c:pt idx="878">
                  <c:v>1</c:v>
                </c:pt>
                <c:pt idx="879">
                  <c:v>1</c:v>
                </c:pt>
                <c:pt idx="880">
                  <c:v>0</c:v>
                </c:pt>
                <c:pt idx="881">
                  <c:v>0</c:v>
                </c:pt>
                <c:pt idx="882">
                  <c:v>1</c:v>
                </c:pt>
                <c:pt idx="883">
                  <c:v>1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1</c:v>
                </c:pt>
                <c:pt idx="911">
                  <c:v>1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0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0</c:v>
                </c:pt>
                <c:pt idx="933">
                  <c:v>0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1</c:v>
                </c:pt>
                <c:pt idx="946">
                  <c:v>1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0</c:v>
                </c:pt>
                <c:pt idx="954">
                  <c:v>1</c:v>
                </c:pt>
                <c:pt idx="955">
                  <c:v>1</c:v>
                </c:pt>
                <c:pt idx="956">
                  <c:v>0</c:v>
                </c:pt>
                <c:pt idx="957">
                  <c:v>1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</c:v>
                </c:pt>
                <c:pt idx="989">
                  <c:v>0</c:v>
                </c:pt>
                <c:pt idx="990">
                  <c:v>0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0</c:v>
                </c:pt>
                <c:pt idx="996">
                  <c:v>1</c:v>
                </c:pt>
                <c:pt idx="997">
                  <c:v>1</c:v>
                </c:pt>
                <c:pt idx="998">
                  <c:v>0</c:v>
                </c:pt>
                <c:pt idx="99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B6-4C40-82D1-4EB8274B7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473416"/>
        <c:axId val="342473808"/>
      </c:scatterChart>
      <c:valAx>
        <c:axId val="342473416"/>
        <c:scaling>
          <c:orientation val="minMax"/>
          <c:max val="100"/>
        </c:scaling>
        <c:delete val="0"/>
        <c:axPos val="b"/>
        <c:numFmt formatCode="General" sourceLinked="1"/>
        <c:majorTickMark val="out"/>
        <c:minorTickMark val="none"/>
        <c:tickLblPos val="nextTo"/>
        <c:crossAx val="342473808"/>
        <c:crosses val="autoZero"/>
        <c:crossBetween val="midCat"/>
      </c:valAx>
      <c:valAx>
        <c:axId val="342473808"/>
        <c:scaling>
          <c:orientation val="minMax"/>
          <c:max val="1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2473416"/>
        <c:crosses val="autoZero"/>
        <c:crossBetween val="midCat"/>
        <c:majorUnit val="1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Amount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'markov model'!$M$6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numRef>
              <c:f>'markov model'!$A$7:$A$106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'markov model'!$M$7:$M$106</c:f>
              <c:numCache>
                <c:formatCode>0.0</c:formatCode>
                <c:ptCount val="100"/>
                <c:pt idx="0">
                  <c:v>1.3513049891807891</c:v>
                </c:pt>
                <c:pt idx="1">
                  <c:v>0</c:v>
                </c:pt>
                <c:pt idx="2">
                  <c:v>5.8863743279963971</c:v>
                </c:pt>
                <c:pt idx="3">
                  <c:v>4.0814234327105803</c:v>
                </c:pt>
                <c:pt idx="4">
                  <c:v>0</c:v>
                </c:pt>
                <c:pt idx="5">
                  <c:v>0</c:v>
                </c:pt>
                <c:pt idx="6">
                  <c:v>1.3417131647681451</c:v>
                </c:pt>
                <c:pt idx="7">
                  <c:v>0</c:v>
                </c:pt>
                <c:pt idx="8">
                  <c:v>12.146880095060279</c:v>
                </c:pt>
                <c:pt idx="9">
                  <c:v>0.70119843397308135</c:v>
                </c:pt>
                <c:pt idx="10">
                  <c:v>0.26565698471913862</c:v>
                </c:pt>
                <c:pt idx="11">
                  <c:v>6.1357074289307691</c:v>
                </c:pt>
                <c:pt idx="12">
                  <c:v>0.99346139985547233</c:v>
                </c:pt>
                <c:pt idx="13">
                  <c:v>0.34210294314148804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2.0649277676777666</c:v>
                </c:pt>
                <c:pt idx="23">
                  <c:v>0.18383396980119868</c:v>
                </c:pt>
                <c:pt idx="24">
                  <c:v>0</c:v>
                </c:pt>
                <c:pt idx="25">
                  <c:v>2.0419699152404998</c:v>
                </c:pt>
                <c:pt idx="26">
                  <c:v>3.3756742267040118E-2</c:v>
                </c:pt>
                <c:pt idx="27">
                  <c:v>1.5448074831645402</c:v>
                </c:pt>
                <c:pt idx="28">
                  <c:v>0</c:v>
                </c:pt>
                <c:pt idx="29">
                  <c:v>2.2907981529288377</c:v>
                </c:pt>
                <c:pt idx="30">
                  <c:v>0</c:v>
                </c:pt>
                <c:pt idx="31">
                  <c:v>8.6606049066056023</c:v>
                </c:pt>
                <c:pt idx="32">
                  <c:v>1.9508147794023147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2.6808576008675762</c:v>
                </c:pt>
                <c:pt idx="44">
                  <c:v>0.68081140157064657</c:v>
                </c:pt>
                <c:pt idx="45">
                  <c:v>0.43545151953834821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1.8764045024453393</c:v>
                </c:pt>
                <c:pt idx="50">
                  <c:v>0.13448788109721332</c:v>
                </c:pt>
                <c:pt idx="51">
                  <c:v>2.0451924205628083</c:v>
                </c:pt>
                <c:pt idx="52">
                  <c:v>0.22265603789381658</c:v>
                </c:pt>
                <c:pt idx="53">
                  <c:v>4.5703429855748041</c:v>
                </c:pt>
                <c:pt idx="54">
                  <c:v>0</c:v>
                </c:pt>
                <c:pt idx="55">
                  <c:v>1.7207711949745064</c:v>
                </c:pt>
                <c:pt idx="56">
                  <c:v>2.62442904044301</c:v>
                </c:pt>
                <c:pt idx="57">
                  <c:v>0.36472482563556075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1.6543568492487903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1.0052384387864064</c:v>
                </c:pt>
                <c:pt idx="66">
                  <c:v>11.70744134826877</c:v>
                </c:pt>
                <c:pt idx="67">
                  <c:v>1.175846732524543</c:v>
                </c:pt>
                <c:pt idx="68">
                  <c:v>0.36793921467795876</c:v>
                </c:pt>
                <c:pt idx="69">
                  <c:v>4.7293867670836036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0.86290450490241843</c:v>
                </c:pt>
                <c:pt idx="75">
                  <c:v>3.5427105194280415</c:v>
                </c:pt>
                <c:pt idx="76">
                  <c:v>1.0858313810990101</c:v>
                </c:pt>
                <c:pt idx="77">
                  <c:v>3.514055282068441</c:v>
                </c:pt>
                <c:pt idx="78">
                  <c:v>0</c:v>
                </c:pt>
                <c:pt idx="79">
                  <c:v>0</c:v>
                </c:pt>
                <c:pt idx="80">
                  <c:v>2.5713049885565389</c:v>
                </c:pt>
                <c:pt idx="81">
                  <c:v>0.39451305591995534</c:v>
                </c:pt>
                <c:pt idx="82">
                  <c:v>4.0225024661935045</c:v>
                </c:pt>
                <c:pt idx="83">
                  <c:v>0</c:v>
                </c:pt>
                <c:pt idx="84">
                  <c:v>6.7272017097993349</c:v>
                </c:pt>
                <c:pt idx="85">
                  <c:v>8.3405206859709971</c:v>
                </c:pt>
                <c:pt idx="86">
                  <c:v>1.3721437747353342</c:v>
                </c:pt>
                <c:pt idx="87">
                  <c:v>1.2844073205863844</c:v>
                </c:pt>
                <c:pt idx="88">
                  <c:v>2.6297637958401086</c:v>
                </c:pt>
                <c:pt idx="89">
                  <c:v>1.5658665311810616</c:v>
                </c:pt>
                <c:pt idx="90">
                  <c:v>1.2137787940802276</c:v>
                </c:pt>
                <c:pt idx="91">
                  <c:v>5.6157067983832762</c:v>
                </c:pt>
                <c:pt idx="92">
                  <c:v>1.2399067525208123</c:v>
                </c:pt>
                <c:pt idx="93">
                  <c:v>0.62045831672717056</c:v>
                </c:pt>
                <c:pt idx="94">
                  <c:v>2.6280035928148808</c:v>
                </c:pt>
                <c:pt idx="95">
                  <c:v>7.8004078233681327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1-4A1C-8812-B5193AC78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6010536"/>
        <c:axId val="346010928"/>
      </c:barChart>
      <c:catAx>
        <c:axId val="346010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6010928"/>
        <c:crosses val="autoZero"/>
        <c:auto val="1"/>
        <c:lblAlgn val="ctr"/>
        <c:lblOffset val="100"/>
        <c:noMultiLvlLbl val="0"/>
      </c:catAx>
      <c:valAx>
        <c:axId val="346010928"/>
        <c:scaling>
          <c:orientation val="minMax"/>
          <c:max val="2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Rainfall (mm)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6010536"/>
        <c:crosses val="autoZero"/>
        <c:crossBetween val="between"/>
        <c:majorUnit val="5"/>
      </c:valAx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</a:t>
            </a:r>
            <a:r>
              <a:rPr lang="en-GB" baseline="0"/>
              <a:t> mean rainfall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Obs</c:v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cat>
            <c:numRef>
              <c:f>'Output analysis'!$B$3:$B$14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'Output analysis'!$C$3:$C$14</c:f>
              <c:numCache>
                <c:formatCode>0</c:formatCode>
                <c:ptCount val="12"/>
                <c:pt idx="0">
                  <c:v>77.280899653979219</c:v>
                </c:pt>
                <c:pt idx="1">
                  <c:v>52.237370242214539</c:v>
                </c:pt>
                <c:pt idx="2">
                  <c:v>55.498961937716253</c:v>
                </c:pt>
                <c:pt idx="3">
                  <c:v>54.071141868512122</c:v>
                </c:pt>
                <c:pt idx="4">
                  <c:v>49.716401384083028</c:v>
                </c:pt>
                <c:pt idx="5">
                  <c:v>78.112249134948115</c:v>
                </c:pt>
                <c:pt idx="6">
                  <c:v>77.90380622837371</c:v>
                </c:pt>
                <c:pt idx="7">
                  <c:v>82.782837370242191</c:v>
                </c:pt>
                <c:pt idx="8">
                  <c:v>68.414186851211056</c:v>
                </c:pt>
                <c:pt idx="9">
                  <c:v>71.734394463667826</c:v>
                </c:pt>
                <c:pt idx="10">
                  <c:v>78.420207612456807</c:v>
                </c:pt>
                <c:pt idx="11">
                  <c:v>71.555155709342571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1-4A02-8A2A-6A99A24BB033}"/>
            </c:ext>
          </c:extLst>
        </c:ser>
        <c:ser>
          <c:idx val="1"/>
          <c:order val="1"/>
          <c:tx>
            <c:v>Model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'Output analysis'!$Q$3:$Q$14</c:f>
              <c:numCache>
                <c:formatCode>General</c:formatCode>
                <c:ptCount val="12"/>
                <c:pt idx="0">
                  <c:v>31.07386300400437</c:v>
                </c:pt>
                <c:pt idx="1">
                  <c:v>26.015597929384057</c:v>
                </c:pt>
                <c:pt idx="2">
                  <c:v>34.156896467693969</c:v>
                </c:pt>
                <c:pt idx="3">
                  <c:v>26.134974460573591</c:v>
                </c:pt>
                <c:pt idx="4">
                  <c:v>22.696141082520377</c:v>
                </c:pt>
                <c:pt idx="5">
                  <c:v>23.955923077721888</c:v>
                </c:pt>
                <c:pt idx="6">
                  <c:v>30.567698793766549</c:v>
                </c:pt>
                <c:pt idx="7">
                  <c:v>19.850217549372807</c:v>
                </c:pt>
                <c:pt idx="8">
                  <c:v>29.465949385559345</c:v>
                </c:pt>
                <c:pt idx="9">
                  <c:v>24.942079898262662</c:v>
                </c:pt>
                <c:pt idx="10">
                  <c:v>24.975668754952181</c:v>
                </c:pt>
                <c:pt idx="11">
                  <c:v>19.529718674535395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91-4A02-8A2A-6A99A24BB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2079672"/>
        <c:axId val="342080064"/>
      </c:barChart>
      <c:catAx>
        <c:axId val="342079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80064"/>
        <c:crosses val="autoZero"/>
        <c:auto val="1"/>
        <c:lblAlgn val="ctr"/>
        <c:lblOffset val="100"/>
        <c:noMultiLvlLbl val="0"/>
      </c:catAx>
      <c:valAx>
        <c:axId val="34208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79672"/>
        <c:crossesAt val="0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Annual </a:t>
            </a:r>
            <a:r>
              <a:rPr lang="en-GB" baseline="0"/>
              <a:t> rainfall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'Output analysis'!$G$2</c:f>
              <c:strCache>
                <c:ptCount val="1"/>
                <c:pt idx="0">
                  <c:v>Obs</c:v>
                </c:pt>
              </c:strCache>
            </c:strRef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cat>
            <c:numRef>
              <c:f>'Output analysis'!$F$3:$F$12</c:f>
              <c:numCache>
                <c:formatCode>General</c:formatCode>
                <c:ptCount val="1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</c:numCache>
            </c:numRef>
          </c:cat>
          <c:val>
            <c:numRef>
              <c:f>'Output analysis'!$G$3:$G$12</c:f>
              <c:numCache>
                <c:formatCode>0</c:formatCode>
                <c:ptCount val="10"/>
                <c:pt idx="0">
                  <c:v>587.88027681660935</c:v>
                </c:pt>
                <c:pt idx="1">
                  <c:v>898.94325259515597</c:v>
                </c:pt>
                <c:pt idx="2">
                  <c:v>819.81038062283722</c:v>
                </c:pt>
                <c:pt idx="3">
                  <c:v>700.90795847750837</c:v>
                </c:pt>
                <c:pt idx="4">
                  <c:v>697.16470588235291</c:v>
                </c:pt>
                <c:pt idx="5">
                  <c:v>1007.3577854671282</c:v>
                </c:pt>
                <c:pt idx="6">
                  <c:v>818.31833910034618</c:v>
                </c:pt>
                <c:pt idx="7">
                  <c:v>842.67889273356388</c:v>
                </c:pt>
                <c:pt idx="8">
                  <c:v>763.56124567474001</c:v>
                </c:pt>
                <c:pt idx="9">
                  <c:v>1040.6532871972315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F-4EDD-8CEC-AC4FBAC11126}"/>
            </c:ext>
          </c:extLst>
        </c:ser>
        <c:ser>
          <c:idx val="1"/>
          <c:order val="1"/>
          <c:tx>
            <c:v>Model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'Output analysis'!$H$3:$H$12</c:f>
              <c:numCache>
                <c:formatCode>0</c:formatCode>
                <c:ptCount val="10"/>
                <c:pt idx="0">
                  <c:v>575.51782663938695</c:v>
                </c:pt>
                <c:pt idx="1">
                  <c:v>551.99189570563078</c:v>
                </c:pt>
                <c:pt idx="2">
                  <c:v>605.30613145925622</c:v>
                </c:pt>
                <c:pt idx="3">
                  <c:v>542.10626867390533</c:v>
                </c:pt>
                <c:pt idx="4">
                  <c:v>642.68631575193194</c:v>
                </c:pt>
                <c:pt idx="5">
                  <c:v>216.03885255336132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6F-4EDD-8CEC-AC4FBAC11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1398144"/>
        <c:axId val="341397752"/>
      </c:barChart>
      <c:catAx>
        <c:axId val="34139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397752"/>
        <c:crosses val="autoZero"/>
        <c:auto val="1"/>
        <c:lblAlgn val="ctr"/>
        <c:lblOffset val="100"/>
        <c:noMultiLvlLbl val="0"/>
      </c:catAx>
      <c:valAx>
        <c:axId val="341397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398144"/>
        <c:crossesAt val="0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Distribution of daily rainfall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'Output analysis'!$T$19</c:f>
              <c:strCache>
                <c:ptCount val="1"/>
                <c:pt idx="0">
                  <c:v>Obs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'Output analysis'!$S$20:$S$51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22.5</c:v>
                </c:pt>
                <c:pt idx="23">
                  <c:v>25</c:v>
                </c:pt>
                <c:pt idx="24">
                  <c:v>30</c:v>
                </c:pt>
                <c:pt idx="25">
                  <c:v>35</c:v>
                </c:pt>
                <c:pt idx="26">
                  <c:v>40</c:v>
                </c:pt>
                <c:pt idx="27">
                  <c:v>50</c:v>
                </c:pt>
              </c:numCache>
            </c:numRef>
          </c:xVal>
          <c:yVal>
            <c:numRef>
              <c:f>'Output analysis'!$T$20:$T$51</c:f>
              <c:numCache>
                <c:formatCode>General</c:formatCode>
                <c:ptCount val="32"/>
                <c:pt idx="0">
                  <c:v>88</c:v>
                </c:pt>
                <c:pt idx="1">
                  <c:v>76</c:v>
                </c:pt>
                <c:pt idx="2">
                  <c:v>24</c:v>
                </c:pt>
                <c:pt idx="3">
                  <c:v>13</c:v>
                </c:pt>
                <c:pt idx="4">
                  <c:v>11</c:v>
                </c:pt>
                <c:pt idx="5">
                  <c:v>9</c:v>
                </c:pt>
                <c:pt idx="6">
                  <c:v>6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64-4A9F-9685-307FA17CAC15}"/>
            </c:ext>
          </c:extLst>
        </c:ser>
        <c:ser>
          <c:idx val="1"/>
          <c:order val="1"/>
          <c:tx>
            <c:v>Model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'Output analysis'!$S$20:$S$48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22.5</c:v>
                </c:pt>
                <c:pt idx="23">
                  <c:v>25</c:v>
                </c:pt>
                <c:pt idx="24">
                  <c:v>30</c:v>
                </c:pt>
                <c:pt idx="25">
                  <c:v>35</c:v>
                </c:pt>
                <c:pt idx="26">
                  <c:v>40</c:v>
                </c:pt>
                <c:pt idx="27">
                  <c:v>50</c:v>
                </c:pt>
              </c:numCache>
            </c:numRef>
          </c:xVal>
          <c:yVal>
            <c:numRef>
              <c:f>'Output analysis'!$U$20:$U$48</c:f>
              <c:numCache>
                <c:formatCode>General</c:formatCode>
                <c:ptCount val="29"/>
                <c:pt idx="0">
                  <c:v>799</c:v>
                </c:pt>
                <c:pt idx="1">
                  <c:v>337</c:v>
                </c:pt>
                <c:pt idx="2">
                  <c:v>243</c:v>
                </c:pt>
                <c:pt idx="3">
                  <c:v>148</c:v>
                </c:pt>
                <c:pt idx="4">
                  <c:v>137</c:v>
                </c:pt>
                <c:pt idx="5">
                  <c:v>91</c:v>
                </c:pt>
                <c:pt idx="6">
                  <c:v>49</c:v>
                </c:pt>
                <c:pt idx="7">
                  <c:v>29</c:v>
                </c:pt>
                <c:pt idx="8">
                  <c:v>21</c:v>
                </c:pt>
                <c:pt idx="9">
                  <c:v>30</c:v>
                </c:pt>
                <c:pt idx="10">
                  <c:v>13</c:v>
                </c:pt>
                <c:pt idx="11">
                  <c:v>8</c:v>
                </c:pt>
                <c:pt idx="12">
                  <c:v>7</c:v>
                </c:pt>
                <c:pt idx="13">
                  <c:v>2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64-4A9F-9685-307FA17CA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30896"/>
        <c:axId val="347270592"/>
      </c:scatterChart>
      <c:valAx>
        <c:axId val="223730896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270592"/>
        <c:crosses val="autoZero"/>
        <c:crossBetween val="midCat"/>
      </c:valAx>
      <c:valAx>
        <c:axId val="3472705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730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10</xdr:row>
      <xdr:rowOff>180975</xdr:rowOff>
    </xdr:from>
    <xdr:to>
      <xdr:col>10</xdr:col>
      <xdr:colOff>209549</xdr:colOff>
      <xdr:row>24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19050</xdr:colOff>
      <xdr:row>18</xdr:row>
      <xdr:rowOff>152400</xdr:rowOff>
    </xdr:from>
    <xdr:to>
      <xdr:col>17</xdr:col>
      <xdr:colOff>428625</xdr:colOff>
      <xdr:row>25</xdr:row>
      <xdr:rowOff>47625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1953" t="60840" r="63359" b="26563"/>
        <a:stretch>
          <a:fillRect/>
        </a:stretch>
      </xdr:blipFill>
      <xdr:spPr bwMode="auto">
        <a:xfrm>
          <a:off x="8867775" y="4095750"/>
          <a:ext cx="3009900" cy="1228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304800</xdr:colOff>
      <xdr:row>26</xdr:row>
      <xdr:rowOff>180975</xdr:rowOff>
    </xdr:from>
    <xdr:to>
      <xdr:col>16</xdr:col>
      <xdr:colOff>771525</xdr:colOff>
      <xdr:row>29</xdr:row>
      <xdr:rowOff>19050</xdr:rowOff>
    </xdr:to>
    <xdr:pic>
      <xdr:nvPicPr>
        <xdr:cNvPr id="2049" name="Picture 1" descr="F^{-1}(p;\lambda) = \frac{-\ln(1-p)}{\lambda}, \!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153525" y="5772150"/>
          <a:ext cx="1971675" cy="4095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28576</xdr:colOff>
      <xdr:row>24</xdr:row>
      <xdr:rowOff>85725</xdr:rowOff>
    </xdr:from>
    <xdr:to>
      <xdr:col>10</xdr:col>
      <xdr:colOff>219076</xdr:colOff>
      <xdr:row>38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13</xdr:row>
      <xdr:rowOff>161925</xdr:rowOff>
    </xdr:from>
    <xdr:to>
      <xdr:col>7</xdr:col>
      <xdr:colOff>47625</xdr:colOff>
      <xdr:row>28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180975</xdr:colOff>
      <xdr:row>0</xdr:row>
      <xdr:rowOff>161925</xdr:rowOff>
    </xdr:from>
    <xdr:to>
      <xdr:col>12</xdr:col>
      <xdr:colOff>561975</xdr:colOff>
      <xdr:row>12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366711</xdr:colOff>
      <xdr:row>15</xdr:row>
      <xdr:rowOff>9525</xdr:rowOff>
    </xdr:from>
    <xdr:to>
      <xdr:col>12</xdr:col>
      <xdr:colOff>638175</xdr:colOff>
      <xdr:row>27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cgk" refreshedDate="42682.600670717591" createdVersion="5" refreshedVersion="5" minRefreshableVersion="3" recordCount="3653" xr:uid="{00000000-000A-0000-FFFF-FFFF00000000}">
  <cacheSource type="worksheet">
    <worksheetSource ref="B1:E245" sheet="Calc transition matrix"/>
  </cacheSource>
  <cacheFields count="4">
    <cacheField name="Month cumul" numFmtId="1">
      <sharedItems containsSemiMixedTypes="0" containsString="0" containsNumber="1" containsInteger="1" minValue="1" maxValue="120" count="1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</sharedItems>
    </cacheField>
    <cacheField name="Month" numFmtId="1">
      <sharedItems containsSemiMixedTypes="0" containsString="0" containsNumber="1" containsInteger="1" minValue="1" maxValue="12"/>
    </cacheField>
    <cacheField name="Year" numFmtId="1">
      <sharedItems containsSemiMixedTypes="0" containsString="0" containsNumber="1" containsInteger="1" minValue="2003" maxValue="2012"/>
    </cacheField>
    <cacheField name="Obs rainfall (mm) " numFmtId="164">
      <sharedItems containsSemiMixedTypes="0" containsString="0" containsNumber="1" minValue="0" maxValue="79.8795847750865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3">
  <r>
    <x v="0"/>
    <n v="1"/>
    <n v="2003"/>
    <n v="12.408304498269894"/>
  </r>
  <r>
    <x v="0"/>
    <n v="1"/>
    <n v="2003"/>
    <n v="9.9294117647058826"/>
  </r>
  <r>
    <x v="0"/>
    <n v="1"/>
    <n v="2003"/>
    <n v="1.0567474048442906"/>
  </r>
  <r>
    <x v="0"/>
    <n v="1"/>
    <n v="2003"/>
    <n v="0.29688581314878892"/>
  </r>
  <r>
    <x v="0"/>
    <n v="1"/>
    <n v="2003"/>
    <n v="1.6380622837370242"/>
  </r>
  <r>
    <x v="0"/>
    <n v="1"/>
    <n v="2003"/>
    <n v="0"/>
  </r>
  <r>
    <x v="0"/>
    <n v="1"/>
    <n v="2003"/>
    <n v="0"/>
  </r>
  <r>
    <x v="0"/>
    <n v="1"/>
    <n v="2003"/>
    <n v="7.7294117647058815"/>
  </r>
  <r>
    <x v="0"/>
    <n v="1"/>
    <n v="2003"/>
    <n v="9.9564013840830441"/>
  </r>
  <r>
    <x v="0"/>
    <n v="1"/>
    <n v="2003"/>
    <n v="0.53979238754325265"/>
  </r>
  <r>
    <x v="0"/>
    <n v="1"/>
    <n v="2003"/>
    <n v="0"/>
  </r>
  <r>
    <x v="0"/>
    <n v="1"/>
    <n v="2003"/>
    <n v="0.66782006920415227"/>
  </r>
  <r>
    <x v="0"/>
    <n v="1"/>
    <n v="2003"/>
    <n v="0"/>
  </r>
  <r>
    <x v="0"/>
    <n v="1"/>
    <n v="2003"/>
    <n v="1.0269896193771628"/>
  </r>
  <r>
    <x v="0"/>
    <n v="1"/>
    <n v="2003"/>
    <n v="10.494809688581313"/>
  </r>
  <r>
    <x v="0"/>
    <n v="1"/>
    <n v="2003"/>
    <n v="0"/>
  </r>
  <r>
    <x v="0"/>
    <n v="1"/>
    <n v="2003"/>
    <n v="2.2802768166089962"/>
  </r>
  <r>
    <x v="0"/>
    <n v="1"/>
    <n v="2003"/>
    <n v="1.8878892733564014"/>
  </r>
  <r>
    <x v="0"/>
    <n v="1"/>
    <n v="2003"/>
    <n v="3.8318339100346019"/>
  </r>
  <r>
    <x v="0"/>
    <n v="1"/>
    <n v="2003"/>
    <n v="6.3564013840830444"/>
  </r>
  <r>
    <x v="0"/>
    <n v="1"/>
    <n v="2003"/>
    <n v="8.5806228373702425"/>
  </r>
  <r>
    <x v="0"/>
    <n v="1"/>
    <n v="2003"/>
    <n v="11.397923875432525"/>
  </r>
  <r>
    <x v="0"/>
    <n v="1"/>
    <n v="2003"/>
    <n v="0.44705882352941179"/>
  </r>
  <r>
    <x v="0"/>
    <n v="1"/>
    <n v="2003"/>
    <n v="0"/>
  </r>
  <r>
    <x v="0"/>
    <n v="1"/>
    <n v="2003"/>
    <n v="2.3577854671280272"/>
  </r>
  <r>
    <x v="0"/>
    <n v="1"/>
    <n v="2003"/>
    <n v="1.7349480968858133"/>
  </r>
  <r>
    <x v="0"/>
    <n v="1"/>
    <n v="2003"/>
    <n v="2.1785467128027682"/>
  </r>
  <r>
    <x v="0"/>
    <n v="1"/>
    <n v="2003"/>
    <n v="4.37923875432526"/>
  </r>
  <r>
    <x v="0"/>
    <n v="1"/>
    <n v="2003"/>
    <n v="0"/>
  </r>
  <r>
    <x v="0"/>
    <n v="1"/>
    <n v="2003"/>
    <n v="0"/>
  </r>
  <r>
    <x v="0"/>
    <n v="1"/>
    <n v="2003"/>
    <n v="0.34809688581314879"/>
  </r>
  <r>
    <x v="1"/>
    <n v="2"/>
    <n v="2003"/>
    <n v="2.142560553633218"/>
  </r>
  <r>
    <x v="1"/>
    <n v="2"/>
    <n v="2003"/>
    <n v="6.5965397923875431"/>
  </r>
  <r>
    <x v="1"/>
    <n v="2"/>
    <n v="2003"/>
    <n v="0.61522491349480957"/>
  </r>
  <r>
    <x v="1"/>
    <n v="2"/>
    <n v="2003"/>
    <n v="0.22006920415224912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.69204152249134954"/>
  </r>
  <r>
    <x v="1"/>
    <n v="2"/>
    <n v="2003"/>
    <n v="4.9612456747404838"/>
  </r>
  <r>
    <x v="1"/>
    <n v="2"/>
    <n v="2003"/>
    <n v="3.6975778546712803"/>
  </r>
  <r>
    <x v="1"/>
    <n v="2"/>
    <n v="2003"/>
    <n v="0.41591695501730108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2.7391003460207615"/>
  </r>
  <r>
    <x v="2"/>
    <n v="3"/>
    <n v="2003"/>
    <n v="8.6505190311418687"/>
  </r>
  <r>
    <x v="2"/>
    <n v="3"/>
    <n v="2003"/>
    <n v="0"/>
  </r>
  <r>
    <x v="2"/>
    <n v="3"/>
    <n v="2003"/>
    <n v="0"/>
  </r>
  <r>
    <x v="2"/>
    <n v="3"/>
    <n v="2003"/>
    <n v="2.7570934256055364"/>
  </r>
  <r>
    <x v="2"/>
    <n v="3"/>
    <n v="2003"/>
    <n v="0.44982698961937717"/>
  </r>
  <r>
    <x v="2"/>
    <n v="3"/>
    <n v="2003"/>
    <n v="0"/>
  </r>
  <r>
    <x v="2"/>
    <n v="3"/>
    <n v="2003"/>
    <n v="2.6975778546712803"/>
  </r>
  <r>
    <x v="2"/>
    <n v="3"/>
    <n v="2003"/>
    <n v="0.93702422145328712"/>
  </r>
  <r>
    <x v="2"/>
    <n v="3"/>
    <n v="2003"/>
    <n v="0"/>
  </r>
  <r>
    <x v="2"/>
    <n v="3"/>
    <n v="2003"/>
    <n v="3.1231833910034599"/>
  </r>
  <r>
    <x v="2"/>
    <n v="3"/>
    <n v="2003"/>
    <n v="2.4249134948096884"/>
  </r>
  <r>
    <x v="2"/>
    <n v="3"/>
    <n v="2003"/>
    <n v="2.5903114186851206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3"/>
    <n v="4"/>
    <n v="2003"/>
    <n v="4.0975778546712807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.2179930795847751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4.1134948096885813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6.2062283737024213"/>
  </r>
  <r>
    <x v="3"/>
    <n v="4"/>
    <n v="2003"/>
    <n v="0.89896193771626287"/>
  </r>
  <r>
    <x v="3"/>
    <n v="4"/>
    <n v="2003"/>
    <n v="1.6408304498269897"/>
  </r>
  <r>
    <x v="3"/>
    <n v="4"/>
    <n v="2003"/>
    <n v="7.2588235294117656"/>
  </r>
  <r>
    <x v="3"/>
    <n v="4"/>
    <n v="2003"/>
    <n v="0.85190311418685116"/>
  </r>
  <r>
    <x v="3"/>
    <n v="4"/>
    <n v="2003"/>
    <n v="6.2657439446366778"/>
  </r>
  <r>
    <x v="4"/>
    <n v="5"/>
    <n v="2003"/>
    <n v="6.8968858131487876"/>
  </r>
  <r>
    <x v="4"/>
    <n v="5"/>
    <n v="2003"/>
    <n v="6.8055363321799316"/>
  </r>
  <r>
    <x v="4"/>
    <n v="5"/>
    <n v="2003"/>
    <n v="3.7529411764705882"/>
  </r>
  <r>
    <x v="4"/>
    <n v="5"/>
    <n v="2003"/>
    <n v="0.3370242214532872"/>
  </r>
  <r>
    <x v="4"/>
    <n v="5"/>
    <n v="2003"/>
    <n v="1.2000000000000002"/>
  </r>
  <r>
    <x v="4"/>
    <n v="5"/>
    <n v="2003"/>
    <n v="0.55086505190311419"/>
  </r>
  <r>
    <x v="4"/>
    <n v="5"/>
    <n v="2003"/>
    <n v="0.31695501730103803"/>
  </r>
  <r>
    <x v="4"/>
    <n v="5"/>
    <n v="2003"/>
    <n v="0"/>
  </r>
  <r>
    <x v="4"/>
    <n v="5"/>
    <n v="2003"/>
    <n v="0.33287197231833915"/>
  </r>
  <r>
    <x v="4"/>
    <n v="5"/>
    <n v="2003"/>
    <n v="0"/>
  </r>
  <r>
    <x v="4"/>
    <n v="5"/>
    <n v="2003"/>
    <n v="0.25605536332179929"/>
  </r>
  <r>
    <x v="4"/>
    <n v="5"/>
    <n v="2003"/>
    <n v="1.8470588235294116"/>
  </r>
  <r>
    <x v="4"/>
    <n v="5"/>
    <n v="2003"/>
    <n v="0.51280276816608994"/>
  </r>
  <r>
    <x v="4"/>
    <n v="5"/>
    <n v="2003"/>
    <n v="7.7079584775086509"/>
  </r>
  <r>
    <x v="4"/>
    <n v="5"/>
    <n v="2003"/>
    <n v="0.39792387543252594"/>
  </r>
  <r>
    <x v="4"/>
    <n v="5"/>
    <n v="2003"/>
    <n v="12.409688581314876"/>
  </r>
  <r>
    <x v="4"/>
    <n v="5"/>
    <n v="2003"/>
    <n v="11.182698961937717"/>
  </r>
  <r>
    <x v="4"/>
    <n v="5"/>
    <n v="2003"/>
    <n v="1.2602076124567474"/>
  </r>
  <r>
    <x v="4"/>
    <n v="5"/>
    <n v="2003"/>
    <n v="3.1979238754325259"/>
  </r>
  <r>
    <x v="4"/>
    <n v="5"/>
    <n v="2003"/>
    <n v="2.0076124567474052"/>
  </r>
  <r>
    <x v="4"/>
    <n v="5"/>
    <n v="2003"/>
    <n v="2.2830449826989616"/>
  </r>
  <r>
    <x v="4"/>
    <n v="5"/>
    <n v="2003"/>
    <n v="0.95294117647058807"/>
  </r>
  <r>
    <x v="4"/>
    <n v="5"/>
    <n v="2003"/>
    <n v="3.5128027681660896"/>
  </r>
  <r>
    <x v="4"/>
    <n v="5"/>
    <n v="2003"/>
    <n v="1.2519031141868513"/>
  </r>
  <r>
    <x v="4"/>
    <n v="5"/>
    <n v="2003"/>
    <n v="4.9674740484429067"/>
  </r>
  <r>
    <x v="4"/>
    <n v="5"/>
    <n v="2003"/>
    <n v="0"/>
  </r>
  <r>
    <x v="4"/>
    <n v="5"/>
    <n v="2003"/>
    <n v="0.298961937716263"/>
  </r>
  <r>
    <x v="4"/>
    <n v="5"/>
    <n v="2003"/>
    <n v="0"/>
  </r>
  <r>
    <x v="4"/>
    <n v="5"/>
    <n v="2003"/>
    <n v="0.42006920415224913"/>
  </r>
  <r>
    <x v="4"/>
    <n v="5"/>
    <n v="2003"/>
    <n v="4.9681660899653979"/>
  </r>
  <r>
    <x v="4"/>
    <n v="5"/>
    <n v="2003"/>
    <n v="0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1.215916955017301"/>
  </r>
  <r>
    <x v="5"/>
    <n v="6"/>
    <n v="2003"/>
    <n v="0"/>
  </r>
  <r>
    <x v="5"/>
    <n v="6"/>
    <n v="2003"/>
    <n v="21.767474048442907"/>
  </r>
  <r>
    <x v="5"/>
    <n v="6"/>
    <n v="2003"/>
    <n v="0"/>
  </r>
  <r>
    <x v="5"/>
    <n v="6"/>
    <n v="2003"/>
    <n v="1.3653979238754326"/>
  </r>
  <r>
    <x v="5"/>
    <n v="6"/>
    <n v="2003"/>
    <n v="2.8519031141868512"/>
  </r>
  <r>
    <x v="5"/>
    <n v="6"/>
    <n v="2003"/>
    <n v="0.31695501730103803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5.887889273356401"/>
  </r>
  <r>
    <x v="5"/>
    <n v="6"/>
    <n v="2003"/>
    <n v="0.49688581314878894"/>
  </r>
  <r>
    <x v="5"/>
    <n v="6"/>
    <n v="2003"/>
    <n v="0.51280276816608994"/>
  </r>
  <r>
    <x v="5"/>
    <n v="6"/>
    <n v="2003"/>
    <n v="0"/>
  </r>
  <r>
    <x v="5"/>
    <n v="6"/>
    <n v="2003"/>
    <n v="0.76885813148788928"/>
  </r>
  <r>
    <x v="5"/>
    <n v="6"/>
    <n v="2003"/>
    <n v="2.344636678200692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5.1363321799307959"/>
  </r>
  <r>
    <x v="5"/>
    <n v="6"/>
    <n v="2003"/>
    <n v="18.164013840830453"/>
  </r>
  <r>
    <x v="5"/>
    <n v="6"/>
    <n v="2003"/>
    <n v="0"/>
  </r>
  <r>
    <x v="5"/>
    <n v="6"/>
    <n v="2003"/>
    <n v="8.9681660899653988"/>
  </r>
  <r>
    <x v="6"/>
    <n v="7"/>
    <n v="2003"/>
    <n v="12.861591695501732"/>
  </r>
  <r>
    <x v="6"/>
    <n v="7"/>
    <n v="2003"/>
    <n v="0.4"/>
  </r>
  <r>
    <x v="6"/>
    <n v="7"/>
    <n v="2003"/>
    <n v="0.77993079584775082"/>
  </r>
  <r>
    <x v="6"/>
    <n v="7"/>
    <n v="2003"/>
    <n v="0"/>
  </r>
  <r>
    <x v="6"/>
    <n v="7"/>
    <n v="2003"/>
    <n v="0.43183391003460209"/>
  </r>
  <r>
    <x v="6"/>
    <n v="7"/>
    <n v="2003"/>
    <n v="0"/>
  </r>
  <r>
    <x v="6"/>
    <n v="7"/>
    <n v="2003"/>
    <n v="0"/>
  </r>
  <r>
    <x v="6"/>
    <n v="7"/>
    <n v="2003"/>
    <n v="0.53287197231833905"/>
  </r>
  <r>
    <x v="6"/>
    <n v="7"/>
    <n v="2003"/>
    <n v="0"/>
  </r>
  <r>
    <x v="6"/>
    <n v="7"/>
    <n v="2003"/>
    <n v="0.23598615916955018"/>
  </r>
  <r>
    <x v="6"/>
    <n v="7"/>
    <n v="2003"/>
    <n v="0"/>
  </r>
  <r>
    <x v="6"/>
    <n v="7"/>
    <n v="2003"/>
    <n v="0"/>
  </r>
  <r>
    <x v="6"/>
    <n v="7"/>
    <n v="2003"/>
    <n v="0"/>
  </r>
  <r>
    <x v="6"/>
    <n v="7"/>
    <n v="2003"/>
    <n v="0"/>
  </r>
  <r>
    <x v="6"/>
    <n v="7"/>
    <n v="2003"/>
    <n v="0"/>
  </r>
  <r>
    <x v="6"/>
    <n v="7"/>
    <n v="2003"/>
    <n v="0"/>
  </r>
  <r>
    <x v="6"/>
    <n v="7"/>
    <n v="2003"/>
    <n v="1.294809688581315"/>
  </r>
  <r>
    <x v="6"/>
    <n v="7"/>
    <n v="2003"/>
    <n v="0.87404844290657424"/>
  </r>
  <r>
    <x v="6"/>
    <n v="7"/>
    <n v="2003"/>
    <n v="0.28304498269896194"/>
  </r>
  <r>
    <x v="6"/>
    <n v="7"/>
    <n v="2003"/>
    <n v="0"/>
  </r>
  <r>
    <x v="6"/>
    <n v="7"/>
    <n v="2003"/>
    <n v="1.8865051903114185"/>
  </r>
  <r>
    <x v="6"/>
    <n v="7"/>
    <n v="2003"/>
    <n v="0"/>
  </r>
  <r>
    <x v="6"/>
    <n v="7"/>
    <n v="2003"/>
    <n v="0.72595155709342551"/>
  </r>
  <r>
    <x v="6"/>
    <n v="7"/>
    <n v="2003"/>
    <n v="0.33494809688581312"/>
  </r>
  <r>
    <x v="6"/>
    <n v="7"/>
    <n v="2003"/>
    <n v="4.850519031141868"/>
  </r>
  <r>
    <x v="6"/>
    <n v="7"/>
    <n v="2003"/>
    <n v="4.6636678200692039"/>
  </r>
  <r>
    <x v="6"/>
    <n v="7"/>
    <n v="2003"/>
    <n v="0"/>
  </r>
  <r>
    <x v="6"/>
    <n v="7"/>
    <n v="2003"/>
    <n v="2.6927335640138415"/>
  </r>
  <r>
    <x v="6"/>
    <n v="7"/>
    <n v="2003"/>
    <n v="4.1889273356401384"/>
  </r>
  <r>
    <x v="6"/>
    <n v="7"/>
    <n v="2003"/>
    <n v="0.49896193771626296"/>
  </r>
  <r>
    <x v="6"/>
    <n v="7"/>
    <n v="2003"/>
    <n v="0.30103806228373703"/>
  </r>
  <r>
    <x v="7"/>
    <n v="8"/>
    <n v="2003"/>
    <n v="2.3224913494809689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.39584775086505192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1.7619377162629759"/>
  </r>
  <r>
    <x v="7"/>
    <n v="8"/>
    <n v="2003"/>
    <n v="0"/>
  </r>
  <r>
    <x v="7"/>
    <n v="8"/>
    <n v="2003"/>
    <n v="0"/>
  </r>
  <r>
    <x v="7"/>
    <n v="8"/>
    <n v="2003"/>
    <n v="0.51487889273356413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1.114878892733564"/>
  </r>
  <r>
    <x v="7"/>
    <n v="8"/>
    <n v="2003"/>
    <n v="0"/>
  </r>
  <r>
    <x v="7"/>
    <n v="8"/>
    <n v="2003"/>
    <n v="0"/>
  </r>
  <r>
    <x v="7"/>
    <n v="8"/>
    <n v="2003"/>
    <n v="2.4269896193771627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.58408304498269903"/>
  </r>
  <r>
    <x v="7"/>
    <n v="8"/>
    <n v="2003"/>
    <n v="1.6491349480968858"/>
  </r>
  <r>
    <x v="7"/>
    <n v="8"/>
    <n v="2003"/>
    <n v="0"/>
  </r>
  <r>
    <x v="7"/>
    <n v="8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.25190311418685124"/>
  </r>
  <r>
    <x v="8"/>
    <n v="9"/>
    <n v="2003"/>
    <n v="8.7377162629757787"/>
  </r>
  <r>
    <x v="8"/>
    <n v="9"/>
    <n v="2003"/>
    <n v="0.2179930795847751"/>
  </r>
  <r>
    <x v="8"/>
    <n v="9"/>
    <n v="2003"/>
    <n v="1.607612456747405"/>
  </r>
  <r>
    <x v="8"/>
    <n v="9"/>
    <n v="2003"/>
    <n v="1.8685121107266436"/>
  </r>
  <r>
    <x v="8"/>
    <n v="9"/>
    <n v="2003"/>
    <n v="0"/>
  </r>
  <r>
    <x v="8"/>
    <n v="9"/>
    <n v="2003"/>
    <n v="0.43598615916955019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1.2719723183391003"/>
  </r>
  <r>
    <x v="8"/>
    <n v="9"/>
    <n v="2003"/>
    <n v="9.6754325259515586"/>
  </r>
  <r>
    <x v="8"/>
    <n v="9"/>
    <n v="2003"/>
    <n v="0.51695501730103799"/>
  </r>
  <r>
    <x v="8"/>
    <n v="9"/>
    <n v="2003"/>
    <n v="19.368858131487894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.98200692041522486"/>
  </r>
  <r>
    <x v="8"/>
    <n v="9"/>
    <n v="2003"/>
    <n v="1.0429065743944637"/>
  </r>
  <r>
    <x v="8"/>
    <n v="9"/>
    <n v="2003"/>
    <n v="0.49204152249134947"/>
  </r>
  <r>
    <x v="8"/>
    <n v="9"/>
    <n v="2003"/>
    <n v="0.62906574394463677"/>
  </r>
  <r>
    <x v="8"/>
    <n v="9"/>
    <n v="2003"/>
    <n v="0.71903114186851225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.93287197231833918"/>
  </r>
  <r>
    <x v="9"/>
    <n v="10"/>
    <n v="2003"/>
    <n v="0.88304498269896192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4.590311418685121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1.604152249134948"/>
  </r>
  <r>
    <x v="9"/>
    <n v="10"/>
    <n v="2003"/>
    <n v="4.0449826989619382"/>
  </r>
  <r>
    <x v="9"/>
    <n v="10"/>
    <n v="2003"/>
    <n v="2.0512110726643602"/>
  </r>
  <r>
    <x v="9"/>
    <n v="10"/>
    <n v="2003"/>
    <n v="9.6179930795847746"/>
  </r>
  <r>
    <x v="9"/>
    <n v="10"/>
    <n v="2003"/>
    <n v="1.9411764705882353"/>
  </r>
  <r>
    <x v="9"/>
    <n v="10"/>
    <n v="2003"/>
    <n v="0"/>
  </r>
  <r>
    <x v="9"/>
    <n v="10"/>
    <n v="2003"/>
    <n v="2.341868512110727"/>
  </r>
  <r>
    <x v="9"/>
    <n v="10"/>
    <n v="2003"/>
    <n v="0"/>
  </r>
  <r>
    <x v="9"/>
    <n v="10"/>
    <n v="2003"/>
    <n v="0"/>
  </r>
  <r>
    <x v="9"/>
    <n v="10"/>
    <n v="2003"/>
    <n v="3.0339100346020755"/>
  </r>
  <r>
    <x v="9"/>
    <n v="10"/>
    <n v="2003"/>
    <n v="1.6650519031141868"/>
  </r>
  <r>
    <x v="9"/>
    <n v="10"/>
    <n v="2003"/>
    <n v="2.7577854671280275"/>
  </r>
  <r>
    <x v="9"/>
    <n v="10"/>
    <n v="2003"/>
    <n v="4.3882352941176466"/>
  </r>
  <r>
    <x v="10"/>
    <n v="11"/>
    <n v="2003"/>
    <n v="2.3121107266435983"/>
  </r>
  <r>
    <x v="10"/>
    <n v="11"/>
    <n v="2003"/>
    <n v="6.6394463667820069"/>
  </r>
  <r>
    <x v="10"/>
    <n v="11"/>
    <n v="2003"/>
    <n v="1.2519031141868513"/>
  </r>
  <r>
    <x v="10"/>
    <n v="11"/>
    <n v="2003"/>
    <n v="0"/>
  </r>
  <r>
    <x v="10"/>
    <n v="11"/>
    <n v="2003"/>
    <n v="0"/>
  </r>
  <r>
    <x v="10"/>
    <n v="11"/>
    <n v="2003"/>
    <n v="0"/>
  </r>
  <r>
    <x v="10"/>
    <n v="11"/>
    <n v="2003"/>
    <n v="0"/>
  </r>
  <r>
    <x v="10"/>
    <n v="11"/>
    <n v="2003"/>
    <n v="0.33494809688581317"/>
  </r>
  <r>
    <x v="10"/>
    <n v="11"/>
    <n v="2003"/>
    <n v="0.61730103806228376"/>
  </r>
  <r>
    <x v="10"/>
    <n v="11"/>
    <n v="2003"/>
    <n v="0"/>
  </r>
  <r>
    <x v="10"/>
    <n v="11"/>
    <n v="2003"/>
    <n v="0.58200692041522495"/>
  </r>
  <r>
    <x v="10"/>
    <n v="11"/>
    <n v="2003"/>
    <n v="7.5889273356401379"/>
  </r>
  <r>
    <x v="10"/>
    <n v="11"/>
    <n v="2003"/>
    <n v="5.4020761245674729"/>
  </r>
  <r>
    <x v="10"/>
    <n v="11"/>
    <n v="2003"/>
    <n v="0.77093425605536348"/>
  </r>
  <r>
    <x v="10"/>
    <n v="11"/>
    <n v="2003"/>
    <n v="0"/>
  </r>
  <r>
    <x v="10"/>
    <n v="11"/>
    <n v="2003"/>
    <n v="0"/>
  </r>
  <r>
    <x v="10"/>
    <n v="11"/>
    <n v="2003"/>
    <n v="0.65397923875432529"/>
  </r>
  <r>
    <x v="10"/>
    <n v="11"/>
    <n v="2003"/>
    <n v="2.1820069204152248"/>
  </r>
  <r>
    <x v="10"/>
    <n v="11"/>
    <n v="2003"/>
    <n v="2.4408304498269899"/>
  </r>
  <r>
    <x v="10"/>
    <n v="11"/>
    <n v="2003"/>
    <n v="2.7038062283737023"/>
  </r>
  <r>
    <x v="10"/>
    <n v="11"/>
    <n v="2003"/>
    <n v="0.2179930795847751"/>
  </r>
  <r>
    <x v="10"/>
    <n v="11"/>
    <n v="2003"/>
    <n v="0.21799307958477507"/>
  </r>
  <r>
    <x v="10"/>
    <n v="11"/>
    <n v="2003"/>
    <n v="0"/>
  </r>
  <r>
    <x v="10"/>
    <n v="11"/>
    <n v="2003"/>
    <n v="0"/>
  </r>
  <r>
    <x v="10"/>
    <n v="11"/>
    <n v="2003"/>
    <n v="1.8858131487889271"/>
  </r>
  <r>
    <x v="10"/>
    <n v="11"/>
    <n v="2003"/>
    <n v="1.1910034602076125"/>
  </r>
  <r>
    <x v="10"/>
    <n v="11"/>
    <n v="2003"/>
    <n v="0.93287197231833929"/>
  </r>
  <r>
    <x v="10"/>
    <n v="11"/>
    <n v="2003"/>
    <n v="1.1529411764705881"/>
  </r>
  <r>
    <x v="10"/>
    <n v="11"/>
    <n v="2003"/>
    <n v="3.0422145328719723"/>
  </r>
  <r>
    <x v="10"/>
    <n v="11"/>
    <n v="2003"/>
    <n v="0.41799307958477516"/>
  </r>
  <r>
    <x v="11"/>
    <n v="12"/>
    <n v="2003"/>
    <n v="18.821453287197233"/>
  </r>
  <r>
    <x v="11"/>
    <n v="12"/>
    <n v="2003"/>
    <n v="4.1363321799307959"/>
  </r>
  <r>
    <x v="11"/>
    <n v="12"/>
    <n v="2003"/>
    <n v="2.5010380622837367"/>
  </r>
  <r>
    <x v="11"/>
    <n v="12"/>
    <n v="2003"/>
    <n v="0"/>
  </r>
  <r>
    <x v="11"/>
    <n v="12"/>
    <n v="2003"/>
    <n v="0"/>
  </r>
  <r>
    <x v="11"/>
    <n v="12"/>
    <n v="2003"/>
    <n v="0.65397923875432551"/>
  </r>
  <r>
    <x v="11"/>
    <n v="12"/>
    <n v="2003"/>
    <n v="0"/>
  </r>
  <r>
    <x v="11"/>
    <n v="12"/>
    <n v="2003"/>
    <n v="0"/>
  </r>
  <r>
    <x v="11"/>
    <n v="12"/>
    <n v="2003"/>
    <n v="0.20207612456747404"/>
  </r>
  <r>
    <x v="11"/>
    <n v="12"/>
    <n v="2003"/>
    <n v="0"/>
  </r>
  <r>
    <x v="11"/>
    <n v="12"/>
    <n v="2003"/>
    <n v="5.5176470588235293"/>
  </r>
  <r>
    <x v="11"/>
    <n v="12"/>
    <n v="2003"/>
    <n v="1.4719723183391005"/>
  </r>
  <r>
    <x v="11"/>
    <n v="12"/>
    <n v="2003"/>
    <n v="1.5508650519031142"/>
  </r>
  <r>
    <x v="11"/>
    <n v="12"/>
    <n v="2003"/>
    <n v="0"/>
  </r>
  <r>
    <x v="11"/>
    <n v="12"/>
    <n v="2003"/>
    <n v="0"/>
  </r>
  <r>
    <x v="11"/>
    <n v="12"/>
    <n v="2003"/>
    <n v="0.63321799307958471"/>
  </r>
  <r>
    <x v="11"/>
    <n v="12"/>
    <n v="2003"/>
    <n v="0"/>
  </r>
  <r>
    <x v="11"/>
    <n v="12"/>
    <n v="2003"/>
    <n v="0"/>
  </r>
  <r>
    <x v="11"/>
    <n v="12"/>
    <n v="2003"/>
    <n v="0"/>
  </r>
  <r>
    <x v="11"/>
    <n v="12"/>
    <n v="2003"/>
    <n v="25.065743944636679"/>
  </r>
  <r>
    <x v="11"/>
    <n v="12"/>
    <n v="2003"/>
    <n v="10.341868512110723"/>
  </r>
  <r>
    <x v="11"/>
    <n v="12"/>
    <n v="2003"/>
    <n v="0.72318339100346019"/>
  </r>
  <r>
    <x v="11"/>
    <n v="12"/>
    <n v="2003"/>
    <n v="3.6948096885813149"/>
  </r>
  <r>
    <x v="11"/>
    <n v="12"/>
    <n v="2003"/>
    <n v="0"/>
  </r>
  <r>
    <x v="11"/>
    <n v="12"/>
    <n v="2003"/>
    <n v="0.51903114186851207"/>
  </r>
  <r>
    <x v="11"/>
    <n v="12"/>
    <n v="2003"/>
    <n v="4.2249134948096883"/>
  </r>
  <r>
    <x v="11"/>
    <n v="12"/>
    <n v="2003"/>
    <n v="0"/>
  </r>
  <r>
    <x v="11"/>
    <n v="12"/>
    <n v="2003"/>
    <n v="0"/>
  </r>
  <r>
    <x v="11"/>
    <n v="12"/>
    <n v="2003"/>
    <n v="0"/>
  </r>
  <r>
    <x v="11"/>
    <n v="12"/>
    <n v="2003"/>
    <n v="0"/>
  </r>
  <r>
    <x v="11"/>
    <n v="12"/>
    <n v="2003"/>
    <n v="0.79169550173010383"/>
  </r>
  <r>
    <x v="12"/>
    <n v="1"/>
    <n v="2004"/>
    <n v="8.5280276816608982"/>
  </r>
  <r>
    <x v="12"/>
    <n v="1"/>
    <n v="2004"/>
    <n v="0"/>
  </r>
  <r>
    <x v="12"/>
    <n v="1"/>
    <n v="2004"/>
    <n v="1.1259515570934258"/>
  </r>
  <r>
    <x v="12"/>
    <n v="1"/>
    <n v="2004"/>
    <n v="1.9397923875432528"/>
  </r>
  <r>
    <x v="12"/>
    <n v="1"/>
    <n v="2004"/>
    <n v="1.7550173010380625"/>
  </r>
  <r>
    <x v="12"/>
    <n v="1"/>
    <n v="2004"/>
    <n v="1.8020761245674739"/>
  </r>
  <r>
    <x v="12"/>
    <n v="1"/>
    <n v="2004"/>
    <n v="0"/>
  </r>
  <r>
    <x v="12"/>
    <n v="1"/>
    <n v="2004"/>
    <n v="3.7051903114186855"/>
  </r>
  <r>
    <x v="12"/>
    <n v="1"/>
    <n v="2004"/>
    <n v="1.2"/>
  </r>
  <r>
    <x v="12"/>
    <n v="1"/>
    <n v="2004"/>
    <n v="0"/>
  </r>
  <r>
    <x v="12"/>
    <n v="1"/>
    <n v="2004"/>
    <n v="9.006228373702422"/>
  </r>
  <r>
    <x v="12"/>
    <n v="1"/>
    <n v="2004"/>
    <n v="0"/>
  </r>
  <r>
    <x v="12"/>
    <n v="1"/>
    <n v="2004"/>
    <n v="4.7660899653979234"/>
  </r>
  <r>
    <x v="12"/>
    <n v="1"/>
    <n v="2004"/>
    <n v="0"/>
  </r>
  <r>
    <x v="12"/>
    <n v="1"/>
    <n v="2004"/>
    <n v="5.428373702422145"/>
  </r>
  <r>
    <x v="12"/>
    <n v="1"/>
    <n v="2004"/>
    <n v="9.7107266435986155"/>
  </r>
  <r>
    <x v="12"/>
    <n v="1"/>
    <n v="2004"/>
    <n v="4.6269896193771629"/>
  </r>
  <r>
    <x v="12"/>
    <n v="1"/>
    <n v="2004"/>
    <n v="4.5474048442906572"/>
  </r>
  <r>
    <x v="12"/>
    <n v="1"/>
    <n v="2004"/>
    <n v="2.5176470588235293"/>
  </r>
  <r>
    <x v="12"/>
    <n v="1"/>
    <n v="2004"/>
    <n v="4.3335640138408307"/>
  </r>
  <r>
    <x v="12"/>
    <n v="1"/>
    <n v="2004"/>
    <n v="0"/>
  </r>
  <r>
    <x v="12"/>
    <n v="1"/>
    <n v="2004"/>
    <n v="0"/>
  </r>
  <r>
    <x v="12"/>
    <n v="1"/>
    <n v="2004"/>
    <n v="2.0491349480968859"/>
  </r>
  <r>
    <x v="12"/>
    <n v="1"/>
    <n v="2004"/>
    <n v="0.23391003460207616"/>
  </r>
  <r>
    <x v="12"/>
    <n v="1"/>
    <n v="2004"/>
    <n v="0"/>
  </r>
  <r>
    <x v="12"/>
    <n v="1"/>
    <n v="2004"/>
    <n v="3.5591695501730101"/>
  </r>
  <r>
    <x v="12"/>
    <n v="1"/>
    <n v="2004"/>
    <n v="0.36608996539792393"/>
  </r>
  <r>
    <x v="12"/>
    <n v="1"/>
    <n v="2004"/>
    <n v="0"/>
  </r>
  <r>
    <x v="12"/>
    <n v="1"/>
    <n v="2004"/>
    <n v="2.9522491349480968"/>
  </r>
  <r>
    <x v="12"/>
    <n v="1"/>
    <n v="2004"/>
    <n v="5.8484429065743946"/>
  </r>
  <r>
    <x v="12"/>
    <n v="1"/>
    <n v="2004"/>
    <n v="35.755709342560557"/>
  </r>
  <r>
    <x v="13"/>
    <n v="2"/>
    <n v="2004"/>
    <n v="12.725259515570935"/>
  </r>
  <r>
    <x v="13"/>
    <n v="2"/>
    <n v="2004"/>
    <n v="0.68996539792387557"/>
  </r>
  <r>
    <x v="13"/>
    <n v="2"/>
    <n v="2004"/>
    <n v="4.6581314878892739"/>
  </r>
  <r>
    <x v="13"/>
    <n v="2"/>
    <n v="2004"/>
    <n v="1.8269896193771626"/>
  </r>
  <r>
    <x v="13"/>
    <n v="2"/>
    <n v="2004"/>
    <n v="2.4705882352941178"/>
  </r>
  <r>
    <x v="13"/>
    <n v="2"/>
    <n v="2004"/>
    <n v="0.52110726643598615"/>
  </r>
  <r>
    <x v="13"/>
    <n v="2"/>
    <n v="2004"/>
    <n v="1.0823529411764705"/>
  </r>
  <r>
    <x v="13"/>
    <n v="2"/>
    <n v="2004"/>
    <n v="1.7522491349480971"/>
  </r>
  <r>
    <x v="13"/>
    <n v="2"/>
    <n v="2004"/>
    <n v="0"/>
  </r>
  <r>
    <x v="13"/>
    <n v="2"/>
    <n v="2004"/>
    <n v="0"/>
  </r>
  <r>
    <x v="13"/>
    <n v="2"/>
    <n v="2004"/>
    <n v="0"/>
  </r>
  <r>
    <x v="13"/>
    <n v="2"/>
    <n v="2004"/>
    <n v="0"/>
  </r>
  <r>
    <x v="13"/>
    <n v="2"/>
    <n v="2004"/>
    <n v="1.4249134948096889"/>
  </r>
  <r>
    <x v="13"/>
    <n v="2"/>
    <n v="2004"/>
    <n v="0.2179930795847751"/>
  </r>
  <r>
    <x v="13"/>
    <n v="2"/>
    <n v="2004"/>
    <n v="0"/>
  </r>
  <r>
    <x v="13"/>
    <n v="2"/>
    <n v="2004"/>
    <n v="0.88788927335640144"/>
  </r>
  <r>
    <x v="13"/>
    <n v="2"/>
    <n v="2004"/>
    <n v="2.6089965397923875"/>
  </r>
  <r>
    <x v="13"/>
    <n v="2"/>
    <n v="2004"/>
    <n v="0"/>
  </r>
  <r>
    <x v="13"/>
    <n v="2"/>
    <n v="2004"/>
    <n v="0.40415224913494807"/>
  </r>
  <r>
    <x v="13"/>
    <n v="2"/>
    <n v="2004"/>
    <n v="0.23598615916955018"/>
  </r>
  <r>
    <x v="13"/>
    <n v="2"/>
    <n v="2004"/>
    <n v="0"/>
  </r>
  <r>
    <x v="13"/>
    <n v="2"/>
    <n v="2004"/>
    <n v="0"/>
  </r>
  <r>
    <x v="13"/>
    <n v="2"/>
    <n v="2004"/>
    <n v="0"/>
  </r>
  <r>
    <x v="13"/>
    <n v="2"/>
    <n v="2004"/>
    <n v="4.4290657439446361"/>
  </r>
  <r>
    <x v="13"/>
    <n v="2"/>
    <n v="2004"/>
    <n v="0"/>
  </r>
  <r>
    <x v="13"/>
    <n v="2"/>
    <n v="2004"/>
    <n v="0"/>
  </r>
  <r>
    <x v="13"/>
    <n v="2"/>
    <n v="2004"/>
    <n v="4.372318339100346"/>
  </r>
  <r>
    <x v="13"/>
    <n v="2"/>
    <n v="2004"/>
    <n v="5.1328719723183394"/>
  </r>
  <r>
    <x v="13"/>
    <n v="2"/>
    <n v="2004"/>
    <n v="7.2221453287197219"/>
  </r>
  <r>
    <x v="14"/>
    <n v="3"/>
    <n v="2004"/>
    <n v="2.9910034602076125"/>
  </r>
  <r>
    <x v="14"/>
    <n v="3"/>
    <n v="2004"/>
    <n v="0"/>
  </r>
  <r>
    <x v="14"/>
    <n v="3"/>
    <n v="2004"/>
    <n v="4.1577854671280283"/>
  </r>
  <r>
    <x v="14"/>
    <n v="3"/>
    <n v="2004"/>
    <n v="0"/>
  </r>
  <r>
    <x v="14"/>
    <n v="3"/>
    <n v="2004"/>
    <n v="6.5093425605536321"/>
  </r>
  <r>
    <x v="14"/>
    <n v="3"/>
    <n v="2004"/>
    <n v="1.1522491349480968"/>
  </r>
  <r>
    <x v="14"/>
    <n v="3"/>
    <n v="2004"/>
    <n v="2.5882352941176472"/>
  </r>
  <r>
    <x v="14"/>
    <n v="3"/>
    <n v="2004"/>
    <n v="0"/>
  </r>
  <r>
    <x v="14"/>
    <n v="3"/>
    <n v="2004"/>
    <n v="0"/>
  </r>
  <r>
    <x v="14"/>
    <n v="3"/>
    <n v="2004"/>
    <n v="0.50103806228373693"/>
  </r>
  <r>
    <x v="14"/>
    <n v="3"/>
    <n v="2004"/>
    <n v="1.3391003460207613"/>
  </r>
  <r>
    <x v="14"/>
    <n v="3"/>
    <n v="2004"/>
    <n v="0"/>
  </r>
  <r>
    <x v="14"/>
    <n v="3"/>
    <n v="2004"/>
    <n v="0"/>
  </r>
  <r>
    <x v="14"/>
    <n v="3"/>
    <n v="2004"/>
    <n v="3.6692041522491348"/>
  </r>
  <r>
    <x v="14"/>
    <n v="3"/>
    <n v="2004"/>
    <n v="0.73702422145328716"/>
  </r>
  <r>
    <x v="14"/>
    <n v="3"/>
    <n v="2004"/>
    <n v="0"/>
  </r>
  <r>
    <x v="14"/>
    <n v="3"/>
    <n v="2004"/>
    <n v="0"/>
  </r>
  <r>
    <x v="14"/>
    <n v="3"/>
    <n v="2004"/>
    <n v="1.6442906574394462"/>
  </r>
  <r>
    <x v="14"/>
    <n v="3"/>
    <n v="2004"/>
    <n v="7.478892733564015"/>
  </r>
  <r>
    <x v="14"/>
    <n v="3"/>
    <n v="2004"/>
    <n v="17.36678200692041"/>
  </r>
  <r>
    <x v="14"/>
    <n v="3"/>
    <n v="2004"/>
    <n v="0.827681660899654"/>
  </r>
  <r>
    <x v="14"/>
    <n v="3"/>
    <n v="2004"/>
    <n v="2.4685121107266434"/>
  </r>
  <r>
    <x v="14"/>
    <n v="3"/>
    <n v="2004"/>
    <n v="0.99100346020761232"/>
  </r>
  <r>
    <x v="14"/>
    <n v="3"/>
    <n v="2004"/>
    <n v="1.2982698961937715"/>
  </r>
  <r>
    <x v="14"/>
    <n v="3"/>
    <n v="2004"/>
    <n v="3.1882352941176477"/>
  </r>
  <r>
    <x v="14"/>
    <n v="3"/>
    <n v="2004"/>
    <n v="0.47197231833910036"/>
  </r>
  <r>
    <x v="14"/>
    <n v="3"/>
    <n v="2004"/>
    <n v="0"/>
  </r>
  <r>
    <x v="14"/>
    <n v="3"/>
    <n v="2004"/>
    <n v="0.61799307958477501"/>
  </r>
  <r>
    <x v="14"/>
    <n v="3"/>
    <n v="2004"/>
    <n v="0"/>
  </r>
  <r>
    <x v="14"/>
    <n v="3"/>
    <n v="2004"/>
    <n v="0"/>
  </r>
  <r>
    <x v="14"/>
    <n v="3"/>
    <n v="2004"/>
    <n v="0"/>
  </r>
  <r>
    <x v="15"/>
    <n v="4"/>
    <n v="2004"/>
    <n v="1.7169550173010379"/>
  </r>
  <r>
    <x v="15"/>
    <n v="4"/>
    <n v="2004"/>
    <n v="6.2948096885813145"/>
  </r>
  <r>
    <x v="15"/>
    <n v="4"/>
    <n v="2004"/>
    <n v="0.9730103806228374"/>
  </r>
  <r>
    <x v="15"/>
    <n v="4"/>
    <n v="2004"/>
    <n v="0.53494809688581313"/>
  </r>
  <r>
    <x v="15"/>
    <n v="4"/>
    <n v="2004"/>
    <n v="4.1619377162629752"/>
  </r>
  <r>
    <x v="15"/>
    <n v="4"/>
    <n v="2004"/>
    <n v="2.4297577854671282"/>
  </r>
  <r>
    <x v="15"/>
    <n v="4"/>
    <n v="2004"/>
    <n v="0.61799307958477501"/>
  </r>
  <r>
    <x v="15"/>
    <n v="4"/>
    <n v="2004"/>
    <n v="0"/>
  </r>
  <r>
    <x v="15"/>
    <n v="4"/>
    <n v="2004"/>
    <n v="1.1162629757785469"/>
  </r>
  <r>
    <x v="15"/>
    <n v="4"/>
    <n v="2004"/>
    <n v="0.25190311418685124"/>
  </r>
  <r>
    <x v="15"/>
    <n v="4"/>
    <n v="2004"/>
    <n v="0.34809688581314879"/>
  </r>
  <r>
    <x v="15"/>
    <n v="4"/>
    <n v="2004"/>
    <n v="0.33287197231833915"/>
  </r>
  <r>
    <x v="15"/>
    <n v="4"/>
    <n v="2004"/>
    <n v="0"/>
  </r>
  <r>
    <x v="15"/>
    <n v="4"/>
    <n v="2004"/>
    <n v="0"/>
  </r>
  <r>
    <x v="15"/>
    <n v="4"/>
    <n v="2004"/>
    <n v="0.51903114186851218"/>
  </r>
  <r>
    <x v="15"/>
    <n v="4"/>
    <n v="2004"/>
    <n v="0.23391003460207616"/>
  </r>
  <r>
    <x v="15"/>
    <n v="4"/>
    <n v="2004"/>
    <n v="0.76401384083044988"/>
  </r>
  <r>
    <x v="15"/>
    <n v="4"/>
    <n v="2004"/>
    <n v="15.828373702422146"/>
  </r>
  <r>
    <x v="15"/>
    <n v="4"/>
    <n v="2004"/>
    <n v="8.7584775086505182"/>
  </r>
  <r>
    <x v="15"/>
    <n v="4"/>
    <n v="2004"/>
    <n v="0.68788927335640149"/>
  </r>
  <r>
    <x v="15"/>
    <n v="4"/>
    <n v="2004"/>
    <n v="1.9134948096885815"/>
  </r>
  <r>
    <x v="15"/>
    <n v="4"/>
    <n v="2004"/>
    <n v="0"/>
  </r>
  <r>
    <x v="15"/>
    <n v="4"/>
    <n v="2004"/>
    <n v="0"/>
  </r>
  <r>
    <x v="15"/>
    <n v="4"/>
    <n v="2004"/>
    <n v="0"/>
  </r>
  <r>
    <x v="15"/>
    <n v="4"/>
    <n v="2004"/>
    <n v="0"/>
  </r>
  <r>
    <x v="15"/>
    <n v="4"/>
    <n v="2004"/>
    <n v="0"/>
  </r>
  <r>
    <x v="15"/>
    <n v="4"/>
    <n v="2004"/>
    <n v="2.9231833910034601"/>
  </r>
  <r>
    <x v="15"/>
    <n v="4"/>
    <n v="2004"/>
    <n v="0.63598615916955015"/>
  </r>
  <r>
    <x v="15"/>
    <n v="4"/>
    <n v="2004"/>
    <n v="2.1411764705882352"/>
  </r>
  <r>
    <x v="15"/>
    <n v="4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9.9771626297577853"/>
  </r>
  <r>
    <x v="16"/>
    <n v="5"/>
    <n v="2004"/>
    <n v="0.76539792387543248"/>
  </r>
  <r>
    <x v="16"/>
    <n v="5"/>
    <n v="2004"/>
    <n v="0.90173010380622842"/>
  </r>
  <r>
    <x v="16"/>
    <n v="5"/>
    <n v="2004"/>
    <n v="1.8519031141868512"/>
  </r>
  <r>
    <x v="16"/>
    <n v="5"/>
    <n v="2004"/>
    <n v="1.3501730103806229"/>
  </r>
  <r>
    <x v="16"/>
    <n v="5"/>
    <n v="2004"/>
    <n v="0.48304498269896196"/>
  </r>
  <r>
    <x v="16"/>
    <n v="5"/>
    <n v="2004"/>
    <n v="0"/>
  </r>
  <r>
    <x v="16"/>
    <n v="5"/>
    <n v="2004"/>
    <n v="0.28304498269896194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3.1128027681660897"/>
  </r>
  <r>
    <x v="16"/>
    <n v="5"/>
    <n v="2004"/>
    <n v="1.6152249134948096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.21591695501730107"/>
  </r>
  <r>
    <x v="16"/>
    <n v="5"/>
    <n v="2004"/>
    <n v="3.8207612456747406"/>
  </r>
  <r>
    <x v="16"/>
    <n v="5"/>
    <n v="2004"/>
    <n v="1.172318339100346"/>
  </r>
  <r>
    <x v="16"/>
    <n v="5"/>
    <n v="2004"/>
    <n v="0"/>
  </r>
  <r>
    <x v="17"/>
    <n v="6"/>
    <n v="2004"/>
    <n v="9.8844290657439462"/>
  </r>
  <r>
    <x v="17"/>
    <n v="6"/>
    <n v="2004"/>
    <n v="0"/>
  </r>
  <r>
    <x v="17"/>
    <n v="6"/>
    <n v="2004"/>
    <n v="6.236678200692042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.3370242214532872"/>
  </r>
  <r>
    <x v="17"/>
    <n v="6"/>
    <n v="2004"/>
    <n v="1.1806228373702423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1.1307958477508651"/>
  </r>
  <r>
    <x v="17"/>
    <n v="6"/>
    <n v="2004"/>
    <n v="9.2103806228373681"/>
  </r>
  <r>
    <x v="17"/>
    <n v="6"/>
    <n v="2004"/>
    <n v="2.9321799307958476"/>
  </r>
  <r>
    <x v="17"/>
    <n v="6"/>
    <n v="2004"/>
    <n v="7.91833910034602"/>
  </r>
  <r>
    <x v="17"/>
    <n v="6"/>
    <n v="2004"/>
    <n v="7.2858131487889288"/>
  </r>
  <r>
    <x v="17"/>
    <n v="6"/>
    <n v="2004"/>
    <n v="0"/>
  </r>
  <r>
    <x v="17"/>
    <n v="6"/>
    <n v="2004"/>
    <n v="33.125259515570939"/>
  </r>
  <r>
    <x v="17"/>
    <n v="6"/>
    <n v="2004"/>
    <n v="21.000692041522495"/>
  </r>
  <r>
    <x v="17"/>
    <n v="6"/>
    <n v="2004"/>
    <n v="0"/>
  </r>
  <r>
    <x v="17"/>
    <n v="6"/>
    <n v="2004"/>
    <n v="6.429065743944637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5.7660899653979234"/>
  </r>
  <r>
    <x v="18"/>
    <n v="7"/>
    <n v="2004"/>
    <n v="0.28512110726643597"/>
  </r>
  <r>
    <x v="18"/>
    <n v="7"/>
    <n v="2004"/>
    <n v="1.1363321799307959"/>
  </r>
  <r>
    <x v="18"/>
    <n v="7"/>
    <n v="2004"/>
    <n v="16.079584775086506"/>
  </r>
  <r>
    <x v="18"/>
    <n v="7"/>
    <n v="2004"/>
    <n v="15.036678200692041"/>
  </r>
  <r>
    <x v="18"/>
    <n v="7"/>
    <n v="2004"/>
    <n v="4.1910034602076118"/>
  </r>
  <r>
    <x v="18"/>
    <n v="7"/>
    <n v="2004"/>
    <n v="0.31695501730103803"/>
  </r>
  <r>
    <x v="18"/>
    <n v="7"/>
    <n v="2004"/>
    <n v="0"/>
  </r>
  <r>
    <x v="18"/>
    <n v="7"/>
    <n v="2004"/>
    <n v="2.3176470588235296"/>
  </r>
  <r>
    <x v="18"/>
    <n v="7"/>
    <n v="2004"/>
    <n v="0.51903114186851218"/>
  </r>
  <r>
    <x v="18"/>
    <n v="7"/>
    <n v="2004"/>
    <n v="0.81799307958477518"/>
  </r>
  <r>
    <x v="18"/>
    <n v="7"/>
    <n v="2004"/>
    <n v="0.83667820069204168"/>
  </r>
  <r>
    <x v="18"/>
    <n v="7"/>
    <n v="2004"/>
    <n v="0.68373702422145333"/>
  </r>
  <r>
    <x v="18"/>
    <n v="7"/>
    <n v="2004"/>
    <n v="0"/>
  </r>
  <r>
    <x v="18"/>
    <n v="7"/>
    <n v="2004"/>
    <n v="0.71072664359861593"/>
  </r>
  <r>
    <x v="18"/>
    <n v="7"/>
    <n v="2004"/>
    <n v="0"/>
  </r>
  <r>
    <x v="18"/>
    <n v="7"/>
    <n v="2004"/>
    <n v="0"/>
  </r>
  <r>
    <x v="18"/>
    <n v="7"/>
    <n v="2004"/>
    <n v="3.8955017301038057"/>
  </r>
  <r>
    <x v="18"/>
    <n v="7"/>
    <n v="2004"/>
    <n v="1.4117647058823528"/>
  </r>
  <r>
    <x v="18"/>
    <n v="7"/>
    <n v="2004"/>
    <n v="0"/>
  </r>
  <r>
    <x v="18"/>
    <n v="7"/>
    <n v="2004"/>
    <n v="3.9757785467128026"/>
  </r>
  <r>
    <x v="18"/>
    <n v="7"/>
    <n v="2004"/>
    <n v="1.5951557093425606"/>
  </r>
  <r>
    <x v="18"/>
    <n v="7"/>
    <n v="2004"/>
    <n v="2.5100346020761246"/>
  </r>
  <r>
    <x v="18"/>
    <n v="7"/>
    <n v="2004"/>
    <n v="0.23391003460207616"/>
  </r>
  <r>
    <x v="18"/>
    <n v="7"/>
    <n v="2004"/>
    <n v="0"/>
  </r>
  <r>
    <x v="18"/>
    <n v="7"/>
    <n v="2004"/>
    <n v="3.049826989619377"/>
  </r>
  <r>
    <x v="18"/>
    <n v="7"/>
    <n v="2004"/>
    <n v="0"/>
  </r>
  <r>
    <x v="18"/>
    <n v="7"/>
    <n v="2004"/>
    <n v="0"/>
  </r>
  <r>
    <x v="18"/>
    <n v="7"/>
    <n v="2004"/>
    <n v="0"/>
  </r>
  <r>
    <x v="18"/>
    <n v="7"/>
    <n v="2004"/>
    <n v="9.4823529411764707"/>
  </r>
  <r>
    <x v="18"/>
    <n v="7"/>
    <n v="2004"/>
    <n v="2.8643598615916956"/>
  </r>
  <r>
    <x v="18"/>
    <n v="7"/>
    <n v="2004"/>
    <n v="0.35294117647058826"/>
  </r>
  <r>
    <x v="19"/>
    <n v="8"/>
    <n v="2004"/>
    <n v="0"/>
  </r>
  <r>
    <x v="19"/>
    <n v="8"/>
    <n v="2004"/>
    <n v="0"/>
  </r>
  <r>
    <x v="19"/>
    <n v="8"/>
    <n v="2004"/>
    <n v="9.647058823529413"/>
  </r>
  <r>
    <x v="19"/>
    <n v="8"/>
    <n v="2004"/>
    <n v="4.3245674740484432"/>
  </r>
  <r>
    <x v="19"/>
    <n v="8"/>
    <n v="2004"/>
    <n v="0"/>
  </r>
  <r>
    <x v="19"/>
    <n v="8"/>
    <n v="2004"/>
    <n v="2.5370242214532874"/>
  </r>
  <r>
    <x v="19"/>
    <n v="8"/>
    <n v="2004"/>
    <n v="0"/>
  </r>
  <r>
    <x v="19"/>
    <n v="8"/>
    <n v="2004"/>
    <n v="0"/>
  </r>
  <r>
    <x v="19"/>
    <n v="8"/>
    <n v="2004"/>
    <n v="35.968166089965401"/>
  </r>
  <r>
    <x v="19"/>
    <n v="8"/>
    <n v="2004"/>
    <n v="27.140484429065754"/>
  </r>
  <r>
    <x v="19"/>
    <n v="8"/>
    <n v="2004"/>
    <n v="1.3688581314878894"/>
  </r>
  <r>
    <x v="19"/>
    <n v="8"/>
    <n v="2004"/>
    <n v="29.172318339100343"/>
  </r>
  <r>
    <x v="19"/>
    <n v="8"/>
    <n v="2004"/>
    <n v="6.1404844290657437"/>
  </r>
  <r>
    <x v="19"/>
    <n v="8"/>
    <n v="2004"/>
    <n v="0"/>
  </r>
  <r>
    <x v="19"/>
    <n v="8"/>
    <n v="2004"/>
    <n v="0.30103806228373703"/>
  </r>
  <r>
    <x v="19"/>
    <n v="8"/>
    <n v="2004"/>
    <n v="3.0809688581314876"/>
  </r>
  <r>
    <x v="19"/>
    <n v="8"/>
    <n v="2004"/>
    <n v="11.946712802768168"/>
  </r>
  <r>
    <x v="19"/>
    <n v="8"/>
    <n v="2004"/>
    <n v="13.06228373702422"/>
  </r>
  <r>
    <x v="19"/>
    <n v="8"/>
    <n v="2004"/>
    <n v="6.5183391003460205"/>
  </r>
  <r>
    <x v="19"/>
    <n v="8"/>
    <n v="2004"/>
    <n v="0.22006920415224912"/>
  </r>
  <r>
    <x v="19"/>
    <n v="8"/>
    <n v="2004"/>
    <n v="0"/>
  </r>
  <r>
    <x v="19"/>
    <n v="8"/>
    <n v="2004"/>
    <n v="0"/>
  </r>
  <r>
    <x v="19"/>
    <n v="8"/>
    <n v="2004"/>
    <n v="10.227681660899652"/>
  </r>
  <r>
    <x v="19"/>
    <n v="8"/>
    <n v="2004"/>
    <n v="12.57439446366782"/>
  </r>
  <r>
    <x v="19"/>
    <n v="8"/>
    <n v="2004"/>
    <n v="0.26712802768166088"/>
  </r>
  <r>
    <x v="19"/>
    <n v="8"/>
    <n v="2004"/>
    <n v="1.6159169550173011"/>
  </r>
  <r>
    <x v="19"/>
    <n v="8"/>
    <n v="2004"/>
    <n v="1.3190311418685121"/>
  </r>
  <r>
    <x v="19"/>
    <n v="8"/>
    <n v="2004"/>
    <n v="0"/>
  </r>
  <r>
    <x v="19"/>
    <n v="8"/>
    <n v="2004"/>
    <n v="1.091349480968858"/>
  </r>
  <r>
    <x v="19"/>
    <n v="8"/>
    <n v="2004"/>
    <n v="1.2982698961937718"/>
  </r>
  <r>
    <x v="19"/>
    <n v="8"/>
    <n v="2004"/>
    <n v="0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2.350865051903114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1.4269896193771625"/>
  </r>
  <r>
    <x v="20"/>
    <n v="9"/>
    <n v="2004"/>
    <n v="0.91626297577854676"/>
  </r>
  <r>
    <x v="20"/>
    <n v="9"/>
    <n v="2004"/>
    <n v="2.3480968858131486"/>
  </r>
  <r>
    <x v="20"/>
    <n v="9"/>
    <n v="2004"/>
    <n v="1.9750865051903115"/>
  </r>
  <r>
    <x v="20"/>
    <n v="9"/>
    <n v="2004"/>
    <n v="4.8858131487889267"/>
  </r>
  <r>
    <x v="20"/>
    <n v="9"/>
    <n v="2004"/>
    <n v="0"/>
  </r>
  <r>
    <x v="20"/>
    <n v="9"/>
    <n v="2004"/>
    <n v="0"/>
  </r>
  <r>
    <x v="20"/>
    <n v="9"/>
    <n v="2004"/>
    <n v="0.60484429065743939"/>
  </r>
  <r>
    <x v="20"/>
    <n v="9"/>
    <n v="2004"/>
    <n v="1.1349480968858132"/>
  </r>
  <r>
    <x v="20"/>
    <n v="9"/>
    <n v="2004"/>
    <n v="0.46989619377162634"/>
  </r>
  <r>
    <x v="20"/>
    <n v="9"/>
    <n v="2004"/>
    <n v="1.0519031141868513"/>
  </r>
  <r>
    <x v="20"/>
    <n v="9"/>
    <n v="2004"/>
    <n v="0.586159169550173"/>
  </r>
  <r>
    <x v="20"/>
    <n v="9"/>
    <n v="2004"/>
    <n v="1.013840830449827"/>
  </r>
  <r>
    <x v="20"/>
    <n v="9"/>
    <n v="2004"/>
    <n v="0.69688581314878895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3.8449826989619376"/>
  </r>
  <r>
    <x v="20"/>
    <n v="9"/>
    <n v="2004"/>
    <n v="0"/>
  </r>
  <r>
    <x v="20"/>
    <n v="9"/>
    <n v="2004"/>
    <n v="4.3010380622837365"/>
  </r>
  <r>
    <x v="21"/>
    <n v="10"/>
    <n v="2004"/>
    <n v="0.65397923875432518"/>
  </r>
  <r>
    <x v="21"/>
    <n v="10"/>
    <n v="2004"/>
    <n v="2.4608996539792392"/>
  </r>
  <r>
    <x v="21"/>
    <n v="10"/>
    <n v="2004"/>
    <n v="2.4470588235294115"/>
  </r>
  <r>
    <x v="21"/>
    <n v="10"/>
    <n v="2004"/>
    <n v="4.5730103806228373"/>
  </r>
  <r>
    <x v="21"/>
    <n v="10"/>
    <n v="2004"/>
    <n v="3.1079584775086508"/>
  </r>
  <r>
    <x v="21"/>
    <n v="10"/>
    <n v="2004"/>
    <n v="0.65397923875432529"/>
  </r>
  <r>
    <x v="21"/>
    <n v="10"/>
    <n v="2004"/>
    <n v="0"/>
  </r>
  <r>
    <x v="21"/>
    <n v="10"/>
    <n v="2004"/>
    <n v="0.38408304498269896"/>
  </r>
  <r>
    <x v="21"/>
    <n v="10"/>
    <n v="2004"/>
    <n v="0.69204152249134943"/>
  </r>
  <r>
    <x v="21"/>
    <n v="10"/>
    <n v="2004"/>
    <n v="0"/>
  </r>
  <r>
    <x v="21"/>
    <n v="10"/>
    <n v="2004"/>
    <n v="0"/>
  </r>
  <r>
    <x v="21"/>
    <n v="10"/>
    <n v="2004"/>
    <n v="1.6020761245674739"/>
  </r>
  <r>
    <x v="21"/>
    <n v="10"/>
    <n v="2004"/>
    <n v="11.664359861591695"/>
  </r>
  <r>
    <x v="21"/>
    <n v="10"/>
    <n v="2004"/>
    <n v="6.7252595155709338"/>
  </r>
  <r>
    <x v="21"/>
    <n v="10"/>
    <n v="2004"/>
    <n v="2.705190311418685"/>
  </r>
  <r>
    <x v="21"/>
    <n v="10"/>
    <n v="2004"/>
    <n v="12.665743944636677"/>
  </r>
  <r>
    <x v="21"/>
    <n v="10"/>
    <n v="2004"/>
    <n v="9.034602076124564"/>
  </r>
  <r>
    <x v="21"/>
    <n v="10"/>
    <n v="2004"/>
    <n v="0"/>
  </r>
  <r>
    <x v="21"/>
    <n v="10"/>
    <n v="2004"/>
    <n v="1.0788927335640139"/>
  </r>
  <r>
    <x v="21"/>
    <n v="10"/>
    <n v="2004"/>
    <n v="10.710726643598614"/>
  </r>
  <r>
    <x v="21"/>
    <n v="10"/>
    <n v="2004"/>
    <n v="9.9480968858131487"/>
  </r>
  <r>
    <x v="21"/>
    <n v="10"/>
    <n v="2004"/>
    <n v="1.2698961937716262"/>
  </r>
  <r>
    <x v="21"/>
    <n v="10"/>
    <n v="2004"/>
    <n v="2.7211072664359861"/>
  </r>
  <r>
    <x v="21"/>
    <n v="10"/>
    <n v="2004"/>
    <n v="9.6096885813148791"/>
  </r>
  <r>
    <x v="21"/>
    <n v="10"/>
    <n v="2004"/>
    <n v="4.1086505190311424"/>
  </r>
  <r>
    <x v="21"/>
    <n v="10"/>
    <n v="2004"/>
    <n v="3.1640138408304503"/>
  </r>
  <r>
    <x v="21"/>
    <n v="10"/>
    <n v="2004"/>
    <n v="0.61591695501730115"/>
  </r>
  <r>
    <x v="21"/>
    <n v="10"/>
    <n v="2004"/>
    <n v="5.0463667820069205"/>
  </r>
  <r>
    <x v="21"/>
    <n v="10"/>
    <n v="2004"/>
    <n v="17.60138408304498"/>
  </r>
  <r>
    <x v="21"/>
    <n v="10"/>
    <n v="2004"/>
    <n v="0"/>
  </r>
  <r>
    <x v="21"/>
    <n v="10"/>
    <n v="2004"/>
    <n v="0"/>
  </r>
  <r>
    <x v="22"/>
    <n v="11"/>
    <n v="2004"/>
    <n v="0"/>
  </r>
  <r>
    <x v="22"/>
    <n v="11"/>
    <n v="2004"/>
    <n v="1.4"/>
  </r>
  <r>
    <x v="22"/>
    <n v="11"/>
    <n v="2004"/>
    <n v="0"/>
  </r>
  <r>
    <x v="22"/>
    <n v="11"/>
    <n v="2004"/>
    <n v="0.53702422145328721"/>
  </r>
  <r>
    <x v="22"/>
    <n v="11"/>
    <n v="2004"/>
    <n v="0.30103806228373697"/>
  </r>
  <r>
    <x v="22"/>
    <n v="11"/>
    <n v="2004"/>
    <n v="1.7480968858131489"/>
  </r>
  <r>
    <x v="22"/>
    <n v="11"/>
    <n v="2004"/>
    <n v="0.50103806228373715"/>
  </r>
  <r>
    <x v="22"/>
    <n v="11"/>
    <n v="2004"/>
    <n v="0.20207612456747404"/>
  </r>
  <r>
    <x v="22"/>
    <n v="11"/>
    <n v="2004"/>
    <n v="0.8159169550173011"/>
  </r>
  <r>
    <x v="22"/>
    <n v="11"/>
    <n v="2004"/>
    <n v="0.26505190311418686"/>
  </r>
  <r>
    <x v="22"/>
    <n v="11"/>
    <n v="2004"/>
    <n v="0"/>
  </r>
  <r>
    <x v="22"/>
    <n v="11"/>
    <n v="2004"/>
    <n v="1.8657439446366781"/>
  </r>
  <r>
    <x v="22"/>
    <n v="11"/>
    <n v="2004"/>
    <n v="0"/>
  </r>
  <r>
    <x v="22"/>
    <n v="11"/>
    <n v="2004"/>
    <n v="0"/>
  </r>
  <r>
    <x v="22"/>
    <n v="11"/>
    <n v="2004"/>
    <n v="4.6311418685121115"/>
  </r>
  <r>
    <x v="22"/>
    <n v="11"/>
    <n v="2004"/>
    <n v="4.6795847750865045"/>
  </r>
  <r>
    <x v="22"/>
    <n v="11"/>
    <n v="2004"/>
    <n v="0.33287197231833904"/>
  </r>
  <r>
    <x v="22"/>
    <n v="11"/>
    <n v="2004"/>
    <n v="0.46505190311418687"/>
  </r>
  <r>
    <x v="22"/>
    <n v="11"/>
    <n v="2004"/>
    <n v="0"/>
  </r>
  <r>
    <x v="22"/>
    <n v="11"/>
    <n v="2004"/>
    <n v="0"/>
  </r>
  <r>
    <x v="22"/>
    <n v="11"/>
    <n v="2004"/>
    <n v="2.4830449826989618"/>
  </r>
  <r>
    <x v="22"/>
    <n v="11"/>
    <n v="2004"/>
    <n v="0.31695501730103809"/>
  </r>
  <r>
    <x v="22"/>
    <n v="11"/>
    <n v="2004"/>
    <n v="1.9231833910034604"/>
  </r>
  <r>
    <x v="22"/>
    <n v="11"/>
    <n v="2004"/>
    <n v="0"/>
  </r>
  <r>
    <x v="22"/>
    <n v="11"/>
    <n v="2004"/>
    <n v="0"/>
  </r>
  <r>
    <x v="22"/>
    <n v="11"/>
    <n v="2004"/>
    <n v="0"/>
  </r>
  <r>
    <x v="22"/>
    <n v="11"/>
    <n v="2004"/>
    <n v="0.43598615916955019"/>
  </r>
  <r>
    <x v="22"/>
    <n v="11"/>
    <n v="2004"/>
    <n v="7.3460207612456747"/>
  </r>
  <r>
    <x v="22"/>
    <n v="11"/>
    <n v="2004"/>
    <n v="0"/>
  </r>
  <r>
    <x v="22"/>
    <n v="11"/>
    <n v="2004"/>
    <n v="0"/>
  </r>
  <r>
    <x v="23"/>
    <n v="12"/>
    <n v="2004"/>
    <n v="0.31695501730103803"/>
  </r>
  <r>
    <x v="23"/>
    <n v="12"/>
    <n v="2004"/>
    <n v="0"/>
  </r>
  <r>
    <x v="23"/>
    <n v="12"/>
    <n v="2004"/>
    <n v="0.4"/>
  </r>
  <r>
    <x v="23"/>
    <n v="12"/>
    <n v="2004"/>
    <n v="0"/>
  </r>
  <r>
    <x v="23"/>
    <n v="12"/>
    <n v="2004"/>
    <n v="0"/>
  </r>
  <r>
    <x v="23"/>
    <n v="12"/>
    <n v="2004"/>
    <n v="0.93633217993079576"/>
  </r>
  <r>
    <x v="23"/>
    <n v="12"/>
    <n v="2004"/>
    <n v="0"/>
  </r>
  <r>
    <x v="23"/>
    <n v="12"/>
    <n v="2004"/>
    <n v="0"/>
  </r>
  <r>
    <x v="23"/>
    <n v="12"/>
    <n v="2004"/>
    <n v="0"/>
  </r>
  <r>
    <x v="23"/>
    <n v="12"/>
    <n v="2004"/>
    <n v="0"/>
  </r>
  <r>
    <x v="23"/>
    <n v="12"/>
    <n v="2004"/>
    <n v="0.31695501730103809"/>
  </r>
  <r>
    <x v="23"/>
    <n v="12"/>
    <n v="2004"/>
    <n v="0"/>
  </r>
  <r>
    <x v="23"/>
    <n v="12"/>
    <n v="2004"/>
    <n v="0"/>
  </r>
  <r>
    <x v="23"/>
    <n v="12"/>
    <n v="2004"/>
    <n v="4.3031141868512126"/>
  </r>
  <r>
    <x v="23"/>
    <n v="12"/>
    <n v="2004"/>
    <n v="2.2470588235294118"/>
  </r>
  <r>
    <x v="23"/>
    <n v="12"/>
    <n v="2004"/>
    <n v="4.7916955017301044"/>
  </r>
  <r>
    <x v="23"/>
    <n v="12"/>
    <n v="2004"/>
    <n v="0"/>
  </r>
  <r>
    <x v="23"/>
    <n v="12"/>
    <n v="2004"/>
    <n v="0.9307958477508651"/>
  </r>
  <r>
    <x v="23"/>
    <n v="12"/>
    <n v="2004"/>
    <n v="0"/>
  </r>
  <r>
    <x v="23"/>
    <n v="12"/>
    <n v="2004"/>
    <n v="0.45121107266435984"/>
  </r>
  <r>
    <x v="23"/>
    <n v="12"/>
    <n v="2004"/>
    <n v="0.6"/>
  </r>
  <r>
    <x v="23"/>
    <n v="12"/>
    <n v="2004"/>
    <n v="0.35086505190311412"/>
  </r>
  <r>
    <x v="23"/>
    <n v="12"/>
    <n v="2004"/>
    <n v="4.1349480968858137"/>
  </r>
  <r>
    <x v="23"/>
    <n v="12"/>
    <n v="2004"/>
    <n v="4.7349480968858133"/>
  </r>
  <r>
    <x v="23"/>
    <n v="12"/>
    <n v="2004"/>
    <n v="0"/>
  </r>
  <r>
    <x v="23"/>
    <n v="12"/>
    <n v="2004"/>
    <n v="0"/>
  </r>
  <r>
    <x v="23"/>
    <n v="12"/>
    <n v="2004"/>
    <n v="2.5619377162629755"/>
  </r>
  <r>
    <x v="23"/>
    <n v="12"/>
    <n v="2004"/>
    <n v="1.6179930795847752"/>
  </r>
  <r>
    <x v="23"/>
    <n v="12"/>
    <n v="2004"/>
    <n v="0.63598615916955015"/>
  </r>
  <r>
    <x v="23"/>
    <n v="12"/>
    <n v="2004"/>
    <n v="11.612456747404844"/>
  </r>
  <r>
    <x v="23"/>
    <n v="12"/>
    <n v="2004"/>
    <n v="3.1820069204152244"/>
  </r>
  <r>
    <x v="24"/>
    <n v="1"/>
    <n v="2005"/>
    <n v="9.4498269896193765"/>
  </r>
  <r>
    <x v="24"/>
    <n v="1"/>
    <n v="2005"/>
    <n v="1.2899653979238754"/>
  </r>
  <r>
    <x v="24"/>
    <n v="1"/>
    <n v="2005"/>
    <n v="0"/>
  </r>
  <r>
    <x v="24"/>
    <n v="1"/>
    <n v="2005"/>
    <n v="1.3460207612456747"/>
  </r>
  <r>
    <x v="24"/>
    <n v="1"/>
    <n v="2005"/>
    <n v="3.5148788927335639"/>
  </r>
  <r>
    <x v="24"/>
    <n v="1"/>
    <n v="2005"/>
    <n v="0"/>
  </r>
  <r>
    <x v="24"/>
    <n v="1"/>
    <n v="2005"/>
    <n v="20.162629757785467"/>
  </r>
  <r>
    <x v="24"/>
    <n v="1"/>
    <n v="2005"/>
    <n v="15.743944636678201"/>
  </r>
  <r>
    <x v="24"/>
    <n v="1"/>
    <n v="2005"/>
    <n v="4.1280276816608996"/>
  </r>
  <r>
    <x v="24"/>
    <n v="1"/>
    <n v="2005"/>
    <n v="0.31903114186851211"/>
  </r>
  <r>
    <x v="24"/>
    <n v="1"/>
    <n v="2005"/>
    <n v="1.5882352941176472"/>
  </r>
  <r>
    <x v="24"/>
    <n v="1"/>
    <n v="2005"/>
    <n v="2.3640138408304496"/>
  </r>
  <r>
    <x v="24"/>
    <n v="1"/>
    <n v="2005"/>
    <n v="0"/>
  </r>
  <r>
    <x v="24"/>
    <n v="1"/>
    <n v="2005"/>
    <n v="0"/>
  </r>
  <r>
    <x v="24"/>
    <n v="1"/>
    <n v="2005"/>
    <n v="0"/>
  </r>
  <r>
    <x v="24"/>
    <n v="1"/>
    <n v="2005"/>
    <n v="0"/>
  </r>
  <r>
    <x v="24"/>
    <n v="1"/>
    <n v="2005"/>
    <n v="3.8747404844290658"/>
  </r>
  <r>
    <x v="24"/>
    <n v="1"/>
    <n v="2005"/>
    <n v="1.2069204152249133"/>
  </r>
  <r>
    <x v="24"/>
    <n v="1"/>
    <n v="2005"/>
    <n v="1.0332179930795848"/>
  </r>
  <r>
    <x v="24"/>
    <n v="1"/>
    <n v="2005"/>
    <n v="2.5882352941176467"/>
  </r>
  <r>
    <x v="24"/>
    <n v="1"/>
    <n v="2005"/>
    <n v="0"/>
  </r>
  <r>
    <x v="24"/>
    <n v="1"/>
    <n v="2005"/>
    <n v="0"/>
  </r>
  <r>
    <x v="24"/>
    <n v="1"/>
    <n v="2005"/>
    <n v="1.9418685121107266"/>
  </r>
  <r>
    <x v="24"/>
    <n v="1"/>
    <n v="2005"/>
    <n v="1.2041522491349481"/>
  </r>
  <r>
    <x v="24"/>
    <n v="1"/>
    <n v="2005"/>
    <n v="1"/>
  </r>
  <r>
    <x v="24"/>
    <n v="1"/>
    <n v="2005"/>
    <n v="1.9591695501730104"/>
  </r>
  <r>
    <x v="24"/>
    <n v="1"/>
    <n v="2005"/>
    <n v="0.88512110726643589"/>
  </r>
  <r>
    <x v="24"/>
    <n v="1"/>
    <n v="2005"/>
    <n v="0.75709342560553639"/>
  </r>
  <r>
    <x v="24"/>
    <n v="1"/>
    <n v="2005"/>
    <n v="0.88304498269896214"/>
  </r>
  <r>
    <x v="24"/>
    <n v="1"/>
    <n v="2005"/>
    <n v="0.2179930795847751"/>
  </r>
  <r>
    <x v="24"/>
    <n v="1"/>
    <n v="2005"/>
    <n v="0.71695501730103817"/>
  </r>
  <r>
    <x v="25"/>
    <n v="2"/>
    <n v="2005"/>
    <n v="1.0179930795847751"/>
  </r>
  <r>
    <x v="25"/>
    <n v="2"/>
    <n v="2005"/>
    <n v="0.64705882352941169"/>
  </r>
  <r>
    <x v="25"/>
    <n v="2"/>
    <n v="2005"/>
    <n v="0"/>
  </r>
  <r>
    <x v="25"/>
    <n v="2"/>
    <n v="2005"/>
    <n v="0"/>
  </r>
  <r>
    <x v="25"/>
    <n v="2"/>
    <n v="2005"/>
    <n v="0.28096885813148792"/>
  </r>
  <r>
    <x v="25"/>
    <n v="2"/>
    <n v="2005"/>
    <n v="0.48996539792387539"/>
  </r>
  <r>
    <x v="25"/>
    <n v="2"/>
    <n v="2005"/>
    <n v="0"/>
  </r>
  <r>
    <x v="25"/>
    <n v="2"/>
    <n v="2005"/>
    <n v="0.37301038062283737"/>
  </r>
  <r>
    <x v="25"/>
    <n v="2"/>
    <n v="2005"/>
    <n v="0.99100346020761254"/>
  </r>
  <r>
    <x v="25"/>
    <n v="2"/>
    <n v="2005"/>
    <n v="0.58200692041522484"/>
  </r>
  <r>
    <x v="25"/>
    <n v="2"/>
    <n v="2005"/>
    <n v="5.8871972318339099"/>
  </r>
  <r>
    <x v="25"/>
    <n v="2"/>
    <n v="2005"/>
    <n v="4.4968858131487899"/>
  </r>
  <r>
    <x v="25"/>
    <n v="2"/>
    <n v="2005"/>
    <n v="3.2588235294117647"/>
  </r>
  <r>
    <x v="25"/>
    <n v="2"/>
    <n v="2005"/>
    <n v="0"/>
  </r>
  <r>
    <x v="25"/>
    <n v="2"/>
    <n v="2005"/>
    <n v="2.1640138408304495"/>
  </r>
  <r>
    <x v="25"/>
    <n v="2"/>
    <n v="2005"/>
    <n v="0"/>
  </r>
  <r>
    <x v="25"/>
    <n v="2"/>
    <n v="2005"/>
    <n v="0"/>
  </r>
  <r>
    <x v="25"/>
    <n v="2"/>
    <n v="2005"/>
    <n v="0.56608996539792378"/>
  </r>
  <r>
    <x v="25"/>
    <n v="2"/>
    <n v="2005"/>
    <n v="0"/>
  </r>
  <r>
    <x v="25"/>
    <n v="2"/>
    <n v="2005"/>
    <n v="3.1702422145328724"/>
  </r>
  <r>
    <x v="25"/>
    <n v="2"/>
    <n v="2005"/>
    <n v="5.8352941176470594"/>
  </r>
  <r>
    <x v="25"/>
    <n v="2"/>
    <n v="2005"/>
    <n v="7.8166089965397916"/>
  </r>
  <r>
    <x v="25"/>
    <n v="2"/>
    <n v="2005"/>
    <n v="3.2034602076124568"/>
  </r>
  <r>
    <x v="25"/>
    <n v="2"/>
    <n v="2005"/>
    <n v="3.3584775086505183"/>
  </r>
  <r>
    <x v="25"/>
    <n v="2"/>
    <n v="2005"/>
    <n v="13.190311418685123"/>
  </r>
  <r>
    <x v="25"/>
    <n v="2"/>
    <n v="2005"/>
    <n v="2.0262975778546708"/>
  </r>
  <r>
    <x v="25"/>
    <n v="2"/>
    <n v="2005"/>
    <n v="0.58892733564013833"/>
  </r>
  <r>
    <x v="25"/>
    <n v="2"/>
    <n v="2005"/>
    <n v="0"/>
  </r>
  <r>
    <x v="26"/>
    <n v="3"/>
    <n v="2005"/>
    <n v="5.404152249134949"/>
  </r>
  <r>
    <x v="26"/>
    <n v="3"/>
    <n v="2005"/>
    <n v="2.7833910034602072"/>
  </r>
  <r>
    <x v="26"/>
    <n v="3"/>
    <n v="2005"/>
    <n v="5.3418685121107261"/>
  </r>
  <r>
    <x v="26"/>
    <n v="3"/>
    <n v="2005"/>
    <n v="1.7273356401384083"/>
  </r>
  <r>
    <x v="26"/>
    <n v="3"/>
    <n v="2005"/>
    <n v="3.8373702422145333"/>
  </r>
  <r>
    <x v="26"/>
    <n v="3"/>
    <n v="2005"/>
    <n v="0.20207612456747404"/>
  </r>
  <r>
    <x v="26"/>
    <n v="3"/>
    <n v="2005"/>
    <n v="0"/>
  </r>
  <r>
    <x v="26"/>
    <n v="3"/>
    <n v="2005"/>
    <n v="0"/>
  </r>
  <r>
    <x v="26"/>
    <n v="3"/>
    <n v="2005"/>
    <n v="0.2179930795847751"/>
  </r>
  <r>
    <x v="26"/>
    <n v="3"/>
    <n v="2005"/>
    <n v="0"/>
  </r>
  <r>
    <x v="26"/>
    <n v="3"/>
    <n v="2005"/>
    <n v="2.4816608996539791"/>
  </r>
  <r>
    <x v="26"/>
    <n v="3"/>
    <n v="2005"/>
    <n v="0"/>
  </r>
  <r>
    <x v="26"/>
    <n v="3"/>
    <n v="2005"/>
    <n v="0"/>
  </r>
  <r>
    <x v="26"/>
    <n v="3"/>
    <n v="2005"/>
    <n v="7.9709342560553642"/>
  </r>
  <r>
    <x v="26"/>
    <n v="3"/>
    <n v="2005"/>
    <n v="4.9328719723183392"/>
  </r>
  <r>
    <x v="26"/>
    <n v="3"/>
    <n v="2005"/>
    <n v="0.48512110726643592"/>
  </r>
  <r>
    <x v="26"/>
    <n v="3"/>
    <n v="2005"/>
    <n v="0"/>
  </r>
  <r>
    <x v="26"/>
    <n v="3"/>
    <n v="2005"/>
    <n v="0"/>
  </r>
  <r>
    <x v="26"/>
    <n v="3"/>
    <n v="2005"/>
    <n v="0"/>
  </r>
  <r>
    <x v="26"/>
    <n v="3"/>
    <n v="2005"/>
    <n v="0"/>
  </r>
  <r>
    <x v="26"/>
    <n v="3"/>
    <n v="2005"/>
    <n v="0"/>
  </r>
  <r>
    <x v="26"/>
    <n v="3"/>
    <n v="2005"/>
    <n v="3.7785467128027679"/>
  </r>
  <r>
    <x v="26"/>
    <n v="3"/>
    <n v="2005"/>
    <n v="0"/>
  </r>
  <r>
    <x v="26"/>
    <n v="3"/>
    <n v="2005"/>
    <n v="0"/>
  </r>
  <r>
    <x v="26"/>
    <n v="3"/>
    <n v="2005"/>
    <n v="0"/>
  </r>
  <r>
    <x v="26"/>
    <n v="3"/>
    <n v="2005"/>
    <n v="0"/>
  </r>
  <r>
    <x v="26"/>
    <n v="3"/>
    <n v="2005"/>
    <n v="13.694117647058823"/>
  </r>
  <r>
    <x v="26"/>
    <n v="3"/>
    <n v="2005"/>
    <n v="11.892041522491347"/>
  </r>
  <r>
    <x v="26"/>
    <n v="3"/>
    <n v="2005"/>
    <n v="0.98200692041522497"/>
  </r>
  <r>
    <x v="26"/>
    <n v="3"/>
    <n v="2005"/>
    <n v="1"/>
  </r>
  <r>
    <x v="26"/>
    <n v="3"/>
    <n v="2005"/>
    <n v="0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1.2906574394463668"/>
  </r>
  <r>
    <x v="27"/>
    <n v="4"/>
    <n v="2005"/>
    <n v="11.139100346020756"/>
  </r>
  <r>
    <x v="27"/>
    <n v="4"/>
    <n v="2005"/>
    <n v="0.75224913494809686"/>
  </r>
  <r>
    <x v="27"/>
    <n v="4"/>
    <n v="2005"/>
    <n v="0.56608996539792389"/>
  </r>
  <r>
    <x v="27"/>
    <n v="4"/>
    <n v="2005"/>
    <n v="0.45397923875432522"/>
  </r>
  <r>
    <x v="27"/>
    <n v="4"/>
    <n v="2005"/>
    <n v="0"/>
  </r>
  <r>
    <x v="27"/>
    <n v="4"/>
    <n v="2005"/>
    <n v="0"/>
  </r>
  <r>
    <x v="27"/>
    <n v="4"/>
    <n v="2005"/>
    <n v="0.64913494809688577"/>
  </r>
  <r>
    <x v="27"/>
    <n v="4"/>
    <n v="2005"/>
    <n v="0"/>
  </r>
  <r>
    <x v="27"/>
    <n v="4"/>
    <n v="2005"/>
    <n v="18.42076124567474"/>
  </r>
  <r>
    <x v="27"/>
    <n v="4"/>
    <n v="2005"/>
    <n v="29.610380622837372"/>
  </r>
  <r>
    <x v="27"/>
    <n v="4"/>
    <n v="2005"/>
    <n v="11.797923875432526"/>
  </r>
  <r>
    <x v="27"/>
    <n v="4"/>
    <n v="2005"/>
    <n v="6.9010380622837362"/>
  </r>
  <r>
    <x v="27"/>
    <n v="4"/>
    <n v="2005"/>
    <n v="10.829065743944636"/>
  </r>
  <r>
    <x v="27"/>
    <n v="4"/>
    <n v="2005"/>
    <n v="0.6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3.8159169550173013"/>
  </r>
  <r>
    <x v="27"/>
    <n v="4"/>
    <n v="2005"/>
    <n v="7.5916955017301042"/>
  </r>
  <r>
    <x v="27"/>
    <n v="4"/>
    <n v="2005"/>
    <n v="3.7301038062283731"/>
  </r>
  <r>
    <x v="27"/>
    <n v="4"/>
    <n v="2005"/>
    <n v="0"/>
  </r>
  <r>
    <x v="27"/>
    <n v="4"/>
    <n v="2005"/>
    <n v="0"/>
  </r>
  <r>
    <x v="28"/>
    <n v="5"/>
    <n v="2005"/>
    <n v="4.5363321799307954"/>
  </r>
  <r>
    <x v="28"/>
    <n v="5"/>
    <n v="2005"/>
    <n v="2.0809688581314876"/>
  </r>
  <r>
    <x v="28"/>
    <n v="5"/>
    <n v="2005"/>
    <n v="3.1605536332179933"/>
  </r>
  <r>
    <x v="28"/>
    <n v="5"/>
    <n v="2005"/>
    <n v="0.36608996539792388"/>
  </r>
  <r>
    <x v="28"/>
    <n v="5"/>
    <n v="2005"/>
    <n v="0"/>
  </r>
  <r>
    <x v="28"/>
    <n v="5"/>
    <n v="2005"/>
    <n v="0.61591695501730104"/>
  </r>
  <r>
    <x v="28"/>
    <n v="5"/>
    <n v="2005"/>
    <n v="1.7813148788927333"/>
  </r>
  <r>
    <x v="28"/>
    <n v="5"/>
    <n v="2005"/>
    <n v="1.6186851211072661"/>
  </r>
  <r>
    <x v="28"/>
    <n v="5"/>
    <n v="2005"/>
    <n v="0.29204152249134946"/>
  </r>
  <r>
    <x v="28"/>
    <n v="5"/>
    <n v="2005"/>
    <n v="0"/>
  </r>
  <r>
    <x v="28"/>
    <n v="5"/>
    <n v="2005"/>
    <n v="0"/>
  </r>
  <r>
    <x v="28"/>
    <n v="5"/>
    <n v="2005"/>
    <n v="0"/>
  </r>
  <r>
    <x v="28"/>
    <n v="5"/>
    <n v="2005"/>
    <n v="0"/>
  </r>
  <r>
    <x v="28"/>
    <n v="5"/>
    <n v="2005"/>
    <n v="0"/>
  </r>
  <r>
    <x v="28"/>
    <n v="5"/>
    <n v="2005"/>
    <n v="0"/>
  </r>
  <r>
    <x v="28"/>
    <n v="5"/>
    <n v="2005"/>
    <n v="0.298961937716263"/>
  </r>
  <r>
    <x v="28"/>
    <n v="5"/>
    <n v="2005"/>
    <n v="1.7058823529411766"/>
  </r>
  <r>
    <x v="28"/>
    <n v="5"/>
    <n v="2005"/>
    <n v="4.4768166089965398"/>
  </r>
  <r>
    <x v="28"/>
    <n v="5"/>
    <n v="2005"/>
    <n v="2.1937716262975782"/>
  </r>
  <r>
    <x v="28"/>
    <n v="5"/>
    <n v="2005"/>
    <n v="2.3294117647058825"/>
  </r>
  <r>
    <x v="28"/>
    <n v="5"/>
    <n v="2005"/>
    <n v="2.2519031141868511"/>
  </r>
  <r>
    <x v="28"/>
    <n v="5"/>
    <n v="2005"/>
    <n v="5.3833910034602077"/>
  </r>
  <r>
    <x v="28"/>
    <n v="5"/>
    <n v="2005"/>
    <n v="1.1730103806228374"/>
  </r>
  <r>
    <x v="28"/>
    <n v="5"/>
    <n v="2005"/>
    <n v="2.2941176470588238"/>
  </r>
  <r>
    <x v="28"/>
    <n v="5"/>
    <n v="2005"/>
    <n v="0"/>
  </r>
  <r>
    <x v="28"/>
    <n v="5"/>
    <n v="2005"/>
    <n v="0"/>
  </r>
  <r>
    <x v="28"/>
    <n v="5"/>
    <n v="2005"/>
    <n v="1.2539792387543252"/>
  </r>
  <r>
    <x v="28"/>
    <n v="5"/>
    <n v="2005"/>
    <n v="0"/>
  </r>
  <r>
    <x v="28"/>
    <n v="5"/>
    <n v="2005"/>
    <n v="0"/>
  </r>
  <r>
    <x v="28"/>
    <n v="5"/>
    <n v="2005"/>
    <n v="1.2622837370242213"/>
  </r>
  <r>
    <x v="28"/>
    <n v="5"/>
    <n v="2005"/>
    <n v="0.36885813148788926"/>
  </r>
  <r>
    <x v="29"/>
    <n v="6"/>
    <n v="2005"/>
    <n v="6.3328719723183395"/>
  </r>
  <r>
    <x v="29"/>
    <n v="6"/>
    <n v="2005"/>
    <n v="0.61799307958477501"/>
  </r>
  <r>
    <x v="29"/>
    <n v="6"/>
    <n v="2005"/>
    <n v="0"/>
  </r>
  <r>
    <x v="29"/>
    <n v="6"/>
    <n v="2005"/>
    <n v="1.1404844290657441"/>
  </r>
  <r>
    <x v="29"/>
    <n v="6"/>
    <n v="2005"/>
    <n v="1.6055363321799307"/>
  </r>
  <r>
    <x v="29"/>
    <n v="6"/>
    <n v="2005"/>
    <n v="0"/>
  </r>
  <r>
    <x v="29"/>
    <n v="6"/>
    <n v="2005"/>
    <n v="0"/>
  </r>
  <r>
    <x v="29"/>
    <n v="6"/>
    <n v="2005"/>
    <n v="0"/>
  </r>
  <r>
    <x v="29"/>
    <n v="6"/>
    <n v="2005"/>
    <n v="0"/>
  </r>
  <r>
    <x v="29"/>
    <n v="6"/>
    <n v="2005"/>
    <n v="0"/>
  </r>
  <r>
    <x v="29"/>
    <n v="6"/>
    <n v="2005"/>
    <n v="0.34809688581314879"/>
  </r>
  <r>
    <x v="29"/>
    <n v="6"/>
    <n v="2005"/>
    <n v="3.9204152249134947"/>
  </r>
  <r>
    <x v="29"/>
    <n v="6"/>
    <n v="2005"/>
    <n v="9.6858131487889292"/>
  </r>
  <r>
    <x v="29"/>
    <n v="6"/>
    <n v="2005"/>
    <n v="0.51903114186851218"/>
  </r>
  <r>
    <x v="29"/>
    <n v="6"/>
    <n v="2005"/>
    <n v="0"/>
  </r>
  <r>
    <x v="29"/>
    <n v="6"/>
    <n v="2005"/>
    <n v="3.8173010380622836"/>
  </r>
  <r>
    <x v="29"/>
    <n v="6"/>
    <n v="2005"/>
    <n v="0.48788927335640142"/>
  </r>
  <r>
    <x v="29"/>
    <n v="6"/>
    <n v="2005"/>
    <n v="0"/>
  </r>
  <r>
    <x v="29"/>
    <n v="6"/>
    <n v="2005"/>
    <n v="0"/>
  </r>
  <r>
    <x v="29"/>
    <n v="6"/>
    <n v="2005"/>
    <n v="0"/>
  </r>
  <r>
    <x v="29"/>
    <n v="6"/>
    <n v="2005"/>
    <n v="1.1169550173010379"/>
  </r>
  <r>
    <x v="29"/>
    <n v="6"/>
    <n v="2005"/>
    <n v="0"/>
  </r>
  <r>
    <x v="29"/>
    <n v="6"/>
    <n v="2005"/>
    <n v="0"/>
  </r>
  <r>
    <x v="29"/>
    <n v="6"/>
    <n v="2005"/>
    <n v="2.1287197231833912"/>
  </r>
  <r>
    <x v="29"/>
    <n v="6"/>
    <n v="2005"/>
    <n v="0.49896193771626302"/>
  </r>
  <r>
    <x v="29"/>
    <n v="6"/>
    <n v="2005"/>
    <n v="0"/>
  </r>
  <r>
    <x v="29"/>
    <n v="6"/>
    <n v="2005"/>
    <n v="0"/>
  </r>
  <r>
    <x v="29"/>
    <n v="6"/>
    <n v="2005"/>
    <n v="0"/>
  </r>
  <r>
    <x v="29"/>
    <n v="6"/>
    <n v="2005"/>
    <n v="1.0332179930795848"/>
  </r>
  <r>
    <x v="29"/>
    <n v="6"/>
    <n v="2005"/>
    <n v="4.8352941176470594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1.9480968858131489"/>
  </r>
  <r>
    <x v="30"/>
    <n v="7"/>
    <n v="2005"/>
    <n v="27.75501730103807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8.9404844290657426"/>
  </r>
  <r>
    <x v="30"/>
    <n v="7"/>
    <n v="2005"/>
    <n v="0"/>
  </r>
  <r>
    <x v="30"/>
    <n v="7"/>
    <n v="2005"/>
    <n v="3.1875432525951561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1.2927335640138409"/>
  </r>
  <r>
    <x v="30"/>
    <n v="7"/>
    <n v="2005"/>
    <n v="1.0948096885813148"/>
  </r>
  <r>
    <x v="30"/>
    <n v="7"/>
    <n v="2005"/>
    <n v="0.50519031141868509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0.40207612456747405"/>
  </r>
  <r>
    <x v="30"/>
    <n v="7"/>
    <n v="2005"/>
    <n v="0"/>
  </r>
  <r>
    <x v="30"/>
    <n v="7"/>
    <n v="2005"/>
    <n v="0"/>
  </r>
  <r>
    <x v="30"/>
    <n v="7"/>
    <n v="2005"/>
    <n v="12.593771626297576"/>
  </r>
  <r>
    <x v="30"/>
    <n v="7"/>
    <n v="2005"/>
    <n v="10.344636678200688"/>
  </r>
  <r>
    <x v="30"/>
    <n v="7"/>
    <n v="2005"/>
    <n v="7.1404844290657445"/>
  </r>
  <r>
    <x v="30"/>
    <n v="7"/>
    <n v="2005"/>
    <n v="0.30103806228373703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3.2013840830449829"/>
  </r>
  <r>
    <x v="31"/>
    <n v="8"/>
    <n v="2005"/>
    <n v="2.2325259515570934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2.1730103806228374"/>
  </r>
  <r>
    <x v="31"/>
    <n v="8"/>
    <n v="2005"/>
    <n v="1.0747404844290658"/>
  </r>
  <r>
    <x v="31"/>
    <n v="8"/>
    <n v="2005"/>
    <n v="5.6553633217993076"/>
  </r>
  <r>
    <x v="31"/>
    <n v="8"/>
    <n v="2005"/>
    <n v="4.9224913494809694"/>
  </r>
  <r>
    <x v="31"/>
    <n v="8"/>
    <n v="2005"/>
    <n v="4.2505190311418684"/>
  </r>
  <r>
    <x v="31"/>
    <n v="8"/>
    <n v="2005"/>
    <n v="0.78892733564013851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0.87128027681660902"/>
  </r>
  <r>
    <x v="31"/>
    <n v="8"/>
    <n v="2005"/>
    <n v="0.84498269896193756"/>
  </r>
  <r>
    <x v="31"/>
    <n v="8"/>
    <n v="2005"/>
    <n v="1.1944636678200693"/>
  </r>
  <r>
    <x v="31"/>
    <n v="8"/>
    <n v="2005"/>
    <n v="5.341868512110727"/>
  </r>
  <r>
    <x v="31"/>
    <n v="8"/>
    <n v="2005"/>
    <n v="2.0484429065743948"/>
  </r>
  <r>
    <x v="31"/>
    <n v="8"/>
    <n v="2005"/>
    <n v="1.3204152249134951"/>
  </r>
  <r>
    <x v="31"/>
    <n v="8"/>
    <n v="2005"/>
    <n v="0"/>
  </r>
  <r>
    <x v="31"/>
    <n v="8"/>
    <n v="2005"/>
    <n v="0.41107266435986162"/>
  </r>
  <r>
    <x v="31"/>
    <n v="8"/>
    <n v="2005"/>
    <n v="0.59723183391003465"/>
  </r>
  <r>
    <x v="31"/>
    <n v="8"/>
    <n v="2005"/>
    <n v="0"/>
  </r>
  <r>
    <x v="31"/>
    <n v="8"/>
    <n v="2005"/>
    <n v="4.5605536332179932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0.88927335640138405"/>
  </r>
  <r>
    <x v="32"/>
    <n v="9"/>
    <n v="2005"/>
    <n v="33.130103806228369"/>
  </r>
  <r>
    <x v="32"/>
    <n v="9"/>
    <n v="2005"/>
    <n v="3.3280276816608998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1.6546712802768164"/>
  </r>
  <r>
    <x v="32"/>
    <n v="9"/>
    <n v="2005"/>
    <n v="8.2242214532871962"/>
  </r>
  <r>
    <x v="32"/>
    <n v="9"/>
    <n v="2005"/>
    <n v="1.2865051903114189"/>
  </r>
  <r>
    <x v="32"/>
    <n v="9"/>
    <n v="2005"/>
    <n v="2.586851211072664"/>
  </r>
  <r>
    <x v="32"/>
    <n v="9"/>
    <n v="2005"/>
    <n v="0"/>
  </r>
  <r>
    <x v="32"/>
    <n v="9"/>
    <n v="2005"/>
    <n v="0"/>
  </r>
  <r>
    <x v="32"/>
    <n v="9"/>
    <n v="2005"/>
    <n v="0.22006920415224912"/>
  </r>
  <r>
    <x v="32"/>
    <n v="9"/>
    <n v="2005"/>
    <n v="0"/>
  </r>
  <r>
    <x v="32"/>
    <n v="9"/>
    <n v="2005"/>
    <n v="0"/>
  </r>
  <r>
    <x v="32"/>
    <n v="9"/>
    <n v="2005"/>
    <n v="0.86643598615916961"/>
  </r>
  <r>
    <x v="32"/>
    <n v="9"/>
    <n v="2005"/>
    <n v="0"/>
  </r>
  <r>
    <x v="32"/>
    <n v="9"/>
    <n v="2005"/>
    <n v="0.98131487889273361"/>
  </r>
  <r>
    <x v="32"/>
    <n v="9"/>
    <n v="2005"/>
    <n v="2.4878892733564011"/>
  </r>
  <r>
    <x v="32"/>
    <n v="9"/>
    <n v="2005"/>
    <n v="0.67820069204152245"/>
  </r>
  <r>
    <x v="32"/>
    <n v="9"/>
    <n v="2005"/>
    <n v="7.155017301038062"/>
  </r>
  <r>
    <x v="32"/>
    <n v="9"/>
    <n v="2005"/>
    <n v="1.3474048442906574"/>
  </r>
  <r>
    <x v="32"/>
    <n v="9"/>
    <n v="2005"/>
    <n v="1.4871972318339104"/>
  </r>
  <r>
    <x v="33"/>
    <n v="10"/>
    <n v="2005"/>
    <n v="1.2415224913494809"/>
  </r>
  <r>
    <x v="33"/>
    <n v="10"/>
    <n v="2005"/>
    <n v="0"/>
  </r>
  <r>
    <x v="33"/>
    <n v="10"/>
    <n v="2005"/>
    <n v="0"/>
  </r>
  <r>
    <x v="33"/>
    <n v="10"/>
    <n v="2005"/>
    <n v="0"/>
  </r>
  <r>
    <x v="33"/>
    <n v="10"/>
    <n v="2005"/>
    <n v="0"/>
  </r>
  <r>
    <x v="33"/>
    <n v="10"/>
    <n v="2005"/>
    <n v="0"/>
  </r>
  <r>
    <x v="33"/>
    <n v="10"/>
    <n v="2005"/>
    <n v="0"/>
  </r>
  <r>
    <x v="33"/>
    <n v="10"/>
    <n v="2005"/>
    <n v="0.33010380622837371"/>
  </r>
  <r>
    <x v="33"/>
    <n v="10"/>
    <n v="2005"/>
    <n v="0"/>
  </r>
  <r>
    <x v="33"/>
    <n v="10"/>
    <n v="2005"/>
    <n v="0.43114186851211073"/>
  </r>
  <r>
    <x v="33"/>
    <n v="10"/>
    <n v="2005"/>
    <n v="11.889965397923877"/>
  </r>
  <r>
    <x v="33"/>
    <n v="10"/>
    <n v="2005"/>
    <n v="21.100346020761247"/>
  </r>
  <r>
    <x v="33"/>
    <n v="10"/>
    <n v="2005"/>
    <n v="0.33494809688581317"/>
  </r>
  <r>
    <x v="33"/>
    <n v="10"/>
    <n v="2005"/>
    <n v="0"/>
  </r>
  <r>
    <x v="33"/>
    <n v="10"/>
    <n v="2005"/>
    <n v="0.37716262975778547"/>
  </r>
  <r>
    <x v="33"/>
    <n v="10"/>
    <n v="2005"/>
    <n v="0"/>
  </r>
  <r>
    <x v="33"/>
    <n v="10"/>
    <n v="2005"/>
    <n v="0"/>
  </r>
  <r>
    <x v="33"/>
    <n v="10"/>
    <n v="2005"/>
    <n v="0"/>
  </r>
  <r>
    <x v="33"/>
    <n v="10"/>
    <n v="2005"/>
    <n v="4.0989619377162629"/>
  </r>
  <r>
    <x v="33"/>
    <n v="10"/>
    <n v="2005"/>
    <n v="0.2179930795847751"/>
  </r>
  <r>
    <x v="33"/>
    <n v="10"/>
    <n v="2005"/>
    <n v="12.186159169550171"/>
  </r>
  <r>
    <x v="33"/>
    <n v="10"/>
    <n v="2005"/>
    <n v="11.166782006920414"/>
  </r>
  <r>
    <x v="33"/>
    <n v="10"/>
    <n v="2005"/>
    <n v="0"/>
  </r>
  <r>
    <x v="33"/>
    <n v="10"/>
    <n v="2005"/>
    <n v="31.042906574394465"/>
  </r>
  <r>
    <x v="33"/>
    <n v="10"/>
    <n v="2005"/>
    <n v="11.143252595155708"/>
  </r>
  <r>
    <x v="33"/>
    <n v="10"/>
    <n v="2005"/>
    <n v="2.9930795847750868"/>
  </r>
  <r>
    <x v="33"/>
    <n v="10"/>
    <n v="2005"/>
    <n v="0"/>
  </r>
  <r>
    <x v="33"/>
    <n v="10"/>
    <n v="2005"/>
    <n v="0.4830449826989619"/>
  </r>
  <r>
    <x v="33"/>
    <n v="10"/>
    <n v="2005"/>
    <n v="0.29411764705882348"/>
  </r>
  <r>
    <x v="33"/>
    <n v="10"/>
    <n v="2005"/>
    <n v="3.1100346020761247"/>
  </r>
  <r>
    <x v="33"/>
    <n v="10"/>
    <n v="2005"/>
    <n v="0.51211072664359858"/>
  </r>
  <r>
    <x v="34"/>
    <n v="11"/>
    <n v="2005"/>
    <n v="0.87404844290657457"/>
  </r>
  <r>
    <x v="34"/>
    <n v="11"/>
    <n v="2005"/>
    <n v="11.366089965397926"/>
  </r>
  <r>
    <x v="34"/>
    <n v="11"/>
    <n v="2005"/>
    <n v="3.7418685121107269"/>
  </r>
  <r>
    <x v="34"/>
    <n v="11"/>
    <n v="2005"/>
    <n v="3.5930795847750865"/>
  </r>
  <r>
    <x v="34"/>
    <n v="11"/>
    <n v="2005"/>
    <n v="0.86920415224913494"/>
  </r>
  <r>
    <x v="34"/>
    <n v="11"/>
    <n v="2005"/>
    <n v="6.2221453287197228"/>
  </r>
  <r>
    <x v="34"/>
    <n v="11"/>
    <n v="2005"/>
    <n v="1.3813148788927336"/>
  </r>
  <r>
    <x v="34"/>
    <n v="11"/>
    <n v="2005"/>
    <n v="12.206920415224912"/>
  </r>
  <r>
    <x v="34"/>
    <n v="11"/>
    <n v="2005"/>
    <n v="0"/>
  </r>
  <r>
    <x v="34"/>
    <n v="11"/>
    <n v="2005"/>
    <n v="2.2048442906574395"/>
  </r>
  <r>
    <x v="34"/>
    <n v="11"/>
    <n v="2005"/>
    <n v="4.0394463667820073"/>
  </r>
  <r>
    <x v="34"/>
    <n v="11"/>
    <n v="2005"/>
    <n v="1.3972318339100345"/>
  </r>
  <r>
    <x v="34"/>
    <n v="11"/>
    <n v="2005"/>
    <n v="0"/>
  </r>
  <r>
    <x v="34"/>
    <n v="11"/>
    <n v="2005"/>
    <n v="0"/>
  </r>
  <r>
    <x v="34"/>
    <n v="11"/>
    <n v="2005"/>
    <n v="0.33010380622837371"/>
  </r>
  <r>
    <x v="34"/>
    <n v="11"/>
    <n v="2005"/>
    <n v="1.7619377162629757"/>
  </r>
  <r>
    <x v="34"/>
    <n v="11"/>
    <n v="2005"/>
    <n v="0"/>
  </r>
  <r>
    <x v="34"/>
    <n v="11"/>
    <n v="2005"/>
    <n v="0"/>
  </r>
  <r>
    <x v="34"/>
    <n v="11"/>
    <n v="2005"/>
    <n v="0"/>
  </r>
  <r>
    <x v="34"/>
    <n v="11"/>
    <n v="2005"/>
    <n v="0"/>
  </r>
  <r>
    <x v="34"/>
    <n v="11"/>
    <n v="2005"/>
    <n v="0"/>
  </r>
  <r>
    <x v="34"/>
    <n v="11"/>
    <n v="2005"/>
    <n v="0"/>
  </r>
  <r>
    <x v="34"/>
    <n v="11"/>
    <n v="2005"/>
    <n v="0.25813148788927337"/>
  </r>
  <r>
    <x v="34"/>
    <n v="11"/>
    <n v="2005"/>
    <n v="0"/>
  </r>
  <r>
    <x v="34"/>
    <n v="11"/>
    <n v="2005"/>
    <n v="4.1564013840830452"/>
  </r>
  <r>
    <x v="34"/>
    <n v="11"/>
    <n v="2005"/>
    <n v="8.1785467128027669"/>
  </r>
  <r>
    <x v="34"/>
    <n v="11"/>
    <n v="2005"/>
    <n v="20.596539792387542"/>
  </r>
  <r>
    <x v="34"/>
    <n v="11"/>
    <n v="2005"/>
    <n v="2.2249134948096883"/>
  </r>
  <r>
    <x v="34"/>
    <n v="11"/>
    <n v="2005"/>
    <n v="0"/>
  </r>
  <r>
    <x v="34"/>
    <n v="11"/>
    <n v="2005"/>
    <n v="0.38615916955017304"/>
  </r>
  <r>
    <x v="35"/>
    <n v="12"/>
    <n v="2005"/>
    <n v="0"/>
  </r>
  <r>
    <x v="35"/>
    <n v="12"/>
    <n v="2005"/>
    <n v="3.0539792387543252"/>
  </r>
  <r>
    <x v="35"/>
    <n v="12"/>
    <n v="2005"/>
    <n v="9.8290657439446356"/>
  </r>
  <r>
    <x v="35"/>
    <n v="12"/>
    <n v="2005"/>
    <n v="1.5564013840830451"/>
  </r>
  <r>
    <x v="35"/>
    <n v="12"/>
    <n v="2005"/>
    <n v="0.65259515570934257"/>
  </r>
  <r>
    <x v="35"/>
    <n v="12"/>
    <n v="2005"/>
    <n v="8.1162629757785467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.3217993079584775"/>
  </r>
  <r>
    <x v="35"/>
    <n v="12"/>
    <n v="2005"/>
    <n v="1.0692041522491351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2.2131487889273358"/>
  </r>
  <r>
    <x v="35"/>
    <n v="12"/>
    <n v="2005"/>
    <n v="0.5321799307958478"/>
  </r>
  <r>
    <x v="35"/>
    <n v="12"/>
    <n v="2005"/>
    <n v="0"/>
  </r>
  <r>
    <x v="35"/>
    <n v="12"/>
    <n v="2005"/>
    <n v="0.43183391003460203"/>
  </r>
  <r>
    <x v="35"/>
    <n v="12"/>
    <n v="2005"/>
    <n v="1.6110726643598616"/>
  </r>
  <r>
    <x v="35"/>
    <n v="12"/>
    <n v="2005"/>
    <n v="0.82629757785467128"/>
  </r>
  <r>
    <x v="35"/>
    <n v="12"/>
    <n v="2005"/>
    <n v="0"/>
  </r>
  <r>
    <x v="35"/>
    <n v="12"/>
    <n v="2005"/>
    <n v="0"/>
  </r>
  <r>
    <x v="35"/>
    <n v="12"/>
    <n v="2005"/>
    <n v="4.0463667820069205"/>
  </r>
  <r>
    <x v="35"/>
    <n v="12"/>
    <n v="2005"/>
    <n v="12.957093425605537"/>
  </r>
  <r>
    <x v="36"/>
    <n v="1"/>
    <n v="2006"/>
    <n v="0.24982698961937716"/>
  </r>
  <r>
    <x v="36"/>
    <n v="1"/>
    <n v="2006"/>
    <n v="0"/>
  </r>
  <r>
    <x v="36"/>
    <n v="1"/>
    <n v="2006"/>
    <n v="0.42214532871972321"/>
  </r>
  <r>
    <x v="36"/>
    <n v="1"/>
    <n v="2006"/>
    <n v="0"/>
  </r>
  <r>
    <x v="36"/>
    <n v="1"/>
    <n v="2006"/>
    <n v="0.33148788927335637"/>
  </r>
  <r>
    <x v="36"/>
    <n v="1"/>
    <n v="2006"/>
    <n v="1.6200692041522489"/>
  </r>
  <r>
    <x v="36"/>
    <n v="1"/>
    <n v="2006"/>
    <n v="1.597923875432526"/>
  </r>
  <r>
    <x v="36"/>
    <n v="1"/>
    <n v="2006"/>
    <n v="0.31695501730103809"/>
  </r>
  <r>
    <x v="36"/>
    <n v="1"/>
    <n v="2006"/>
    <n v="0"/>
  </r>
  <r>
    <x v="36"/>
    <n v="1"/>
    <n v="2006"/>
    <n v="1.2782006920415228"/>
  </r>
  <r>
    <x v="36"/>
    <n v="1"/>
    <n v="2006"/>
    <n v="4.800692041522491"/>
  </r>
  <r>
    <x v="36"/>
    <n v="1"/>
    <n v="2006"/>
    <n v="0"/>
  </r>
  <r>
    <x v="36"/>
    <n v="1"/>
    <n v="2006"/>
    <n v="0"/>
  </r>
  <r>
    <x v="36"/>
    <n v="1"/>
    <n v="2006"/>
    <n v="0.53010380622837383"/>
  </r>
  <r>
    <x v="36"/>
    <n v="1"/>
    <n v="2006"/>
    <n v="0.72318339100346019"/>
  </r>
  <r>
    <x v="36"/>
    <n v="1"/>
    <n v="2006"/>
    <n v="1.1051903114186852"/>
  </r>
  <r>
    <x v="36"/>
    <n v="1"/>
    <n v="2006"/>
    <n v="0.31903114186851211"/>
  </r>
  <r>
    <x v="36"/>
    <n v="1"/>
    <n v="2006"/>
    <n v="5.4228373702422141"/>
  </r>
  <r>
    <x v="36"/>
    <n v="1"/>
    <n v="2006"/>
    <n v="1.2242214532871973"/>
  </r>
  <r>
    <x v="36"/>
    <n v="1"/>
    <n v="2006"/>
    <n v="3.0899653979238755"/>
  </r>
  <r>
    <x v="36"/>
    <n v="1"/>
    <n v="2006"/>
    <n v="0"/>
  </r>
  <r>
    <x v="36"/>
    <n v="1"/>
    <n v="2006"/>
    <n v="0"/>
  </r>
  <r>
    <x v="36"/>
    <n v="1"/>
    <n v="2006"/>
    <n v="0"/>
  </r>
  <r>
    <x v="36"/>
    <n v="1"/>
    <n v="2006"/>
    <n v="0.21107266435986161"/>
  </r>
  <r>
    <x v="36"/>
    <n v="1"/>
    <n v="2006"/>
    <n v="0.56608996539792389"/>
  </r>
  <r>
    <x v="36"/>
    <n v="1"/>
    <n v="2006"/>
    <n v="0"/>
  </r>
  <r>
    <x v="36"/>
    <n v="1"/>
    <n v="2006"/>
    <n v="2.1501730103806231"/>
  </r>
  <r>
    <x v="36"/>
    <n v="1"/>
    <n v="2006"/>
    <n v="0.43183391003460209"/>
  </r>
  <r>
    <x v="36"/>
    <n v="1"/>
    <n v="2006"/>
    <n v="0"/>
  </r>
  <r>
    <x v="36"/>
    <n v="1"/>
    <n v="2006"/>
    <n v="0"/>
  </r>
  <r>
    <x v="36"/>
    <n v="1"/>
    <n v="2006"/>
    <n v="0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2.1536332179930797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1.47681660899654"/>
  </r>
  <r>
    <x v="37"/>
    <n v="2"/>
    <n v="2006"/>
    <n v="0"/>
  </r>
  <r>
    <x v="37"/>
    <n v="2"/>
    <n v="2006"/>
    <n v="4.8643598615916952"/>
  </r>
  <r>
    <x v="37"/>
    <n v="2"/>
    <n v="2006"/>
    <n v="5.8782006920415224"/>
  </r>
  <r>
    <x v="37"/>
    <n v="2"/>
    <n v="2006"/>
    <n v="1.8671280276816613"/>
  </r>
  <r>
    <x v="37"/>
    <n v="2"/>
    <n v="2006"/>
    <n v="0.55294117647058816"/>
  </r>
  <r>
    <x v="37"/>
    <n v="2"/>
    <n v="2006"/>
    <n v="0.21107266435986161"/>
  </r>
  <r>
    <x v="37"/>
    <n v="2"/>
    <n v="2006"/>
    <n v="0.82006920415224904"/>
  </r>
  <r>
    <x v="37"/>
    <n v="2"/>
    <n v="2006"/>
    <n v="3.4173010380622846"/>
  </r>
  <r>
    <x v="37"/>
    <n v="2"/>
    <n v="2006"/>
    <n v="5.8055363321799316"/>
  </r>
  <r>
    <x v="37"/>
    <n v="2"/>
    <n v="2006"/>
    <n v="0.36608996539792388"/>
  </r>
  <r>
    <x v="37"/>
    <n v="2"/>
    <n v="2006"/>
    <n v="7.5183391003460205"/>
  </r>
  <r>
    <x v="37"/>
    <n v="2"/>
    <n v="2006"/>
    <n v="1.8955017301038062"/>
  </r>
  <r>
    <x v="37"/>
    <n v="2"/>
    <n v="2006"/>
    <n v="0.91211072664359849"/>
  </r>
  <r>
    <x v="37"/>
    <n v="2"/>
    <n v="2006"/>
    <n v="0.9916955017301039"/>
  </r>
  <r>
    <x v="37"/>
    <n v="2"/>
    <n v="2006"/>
    <n v="2.4463667820069204"/>
  </r>
  <r>
    <x v="37"/>
    <n v="2"/>
    <n v="2006"/>
    <n v="0"/>
  </r>
  <r>
    <x v="38"/>
    <n v="3"/>
    <n v="2006"/>
    <n v="0"/>
  </r>
  <r>
    <x v="38"/>
    <n v="3"/>
    <n v="2006"/>
    <n v="0"/>
  </r>
  <r>
    <x v="38"/>
    <n v="3"/>
    <n v="2006"/>
    <n v="0"/>
  </r>
  <r>
    <x v="38"/>
    <n v="3"/>
    <n v="2006"/>
    <n v="1.5301038062283736"/>
  </r>
  <r>
    <x v="38"/>
    <n v="3"/>
    <n v="2006"/>
    <n v="0"/>
  </r>
  <r>
    <x v="38"/>
    <n v="3"/>
    <n v="2006"/>
    <n v="0"/>
  </r>
  <r>
    <x v="38"/>
    <n v="3"/>
    <n v="2006"/>
    <n v="2.1391003460207614"/>
  </r>
  <r>
    <x v="38"/>
    <n v="3"/>
    <n v="2006"/>
    <n v="2.071280276816609"/>
  </r>
  <r>
    <x v="38"/>
    <n v="3"/>
    <n v="2006"/>
    <n v="4.8145328719723182"/>
  </r>
  <r>
    <x v="38"/>
    <n v="3"/>
    <n v="2006"/>
    <n v="8.5003460207612438"/>
  </r>
  <r>
    <x v="38"/>
    <n v="3"/>
    <n v="2006"/>
    <n v="1.5356401384083047"/>
  </r>
  <r>
    <x v="38"/>
    <n v="3"/>
    <n v="2006"/>
    <n v="1.8498269896193773"/>
  </r>
  <r>
    <x v="38"/>
    <n v="3"/>
    <n v="2006"/>
    <n v="6.6359861591695495"/>
  </r>
  <r>
    <x v="38"/>
    <n v="3"/>
    <n v="2006"/>
    <n v="9.98892733564014"/>
  </r>
  <r>
    <x v="38"/>
    <n v="3"/>
    <n v="2006"/>
    <n v="2.8837370242214533"/>
  </r>
  <r>
    <x v="38"/>
    <n v="3"/>
    <n v="2006"/>
    <n v="3.3307958477508652"/>
  </r>
  <r>
    <x v="38"/>
    <n v="3"/>
    <n v="2006"/>
    <n v="0"/>
  </r>
  <r>
    <x v="38"/>
    <n v="3"/>
    <n v="2006"/>
    <n v="0"/>
  </r>
  <r>
    <x v="38"/>
    <n v="3"/>
    <n v="2006"/>
    <n v="0.43598615916955019"/>
  </r>
  <r>
    <x v="38"/>
    <n v="3"/>
    <n v="2006"/>
    <n v="2.3474048442906579"/>
  </r>
  <r>
    <x v="38"/>
    <n v="3"/>
    <n v="2006"/>
    <n v="0.40899653979238748"/>
  </r>
  <r>
    <x v="38"/>
    <n v="3"/>
    <n v="2006"/>
    <n v="0"/>
  </r>
  <r>
    <x v="38"/>
    <n v="3"/>
    <n v="2006"/>
    <n v="0"/>
  </r>
  <r>
    <x v="38"/>
    <n v="3"/>
    <n v="2006"/>
    <n v="6.6089965397923871"/>
  </r>
  <r>
    <x v="38"/>
    <n v="3"/>
    <n v="2006"/>
    <n v="11.016608996539791"/>
  </r>
  <r>
    <x v="38"/>
    <n v="3"/>
    <n v="2006"/>
    <n v="10.323875432525949"/>
  </r>
  <r>
    <x v="38"/>
    <n v="3"/>
    <n v="2006"/>
    <n v="1.9038062283737025"/>
  </r>
  <r>
    <x v="38"/>
    <n v="3"/>
    <n v="2006"/>
    <n v="4.5384083044982706"/>
  </r>
  <r>
    <x v="38"/>
    <n v="3"/>
    <n v="2006"/>
    <n v="0"/>
  </r>
  <r>
    <x v="38"/>
    <n v="3"/>
    <n v="2006"/>
    <n v="14.319723183391003"/>
  </r>
  <r>
    <x v="38"/>
    <n v="3"/>
    <n v="2006"/>
    <n v="11.602768166089964"/>
  </r>
  <r>
    <x v="39"/>
    <n v="4"/>
    <n v="2006"/>
    <n v="5.9453287197231841"/>
  </r>
  <r>
    <x v="39"/>
    <n v="4"/>
    <n v="2006"/>
    <n v="2.0262975778546717"/>
  </r>
  <r>
    <x v="39"/>
    <n v="4"/>
    <n v="2006"/>
    <n v="3.4304498269896193"/>
  </r>
  <r>
    <x v="39"/>
    <n v="4"/>
    <n v="2006"/>
    <n v="0"/>
  </r>
  <r>
    <x v="39"/>
    <n v="4"/>
    <n v="2006"/>
    <n v="0"/>
  </r>
  <r>
    <x v="39"/>
    <n v="4"/>
    <n v="2006"/>
    <n v="0.33010380622837371"/>
  </r>
  <r>
    <x v="39"/>
    <n v="4"/>
    <n v="2006"/>
    <n v="3.0851211072664362"/>
  </r>
  <r>
    <x v="39"/>
    <n v="4"/>
    <n v="2006"/>
    <n v="3.3245674740484428"/>
  </r>
  <r>
    <x v="39"/>
    <n v="4"/>
    <n v="2006"/>
    <n v="0.76124567474048432"/>
  </r>
  <r>
    <x v="39"/>
    <n v="4"/>
    <n v="2006"/>
    <n v="0"/>
  </r>
  <r>
    <x v="39"/>
    <n v="4"/>
    <n v="2006"/>
    <n v="1.3771626297577859"/>
  </r>
  <r>
    <x v="39"/>
    <n v="4"/>
    <n v="2006"/>
    <n v="0.97716262975778556"/>
  </r>
  <r>
    <x v="39"/>
    <n v="4"/>
    <n v="2006"/>
    <n v="0.67820069204152245"/>
  </r>
  <r>
    <x v="39"/>
    <n v="4"/>
    <n v="2006"/>
    <n v="0"/>
  </r>
  <r>
    <x v="39"/>
    <n v="4"/>
    <n v="2006"/>
    <n v="0"/>
  </r>
  <r>
    <x v="39"/>
    <n v="4"/>
    <n v="2006"/>
    <n v="0"/>
  </r>
  <r>
    <x v="39"/>
    <n v="4"/>
    <n v="2006"/>
    <n v="0.34809688581314879"/>
  </r>
  <r>
    <x v="39"/>
    <n v="4"/>
    <n v="2006"/>
    <n v="0.61522491349480968"/>
  </r>
  <r>
    <x v="39"/>
    <n v="4"/>
    <n v="2006"/>
    <n v="1.2705882352941176"/>
  </r>
  <r>
    <x v="39"/>
    <n v="4"/>
    <n v="2006"/>
    <n v="0.64221453287197239"/>
  </r>
  <r>
    <x v="39"/>
    <n v="4"/>
    <n v="2006"/>
    <n v="0.48373702422145332"/>
  </r>
  <r>
    <x v="39"/>
    <n v="4"/>
    <n v="2006"/>
    <n v="0"/>
  </r>
  <r>
    <x v="39"/>
    <n v="4"/>
    <n v="2006"/>
    <n v="0"/>
  </r>
  <r>
    <x v="39"/>
    <n v="4"/>
    <n v="2006"/>
    <n v="0"/>
  </r>
  <r>
    <x v="39"/>
    <n v="4"/>
    <n v="2006"/>
    <n v="0.43598615916955014"/>
  </r>
  <r>
    <x v="39"/>
    <n v="4"/>
    <n v="2006"/>
    <n v="0"/>
  </r>
  <r>
    <x v="39"/>
    <n v="4"/>
    <n v="2006"/>
    <n v="0"/>
  </r>
  <r>
    <x v="39"/>
    <n v="4"/>
    <n v="2006"/>
    <n v="0"/>
  </r>
  <r>
    <x v="39"/>
    <n v="4"/>
    <n v="2006"/>
    <n v="0"/>
  </r>
  <r>
    <x v="39"/>
    <n v="4"/>
    <n v="2006"/>
    <n v="0.3259515570934256"/>
  </r>
  <r>
    <x v="40"/>
    <n v="5"/>
    <n v="2006"/>
    <n v="4.415916955017301"/>
  </r>
  <r>
    <x v="40"/>
    <n v="5"/>
    <n v="2006"/>
    <n v="0"/>
  </r>
  <r>
    <x v="40"/>
    <n v="5"/>
    <n v="2006"/>
    <n v="0"/>
  </r>
  <r>
    <x v="40"/>
    <n v="5"/>
    <n v="2006"/>
    <n v="0"/>
  </r>
  <r>
    <x v="40"/>
    <n v="5"/>
    <n v="2006"/>
    <n v="0"/>
  </r>
  <r>
    <x v="40"/>
    <n v="5"/>
    <n v="2006"/>
    <n v="7.0934256055363321"/>
  </r>
  <r>
    <x v="40"/>
    <n v="5"/>
    <n v="2006"/>
    <n v="4.6484429065743953"/>
  </r>
  <r>
    <x v="40"/>
    <n v="5"/>
    <n v="2006"/>
    <n v="0.48996539792387539"/>
  </r>
  <r>
    <x v="40"/>
    <n v="5"/>
    <n v="2006"/>
    <n v="0"/>
  </r>
  <r>
    <x v="40"/>
    <n v="5"/>
    <n v="2006"/>
    <n v="0"/>
  </r>
  <r>
    <x v="40"/>
    <n v="5"/>
    <n v="2006"/>
    <n v="2.0858131487889273"/>
  </r>
  <r>
    <x v="40"/>
    <n v="5"/>
    <n v="2006"/>
    <n v="3.9197231833910031"/>
  </r>
  <r>
    <x v="40"/>
    <n v="5"/>
    <n v="2006"/>
    <n v="0"/>
  </r>
  <r>
    <x v="40"/>
    <n v="5"/>
    <n v="2006"/>
    <n v="10.022145328719724"/>
  </r>
  <r>
    <x v="40"/>
    <n v="5"/>
    <n v="2006"/>
    <n v="12.029065743944637"/>
  </r>
  <r>
    <x v="40"/>
    <n v="5"/>
    <n v="2006"/>
    <n v="1.3529411764705885"/>
  </r>
  <r>
    <x v="40"/>
    <n v="5"/>
    <n v="2006"/>
    <n v="9.181314878892735"/>
  </r>
  <r>
    <x v="40"/>
    <n v="5"/>
    <n v="2006"/>
    <n v="0.25813148788927337"/>
  </r>
  <r>
    <x v="40"/>
    <n v="5"/>
    <n v="2006"/>
    <n v="1.4415224913494811"/>
  </r>
  <r>
    <x v="40"/>
    <n v="5"/>
    <n v="2006"/>
    <n v="0.75224913494809698"/>
  </r>
  <r>
    <x v="40"/>
    <n v="5"/>
    <n v="2006"/>
    <n v="14.226989619377163"/>
  </r>
  <r>
    <x v="40"/>
    <n v="5"/>
    <n v="2006"/>
    <n v="3.2276816608996546"/>
  </r>
  <r>
    <x v="40"/>
    <n v="5"/>
    <n v="2006"/>
    <n v="0.52595155709342567"/>
  </r>
  <r>
    <x v="40"/>
    <n v="5"/>
    <n v="2006"/>
    <n v="0.9813148788927335"/>
  </r>
  <r>
    <x v="40"/>
    <n v="5"/>
    <n v="2006"/>
    <n v="0"/>
  </r>
  <r>
    <x v="40"/>
    <n v="5"/>
    <n v="2006"/>
    <n v="3.0657439446366777"/>
  </r>
  <r>
    <x v="40"/>
    <n v="5"/>
    <n v="2006"/>
    <n v="0"/>
  </r>
  <r>
    <x v="40"/>
    <n v="5"/>
    <n v="2006"/>
    <n v="0"/>
  </r>
  <r>
    <x v="40"/>
    <n v="5"/>
    <n v="2006"/>
    <n v="0.52318339100346023"/>
  </r>
  <r>
    <x v="40"/>
    <n v="5"/>
    <n v="2006"/>
    <n v="0"/>
  </r>
  <r>
    <x v="40"/>
    <n v="5"/>
    <n v="2006"/>
    <n v="0"/>
  </r>
  <r>
    <x v="41"/>
    <n v="6"/>
    <n v="2006"/>
    <n v="1.8913494809688582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4.4885813148788936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1.3058823529411765"/>
  </r>
  <r>
    <x v="41"/>
    <n v="6"/>
    <n v="2006"/>
    <n v="5.5273356401384088"/>
  </r>
  <r>
    <x v="41"/>
    <n v="6"/>
    <n v="2006"/>
    <n v="0.59515570934256068"/>
  </r>
  <r>
    <x v="41"/>
    <n v="6"/>
    <n v="2006"/>
    <n v="2.5536332179930796"/>
  </r>
  <r>
    <x v="41"/>
    <n v="6"/>
    <n v="2006"/>
    <n v="0.39515570934256061"/>
  </r>
  <r>
    <x v="41"/>
    <n v="6"/>
    <n v="2006"/>
    <n v="0.2491349480968858"/>
  </r>
  <r>
    <x v="41"/>
    <n v="6"/>
    <n v="2006"/>
    <n v="0"/>
  </r>
  <r>
    <x v="41"/>
    <n v="6"/>
    <n v="2006"/>
    <n v="1.1515570934256054"/>
  </r>
  <r>
    <x v="41"/>
    <n v="6"/>
    <n v="2006"/>
    <n v="2.4581314878892733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.20207612456747406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.20207612456747404"/>
  </r>
  <r>
    <x v="42"/>
    <n v="7"/>
    <n v="2006"/>
    <n v="1.9965397923875434"/>
  </r>
  <r>
    <x v="42"/>
    <n v="7"/>
    <n v="2006"/>
    <n v="3.307266435986159"/>
  </r>
  <r>
    <x v="42"/>
    <n v="7"/>
    <n v="2006"/>
    <n v="0.29411764705882354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4.1391003460207614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2.3128027681660899"/>
  </r>
  <r>
    <x v="42"/>
    <n v="7"/>
    <n v="2006"/>
    <n v="1.5086505190311419"/>
  </r>
  <r>
    <x v="42"/>
    <n v="7"/>
    <n v="2006"/>
    <n v="4.6629757785467127"/>
  </r>
  <r>
    <x v="43"/>
    <n v="8"/>
    <n v="2006"/>
    <n v="6.460207612456748"/>
  </r>
  <r>
    <x v="43"/>
    <n v="8"/>
    <n v="2006"/>
    <n v="13.073356401384082"/>
  </r>
  <r>
    <x v="43"/>
    <n v="8"/>
    <n v="2006"/>
    <n v="0"/>
  </r>
  <r>
    <x v="43"/>
    <n v="8"/>
    <n v="2006"/>
    <n v="0"/>
  </r>
  <r>
    <x v="43"/>
    <n v="8"/>
    <n v="2006"/>
    <n v="0"/>
  </r>
  <r>
    <x v="43"/>
    <n v="8"/>
    <n v="2006"/>
    <n v="2.5709342560553634"/>
  </r>
  <r>
    <x v="43"/>
    <n v="8"/>
    <n v="2006"/>
    <n v="0"/>
  </r>
  <r>
    <x v="43"/>
    <n v="8"/>
    <n v="2006"/>
    <n v="1.1979238754325259"/>
  </r>
  <r>
    <x v="43"/>
    <n v="8"/>
    <n v="2006"/>
    <n v="0"/>
  </r>
  <r>
    <x v="43"/>
    <n v="8"/>
    <n v="2006"/>
    <n v="0.21591695501730104"/>
  </r>
  <r>
    <x v="43"/>
    <n v="8"/>
    <n v="2006"/>
    <n v="0.93010380622837374"/>
  </r>
  <r>
    <x v="43"/>
    <n v="8"/>
    <n v="2006"/>
    <n v="2.2359861591695505"/>
  </r>
  <r>
    <x v="43"/>
    <n v="8"/>
    <n v="2006"/>
    <n v="9.743944636678199"/>
  </r>
  <r>
    <x v="43"/>
    <n v="8"/>
    <n v="2006"/>
    <n v="0.99792387543252592"/>
  </r>
  <r>
    <x v="43"/>
    <n v="8"/>
    <n v="2006"/>
    <n v="0.40415224913494807"/>
  </r>
  <r>
    <x v="43"/>
    <n v="8"/>
    <n v="2006"/>
    <n v="0.80968858131487897"/>
  </r>
  <r>
    <x v="43"/>
    <n v="8"/>
    <n v="2006"/>
    <n v="0.83114186851211069"/>
  </r>
  <r>
    <x v="43"/>
    <n v="8"/>
    <n v="2006"/>
    <n v="23.437370242214534"/>
  </r>
  <r>
    <x v="43"/>
    <n v="8"/>
    <n v="2006"/>
    <n v="1.5854671280276817"/>
  </r>
  <r>
    <x v="43"/>
    <n v="8"/>
    <n v="2006"/>
    <n v="1.0989619377162629"/>
  </r>
  <r>
    <x v="43"/>
    <n v="8"/>
    <n v="2006"/>
    <n v="1.1633217993079585"/>
  </r>
  <r>
    <x v="43"/>
    <n v="8"/>
    <n v="2006"/>
    <n v="0"/>
  </r>
  <r>
    <x v="43"/>
    <n v="8"/>
    <n v="2006"/>
    <n v="3.2311418685121107"/>
  </r>
  <r>
    <x v="43"/>
    <n v="8"/>
    <n v="2006"/>
    <n v="1.4844290657439445"/>
  </r>
  <r>
    <x v="43"/>
    <n v="8"/>
    <n v="2006"/>
    <n v="2.0076124567474047"/>
  </r>
  <r>
    <x v="43"/>
    <n v="8"/>
    <n v="2006"/>
    <n v="0"/>
  </r>
  <r>
    <x v="43"/>
    <n v="8"/>
    <n v="2006"/>
    <n v="0.31903114186851211"/>
  </r>
  <r>
    <x v="43"/>
    <n v="8"/>
    <n v="2006"/>
    <n v="1.0989619377162629"/>
  </r>
  <r>
    <x v="43"/>
    <n v="8"/>
    <n v="2006"/>
    <n v="0.413840830449827"/>
  </r>
  <r>
    <x v="43"/>
    <n v="8"/>
    <n v="2006"/>
    <n v="0"/>
  </r>
  <r>
    <x v="43"/>
    <n v="8"/>
    <n v="2006"/>
    <n v="4.1460207612456754"/>
  </r>
  <r>
    <x v="44"/>
    <n v="9"/>
    <n v="2006"/>
    <n v="2.2698961937716264"/>
  </r>
  <r>
    <x v="44"/>
    <n v="9"/>
    <n v="2006"/>
    <n v="20.175778546712806"/>
  </r>
  <r>
    <x v="44"/>
    <n v="9"/>
    <n v="2006"/>
    <n v="6.1044982698961938"/>
  </r>
  <r>
    <x v="44"/>
    <n v="9"/>
    <n v="2006"/>
    <n v="0"/>
  </r>
  <r>
    <x v="44"/>
    <n v="9"/>
    <n v="2006"/>
    <n v="2.2110726643598619"/>
  </r>
  <r>
    <x v="44"/>
    <n v="9"/>
    <n v="2006"/>
    <n v="0"/>
  </r>
  <r>
    <x v="44"/>
    <n v="9"/>
    <n v="2006"/>
    <n v="0"/>
  </r>
  <r>
    <x v="44"/>
    <n v="9"/>
    <n v="2006"/>
    <n v="0"/>
  </r>
  <r>
    <x v="44"/>
    <n v="9"/>
    <n v="2006"/>
    <n v="0"/>
  </r>
  <r>
    <x v="44"/>
    <n v="9"/>
    <n v="2006"/>
    <n v="0"/>
  </r>
  <r>
    <x v="44"/>
    <n v="9"/>
    <n v="2006"/>
    <n v="1.0352941176470589"/>
  </r>
  <r>
    <x v="44"/>
    <n v="9"/>
    <n v="2006"/>
    <n v="0"/>
  </r>
  <r>
    <x v="44"/>
    <n v="9"/>
    <n v="2006"/>
    <n v="0"/>
  </r>
  <r>
    <x v="44"/>
    <n v="9"/>
    <n v="2006"/>
    <n v="14.834602076124568"/>
  </r>
  <r>
    <x v="44"/>
    <n v="9"/>
    <n v="2006"/>
    <n v="0"/>
  </r>
  <r>
    <x v="44"/>
    <n v="9"/>
    <n v="2006"/>
    <n v="0"/>
  </r>
  <r>
    <x v="44"/>
    <n v="9"/>
    <n v="2006"/>
    <n v="0"/>
  </r>
  <r>
    <x v="44"/>
    <n v="9"/>
    <n v="2006"/>
    <n v="3.962629757785467"/>
  </r>
  <r>
    <x v="44"/>
    <n v="9"/>
    <n v="2006"/>
    <n v="0.22006920415224915"/>
  </r>
  <r>
    <x v="44"/>
    <n v="9"/>
    <n v="2006"/>
    <n v="0"/>
  </r>
  <r>
    <x v="44"/>
    <n v="9"/>
    <n v="2006"/>
    <n v="0"/>
  </r>
  <r>
    <x v="44"/>
    <n v="9"/>
    <n v="2006"/>
    <n v="4.7301038062283736"/>
  </r>
  <r>
    <x v="44"/>
    <n v="9"/>
    <n v="2006"/>
    <n v="0"/>
  </r>
  <r>
    <x v="44"/>
    <n v="9"/>
    <n v="2006"/>
    <n v="8.9217993079584765"/>
  </r>
  <r>
    <x v="44"/>
    <n v="9"/>
    <n v="2006"/>
    <n v="0"/>
  </r>
  <r>
    <x v="44"/>
    <n v="9"/>
    <n v="2006"/>
    <n v="0"/>
  </r>
  <r>
    <x v="44"/>
    <n v="9"/>
    <n v="2006"/>
    <n v="1.9647058823529413"/>
  </r>
  <r>
    <x v="44"/>
    <n v="9"/>
    <n v="2006"/>
    <n v="0.61107266435986163"/>
  </r>
  <r>
    <x v="44"/>
    <n v="9"/>
    <n v="2006"/>
    <n v="2.1640138408304495"/>
  </r>
  <r>
    <x v="44"/>
    <n v="9"/>
    <n v="2006"/>
    <n v="0"/>
  </r>
  <r>
    <x v="45"/>
    <n v="10"/>
    <n v="2006"/>
    <n v="4.6339100346020752"/>
  </r>
  <r>
    <x v="45"/>
    <n v="10"/>
    <n v="2006"/>
    <n v="2.2519031141868515"/>
  </r>
  <r>
    <x v="45"/>
    <n v="10"/>
    <n v="2006"/>
    <n v="2.1702422145328719"/>
  </r>
  <r>
    <x v="45"/>
    <n v="10"/>
    <n v="2006"/>
    <n v="0"/>
  </r>
  <r>
    <x v="45"/>
    <n v="10"/>
    <n v="2006"/>
    <n v="3.1577854671280279"/>
  </r>
  <r>
    <x v="45"/>
    <n v="10"/>
    <n v="2006"/>
    <n v="4.1141868512110733"/>
  </r>
  <r>
    <x v="45"/>
    <n v="10"/>
    <n v="2006"/>
    <n v="0.37716262975778547"/>
  </r>
  <r>
    <x v="45"/>
    <n v="10"/>
    <n v="2006"/>
    <n v="1.986159169550173"/>
  </r>
  <r>
    <x v="45"/>
    <n v="10"/>
    <n v="2006"/>
    <n v="0.73979238754325261"/>
  </r>
  <r>
    <x v="45"/>
    <n v="10"/>
    <n v="2006"/>
    <n v="0.65467128027681654"/>
  </r>
  <r>
    <x v="45"/>
    <n v="10"/>
    <n v="2006"/>
    <n v="4.0242214532871978"/>
  </r>
  <r>
    <x v="45"/>
    <n v="10"/>
    <n v="2006"/>
    <n v="0"/>
  </r>
  <r>
    <x v="45"/>
    <n v="10"/>
    <n v="2006"/>
    <n v="0"/>
  </r>
  <r>
    <x v="45"/>
    <n v="10"/>
    <n v="2006"/>
    <n v="0"/>
  </r>
  <r>
    <x v="45"/>
    <n v="10"/>
    <n v="2006"/>
    <n v="0"/>
  </r>
  <r>
    <x v="45"/>
    <n v="10"/>
    <n v="2006"/>
    <n v="0"/>
  </r>
  <r>
    <x v="45"/>
    <n v="10"/>
    <n v="2006"/>
    <n v="4.8871972318339107"/>
  </r>
  <r>
    <x v="45"/>
    <n v="10"/>
    <n v="2006"/>
    <n v="0"/>
  </r>
  <r>
    <x v="45"/>
    <n v="10"/>
    <n v="2006"/>
    <n v="12.551557093425606"/>
  </r>
  <r>
    <x v="45"/>
    <n v="10"/>
    <n v="2006"/>
    <n v="17.47474048442907"/>
  </r>
  <r>
    <x v="45"/>
    <n v="10"/>
    <n v="2006"/>
    <n v="2.6525951557093421"/>
  </r>
  <r>
    <x v="45"/>
    <n v="10"/>
    <n v="2006"/>
    <n v="4.968858131487889"/>
  </r>
  <r>
    <x v="45"/>
    <n v="10"/>
    <n v="2006"/>
    <n v="1.2885813148788927"/>
  </r>
  <r>
    <x v="45"/>
    <n v="10"/>
    <n v="2006"/>
    <n v="3.8193771626297579"/>
  </r>
  <r>
    <x v="45"/>
    <n v="10"/>
    <n v="2006"/>
    <n v="22.966782006920418"/>
  </r>
  <r>
    <x v="45"/>
    <n v="10"/>
    <n v="2006"/>
    <n v="1.3923875432525952"/>
  </r>
  <r>
    <x v="45"/>
    <n v="10"/>
    <n v="2006"/>
    <n v="4.428373702422145"/>
  </r>
  <r>
    <x v="45"/>
    <n v="10"/>
    <n v="2006"/>
    <n v="0"/>
  </r>
  <r>
    <x v="45"/>
    <n v="10"/>
    <n v="2006"/>
    <n v="0.62006920415224909"/>
  </r>
  <r>
    <x v="45"/>
    <n v="10"/>
    <n v="2006"/>
    <n v="2.689273356401384"/>
  </r>
  <r>
    <x v="45"/>
    <n v="10"/>
    <n v="2006"/>
    <n v="0.42076124567474055"/>
  </r>
  <r>
    <x v="46"/>
    <n v="11"/>
    <n v="2006"/>
    <n v="0"/>
  </r>
  <r>
    <x v="46"/>
    <n v="11"/>
    <n v="2006"/>
    <n v="0"/>
  </r>
  <r>
    <x v="46"/>
    <n v="11"/>
    <n v="2006"/>
    <n v="0"/>
  </r>
  <r>
    <x v="46"/>
    <n v="11"/>
    <n v="2006"/>
    <n v="0"/>
  </r>
  <r>
    <x v="46"/>
    <n v="11"/>
    <n v="2006"/>
    <n v="0"/>
  </r>
  <r>
    <x v="46"/>
    <n v="11"/>
    <n v="2006"/>
    <n v="0"/>
  </r>
  <r>
    <x v="46"/>
    <n v="11"/>
    <n v="2006"/>
    <n v="0"/>
  </r>
  <r>
    <x v="46"/>
    <n v="11"/>
    <n v="2006"/>
    <n v="2.6671280276816609"/>
  </r>
  <r>
    <x v="46"/>
    <n v="11"/>
    <n v="2006"/>
    <n v="0"/>
  </r>
  <r>
    <x v="46"/>
    <n v="11"/>
    <n v="2006"/>
    <n v="1.453287197231834"/>
  </r>
  <r>
    <x v="46"/>
    <n v="11"/>
    <n v="2006"/>
    <n v="4.6283737024221452"/>
  </r>
  <r>
    <x v="46"/>
    <n v="11"/>
    <n v="2006"/>
    <n v="0.28304498269896194"/>
  </r>
  <r>
    <x v="46"/>
    <n v="11"/>
    <n v="2006"/>
    <n v="0.59515570934256046"/>
  </r>
  <r>
    <x v="46"/>
    <n v="11"/>
    <n v="2006"/>
    <n v="0.89411764705882368"/>
  </r>
  <r>
    <x v="46"/>
    <n v="11"/>
    <n v="2006"/>
    <n v="5.8865051903114196"/>
  </r>
  <r>
    <x v="46"/>
    <n v="11"/>
    <n v="2006"/>
    <n v="0"/>
  </r>
  <r>
    <x v="46"/>
    <n v="11"/>
    <n v="2006"/>
    <n v="1.6816608996539792"/>
  </r>
  <r>
    <x v="46"/>
    <n v="11"/>
    <n v="2006"/>
    <n v="1.1993079584775086"/>
  </r>
  <r>
    <x v="46"/>
    <n v="11"/>
    <n v="2006"/>
    <n v="2.5238754325259518"/>
  </r>
  <r>
    <x v="46"/>
    <n v="11"/>
    <n v="2006"/>
    <n v="5.2816608996539793"/>
  </r>
  <r>
    <x v="46"/>
    <n v="11"/>
    <n v="2006"/>
    <n v="0"/>
  </r>
  <r>
    <x v="46"/>
    <n v="11"/>
    <n v="2006"/>
    <n v="1.0256055363321799"/>
  </r>
  <r>
    <x v="46"/>
    <n v="11"/>
    <n v="2006"/>
    <n v="6.4692041522491364"/>
  </r>
  <r>
    <x v="46"/>
    <n v="11"/>
    <n v="2006"/>
    <n v="5.7944636678200689"/>
  </r>
  <r>
    <x v="46"/>
    <n v="11"/>
    <n v="2006"/>
    <n v="1.9598615916955018"/>
  </r>
  <r>
    <x v="46"/>
    <n v="11"/>
    <n v="2006"/>
    <n v="6.149480968858132"/>
  </r>
  <r>
    <x v="46"/>
    <n v="11"/>
    <n v="2006"/>
    <n v="0.40207612456747405"/>
  </r>
  <r>
    <x v="46"/>
    <n v="11"/>
    <n v="2006"/>
    <n v="5.242214532871972"/>
  </r>
  <r>
    <x v="46"/>
    <n v="11"/>
    <n v="2006"/>
    <n v="0.29204152249134946"/>
  </r>
  <r>
    <x v="46"/>
    <n v="11"/>
    <n v="2006"/>
    <n v="0.38615916955017299"/>
  </r>
  <r>
    <x v="47"/>
    <n v="12"/>
    <n v="2006"/>
    <n v="2.1916955017301039"/>
  </r>
  <r>
    <x v="47"/>
    <n v="12"/>
    <n v="2006"/>
    <n v="1.239446366782007"/>
  </r>
  <r>
    <x v="47"/>
    <n v="12"/>
    <n v="2006"/>
    <n v="10.071972318339101"/>
  </r>
  <r>
    <x v="47"/>
    <n v="12"/>
    <n v="2006"/>
    <n v="0.39515570934256056"/>
  </r>
  <r>
    <x v="47"/>
    <n v="12"/>
    <n v="2006"/>
    <n v="8.0193771626297572"/>
  </r>
  <r>
    <x v="47"/>
    <n v="12"/>
    <n v="2006"/>
    <n v="0.88235294117647056"/>
  </r>
  <r>
    <x v="47"/>
    <n v="12"/>
    <n v="2006"/>
    <n v="15.956401384083046"/>
  </r>
  <r>
    <x v="47"/>
    <n v="12"/>
    <n v="2006"/>
    <n v="0"/>
  </r>
  <r>
    <x v="47"/>
    <n v="12"/>
    <n v="2006"/>
    <n v="0.21107266435986161"/>
  </r>
  <r>
    <x v="47"/>
    <n v="12"/>
    <n v="2006"/>
    <n v="3.966089965397924"/>
  </r>
  <r>
    <x v="47"/>
    <n v="12"/>
    <n v="2006"/>
    <n v="4.8401384083044974"/>
  </r>
  <r>
    <x v="47"/>
    <n v="12"/>
    <n v="2006"/>
    <n v="6.3570934256055356"/>
  </r>
  <r>
    <x v="47"/>
    <n v="12"/>
    <n v="2006"/>
    <n v="4.7086505190311421"/>
  </r>
  <r>
    <x v="47"/>
    <n v="12"/>
    <n v="2006"/>
    <n v="1.9806228373702424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.26505190311418686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.21107266435986161"/>
  </r>
  <r>
    <x v="47"/>
    <n v="12"/>
    <n v="2006"/>
    <n v="0.30588235294117649"/>
  </r>
  <r>
    <x v="47"/>
    <n v="12"/>
    <n v="2006"/>
    <n v="0"/>
  </r>
  <r>
    <x v="47"/>
    <n v="12"/>
    <n v="2006"/>
    <n v="3.0442906574394462"/>
  </r>
  <r>
    <x v="47"/>
    <n v="12"/>
    <n v="2006"/>
    <n v="3.1093425605536331"/>
  </r>
  <r>
    <x v="47"/>
    <n v="12"/>
    <n v="2006"/>
    <n v="3.5079584775086508"/>
  </r>
  <r>
    <x v="48"/>
    <n v="1"/>
    <n v="2007"/>
    <n v="0.76332179930795852"/>
  </r>
  <r>
    <x v="48"/>
    <n v="1"/>
    <n v="2007"/>
    <n v="1.0124567474048443"/>
  </r>
  <r>
    <x v="48"/>
    <n v="1"/>
    <n v="2007"/>
    <n v="3.6560553633217991"/>
  </r>
  <r>
    <x v="48"/>
    <n v="1"/>
    <n v="2007"/>
    <n v="0.44913494809688581"/>
  </r>
  <r>
    <x v="48"/>
    <n v="1"/>
    <n v="2007"/>
    <n v="0.98339100346020758"/>
  </r>
  <r>
    <x v="48"/>
    <n v="1"/>
    <n v="2007"/>
    <n v="1.4152249134948101"/>
  </r>
  <r>
    <x v="48"/>
    <n v="1"/>
    <n v="2007"/>
    <n v="3.2761245674740485"/>
  </r>
  <r>
    <x v="48"/>
    <n v="1"/>
    <n v="2007"/>
    <n v="4.6941176470588237"/>
  </r>
  <r>
    <x v="48"/>
    <n v="1"/>
    <n v="2007"/>
    <n v="9.379930795847752"/>
  </r>
  <r>
    <x v="48"/>
    <n v="1"/>
    <n v="2007"/>
    <n v="6.9910034602076125"/>
  </r>
  <r>
    <x v="48"/>
    <n v="1"/>
    <n v="2007"/>
    <n v="17.900346020761248"/>
  </r>
  <r>
    <x v="48"/>
    <n v="1"/>
    <n v="2007"/>
    <n v="1.726643598615917"/>
  </r>
  <r>
    <x v="48"/>
    <n v="1"/>
    <n v="2007"/>
    <n v="3.9813148788927335"/>
  </r>
  <r>
    <x v="48"/>
    <n v="1"/>
    <n v="2007"/>
    <n v="0"/>
  </r>
  <r>
    <x v="48"/>
    <n v="1"/>
    <n v="2007"/>
    <n v="0"/>
  </r>
  <r>
    <x v="48"/>
    <n v="1"/>
    <n v="2007"/>
    <n v="0.29204152249134951"/>
  </r>
  <r>
    <x v="48"/>
    <n v="1"/>
    <n v="2007"/>
    <n v="5.3986159169550172"/>
  </r>
  <r>
    <x v="48"/>
    <n v="1"/>
    <n v="2007"/>
    <n v="10.136332179930799"/>
  </r>
  <r>
    <x v="48"/>
    <n v="1"/>
    <n v="2007"/>
    <n v="3.3612456747404842"/>
  </r>
  <r>
    <x v="48"/>
    <n v="1"/>
    <n v="2007"/>
    <n v="4.8532871972318343"/>
  </r>
  <r>
    <x v="48"/>
    <n v="1"/>
    <n v="2007"/>
    <n v="1.4006920415224915"/>
  </r>
  <r>
    <x v="48"/>
    <n v="1"/>
    <n v="2007"/>
    <n v="1.8221453287197231"/>
  </r>
  <r>
    <x v="48"/>
    <n v="1"/>
    <n v="2007"/>
    <n v="0.36193771626297577"/>
  </r>
  <r>
    <x v="48"/>
    <n v="1"/>
    <n v="2007"/>
    <n v="2.8477508650519034"/>
  </r>
  <r>
    <x v="48"/>
    <n v="1"/>
    <n v="2007"/>
    <n v="0.65743944636678198"/>
  </r>
  <r>
    <x v="48"/>
    <n v="1"/>
    <n v="2007"/>
    <n v="0"/>
  </r>
  <r>
    <x v="48"/>
    <n v="1"/>
    <n v="2007"/>
    <n v="0"/>
  </r>
  <r>
    <x v="48"/>
    <n v="1"/>
    <n v="2007"/>
    <n v="0"/>
  </r>
  <r>
    <x v="48"/>
    <n v="1"/>
    <n v="2007"/>
    <n v="0.27612456747404845"/>
  </r>
  <r>
    <x v="48"/>
    <n v="1"/>
    <n v="2007"/>
    <n v="0"/>
  </r>
  <r>
    <x v="48"/>
    <n v="1"/>
    <n v="2007"/>
    <n v="0"/>
  </r>
  <r>
    <x v="49"/>
    <n v="2"/>
    <n v="2007"/>
    <n v="0"/>
  </r>
  <r>
    <x v="49"/>
    <n v="2"/>
    <n v="2007"/>
    <n v="0"/>
  </r>
  <r>
    <x v="49"/>
    <n v="2"/>
    <n v="2007"/>
    <n v="0"/>
  </r>
  <r>
    <x v="49"/>
    <n v="2"/>
    <n v="2007"/>
    <n v="0"/>
  </r>
  <r>
    <x v="49"/>
    <n v="2"/>
    <n v="2007"/>
    <n v="0"/>
  </r>
  <r>
    <x v="49"/>
    <n v="2"/>
    <n v="2007"/>
    <n v="0"/>
  </r>
  <r>
    <x v="49"/>
    <n v="2"/>
    <n v="2007"/>
    <n v="1.6622837370242214"/>
  </r>
  <r>
    <x v="49"/>
    <n v="2"/>
    <n v="2007"/>
    <n v="1.3757785467128028"/>
  </r>
  <r>
    <x v="49"/>
    <n v="2"/>
    <n v="2007"/>
    <n v="3.5916955017301042"/>
  </r>
  <r>
    <x v="49"/>
    <n v="2"/>
    <n v="2007"/>
    <n v="15.770934256055364"/>
  </r>
  <r>
    <x v="49"/>
    <n v="2"/>
    <n v="2007"/>
    <n v="11.199307958477508"/>
  </r>
  <r>
    <x v="49"/>
    <n v="2"/>
    <n v="2007"/>
    <n v="4.5889273356401388"/>
  </r>
  <r>
    <x v="49"/>
    <n v="2"/>
    <n v="2007"/>
    <n v="0"/>
  </r>
  <r>
    <x v="49"/>
    <n v="2"/>
    <n v="2007"/>
    <n v="0.80415224913494809"/>
  </r>
  <r>
    <x v="49"/>
    <n v="2"/>
    <n v="2007"/>
    <n v="0"/>
  </r>
  <r>
    <x v="49"/>
    <n v="2"/>
    <n v="2007"/>
    <n v="0.48788927335640137"/>
  </r>
  <r>
    <x v="49"/>
    <n v="2"/>
    <n v="2007"/>
    <n v="0.70311418685121108"/>
  </r>
  <r>
    <x v="49"/>
    <n v="2"/>
    <n v="2007"/>
    <n v="0"/>
  </r>
  <r>
    <x v="49"/>
    <n v="2"/>
    <n v="2007"/>
    <n v="3.7903114186851212"/>
  </r>
  <r>
    <x v="49"/>
    <n v="2"/>
    <n v="2007"/>
    <n v="3.490657439446367"/>
  </r>
  <r>
    <x v="49"/>
    <n v="2"/>
    <n v="2007"/>
    <n v="4.2006920415224913"/>
  </r>
  <r>
    <x v="49"/>
    <n v="2"/>
    <n v="2007"/>
    <n v="11.684429065743943"/>
  </r>
  <r>
    <x v="49"/>
    <n v="2"/>
    <n v="2007"/>
    <n v="1.5944636678200692"/>
  </r>
  <r>
    <x v="49"/>
    <n v="2"/>
    <n v="2007"/>
    <n v="2.8968858131487889"/>
  </r>
  <r>
    <x v="49"/>
    <n v="2"/>
    <n v="2007"/>
    <n v="1.0657439446366781"/>
  </r>
  <r>
    <x v="49"/>
    <n v="2"/>
    <n v="2007"/>
    <n v="0"/>
  </r>
  <r>
    <x v="49"/>
    <n v="2"/>
    <n v="2007"/>
    <n v="10.305190311418682"/>
  </r>
  <r>
    <x v="49"/>
    <n v="2"/>
    <n v="2007"/>
    <n v="1.5605536332179932"/>
  </r>
  <r>
    <x v="50"/>
    <n v="3"/>
    <n v="2007"/>
    <n v="1.0982698961937718"/>
  </r>
  <r>
    <x v="50"/>
    <n v="3"/>
    <n v="2007"/>
    <n v="0"/>
  </r>
  <r>
    <x v="50"/>
    <n v="3"/>
    <n v="2007"/>
    <n v="2.3224913494809694"/>
  </r>
  <r>
    <x v="50"/>
    <n v="3"/>
    <n v="2007"/>
    <n v="6.6117647058823525"/>
  </r>
  <r>
    <x v="50"/>
    <n v="3"/>
    <n v="2007"/>
    <n v="0.20207612456747406"/>
  </r>
  <r>
    <x v="50"/>
    <n v="3"/>
    <n v="2007"/>
    <n v="4.7425605536332185"/>
  </r>
  <r>
    <x v="50"/>
    <n v="3"/>
    <n v="2007"/>
    <n v="0"/>
  </r>
  <r>
    <x v="50"/>
    <n v="3"/>
    <n v="2007"/>
    <n v="0.33910034602076122"/>
  </r>
  <r>
    <x v="50"/>
    <n v="3"/>
    <n v="2007"/>
    <n v="1.8837370242214535"/>
  </r>
  <r>
    <x v="50"/>
    <n v="3"/>
    <n v="2007"/>
    <n v="0"/>
  </r>
  <r>
    <x v="50"/>
    <n v="3"/>
    <n v="2007"/>
    <n v="0"/>
  </r>
  <r>
    <x v="50"/>
    <n v="3"/>
    <n v="2007"/>
    <n v="0.22906574394463666"/>
  </r>
  <r>
    <x v="50"/>
    <n v="3"/>
    <n v="2007"/>
    <n v="0"/>
  </r>
  <r>
    <x v="50"/>
    <n v="3"/>
    <n v="2007"/>
    <n v="0"/>
  </r>
  <r>
    <x v="50"/>
    <n v="3"/>
    <n v="2007"/>
    <n v="0"/>
  </r>
  <r>
    <x v="50"/>
    <n v="3"/>
    <n v="2007"/>
    <n v="0.92041522491349492"/>
  </r>
  <r>
    <x v="50"/>
    <n v="3"/>
    <n v="2007"/>
    <n v="1.7197231833910038"/>
  </r>
  <r>
    <x v="50"/>
    <n v="3"/>
    <n v="2007"/>
    <n v="3.0989619377162629"/>
  </r>
  <r>
    <x v="50"/>
    <n v="3"/>
    <n v="2007"/>
    <n v="2.8719723183391008"/>
  </r>
  <r>
    <x v="50"/>
    <n v="3"/>
    <n v="2007"/>
    <n v="2.0020761245674743"/>
  </r>
  <r>
    <x v="50"/>
    <n v="3"/>
    <n v="2007"/>
    <n v="1.7487889273356403"/>
  </r>
  <r>
    <x v="50"/>
    <n v="3"/>
    <n v="2007"/>
    <n v="2.8851211072664351"/>
  </r>
  <r>
    <x v="50"/>
    <n v="3"/>
    <n v="2007"/>
    <n v="0"/>
  </r>
  <r>
    <x v="50"/>
    <n v="3"/>
    <n v="2007"/>
    <n v="0.21107266435986161"/>
  </r>
  <r>
    <x v="50"/>
    <n v="3"/>
    <n v="2007"/>
    <n v="0"/>
  </r>
  <r>
    <x v="50"/>
    <n v="3"/>
    <n v="2007"/>
    <n v="0"/>
  </r>
  <r>
    <x v="50"/>
    <n v="3"/>
    <n v="2007"/>
    <n v="0"/>
  </r>
  <r>
    <x v="50"/>
    <n v="3"/>
    <n v="2007"/>
    <n v="0"/>
  </r>
  <r>
    <x v="50"/>
    <n v="3"/>
    <n v="2007"/>
    <n v="1.0692041522491351"/>
  </r>
  <r>
    <x v="50"/>
    <n v="3"/>
    <n v="2007"/>
    <n v="0"/>
  </r>
  <r>
    <x v="50"/>
    <n v="3"/>
    <n v="2007"/>
    <n v="0"/>
  </r>
  <r>
    <x v="51"/>
    <n v="4"/>
    <n v="2007"/>
    <n v="0"/>
  </r>
  <r>
    <x v="51"/>
    <n v="4"/>
    <n v="2007"/>
    <n v="0"/>
  </r>
  <r>
    <x v="51"/>
    <n v="4"/>
    <n v="2007"/>
    <n v="0.27889273356401384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1.0844290657439448"/>
  </r>
  <r>
    <x v="51"/>
    <n v="4"/>
    <n v="2007"/>
    <n v="2.4429065743944633"/>
  </r>
  <r>
    <x v="51"/>
    <n v="4"/>
    <n v="2007"/>
    <n v="0"/>
  </r>
  <r>
    <x v="51"/>
    <n v="4"/>
    <n v="2007"/>
    <n v="0"/>
  </r>
  <r>
    <x v="51"/>
    <n v="4"/>
    <n v="2007"/>
    <n v="0.34394463667820069"/>
  </r>
  <r>
    <x v="51"/>
    <n v="4"/>
    <n v="2007"/>
    <n v="0.32802768166089968"/>
  </r>
  <r>
    <x v="51"/>
    <n v="4"/>
    <n v="2007"/>
    <n v="5.7031141868512103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.606228373702422"/>
  </r>
  <r>
    <x v="52"/>
    <n v="5"/>
    <n v="2007"/>
    <n v="1.0442906574394466"/>
  </r>
  <r>
    <x v="52"/>
    <n v="5"/>
    <n v="2007"/>
    <n v="1.7418685121107265"/>
  </r>
  <r>
    <x v="52"/>
    <n v="5"/>
    <n v="2007"/>
    <n v="3.0214532871972315"/>
  </r>
  <r>
    <x v="52"/>
    <n v="5"/>
    <n v="2007"/>
    <n v="3.2788927335640139"/>
  </r>
  <r>
    <x v="52"/>
    <n v="5"/>
    <n v="2007"/>
    <n v="6.5930795847750874"/>
  </r>
  <r>
    <x v="52"/>
    <n v="5"/>
    <n v="2007"/>
    <n v="3.7979238754325255"/>
  </r>
  <r>
    <x v="52"/>
    <n v="5"/>
    <n v="2007"/>
    <n v="6.2387543252595155"/>
  </r>
  <r>
    <x v="52"/>
    <n v="5"/>
    <n v="2007"/>
    <n v="2.348096885813149"/>
  </r>
  <r>
    <x v="52"/>
    <n v="5"/>
    <n v="2007"/>
    <n v="0.37716262975778547"/>
  </r>
  <r>
    <x v="52"/>
    <n v="5"/>
    <n v="2007"/>
    <n v="2.5058823529411764"/>
  </r>
  <r>
    <x v="52"/>
    <n v="5"/>
    <n v="2007"/>
    <n v="0.52110726643598615"/>
  </r>
  <r>
    <x v="52"/>
    <n v="5"/>
    <n v="2007"/>
    <n v="1.3653979238754324"/>
  </r>
  <r>
    <x v="52"/>
    <n v="5"/>
    <n v="2007"/>
    <n v="0.26505190311418686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1.2878892733564018"/>
  </r>
  <r>
    <x v="52"/>
    <n v="5"/>
    <n v="2007"/>
    <n v="0.46089965397923877"/>
  </r>
  <r>
    <x v="52"/>
    <n v="5"/>
    <n v="2007"/>
    <n v="8.3944636678200695"/>
  </r>
  <r>
    <x v="52"/>
    <n v="5"/>
    <n v="2007"/>
    <n v="5.7086505190311412"/>
  </r>
  <r>
    <x v="52"/>
    <n v="5"/>
    <n v="2007"/>
    <n v="0"/>
  </r>
  <r>
    <x v="53"/>
    <n v="6"/>
    <n v="2007"/>
    <n v="0"/>
  </r>
  <r>
    <x v="53"/>
    <n v="6"/>
    <n v="2007"/>
    <n v="0"/>
  </r>
  <r>
    <x v="53"/>
    <n v="6"/>
    <n v="2007"/>
    <n v="1.3494809688581315"/>
  </r>
  <r>
    <x v="53"/>
    <n v="6"/>
    <n v="2007"/>
    <n v="0"/>
  </r>
  <r>
    <x v="53"/>
    <n v="6"/>
    <n v="2007"/>
    <n v="0"/>
  </r>
  <r>
    <x v="53"/>
    <n v="6"/>
    <n v="2007"/>
    <n v="0"/>
  </r>
  <r>
    <x v="53"/>
    <n v="6"/>
    <n v="2007"/>
    <n v="0"/>
  </r>
  <r>
    <x v="53"/>
    <n v="6"/>
    <n v="2007"/>
    <n v="0"/>
  </r>
  <r>
    <x v="53"/>
    <n v="6"/>
    <n v="2007"/>
    <n v="0"/>
  </r>
  <r>
    <x v="53"/>
    <n v="6"/>
    <n v="2007"/>
    <n v="0"/>
  </r>
  <r>
    <x v="53"/>
    <n v="6"/>
    <n v="2007"/>
    <n v="2.3716262975778548"/>
  </r>
  <r>
    <x v="53"/>
    <n v="6"/>
    <n v="2007"/>
    <n v="17.994463667820071"/>
  </r>
  <r>
    <x v="53"/>
    <n v="6"/>
    <n v="2007"/>
    <n v="17.656747404844285"/>
  </r>
  <r>
    <x v="53"/>
    <n v="6"/>
    <n v="2007"/>
    <n v="3.4775086505190314"/>
  </r>
  <r>
    <x v="53"/>
    <n v="6"/>
    <n v="2007"/>
    <n v="7.1487889273356409"/>
  </r>
  <r>
    <x v="53"/>
    <n v="6"/>
    <n v="2007"/>
    <n v="4.4173010380622832"/>
  </r>
  <r>
    <x v="53"/>
    <n v="6"/>
    <n v="2007"/>
    <n v="0.70519031141868516"/>
  </r>
  <r>
    <x v="53"/>
    <n v="6"/>
    <n v="2007"/>
    <n v="0.35017301038062282"/>
  </r>
  <r>
    <x v="53"/>
    <n v="6"/>
    <n v="2007"/>
    <n v="0"/>
  </r>
  <r>
    <x v="53"/>
    <n v="6"/>
    <n v="2007"/>
    <n v="17.797231833910036"/>
  </r>
  <r>
    <x v="53"/>
    <n v="6"/>
    <n v="2007"/>
    <n v="0.9273356401384083"/>
  </r>
  <r>
    <x v="53"/>
    <n v="6"/>
    <n v="2007"/>
    <n v="0.75432525951557095"/>
  </r>
  <r>
    <x v="53"/>
    <n v="6"/>
    <n v="2007"/>
    <n v="15.337716262975778"/>
  </r>
  <r>
    <x v="53"/>
    <n v="6"/>
    <n v="2007"/>
    <n v="4.0816608996539792"/>
  </r>
  <r>
    <x v="53"/>
    <n v="6"/>
    <n v="2007"/>
    <n v="8.0505190311418691"/>
  </r>
  <r>
    <x v="53"/>
    <n v="6"/>
    <n v="2007"/>
    <n v="0.5591695501730104"/>
  </r>
  <r>
    <x v="53"/>
    <n v="6"/>
    <n v="2007"/>
    <n v="9.5058823529411782"/>
  </r>
  <r>
    <x v="53"/>
    <n v="6"/>
    <n v="2007"/>
    <n v="14.814532871972318"/>
  </r>
  <r>
    <x v="53"/>
    <n v="6"/>
    <n v="2007"/>
    <n v="1.3653979238754324"/>
  </r>
  <r>
    <x v="53"/>
    <n v="6"/>
    <n v="2007"/>
    <n v="4.8373702422145328"/>
  </r>
  <r>
    <x v="54"/>
    <n v="7"/>
    <n v="2007"/>
    <n v="6.7086505190311403"/>
  </r>
  <r>
    <x v="54"/>
    <n v="7"/>
    <n v="2007"/>
    <n v="3.9328719723183392"/>
  </r>
  <r>
    <x v="54"/>
    <n v="7"/>
    <n v="2007"/>
    <n v="6.3743944636678194"/>
  </r>
  <r>
    <x v="54"/>
    <n v="7"/>
    <n v="2007"/>
    <n v="0"/>
  </r>
  <r>
    <x v="54"/>
    <n v="7"/>
    <n v="2007"/>
    <n v="9.9785467128027676"/>
  </r>
  <r>
    <x v="54"/>
    <n v="7"/>
    <n v="2007"/>
    <n v="7.0608996539792397"/>
  </r>
  <r>
    <x v="54"/>
    <n v="7"/>
    <n v="2007"/>
    <n v="3.1294117647058823"/>
  </r>
  <r>
    <x v="54"/>
    <n v="7"/>
    <n v="2007"/>
    <n v="0"/>
  </r>
  <r>
    <x v="54"/>
    <n v="7"/>
    <n v="2007"/>
    <n v="0"/>
  </r>
  <r>
    <x v="54"/>
    <n v="7"/>
    <n v="2007"/>
    <n v="0"/>
  </r>
  <r>
    <x v="54"/>
    <n v="7"/>
    <n v="2007"/>
    <n v="0"/>
  </r>
  <r>
    <x v="54"/>
    <n v="7"/>
    <n v="2007"/>
    <n v="0.38754325259515571"/>
  </r>
  <r>
    <x v="54"/>
    <n v="7"/>
    <n v="2007"/>
    <n v="10.079584775086504"/>
  </r>
  <r>
    <x v="54"/>
    <n v="7"/>
    <n v="2007"/>
    <n v="0.4249134948096886"/>
  </r>
  <r>
    <x v="54"/>
    <n v="7"/>
    <n v="2007"/>
    <n v="3.6166089965397923"/>
  </r>
  <r>
    <x v="54"/>
    <n v="7"/>
    <n v="2007"/>
    <n v="7.3217993079584769"/>
  </r>
  <r>
    <x v="54"/>
    <n v="7"/>
    <n v="2007"/>
    <n v="0"/>
  </r>
  <r>
    <x v="54"/>
    <n v="7"/>
    <n v="2007"/>
    <n v="0"/>
  </r>
  <r>
    <x v="54"/>
    <n v="7"/>
    <n v="2007"/>
    <n v="1.8228373702422145"/>
  </r>
  <r>
    <x v="54"/>
    <n v="7"/>
    <n v="2007"/>
    <n v="1.3584775086505188"/>
  </r>
  <r>
    <x v="54"/>
    <n v="7"/>
    <n v="2007"/>
    <n v="4.9321799307958472"/>
  </r>
  <r>
    <x v="54"/>
    <n v="7"/>
    <n v="2007"/>
    <n v="1.3833910034602077"/>
  </r>
  <r>
    <x v="54"/>
    <n v="7"/>
    <n v="2007"/>
    <n v="0.22906574394463669"/>
  </r>
  <r>
    <x v="54"/>
    <n v="7"/>
    <n v="2007"/>
    <n v="0.3411764705882353"/>
  </r>
  <r>
    <x v="54"/>
    <n v="7"/>
    <n v="2007"/>
    <n v="0.97439446366782012"/>
  </r>
  <r>
    <x v="54"/>
    <n v="7"/>
    <n v="2007"/>
    <n v="8.0650519031141865"/>
  </r>
  <r>
    <x v="54"/>
    <n v="7"/>
    <n v="2007"/>
    <n v="0"/>
  </r>
  <r>
    <x v="54"/>
    <n v="7"/>
    <n v="2007"/>
    <n v="0"/>
  </r>
  <r>
    <x v="54"/>
    <n v="7"/>
    <n v="2007"/>
    <n v="0.85051903114186844"/>
  </r>
  <r>
    <x v="54"/>
    <n v="7"/>
    <n v="2007"/>
    <n v="0"/>
  </r>
  <r>
    <x v="54"/>
    <n v="7"/>
    <n v="2007"/>
    <n v="0"/>
  </r>
  <r>
    <x v="55"/>
    <n v="8"/>
    <n v="2007"/>
    <n v="0.76885813148788928"/>
  </r>
  <r>
    <x v="55"/>
    <n v="8"/>
    <n v="2007"/>
    <n v="0"/>
  </r>
  <r>
    <x v="55"/>
    <n v="8"/>
    <n v="2007"/>
    <n v="0"/>
  </r>
  <r>
    <x v="55"/>
    <n v="8"/>
    <n v="2007"/>
    <n v="2.6740484429065741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1.5799307958477515"/>
  </r>
  <r>
    <x v="55"/>
    <n v="8"/>
    <n v="2007"/>
    <n v="0.53010380622837383"/>
  </r>
  <r>
    <x v="55"/>
    <n v="8"/>
    <n v="2007"/>
    <n v="12.350173010380622"/>
  </r>
  <r>
    <x v="55"/>
    <n v="8"/>
    <n v="2007"/>
    <n v="5.2692041522491362"/>
  </r>
  <r>
    <x v="55"/>
    <n v="8"/>
    <n v="2007"/>
    <n v="0"/>
  </r>
  <r>
    <x v="55"/>
    <n v="8"/>
    <n v="2007"/>
    <n v="0"/>
  </r>
  <r>
    <x v="55"/>
    <n v="8"/>
    <n v="2007"/>
    <n v="7.7605536332179934"/>
  </r>
  <r>
    <x v="55"/>
    <n v="8"/>
    <n v="2007"/>
    <n v="3.4214532871972323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1.9391003460207612"/>
  </r>
  <r>
    <x v="55"/>
    <n v="8"/>
    <n v="2007"/>
    <n v="0"/>
  </r>
  <r>
    <x v="55"/>
    <n v="8"/>
    <n v="2007"/>
    <n v="0"/>
  </r>
  <r>
    <x v="55"/>
    <n v="8"/>
    <n v="2007"/>
    <n v="0"/>
  </r>
  <r>
    <x v="56"/>
    <n v="9"/>
    <n v="2007"/>
    <n v="0"/>
  </r>
  <r>
    <x v="56"/>
    <n v="9"/>
    <n v="2007"/>
    <n v="0.87612456747404843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1.4283737024221455"/>
  </r>
  <r>
    <x v="56"/>
    <n v="9"/>
    <n v="2007"/>
    <n v="0.9121107266435986"/>
  </r>
  <r>
    <x v="56"/>
    <n v="9"/>
    <n v="2007"/>
    <n v="0.43806228373702422"/>
  </r>
  <r>
    <x v="56"/>
    <n v="9"/>
    <n v="2007"/>
    <n v="0.55224913494809691"/>
  </r>
  <r>
    <x v="56"/>
    <n v="9"/>
    <n v="2007"/>
    <n v="0.62768166089965405"/>
  </r>
  <r>
    <x v="56"/>
    <n v="9"/>
    <n v="2007"/>
    <n v="2.2103806228373699"/>
  </r>
  <r>
    <x v="56"/>
    <n v="9"/>
    <n v="2007"/>
    <n v="0"/>
  </r>
  <r>
    <x v="56"/>
    <n v="9"/>
    <n v="2007"/>
    <n v="0.49411764705882355"/>
  </r>
  <r>
    <x v="56"/>
    <n v="9"/>
    <n v="2007"/>
    <n v="7.2968858131487897"/>
  </r>
  <r>
    <x v="56"/>
    <n v="9"/>
    <n v="2007"/>
    <n v="1.4996539792387542"/>
  </r>
  <r>
    <x v="56"/>
    <n v="9"/>
    <n v="2007"/>
    <n v="3.2906574394463668"/>
  </r>
  <r>
    <x v="56"/>
    <n v="9"/>
    <n v="2007"/>
    <n v="1.62560553633218"/>
  </r>
  <r>
    <x v="56"/>
    <n v="9"/>
    <n v="2007"/>
    <n v="1.9778546712802769"/>
  </r>
  <r>
    <x v="56"/>
    <n v="9"/>
    <n v="2007"/>
    <n v="5.1598615916955017"/>
  </r>
  <r>
    <x v="56"/>
    <n v="9"/>
    <n v="2007"/>
    <n v="0"/>
  </r>
  <r>
    <x v="57"/>
    <n v="10"/>
    <n v="2007"/>
    <n v="0"/>
  </r>
  <r>
    <x v="57"/>
    <n v="10"/>
    <n v="2007"/>
    <n v="0"/>
  </r>
  <r>
    <x v="57"/>
    <n v="10"/>
    <n v="2007"/>
    <n v="4.5411764705882351"/>
  </r>
  <r>
    <x v="57"/>
    <n v="10"/>
    <n v="2007"/>
    <n v="0.20899653979238755"/>
  </r>
  <r>
    <x v="57"/>
    <n v="10"/>
    <n v="2007"/>
    <n v="0"/>
  </r>
  <r>
    <x v="57"/>
    <n v="10"/>
    <n v="2007"/>
    <n v="0"/>
  </r>
  <r>
    <x v="57"/>
    <n v="10"/>
    <n v="2007"/>
    <n v="1.2858131487889273"/>
  </r>
  <r>
    <x v="57"/>
    <n v="10"/>
    <n v="2007"/>
    <n v="0"/>
  </r>
  <r>
    <x v="57"/>
    <n v="10"/>
    <n v="2007"/>
    <n v="9.777162629757786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1.2553633217993081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3.2027681660899652"/>
  </r>
  <r>
    <x v="57"/>
    <n v="10"/>
    <n v="2007"/>
    <n v="0"/>
  </r>
  <r>
    <x v="57"/>
    <n v="10"/>
    <n v="2007"/>
    <n v="0"/>
  </r>
  <r>
    <x v="57"/>
    <n v="10"/>
    <n v="2007"/>
    <n v="0"/>
  </r>
  <r>
    <x v="58"/>
    <n v="11"/>
    <n v="2007"/>
    <n v="0"/>
  </r>
  <r>
    <x v="58"/>
    <n v="11"/>
    <n v="2007"/>
    <n v="0"/>
  </r>
  <r>
    <x v="58"/>
    <n v="11"/>
    <n v="2007"/>
    <n v="0"/>
  </r>
  <r>
    <x v="58"/>
    <n v="11"/>
    <n v="2007"/>
    <n v="0"/>
  </r>
  <r>
    <x v="58"/>
    <n v="11"/>
    <n v="2007"/>
    <n v="0.20207612456747404"/>
  </r>
  <r>
    <x v="58"/>
    <n v="11"/>
    <n v="2007"/>
    <n v="0"/>
  </r>
  <r>
    <x v="58"/>
    <n v="11"/>
    <n v="2007"/>
    <n v="0"/>
  </r>
  <r>
    <x v="58"/>
    <n v="11"/>
    <n v="2007"/>
    <n v="0.6622837370242215"/>
  </r>
  <r>
    <x v="58"/>
    <n v="11"/>
    <n v="2007"/>
    <n v="0"/>
  </r>
  <r>
    <x v="58"/>
    <n v="11"/>
    <n v="2007"/>
    <n v="5.2692041522491344"/>
  </r>
  <r>
    <x v="58"/>
    <n v="11"/>
    <n v="2007"/>
    <n v="1.8269896193771629"/>
  </r>
  <r>
    <x v="58"/>
    <n v="11"/>
    <n v="2007"/>
    <n v="2.8173010380622832"/>
  </r>
  <r>
    <x v="58"/>
    <n v="11"/>
    <n v="2007"/>
    <n v="2.6934256055363326"/>
  </r>
  <r>
    <x v="58"/>
    <n v="11"/>
    <n v="2007"/>
    <n v="2.1391003460207614"/>
  </r>
  <r>
    <x v="58"/>
    <n v="11"/>
    <n v="2007"/>
    <n v="0"/>
  </r>
  <r>
    <x v="58"/>
    <n v="11"/>
    <n v="2007"/>
    <n v="0"/>
  </r>
  <r>
    <x v="58"/>
    <n v="11"/>
    <n v="2007"/>
    <n v="0"/>
  </r>
  <r>
    <x v="58"/>
    <n v="11"/>
    <n v="2007"/>
    <n v="11.013840830449825"/>
  </r>
  <r>
    <x v="58"/>
    <n v="11"/>
    <n v="2007"/>
    <n v="11.487889273356402"/>
  </r>
  <r>
    <x v="58"/>
    <n v="11"/>
    <n v="2007"/>
    <n v="9.7702422145328711"/>
  </r>
  <r>
    <x v="58"/>
    <n v="11"/>
    <n v="2007"/>
    <n v="8.3543252595155728"/>
  </r>
  <r>
    <x v="58"/>
    <n v="11"/>
    <n v="2007"/>
    <n v="2.1480968858131488"/>
  </r>
  <r>
    <x v="58"/>
    <n v="11"/>
    <n v="2007"/>
    <n v="0"/>
  </r>
  <r>
    <x v="58"/>
    <n v="11"/>
    <n v="2007"/>
    <n v="1.3764705882352943"/>
  </r>
  <r>
    <x v="58"/>
    <n v="11"/>
    <n v="2007"/>
    <n v="0"/>
  </r>
  <r>
    <x v="58"/>
    <n v="11"/>
    <n v="2007"/>
    <n v="0"/>
  </r>
  <r>
    <x v="58"/>
    <n v="11"/>
    <n v="2007"/>
    <n v="0"/>
  </r>
  <r>
    <x v="58"/>
    <n v="11"/>
    <n v="2007"/>
    <n v="0.81176470588235294"/>
  </r>
  <r>
    <x v="58"/>
    <n v="11"/>
    <n v="2007"/>
    <n v="1.0013840830449829"/>
  </r>
  <r>
    <x v="58"/>
    <n v="11"/>
    <n v="2007"/>
    <n v="10.937716262975778"/>
  </r>
  <r>
    <x v="59"/>
    <n v="12"/>
    <n v="2007"/>
    <n v="5.9771626297577862"/>
  </r>
  <r>
    <x v="59"/>
    <n v="12"/>
    <n v="2007"/>
    <n v="1.2083044982698963"/>
  </r>
  <r>
    <x v="59"/>
    <n v="12"/>
    <n v="2007"/>
    <n v="0"/>
  </r>
  <r>
    <x v="59"/>
    <n v="12"/>
    <n v="2007"/>
    <n v="0.22906574394463669"/>
  </r>
  <r>
    <x v="59"/>
    <n v="12"/>
    <n v="2007"/>
    <n v="3.5432525951557099"/>
  </r>
  <r>
    <x v="59"/>
    <n v="12"/>
    <n v="2007"/>
    <n v="1.5474048442906574"/>
  </r>
  <r>
    <x v="59"/>
    <n v="12"/>
    <n v="2007"/>
    <n v="0.4249134948096886"/>
  </r>
  <r>
    <x v="59"/>
    <n v="12"/>
    <n v="2007"/>
    <n v="10.337716262975778"/>
  </r>
  <r>
    <x v="59"/>
    <n v="12"/>
    <n v="2007"/>
    <n v="14.933564013840833"/>
  </r>
  <r>
    <x v="59"/>
    <n v="12"/>
    <n v="2007"/>
    <n v="3.5522491349480969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.60692041522491347"/>
  </r>
  <r>
    <x v="59"/>
    <n v="12"/>
    <n v="2007"/>
    <n v="0.31003460207612454"/>
  </r>
  <r>
    <x v="59"/>
    <n v="12"/>
    <n v="2007"/>
    <n v="2.1384083044982702"/>
  </r>
  <r>
    <x v="59"/>
    <n v="12"/>
    <n v="2007"/>
    <n v="1.0062283737024222"/>
  </r>
  <r>
    <x v="59"/>
    <n v="12"/>
    <n v="2007"/>
    <n v="0"/>
  </r>
  <r>
    <x v="59"/>
    <n v="12"/>
    <n v="2007"/>
    <n v="4.5266435986159168"/>
  </r>
  <r>
    <x v="59"/>
    <n v="12"/>
    <n v="2007"/>
    <n v="6.7522491349480962"/>
  </r>
  <r>
    <x v="59"/>
    <n v="12"/>
    <n v="2007"/>
    <n v="5.2913494809688579"/>
  </r>
  <r>
    <x v="59"/>
    <n v="12"/>
    <n v="2007"/>
    <n v="0.50519031141868509"/>
  </r>
  <r>
    <x v="59"/>
    <n v="12"/>
    <n v="2007"/>
    <n v="2.2283737024221453"/>
  </r>
  <r>
    <x v="60"/>
    <n v="1"/>
    <n v="2008"/>
    <n v="23.359169550173014"/>
  </r>
  <r>
    <x v="60"/>
    <n v="1"/>
    <n v="2008"/>
    <n v="2.8782006920415224"/>
  </r>
  <r>
    <x v="60"/>
    <n v="1"/>
    <n v="2008"/>
    <n v="0.76193771626297568"/>
  </r>
  <r>
    <x v="60"/>
    <n v="1"/>
    <n v="2008"/>
    <n v="13.386851211072665"/>
  </r>
  <r>
    <x v="60"/>
    <n v="1"/>
    <n v="2008"/>
    <n v="2.8961937716262973"/>
  </r>
  <r>
    <x v="60"/>
    <n v="1"/>
    <n v="2008"/>
    <n v="0.45605536332179936"/>
  </r>
  <r>
    <x v="60"/>
    <n v="1"/>
    <n v="2008"/>
    <n v="7.1993079584775082"/>
  </r>
  <r>
    <x v="60"/>
    <n v="1"/>
    <n v="2008"/>
    <n v="5.3494809688581313"/>
  </r>
  <r>
    <x v="60"/>
    <n v="1"/>
    <n v="2008"/>
    <n v="0.55017301038062283"/>
  </r>
  <r>
    <x v="60"/>
    <n v="1"/>
    <n v="2008"/>
    <n v="10.35363321799308"/>
  </r>
  <r>
    <x v="60"/>
    <n v="1"/>
    <n v="2008"/>
    <n v="0"/>
  </r>
  <r>
    <x v="60"/>
    <n v="1"/>
    <n v="2008"/>
    <n v="0.91211072664359882"/>
  </r>
  <r>
    <x v="60"/>
    <n v="1"/>
    <n v="2008"/>
    <n v="3.4173010380622837"/>
  </r>
  <r>
    <x v="60"/>
    <n v="1"/>
    <n v="2008"/>
    <n v="5.6408304498269892"/>
  </r>
  <r>
    <x v="60"/>
    <n v="1"/>
    <n v="2008"/>
    <n v="5.3480968858131481"/>
  </r>
  <r>
    <x v="60"/>
    <n v="1"/>
    <n v="2008"/>
    <n v="0.79238754325259508"/>
  </r>
  <r>
    <x v="60"/>
    <n v="1"/>
    <n v="2008"/>
    <n v="2.8228373702422145"/>
  </r>
  <r>
    <x v="60"/>
    <n v="1"/>
    <n v="2008"/>
    <n v="3.3287197231833909"/>
  </r>
  <r>
    <x v="60"/>
    <n v="1"/>
    <n v="2008"/>
    <n v="1.7321799307958479"/>
  </r>
  <r>
    <x v="60"/>
    <n v="1"/>
    <n v="2008"/>
    <n v="1.2256055363321796"/>
  </r>
  <r>
    <x v="60"/>
    <n v="1"/>
    <n v="2008"/>
    <n v="16.321107266435988"/>
  </r>
  <r>
    <x v="60"/>
    <n v="1"/>
    <n v="2008"/>
    <n v="9.1314878892733571"/>
  </r>
  <r>
    <x v="60"/>
    <n v="1"/>
    <n v="2008"/>
    <n v="3.4519031141868517"/>
  </r>
  <r>
    <x v="60"/>
    <n v="1"/>
    <n v="2008"/>
    <n v="0.67820069204152256"/>
  </r>
  <r>
    <x v="60"/>
    <n v="1"/>
    <n v="2008"/>
    <n v="0.45813148788927338"/>
  </r>
  <r>
    <x v="60"/>
    <n v="1"/>
    <n v="2008"/>
    <n v="1.3875432525951557"/>
  </r>
  <r>
    <x v="60"/>
    <n v="1"/>
    <n v="2008"/>
    <n v="0"/>
  </r>
  <r>
    <x v="60"/>
    <n v="1"/>
    <n v="2008"/>
    <n v="0"/>
  </r>
  <r>
    <x v="60"/>
    <n v="1"/>
    <n v="2008"/>
    <n v="3.5100346020761242"/>
  </r>
  <r>
    <x v="60"/>
    <n v="1"/>
    <n v="2008"/>
    <n v="0"/>
  </r>
  <r>
    <x v="60"/>
    <n v="1"/>
    <n v="2008"/>
    <n v="10.263667820069202"/>
  </r>
  <r>
    <x v="61"/>
    <n v="2"/>
    <n v="2008"/>
    <n v="4.0346020761245676"/>
  </r>
  <r>
    <x v="61"/>
    <n v="2"/>
    <n v="2008"/>
    <n v="3.999307958477508"/>
  </r>
  <r>
    <x v="61"/>
    <n v="2"/>
    <n v="2008"/>
    <n v="0"/>
  </r>
  <r>
    <x v="61"/>
    <n v="2"/>
    <n v="2008"/>
    <n v="1.4705882352941178"/>
  </r>
  <r>
    <x v="61"/>
    <n v="2"/>
    <n v="2008"/>
    <n v="3.5847750865051902"/>
  </r>
  <r>
    <x v="61"/>
    <n v="2"/>
    <n v="2008"/>
    <n v="0"/>
  </r>
  <r>
    <x v="61"/>
    <n v="2"/>
    <n v="2008"/>
    <n v="0.50311418685121101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1.0283737024221453"/>
  </r>
  <r>
    <x v="61"/>
    <n v="2"/>
    <n v="2008"/>
    <n v="4.2726643598615919"/>
  </r>
  <r>
    <x v="61"/>
    <n v="2"/>
    <n v="2008"/>
    <n v="0"/>
  </r>
  <r>
    <x v="61"/>
    <n v="2"/>
    <n v="2008"/>
    <n v="1.3335640138408305"/>
  </r>
  <r>
    <x v="61"/>
    <n v="2"/>
    <n v="2008"/>
    <n v="1.5245674740484427"/>
  </r>
  <r>
    <x v="61"/>
    <n v="2"/>
    <n v="2008"/>
    <n v="0.59515570934256057"/>
  </r>
  <r>
    <x v="61"/>
    <n v="2"/>
    <n v="2008"/>
    <n v="0"/>
  </r>
  <r>
    <x v="61"/>
    <n v="2"/>
    <n v="2008"/>
    <n v="0"/>
  </r>
  <r>
    <x v="61"/>
    <n v="2"/>
    <n v="2008"/>
    <n v="9.1889273356401393"/>
  </r>
  <r>
    <x v="62"/>
    <n v="3"/>
    <n v="2008"/>
    <n v="1.1833910034602078"/>
  </r>
  <r>
    <x v="62"/>
    <n v="3"/>
    <n v="2008"/>
    <n v="0.72525951557093427"/>
  </r>
  <r>
    <x v="62"/>
    <n v="3"/>
    <n v="2008"/>
    <n v="0.41314878892733564"/>
  </r>
  <r>
    <x v="62"/>
    <n v="3"/>
    <n v="2008"/>
    <n v="0"/>
  </r>
  <r>
    <x v="62"/>
    <n v="3"/>
    <n v="2008"/>
    <n v="0"/>
  </r>
  <r>
    <x v="62"/>
    <n v="3"/>
    <n v="2008"/>
    <n v="0"/>
  </r>
  <r>
    <x v="62"/>
    <n v="3"/>
    <n v="2008"/>
    <n v="0.94325259515570936"/>
  </r>
  <r>
    <x v="62"/>
    <n v="3"/>
    <n v="2008"/>
    <n v="8.1231833910034599"/>
  </r>
  <r>
    <x v="62"/>
    <n v="3"/>
    <n v="2008"/>
    <n v="0.24705882352941178"/>
  </r>
  <r>
    <x v="62"/>
    <n v="3"/>
    <n v="2008"/>
    <n v="6.1259515570934253"/>
  </r>
  <r>
    <x v="62"/>
    <n v="3"/>
    <n v="2008"/>
    <n v="1.9238754325259517"/>
  </r>
  <r>
    <x v="62"/>
    <n v="3"/>
    <n v="2008"/>
    <n v="2.9038062283737021"/>
  </r>
  <r>
    <x v="62"/>
    <n v="3"/>
    <n v="2008"/>
    <n v="1.9377162629757785"/>
  </r>
  <r>
    <x v="62"/>
    <n v="3"/>
    <n v="2008"/>
    <n v="0"/>
  </r>
  <r>
    <x v="62"/>
    <n v="3"/>
    <n v="2008"/>
    <n v="1.8961937716262975"/>
  </r>
  <r>
    <x v="62"/>
    <n v="3"/>
    <n v="2008"/>
    <n v="0.70311418685121108"/>
  </r>
  <r>
    <x v="62"/>
    <n v="3"/>
    <n v="2008"/>
    <n v="0"/>
  </r>
  <r>
    <x v="62"/>
    <n v="3"/>
    <n v="2008"/>
    <n v="0"/>
  </r>
  <r>
    <x v="62"/>
    <n v="3"/>
    <n v="2008"/>
    <n v="0"/>
  </r>
  <r>
    <x v="62"/>
    <n v="3"/>
    <n v="2008"/>
    <n v="5.2643598615916947"/>
  </r>
  <r>
    <x v="62"/>
    <n v="3"/>
    <n v="2008"/>
    <n v="3.652595155709343"/>
  </r>
  <r>
    <x v="62"/>
    <n v="3"/>
    <n v="2008"/>
    <n v="10.750173010380623"/>
  </r>
  <r>
    <x v="62"/>
    <n v="3"/>
    <n v="2008"/>
    <n v="0.63944636678200684"/>
  </r>
  <r>
    <x v="62"/>
    <n v="3"/>
    <n v="2008"/>
    <n v="0.3640138408304498"/>
  </r>
  <r>
    <x v="62"/>
    <n v="3"/>
    <n v="2008"/>
    <n v="0"/>
  </r>
  <r>
    <x v="62"/>
    <n v="3"/>
    <n v="2008"/>
    <n v="0.68512110726643605"/>
  </r>
  <r>
    <x v="62"/>
    <n v="3"/>
    <n v="2008"/>
    <n v="1.585467128027682"/>
  </r>
  <r>
    <x v="62"/>
    <n v="3"/>
    <n v="2008"/>
    <n v="5.7750865051903117"/>
  </r>
  <r>
    <x v="62"/>
    <n v="3"/>
    <n v="2008"/>
    <n v="4.9709342560553633"/>
  </r>
  <r>
    <x v="62"/>
    <n v="3"/>
    <n v="2008"/>
    <n v="5.0685121107266449"/>
  </r>
  <r>
    <x v="62"/>
    <n v="3"/>
    <n v="2008"/>
    <n v="0.28512110726643602"/>
  </r>
  <r>
    <x v="63"/>
    <n v="4"/>
    <n v="2008"/>
    <n v="2.3923875432525952"/>
  </r>
  <r>
    <x v="63"/>
    <n v="4"/>
    <n v="2008"/>
    <n v="0"/>
  </r>
  <r>
    <x v="63"/>
    <n v="4"/>
    <n v="2008"/>
    <n v="0"/>
  </r>
  <r>
    <x v="63"/>
    <n v="4"/>
    <n v="2008"/>
    <n v="1.0955017301038064"/>
  </r>
  <r>
    <x v="63"/>
    <n v="4"/>
    <n v="2008"/>
    <n v="5.4726643598615912"/>
  </r>
  <r>
    <x v="63"/>
    <n v="4"/>
    <n v="2008"/>
    <n v="9.7868512110726638"/>
  </r>
  <r>
    <x v="63"/>
    <n v="4"/>
    <n v="2008"/>
    <n v="4.2408304498269898"/>
  </r>
  <r>
    <x v="63"/>
    <n v="4"/>
    <n v="2008"/>
    <n v="4.1204152249134953"/>
  </r>
  <r>
    <x v="63"/>
    <n v="4"/>
    <n v="2008"/>
    <n v="0.88166089965397931"/>
  </r>
  <r>
    <x v="63"/>
    <n v="4"/>
    <n v="2008"/>
    <n v="4.222837370242214"/>
  </r>
  <r>
    <x v="63"/>
    <n v="4"/>
    <n v="2008"/>
    <n v="18.722491349480968"/>
  </r>
  <r>
    <x v="63"/>
    <n v="4"/>
    <n v="2008"/>
    <n v="1.7896193771626301"/>
  </r>
  <r>
    <x v="63"/>
    <n v="4"/>
    <n v="2008"/>
    <n v="0"/>
  </r>
  <r>
    <x v="63"/>
    <n v="4"/>
    <n v="2008"/>
    <n v="1.4512110726643599"/>
  </r>
  <r>
    <x v="63"/>
    <n v="4"/>
    <n v="2008"/>
    <n v="4.6401384083044981"/>
  </r>
  <r>
    <x v="63"/>
    <n v="4"/>
    <n v="2008"/>
    <n v="0.5017301038062284"/>
  </r>
  <r>
    <x v="63"/>
    <n v="4"/>
    <n v="2008"/>
    <n v="9.4186851211072664"/>
  </r>
  <r>
    <x v="63"/>
    <n v="4"/>
    <n v="2008"/>
    <n v="2.2588235294117642"/>
  </r>
  <r>
    <x v="63"/>
    <n v="4"/>
    <n v="2008"/>
    <n v="0"/>
  </r>
  <r>
    <x v="63"/>
    <n v="4"/>
    <n v="2008"/>
    <n v="0"/>
  </r>
  <r>
    <x v="63"/>
    <n v="4"/>
    <n v="2008"/>
    <n v="0"/>
  </r>
  <r>
    <x v="63"/>
    <n v="4"/>
    <n v="2008"/>
    <n v="0"/>
  </r>
  <r>
    <x v="63"/>
    <n v="4"/>
    <n v="2008"/>
    <n v="1.2913494809688584"/>
  </r>
  <r>
    <x v="63"/>
    <n v="4"/>
    <n v="2008"/>
    <n v="0.33910034602076122"/>
  </r>
  <r>
    <x v="63"/>
    <n v="4"/>
    <n v="2008"/>
    <n v="0.32387543252595158"/>
  </r>
  <r>
    <x v="63"/>
    <n v="4"/>
    <n v="2008"/>
    <n v="0"/>
  </r>
  <r>
    <x v="63"/>
    <n v="4"/>
    <n v="2008"/>
    <n v="14.196539792387544"/>
  </r>
  <r>
    <x v="63"/>
    <n v="4"/>
    <n v="2008"/>
    <n v="3.8262975778546711"/>
  </r>
  <r>
    <x v="63"/>
    <n v="4"/>
    <n v="2008"/>
    <n v="0.25813148788927337"/>
  </r>
  <r>
    <x v="63"/>
    <n v="4"/>
    <n v="2008"/>
    <n v="20.675432525951557"/>
  </r>
  <r>
    <x v="64"/>
    <n v="5"/>
    <n v="2008"/>
    <n v="1.7231833910034602"/>
  </r>
  <r>
    <x v="64"/>
    <n v="5"/>
    <n v="2008"/>
    <n v="0"/>
  </r>
  <r>
    <x v="64"/>
    <n v="5"/>
    <n v="2008"/>
    <n v="0"/>
  </r>
  <r>
    <x v="64"/>
    <n v="5"/>
    <n v="2008"/>
    <n v="10.404152249134947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.27612456747404845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.95501730103806237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.20207612456747404"/>
  </r>
  <r>
    <x v="64"/>
    <n v="5"/>
    <n v="2008"/>
    <n v="2.6477508650519033"/>
  </r>
  <r>
    <x v="64"/>
    <n v="5"/>
    <n v="2008"/>
    <n v="0.42076124567474044"/>
  </r>
  <r>
    <x v="64"/>
    <n v="5"/>
    <n v="2008"/>
    <n v="7.2380622837370243"/>
  </r>
  <r>
    <x v="64"/>
    <n v="5"/>
    <n v="2008"/>
    <n v="0"/>
  </r>
  <r>
    <x v="65"/>
    <n v="6"/>
    <n v="2008"/>
    <n v="6.7840830449826992"/>
  </r>
  <r>
    <x v="65"/>
    <n v="6"/>
    <n v="2008"/>
    <n v="0"/>
  </r>
  <r>
    <x v="65"/>
    <n v="6"/>
    <n v="2008"/>
    <n v="10.723875432525949"/>
  </r>
  <r>
    <x v="65"/>
    <n v="6"/>
    <n v="2008"/>
    <n v="0"/>
  </r>
  <r>
    <x v="65"/>
    <n v="6"/>
    <n v="2008"/>
    <n v="0"/>
  </r>
  <r>
    <x v="65"/>
    <n v="6"/>
    <n v="2008"/>
    <n v="0"/>
  </r>
  <r>
    <x v="65"/>
    <n v="6"/>
    <n v="2008"/>
    <n v="0.61384083044982707"/>
  </r>
  <r>
    <x v="65"/>
    <n v="6"/>
    <n v="2008"/>
    <n v="0"/>
  </r>
  <r>
    <x v="65"/>
    <n v="6"/>
    <n v="2008"/>
    <n v="0"/>
  </r>
  <r>
    <x v="65"/>
    <n v="6"/>
    <n v="2008"/>
    <n v="0"/>
  </r>
  <r>
    <x v="65"/>
    <n v="6"/>
    <n v="2008"/>
    <n v="5.6505190311418687"/>
  </r>
  <r>
    <x v="65"/>
    <n v="6"/>
    <n v="2008"/>
    <n v="0.27889273356401378"/>
  </r>
  <r>
    <x v="65"/>
    <n v="6"/>
    <n v="2008"/>
    <n v="0.76747404844290656"/>
  </r>
  <r>
    <x v="65"/>
    <n v="6"/>
    <n v="2008"/>
    <n v="0.21107266435986158"/>
  </r>
  <r>
    <x v="65"/>
    <n v="6"/>
    <n v="2008"/>
    <n v="0"/>
  </r>
  <r>
    <x v="65"/>
    <n v="6"/>
    <n v="2008"/>
    <n v="0"/>
  </r>
  <r>
    <x v="65"/>
    <n v="6"/>
    <n v="2008"/>
    <n v="0"/>
  </r>
  <r>
    <x v="65"/>
    <n v="6"/>
    <n v="2008"/>
    <n v="10.148788927335639"/>
  </r>
  <r>
    <x v="65"/>
    <n v="6"/>
    <n v="2008"/>
    <n v="2.966782006920416"/>
  </r>
  <r>
    <x v="65"/>
    <n v="6"/>
    <n v="2008"/>
    <n v="0.81522491349480974"/>
  </r>
  <r>
    <x v="65"/>
    <n v="6"/>
    <n v="2008"/>
    <n v="18.698269896193771"/>
  </r>
  <r>
    <x v="65"/>
    <n v="6"/>
    <n v="2008"/>
    <n v="7.4269896193771636"/>
  </r>
  <r>
    <x v="65"/>
    <n v="6"/>
    <n v="2008"/>
    <n v="1.1501730103806231"/>
  </r>
  <r>
    <x v="65"/>
    <n v="6"/>
    <n v="2008"/>
    <n v="5.0961937716262975"/>
  </r>
  <r>
    <x v="65"/>
    <n v="6"/>
    <n v="2008"/>
    <n v="1.9017301038062282"/>
  </r>
  <r>
    <x v="65"/>
    <n v="6"/>
    <n v="2008"/>
    <n v="2.5169550173010382"/>
  </r>
  <r>
    <x v="65"/>
    <n v="6"/>
    <n v="2008"/>
    <n v="4.3743944636678203"/>
  </r>
  <r>
    <x v="65"/>
    <n v="6"/>
    <n v="2008"/>
    <n v="0"/>
  </r>
  <r>
    <x v="65"/>
    <n v="6"/>
    <n v="2008"/>
    <n v="0.68027681660899653"/>
  </r>
  <r>
    <x v="65"/>
    <n v="6"/>
    <n v="2008"/>
    <n v="0"/>
  </r>
  <r>
    <x v="66"/>
    <n v="7"/>
    <n v="2008"/>
    <n v="1.8193771626297579"/>
  </r>
  <r>
    <x v="66"/>
    <n v="7"/>
    <n v="2008"/>
    <n v="2.027681660899654"/>
  </r>
  <r>
    <x v="66"/>
    <n v="7"/>
    <n v="2008"/>
    <n v="0.79100346020761247"/>
  </r>
  <r>
    <x v="66"/>
    <n v="7"/>
    <n v="2008"/>
    <n v="0"/>
  </r>
  <r>
    <x v="66"/>
    <n v="7"/>
    <n v="2008"/>
    <n v="14.533564013840829"/>
  </r>
  <r>
    <x v="66"/>
    <n v="7"/>
    <n v="2008"/>
    <n v="1.0865051903114189"/>
  </r>
  <r>
    <x v="66"/>
    <n v="7"/>
    <n v="2008"/>
    <n v="6.7058823529411766"/>
  </r>
  <r>
    <x v="66"/>
    <n v="7"/>
    <n v="2008"/>
    <n v="0.94809688581314866"/>
  </r>
  <r>
    <x v="66"/>
    <n v="7"/>
    <n v="2008"/>
    <n v="7.9564013840830441"/>
  </r>
  <r>
    <x v="66"/>
    <n v="7"/>
    <n v="2008"/>
    <n v="18.829757785467134"/>
  </r>
  <r>
    <x v="66"/>
    <n v="7"/>
    <n v="2008"/>
    <n v="4.5114186851211064"/>
  </r>
  <r>
    <x v="66"/>
    <n v="7"/>
    <n v="2008"/>
    <n v="1.1155709342560554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6.8"/>
  </r>
  <r>
    <x v="66"/>
    <n v="7"/>
    <n v="2008"/>
    <n v="1.6435986159169549"/>
  </r>
  <r>
    <x v="66"/>
    <n v="7"/>
    <n v="2008"/>
    <n v="2.3363321799307957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11.698961937716263"/>
  </r>
  <r>
    <x v="67"/>
    <n v="8"/>
    <n v="2008"/>
    <n v="21.826989619377159"/>
  </r>
  <r>
    <x v="67"/>
    <n v="8"/>
    <n v="2008"/>
    <n v="2.3342560553633223"/>
  </r>
  <r>
    <x v="67"/>
    <n v="8"/>
    <n v="2008"/>
    <n v="0.49273356401384083"/>
  </r>
  <r>
    <x v="67"/>
    <n v="8"/>
    <n v="2008"/>
    <n v="5.7107266435986155"/>
  </r>
  <r>
    <x v="67"/>
    <n v="8"/>
    <n v="2008"/>
    <n v="1.273356401384083"/>
  </r>
  <r>
    <x v="67"/>
    <n v="8"/>
    <n v="2008"/>
    <n v="11.913494809688581"/>
  </r>
  <r>
    <x v="67"/>
    <n v="8"/>
    <n v="2008"/>
    <n v="3.4429065743944638"/>
  </r>
  <r>
    <x v="67"/>
    <n v="8"/>
    <n v="2008"/>
    <n v="0.42768166089965398"/>
  </r>
  <r>
    <x v="67"/>
    <n v="8"/>
    <n v="2008"/>
    <n v="5.8941176470588239"/>
  </r>
  <r>
    <x v="67"/>
    <n v="8"/>
    <n v="2008"/>
    <n v="5.9480968858131495"/>
  </r>
  <r>
    <x v="67"/>
    <n v="8"/>
    <n v="2008"/>
    <n v="0.65121107266435985"/>
  </r>
  <r>
    <x v="67"/>
    <n v="8"/>
    <n v="2008"/>
    <n v="4.7965397923875432"/>
  </r>
  <r>
    <x v="67"/>
    <n v="8"/>
    <n v="2008"/>
    <n v="21.229757785467125"/>
  </r>
  <r>
    <x v="67"/>
    <n v="8"/>
    <n v="2008"/>
    <n v="4.2262975778546714"/>
  </r>
  <r>
    <x v="67"/>
    <n v="8"/>
    <n v="2008"/>
    <n v="0"/>
  </r>
  <r>
    <x v="67"/>
    <n v="8"/>
    <n v="2008"/>
    <n v="0.93633217993079598"/>
  </r>
  <r>
    <x v="67"/>
    <n v="8"/>
    <n v="2008"/>
    <n v="8.0103806228373688"/>
  </r>
  <r>
    <x v="67"/>
    <n v="8"/>
    <n v="2008"/>
    <n v="5.5840830449826973"/>
  </r>
  <r>
    <x v="67"/>
    <n v="8"/>
    <n v="2008"/>
    <n v="6.2830449826989607"/>
  </r>
  <r>
    <x v="67"/>
    <n v="8"/>
    <n v="2008"/>
    <n v="4.0290657439446376"/>
  </r>
  <r>
    <x v="67"/>
    <n v="8"/>
    <n v="2008"/>
    <n v="0.20207612456747406"/>
  </r>
  <r>
    <x v="67"/>
    <n v="8"/>
    <n v="2008"/>
    <n v="3.956401384083045"/>
  </r>
  <r>
    <x v="67"/>
    <n v="8"/>
    <n v="2008"/>
    <n v="0"/>
  </r>
  <r>
    <x v="67"/>
    <n v="8"/>
    <n v="2008"/>
    <n v="0.83529411764705885"/>
  </r>
  <r>
    <x v="67"/>
    <n v="8"/>
    <n v="2008"/>
    <n v="1.1564013840830449"/>
  </r>
  <r>
    <x v="67"/>
    <n v="8"/>
    <n v="2008"/>
    <n v="1.0193771626297579"/>
  </r>
  <r>
    <x v="67"/>
    <n v="8"/>
    <n v="2008"/>
    <n v="0"/>
  </r>
  <r>
    <x v="67"/>
    <n v="8"/>
    <n v="2008"/>
    <n v="0"/>
  </r>
  <r>
    <x v="67"/>
    <n v="8"/>
    <n v="2008"/>
    <n v="0"/>
  </r>
  <r>
    <x v="67"/>
    <n v="8"/>
    <n v="2008"/>
    <n v="0"/>
  </r>
  <r>
    <x v="67"/>
    <n v="8"/>
    <n v="2008"/>
    <n v="1.7854671280276819"/>
  </r>
  <r>
    <x v="68"/>
    <n v="9"/>
    <n v="2008"/>
    <n v="0"/>
  </r>
  <r>
    <x v="68"/>
    <n v="9"/>
    <n v="2008"/>
    <n v="2.568166089965398"/>
  </r>
  <r>
    <x v="68"/>
    <n v="9"/>
    <n v="2008"/>
    <n v="6.5958477508650528"/>
  </r>
  <r>
    <x v="68"/>
    <n v="9"/>
    <n v="2008"/>
    <n v="0.43460207612456747"/>
  </r>
  <r>
    <x v="68"/>
    <n v="9"/>
    <n v="2008"/>
    <n v="31.366782006920417"/>
  </r>
  <r>
    <x v="68"/>
    <n v="9"/>
    <n v="2008"/>
    <n v="79.879584775086514"/>
  </r>
  <r>
    <x v="68"/>
    <n v="9"/>
    <n v="2008"/>
    <n v="12.582698961937716"/>
  </r>
  <r>
    <x v="68"/>
    <n v="9"/>
    <n v="2008"/>
    <n v="0.27197231833910035"/>
  </r>
  <r>
    <x v="68"/>
    <n v="9"/>
    <n v="2008"/>
    <n v="8.253979238754324"/>
  </r>
  <r>
    <x v="68"/>
    <n v="9"/>
    <n v="2008"/>
    <n v="0"/>
  </r>
  <r>
    <x v="68"/>
    <n v="9"/>
    <n v="2008"/>
    <n v="0.43806228373702427"/>
  </r>
  <r>
    <x v="68"/>
    <n v="9"/>
    <n v="2008"/>
    <n v="8.1356401384083039"/>
  </r>
  <r>
    <x v="68"/>
    <n v="9"/>
    <n v="2008"/>
    <n v="6.1266435986159182"/>
  </r>
  <r>
    <x v="68"/>
    <n v="9"/>
    <n v="2008"/>
    <n v="0"/>
  </r>
  <r>
    <x v="68"/>
    <n v="9"/>
    <n v="2008"/>
    <n v="0.4830449826989619"/>
  </r>
  <r>
    <x v="68"/>
    <n v="9"/>
    <n v="2008"/>
    <n v="4.5937716262975776"/>
  </r>
  <r>
    <x v="68"/>
    <n v="9"/>
    <n v="2008"/>
    <n v="0.81591695501730099"/>
  </r>
  <r>
    <x v="68"/>
    <n v="9"/>
    <n v="2008"/>
    <n v="0"/>
  </r>
  <r>
    <x v="68"/>
    <n v="9"/>
    <n v="2008"/>
    <n v="0.88927335640138405"/>
  </r>
  <r>
    <x v="68"/>
    <n v="9"/>
    <n v="2008"/>
    <n v="0"/>
  </r>
  <r>
    <x v="68"/>
    <n v="9"/>
    <n v="2008"/>
    <n v="0"/>
  </r>
  <r>
    <x v="68"/>
    <n v="9"/>
    <n v="2008"/>
    <n v="1.1370242214532873"/>
  </r>
  <r>
    <x v="68"/>
    <n v="9"/>
    <n v="2008"/>
    <n v="1.2422145328719725"/>
  </r>
  <r>
    <x v="68"/>
    <n v="9"/>
    <n v="2008"/>
    <n v="0"/>
  </r>
  <r>
    <x v="68"/>
    <n v="9"/>
    <n v="2008"/>
    <n v="0"/>
  </r>
  <r>
    <x v="68"/>
    <n v="9"/>
    <n v="2008"/>
    <n v="0"/>
  </r>
  <r>
    <x v="68"/>
    <n v="9"/>
    <n v="2008"/>
    <n v="0"/>
  </r>
  <r>
    <x v="68"/>
    <n v="9"/>
    <n v="2008"/>
    <n v="0.20207612456747406"/>
  </r>
  <r>
    <x v="68"/>
    <n v="9"/>
    <n v="2008"/>
    <n v="0.74325259515570929"/>
  </r>
  <r>
    <x v="68"/>
    <n v="9"/>
    <n v="2008"/>
    <n v="6.0844290657439455"/>
  </r>
  <r>
    <x v="69"/>
    <n v="10"/>
    <n v="2008"/>
    <n v="2.7425605536332176"/>
  </r>
  <r>
    <x v="69"/>
    <n v="10"/>
    <n v="2008"/>
    <n v="6.5702422145328727"/>
  </r>
  <r>
    <x v="69"/>
    <n v="10"/>
    <n v="2008"/>
    <n v="0"/>
  </r>
  <r>
    <x v="69"/>
    <n v="10"/>
    <n v="2008"/>
    <n v="6.1217993079584776"/>
  </r>
  <r>
    <x v="69"/>
    <n v="10"/>
    <n v="2008"/>
    <n v="0"/>
  </r>
  <r>
    <x v="69"/>
    <n v="10"/>
    <n v="2008"/>
    <n v="0"/>
  </r>
  <r>
    <x v="69"/>
    <n v="10"/>
    <n v="2008"/>
    <n v="2.5418685121107272"/>
  </r>
  <r>
    <x v="69"/>
    <n v="10"/>
    <n v="2008"/>
    <n v="0"/>
  </r>
  <r>
    <x v="69"/>
    <n v="10"/>
    <n v="2008"/>
    <n v="0.33148788927335637"/>
  </r>
  <r>
    <x v="69"/>
    <n v="10"/>
    <n v="2008"/>
    <n v="6.3743944636678194"/>
  </r>
  <r>
    <x v="69"/>
    <n v="10"/>
    <n v="2008"/>
    <n v="0"/>
  </r>
  <r>
    <x v="69"/>
    <n v="10"/>
    <n v="2008"/>
    <n v="0"/>
  </r>
  <r>
    <x v="69"/>
    <n v="10"/>
    <n v="2008"/>
    <n v="0"/>
  </r>
  <r>
    <x v="69"/>
    <n v="10"/>
    <n v="2008"/>
    <n v="7.6131487889273348"/>
  </r>
  <r>
    <x v="69"/>
    <n v="10"/>
    <n v="2008"/>
    <n v="0"/>
  </r>
  <r>
    <x v="69"/>
    <n v="10"/>
    <n v="2008"/>
    <n v="0"/>
  </r>
  <r>
    <x v="69"/>
    <n v="10"/>
    <n v="2008"/>
    <n v="1.5799307958477509"/>
  </r>
  <r>
    <x v="69"/>
    <n v="10"/>
    <n v="2008"/>
    <n v="2.9619377162629759"/>
  </r>
  <r>
    <x v="69"/>
    <n v="10"/>
    <n v="2008"/>
    <n v="0.21107266435986161"/>
  </r>
  <r>
    <x v="69"/>
    <n v="10"/>
    <n v="2008"/>
    <n v="2.9667820069204152"/>
  </r>
  <r>
    <x v="69"/>
    <n v="10"/>
    <n v="2008"/>
    <n v="1.0062283737024222"/>
  </r>
  <r>
    <x v="69"/>
    <n v="10"/>
    <n v="2008"/>
    <n v="0"/>
  </r>
  <r>
    <x v="69"/>
    <n v="10"/>
    <n v="2008"/>
    <n v="0.23598615916955018"/>
  </r>
  <r>
    <x v="69"/>
    <n v="10"/>
    <n v="2008"/>
    <n v="0"/>
  </r>
  <r>
    <x v="69"/>
    <n v="10"/>
    <n v="2008"/>
    <n v="2.966089965397924"/>
  </r>
  <r>
    <x v="69"/>
    <n v="10"/>
    <n v="2008"/>
    <n v="5.3764705882352954"/>
  </r>
  <r>
    <x v="69"/>
    <n v="10"/>
    <n v="2008"/>
    <n v="0"/>
  </r>
  <r>
    <x v="69"/>
    <n v="10"/>
    <n v="2008"/>
    <n v="0"/>
  </r>
  <r>
    <x v="69"/>
    <n v="10"/>
    <n v="2008"/>
    <n v="0"/>
  </r>
  <r>
    <x v="69"/>
    <n v="10"/>
    <n v="2008"/>
    <n v="2.341868512110727"/>
  </r>
  <r>
    <x v="69"/>
    <n v="10"/>
    <n v="2008"/>
    <n v="12.966782006920416"/>
  </r>
  <r>
    <x v="70"/>
    <n v="11"/>
    <n v="2008"/>
    <n v="1.8671280276816609"/>
  </r>
  <r>
    <x v="70"/>
    <n v="11"/>
    <n v="2008"/>
    <n v="0"/>
  </r>
  <r>
    <x v="70"/>
    <n v="11"/>
    <n v="2008"/>
    <n v="0.67128027681660907"/>
  </r>
  <r>
    <x v="70"/>
    <n v="11"/>
    <n v="2008"/>
    <n v="0"/>
  </r>
  <r>
    <x v="70"/>
    <n v="11"/>
    <n v="2008"/>
    <n v="1.152249134948097"/>
  </r>
  <r>
    <x v="70"/>
    <n v="11"/>
    <n v="2008"/>
    <n v="4.9591695501730104"/>
  </r>
  <r>
    <x v="70"/>
    <n v="11"/>
    <n v="2008"/>
    <n v="1.0470588235294118"/>
  </r>
  <r>
    <x v="70"/>
    <n v="11"/>
    <n v="2008"/>
    <n v="4.1280276816608996"/>
  </r>
  <r>
    <x v="70"/>
    <n v="11"/>
    <n v="2008"/>
    <n v="12.238754325259515"/>
  </r>
  <r>
    <x v="70"/>
    <n v="11"/>
    <n v="2008"/>
    <n v="5.7342560553633213"/>
  </r>
  <r>
    <x v="70"/>
    <n v="11"/>
    <n v="2008"/>
    <n v="1.3425605536332179"/>
  </r>
  <r>
    <x v="70"/>
    <n v="11"/>
    <n v="2008"/>
    <n v="0"/>
  </r>
  <r>
    <x v="70"/>
    <n v="11"/>
    <n v="2008"/>
    <n v="2.4823529411764707"/>
  </r>
  <r>
    <x v="70"/>
    <n v="11"/>
    <n v="2008"/>
    <n v="0"/>
  </r>
  <r>
    <x v="70"/>
    <n v="11"/>
    <n v="2008"/>
    <n v="1.1003460207612457"/>
  </r>
  <r>
    <x v="70"/>
    <n v="11"/>
    <n v="2008"/>
    <n v="0"/>
  </r>
  <r>
    <x v="70"/>
    <n v="11"/>
    <n v="2008"/>
    <n v="2.4802768166089963"/>
  </r>
  <r>
    <x v="70"/>
    <n v="11"/>
    <n v="2008"/>
    <n v="1.0041522491349482"/>
  </r>
  <r>
    <x v="70"/>
    <n v="11"/>
    <n v="2008"/>
    <n v="0"/>
  </r>
  <r>
    <x v="70"/>
    <n v="11"/>
    <n v="2008"/>
    <n v="0"/>
  </r>
  <r>
    <x v="70"/>
    <n v="11"/>
    <n v="2008"/>
    <n v="1.2588235294117647"/>
  </r>
  <r>
    <x v="70"/>
    <n v="11"/>
    <n v="2008"/>
    <n v="0"/>
  </r>
  <r>
    <x v="70"/>
    <n v="11"/>
    <n v="2008"/>
    <n v="2.9833910034602078"/>
  </r>
  <r>
    <x v="70"/>
    <n v="11"/>
    <n v="2008"/>
    <n v="7.0221453287197244"/>
  </r>
  <r>
    <x v="70"/>
    <n v="11"/>
    <n v="2008"/>
    <n v="0.87058823529411766"/>
  </r>
  <r>
    <x v="70"/>
    <n v="11"/>
    <n v="2008"/>
    <n v="0.34602076124567471"/>
  </r>
  <r>
    <x v="70"/>
    <n v="11"/>
    <n v="2008"/>
    <n v="1.3494809688581315"/>
  </r>
  <r>
    <x v="70"/>
    <n v="11"/>
    <n v="2008"/>
    <n v="1.5494809688581317"/>
  </r>
  <r>
    <x v="70"/>
    <n v="11"/>
    <n v="2008"/>
    <n v="0"/>
  </r>
  <r>
    <x v="70"/>
    <n v="11"/>
    <n v="2008"/>
    <n v="0"/>
  </r>
  <r>
    <x v="71"/>
    <n v="12"/>
    <n v="2008"/>
    <n v="5.2657439446366778"/>
  </r>
  <r>
    <x v="71"/>
    <n v="12"/>
    <n v="2008"/>
    <n v="0.54186851211072662"/>
  </r>
  <r>
    <x v="71"/>
    <n v="12"/>
    <n v="2008"/>
    <n v="0.7820069204152249"/>
  </r>
  <r>
    <x v="71"/>
    <n v="12"/>
    <n v="2008"/>
    <n v="2.8823529411764701"/>
  </r>
  <r>
    <x v="71"/>
    <n v="12"/>
    <n v="2008"/>
    <n v="7.8643598615916943"/>
  </r>
  <r>
    <x v="71"/>
    <n v="12"/>
    <n v="2008"/>
    <n v="0.73079584775086492"/>
  </r>
  <r>
    <x v="71"/>
    <n v="12"/>
    <n v="2008"/>
    <n v="0.35017301038062287"/>
  </r>
  <r>
    <x v="71"/>
    <n v="12"/>
    <n v="2008"/>
    <n v="0.42906574394463665"/>
  </r>
  <r>
    <x v="71"/>
    <n v="12"/>
    <n v="2008"/>
    <n v="0"/>
  </r>
  <r>
    <x v="71"/>
    <n v="12"/>
    <n v="2008"/>
    <n v="0.88927335640138405"/>
  </r>
  <r>
    <x v="71"/>
    <n v="12"/>
    <n v="2008"/>
    <n v="1.5162629757785471"/>
  </r>
  <r>
    <x v="71"/>
    <n v="12"/>
    <n v="2008"/>
    <n v="0.55017301038062283"/>
  </r>
  <r>
    <x v="71"/>
    <n v="12"/>
    <n v="2008"/>
    <n v="12.997923875432528"/>
  </r>
  <r>
    <x v="71"/>
    <n v="12"/>
    <n v="2008"/>
    <n v="3.5660899653979241"/>
  </r>
  <r>
    <x v="71"/>
    <n v="12"/>
    <n v="2008"/>
    <n v="3.783391003460209"/>
  </r>
  <r>
    <x v="71"/>
    <n v="12"/>
    <n v="2008"/>
    <n v="0.60622837370242211"/>
  </r>
  <r>
    <x v="71"/>
    <n v="12"/>
    <n v="2008"/>
    <n v="0.97716262975778556"/>
  </r>
  <r>
    <x v="71"/>
    <n v="12"/>
    <n v="2008"/>
    <n v="2.8581314878892736"/>
  </r>
  <r>
    <x v="71"/>
    <n v="12"/>
    <n v="2008"/>
    <n v="5.9176470588235288"/>
  </r>
  <r>
    <x v="71"/>
    <n v="12"/>
    <n v="2008"/>
    <n v="1.0242214532871972"/>
  </r>
  <r>
    <x v="71"/>
    <n v="12"/>
    <n v="2008"/>
    <n v="0.96539792387543255"/>
  </r>
  <r>
    <x v="71"/>
    <n v="12"/>
    <n v="2008"/>
    <n v="0"/>
  </r>
  <r>
    <x v="71"/>
    <n v="12"/>
    <n v="2008"/>
    <n v="0"/>
  </r>
  <r>
    <x v="71"/>
    <n v="12"/>
    <n v="2008"/>
    <n v="0"/>
  </r>
  <r>
    <x v="71"/>
    <n v="12"/>
    <n v="2008"/>
    <n v="0"/>
  </r>
  <r>
    <x v="71"/>
    <n v="12"/>
    <n v="2008"/>
    <n v="0"/>
  </r>
  <r>
    <x v="71"/>
    <n v="12"/>
    <n v="2008"/>
    <n v="0"/>
  </r>
  <r>
    <x v="71"/>
    <n v="12"/>
    <n v="2008"/>
    <n v="0.32802768166089963"/>
  </r>
  <r>
    <x v="71"/>
    <n v="12"/>
    <n v="2008"/>
    <n v="0.52525951557093431"/>
  </r>
  <r>
    <x v="71"/>
    <n v="12"/>
    <n v="2008"/>
    <n v="0"/>
  </r>
  <r>
    <x v="71"/>
    <n v="12"/>
    <n v="2008"/>
    <n v="0"/>
  </r>
  <r>
    <x v="72"/>
    <n v="1"/>
    <n v="2009"/>
    <n v="1.7121107266435986"/>
  </r>
  <r>
    <x v="72"/>
    <n v="1"/>
    <n v="2009"/>
    <n v="1.7910034602076121"/>
  </r>
  <r>
    <x v="72"/>
    <n v="1"/>
    <n v="2009"/>
    <n v="0"/>
  </r>
  <r>
    <x v="72"/>
    <n v="1"/>
    <n v="2009"/>
    <n v="1.9079584775086504"/>
  </r>
  <r>
    <x v="72"/>
    <n v="1"/>
    <n v="2009"/>
    <n v="0.34117647058823525"/>
  </r>
  <r>
    <x v="72"/>
    <n v="1"/>
    <n v="2009"/>
    <n v="0"/>
  </r>
  <r>
    <x v="72"/>
    <n v="1"/>
    <n v="2009"/>
    <n v="2.570934256055363"/>
  </r>
  <r>
    <x v="72"/>
    <n v="1"/>
    <n v="2009"/>
    <n v="0"/>
  </r>
  <r>
    <x v="72"/>
    <n v="1"/>
    <n v="2009"/>
    <n v="0"/>
  </r>
  <r>
    <x v="72"/>
    <n v="1"/>
    <n v="2009"/>
    <n v="0.53910034602076129"/>
  </r>
  <r>
    <x v="72"/>
    <n v="1"/>
    <n v="2009"/>
    <n v="3.0664359861591697"/>
  </r>
  <r>
    <x v="72"/>
    <n v="1"/>
    <n v="2009"/>
    <n v="3.5273356401384084"/>
  </r>
  <r>
    <x v="72"/>
    <n v="1"/>
    <n v="2009"/>
    <n v="0"/>
  </r>
  <r>
    <x v="72"/>
    <n v="1"/>
    <n v="2009"/>
    <n v="5.6498269896193776"/>
  </r>
  <r>
    <x v="72"/>
    <n v="1"/>
    <n v="2009"/>
    <n v="3.3501730103806224"/>
  </r>
  <r>
    <x v="72"/>
    <n v="1"/>
    <n v="2009"/>
    <n v="0.20207612456747404"/>
  </r>
  <r>
    <x v="72"/>
    <n v="1"/>
    <n v="2009"/>
    <n v="2.8629757785467125"/>
  </r>
  <r>
    <x v="72"/>
    <n v="1"/>
    <n v="2009"/>
    <n v="3.202076124567474"/>
  </r>
  <r>
    <x v="72"/>
    <n v="1"/>
    <n v="2009"/>
    <n v="3.3093425605536333"/>
  </r>
  <r>
    <x v="72"/>
    <n v="1"/>
    <n v="2009"/>
    <n v="5.3840830449826997"/>
  </r>
  <r>
    <x v="72"/>
    <n v="1"/>
    <n v="2009"/>
    <n v="0.52318339100346023"/>
  </r>
  <r>
    <x v="72"/>
    <n v="1"/>
    <n v="2009"/>
    <n v="5.6069204152249137"/>
  </r>
  <r>
    <x v="72"/>
    <n v="1"/>
    <n v="2009"/>
    <n v="4.7065743944636687"/>
  </r>
  <r>
    <x v="72"/>
    <n v="1"/>
    <n v="2009"/>
    <n v="0"/>
  </r>
  <r>
    <x v="72"/>
    <n v="1"/>
    <n v="2009"/>
    <n v="5.6961937716262971"/>
  </r>
  <r>
    <x v="72"/>
    <n v="1"/>
    <n v="2009"/>
    <n v="0"/>
  </r>
  <r>
    <x v="72"/>
    <n v="1"/>
    <n v="2009"/>
    <n v="0.298961937716263"/>
  </r>
  <r>
    <x v="72"/>
    <n v="1"/>
    <n v="2009"/>
    <n v="0.38200692041522488"/>
  </r>
  <r>
    <x v="72"/>
    <n v="1"/>
    <n v="2009"/>
    <n v="0"/>
  </r>
  <r>
    <x v="72"/>
    <n v="1"/>
    <n v="2009"/>
    <n v="2.6809688581314881"/>
  </r>
  <r>
    <x v="72"/>
    <n v="1"/>
    <n v="2009"/>
    <n v="0"/>
  </r>
  <r>
    <x v="73"/>
    <n v="2"/>
    <n v="2009"/>
    <n v="0"/>
  </r>
  <r>
    <x v="73"/>
    <n v="2"/>
    <n v="2009"/>
    <n v="4.4048442906574401"/>
  </r>
  <r>
    <x v="73"/>
    <n v="2"/>
    <n v="2009"/>
    <n v="21.703806228373704"/>
  </r>
  <r>
    <x v="73"/>
    <n v="2"/>
    <n v="2009"/>
    <n v="0.30311418685121105"/>
  </r>
  <r>
    <x v="73"/>
    <n v="2"/>
    <n v="2009"/>
    <n v="0.20899653979238753"/>
  </r>
  <r>
    <x v="73"/>
    <n v="2"/>
    <n v="2009"/>
    <n v="0.3522491349480969"/>
  </r>
  <r>
    <x v="73"/>
    <n v="2"/>
    <n v="2009"/>
    <n v="3.9993079584775089"/>
  </r>
  <r>
    <x v="73"/>
    <n v="2"/>
    <n v="2009"/>
    <n v="0.30311418685121105"/>
  </r>
  <r>
    <x v="73"/>
    <n v="2"/>
    <n v="2009"/>
    <n v="0.58685121107266436"/>
  </r>
  <r>
    <x v="73"/>
    <n v="2"/>
    <n v="2009"/>
    <n v="0.77093425605536325"/>
  </r>
  <r>
    <x v="73"/>
    <n v="2"/>
    <n v="2009"/>
    <n v="0.2069204152249135"/>
  </r>
  <r>
    <x v="73"/>
    <n v="2"/>
    <n v="2009"/>
    <n v="4.1467128027681666"/>
  </r>
  <r>
    <x v="73"/>
    <n v="2"/>
    <n v="2009"/>
    <n v="0"/>
  </r>
  <r>
    <x v="73"/>
    <n v="2"/>
    <n v="2009"/>
    <n v="7.0726643598615926"/>
  </r>
  <r>
    <x v="73"/>
    <n v="2"/>
    <n v="2009"/>
    <n v="0"/>
  </r>
  <r>
    <x v="73"/>
    <n v="2"/>
    <n v="2009"/>
    <n v="0.74878892733564006"/>
  </r>
  <r>
    <x v="73"/>
    <n v="2"/>
    <n v="2009"/>
    <n v="0"/>
  </r>
  <r>
    <x v="73"/>
    <n v="2"/>
    <n v="2009"/>
    <n v="0.31280276816608993"/>
  </r>
  <r>
    <x v="73"/>
    <n v="2"/>
    <n v="2009"/>
    <n v="0"/>
  </r>
  <r>
    <x v="73"/>
    <n v="2"/>
    <n v="2009"/>
    <n v="1.2089965397923876"/>
  </r>
  <r>
    <x v="73"/>
    <n v="2"/>
    <n v="2009"/>
    <n v="0"/>
  </r>
  <r>
    <x v="73"/>
    <n v="2"/>
    <n v="2009"/>
    <n v="1.0013840830449827"/>
  </r>
  <r>
    <x v="73"/>
    <n v="2"/>
    <n v="2009"/>
    <n v="2.1854671280276818"/>
  </r>
  <r>
    <x v="73"/>
    <n v="2"/>
    <n v="2009"/>
    <n v="0"/>
  </r>
  <r>
    <x v="73"/>
    <n v="2"/>
    <n v="2009"/>
    <n v="0"/>
  </r>
  <r>
    <x v="73"/>
    <n v="2"/>
    <n v="2009"/>
    <n v="0.39100346020761245"/>
  </r>
  <r>
    <x v="73"/>
    <n v="2"/>
    <n v="2009"/>
    <n v="0.49411764705882355"/>
  </r>
  <r>
    <x v="73"/>
    <n v="2"/>
    <n v="2009"/>
    <n v="0"/>
  </r>
  <r>
    <x v="74"/>
    <n v="3"/>
    <n v="2009"/>
    <n v="0"/>
  </r>
  <r>
    <x v="74"/>
    <n v="3"/>
    <n v="2009"/>
    <n v="1.5605536332179932"/>
  </r>
  <r>
    <x v="74"/>
    <n v="3"/>
    <n v="2009"/>
    <n v="2.1121107266435986"/>
  </r>
  <r>
    <x v="74"/>
    <n v="3"/>
    <n v="2009"/>
    <n v="0.31487889273356395"/>
  </r>
  <r>
    <x v="74"/>
    <n v="3"/>
    <n v="2009"/>
    <n v="3.0200692041522492"/>
  </r>
  <r>
    <x v="74"/>
    <n v="3"/>
    <n v="2009"/>
    <n v="0"/>
  </r>
  <r>
    <x v="74"/>
    <n v="3"/>
    <n v="2009"/>
    <n v="7.5224913494809682"/>
  </r>
  <r>
    <x v="74"/>
    <n v="3"/>
    <n v="2009"/>
    <n v="1.4913494809688583"/>
  </r>
  <r>
    <x v="74"/>
    <n v="3"/>
    <n v="2009"/>
    <n v="0.57923875432525951"/>
  </r>
  <r>
    <x v="74"/>
    <n v="3"/>
    <n v="2009"/>
    <n v="0.22076124567474048"/>
  </r>
  <r>
    <x v="74"/>
    <n v="3"/>
    <n v="2009"/>
    <n v="0"/>
  </r>
  <r>
    <x v="74"/>
    <n v="3"/>
    <n v="2009"/>
    <n v="0.80830449826989625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1.6394463667820072"/>
  </r>
  <r>
    <x v="74"/>
    <n v="3"/>
    <n v="2009"/>
    <n v="1.0622837370242215"/>
  </r>
  <r>
    <x v="74"/>
    <n v="3"/>
    <n v="2009"/>
    <n v="0"/>
  </r>
  <r>
    <x v="74"/>
    <n v="3"/>
    <n v="2009"/>
    <n v="2.1404844290657441"/>
  </r>
  <r>
    <x v="74"/>
    <n v="3"/>
    <n v="2009"/>
    <n v="4.2802768166089962"/>
  </r>
  <r>
    <x v="74"/>
    <n v="3"/>
    <n v="2009"/>
    <n v="6.4678200692041523"/>
  </r>
  <r>
    <x v="74"/>
    <n v="3"/>
    <n v="2009"/>
    <n v="0"/>
  </r>
  <r>
    <x v="74"/>
    <n v="3"/>
    <n v="2009"/>
    <n v="0.39515570934256056"/>
  </r>
  <r>
    <x v="74"/>
    <n v="3"/>
    <n v="2009"/>
    <n v="0"/>
  </r>
  <r>
    <x v="75"/>
    <n v="4"/>
    <n v="2009"/>
    <n v="0"/>
  </r>
  <r>
    <x v="75"/>
    <n v="4"/>
    <n v="2009"/>
    <n v="0"/>
  </r>
  <r>
    <x v="75"/>
    <n v="4"/>
    <n v="2009"/>
    <n v="0.21107266435986161"/>
  </r>
  <r>
    <x v="75"/>
    <n v="4"/>
    <n v="2009"/>
    <n v="0"/>
  </r>
  <r>
    <x v="75"/>
    <n v="4"/>
    <n v="2009"/>
    <n v="0"/>
  </r>
  <r>
    <x v="75"/>
    <n v="4"/>
    <n v="2009"/>
    <n v="2.1813148788927332"/>
  </r>
  <r>
    <x v="75"/>
    <n v="4"/>
    <n v="2009"/>
    <n v="0.27612456747404845"/>
  </r>
  <r>
    <x v="75"/>
    <n v="4"/>
    <n v="2009"/>
    <n v="3.5619377162629755"/>
  </r>
  <r>
    <x v="75"/>
    <n v="4"/>
    <n v="2009"/>
    <n v="1.8159169550173011"/>
  </r>
  <r>
    <x v="75"/>
    <n v="4"/>
    <n v="2009"/>
    <n v="1.7391003460207615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4.9626297577854688"/>
  </r>
  <r>
    <x v="75"/>
    <n v="4"/>
    <n v="2009"/>
    <n v="16.555709342560554"/>
  </r>
  <r>
    <x v="75"/>
    <n v="4"/>
    <n v="2009"/>
    <n v="5.429065743944637"/>
  </r>
  <r>
    <x v="75"/>
    <n v="4"/>
    <n v="2009"/>
    <n v="3.3681660899653982"/>
  </r>
  <r>
    <x v="76"/>
    <n v="5"/>
    <n v="2009"/>
    <n v="2.108650519031142"/>
  </r>
  <r>
    <x v="76"/>
    <n v="5"/>
    <n v="2009"/>
    <n v="0"/>
  </r>
  <r>
    <x v="76"/>
    <n v="5"/>
    <n v="2009"/>
    <n v="1.1162629757785467"/>
  </r>
  <r>
    <x v="76"/>
    <n v="5"/>
    <n v="2009"/>
    <n v="1.2110726643598617"/>
  </r>
  <r>
    <x v="76"/>
    <n v="5"/>
    <n v="2009"/>
    <n v="3.9307958477508653"/>
  </r>
  <r>
    <x v="76"/>
    <n v="5"/>
    <n v="2009"/>
    <n v="3.3183391003460203"/>
  </r>
  <r>
    <x v="76"/>
    <n v="5"/>
    <n v="2009"/>
    <n v="0.78131487889273354"/>
  </r>
  <r>
    <x v="76"/>
    <n v="5"/>
    <n v="2009"/>
    <n v="2.1806228373702417"/>
  </r>
  <r>
    <x v="76"/>
    <n v="5"/>
    <n v="2009"/>
    <n v="1.8532871972318339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11.761245674740485"/>
  </r>
  <r>
    <x v="76"/>
    <n v="5"/>
    <n v="2009"/>
    <n v="6.6470588235294112"/>
  </r>
  <r>
    <x v="76"/>
    <n v="5"/>
    <n v="2009"/>
    <n v="4.9404844290657444"/>
  </r>
  <r>
    <x v="76"/>
    <n v="5"/>
    <n v="2009"/>
    <n v="0.77716262975778549"/>
  </r>
  <r>
    <x v="76"/>
    <n v="5"/>
    <n v="2009"/>
    <n v="0.59861591695501737"/>
  </r>
  <r>
    <x v="76"/>
    <n v="5"/>
    <n v="2009"/>
    <n v="2.3238754325259516"/>
  </r>
  <r>
    <x v="76"/>
    <n v="5"/>
    <n v="2009"/>
    <n v="2.7038062283737023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.52318339100346023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"/>
  </r>
  <r>
    <x v="77"/>
    <n v="6"/>
    <n v="2009"/>
    <n v="0"/>
  </r>
  <r>
    <x v="77"/>
    <n v="6"/>
    <n v="2009"/>
    <n v="0"/>
  </r>
  <r>
    <x v="77"/>
    <n v="6"/>
    <n v="2009"/>
    <n v="0"/>
  </r>
  <r>
    <x v="77"/>
    <n v="6"/>
    <n v="2009"/>
    <n v="0"/>
  </r>
  <r>
    <x v="77"/>
    <n v="6"/>
    <n v="2009"/>
    <n v="6.0830449826989623"/>
  </r>
  <r>
    <x v="77"/>
    <n v="6"/>
    <n v="2009"/>
    <n v="3.2484429065743941"/>
  </r>
  <r>
    <x v="77"/>
    <n v="6"/>
    <n v="2009"/>
    <n v="3.1411764705882352"/>
  </r>
  <r>
    <x v="77"/>
    <n v="6"/>
    <n v="2009"/>
    <n v="0"/>
  </r>
  <r>
    <x v="77"/>
    <n v="6"/>
    <n v="2009"/>
    <n v="0"/>
  </r>
  <r>
    <x v="77"/>
    <n v="6"/>
    <n v="2009"/>
    <n v="5.2719723183390998"/>
  </r>
  <r>
    <x v="77"/>
    <n v="6"/>
    <n v="2009"/>
    <n v="1.3128027681660899"/>
  </r>
  <r>
    <x v="77"/>
    <n v="6"/>
    <n v="2009"/>
    <n v="0"/>
  </r>
  <r>
    <x v="77"/>
    <n v="6"/>
    <n v="2009"/>
    <n v="2.2622837370242217"/>
  </r>
  <r>
    <x v="77"/>
    <n v="6"/>
    <n v="2009"/>
    <n v="2.1688581314878896"/>
  </r>
  <r>
    <x v="77"/>
    <n v="6"/>
    <n v="2009"/>
    <n v="23.812456747404845"/>
  </r>
  <r>
    <x v="77"/>
    <n v="6"/>
    <n v="2009"/>
    <n v="4.8643598615916961"/>
  </r>
  <r>
    <x v="77"/>
    <n v="6"/>
    <n v="2009"/>
    <n v="7.3211072664359866"/>
  </r>
  <r>
    <x v="77"/>
    <n v="6"/>
    <n v="2009"/>
    <n v="2.4989619377162628"/>
  </r>
  <r>
    <x v="77"/>
    <n v="6"/>
    <n v="2009"/>
    <n v="0.79031141868512123"/>
  </r>
  <r>
    <x v="77"/>
    <n v="6"/>
    <n v="2009"/>
    <n v="3.8823529411764701"/>
  </r>
  <r>
    <x v="77"/>
    <n v="6"/>
    <n v="2009"/>
    <n v="0"/>
  </r>
  <r>
    <x v="77"/>
    <n v="6"/>
    <n v="2009"/>
    <n v="0.97231833910034593"/>
  </r>
  <r>
    <x v="77"/>
    <n v="6"/>
    <n v="2009"/>
    <n v="0"/>
  </r>
  <r>
    <x v="77"/>
    <n v="6"/>
    <n v="2009"/>
    <n v="0"/>
  </r>
  <r>
    <x v="77"/>
    <n v="6"/>
    <n v="2009"/>
    <n v="0.21107266435986158"/>
  </r>
  <r>
    <x v="77"/>
    <n v="6"/>
    <n v="2009"/>
    <n v="7.6138408304498268"/>
  </r>
  <r>
    <x v="77"/>
    <n v="6"/>
    <n v="2009"/>
    <n v="0.68512110726643605"/>
  </r>
  <r>
    <x v="77"/>
    <n v="6"/>
    <n v="2009"/>
    <n v="3.9259515570934256"/>
  </r>
  <r>
    <x v="77"/>
    <n v="6"/>
    <n v="2009"/>
    <n v="0.3100346020761246"/>
  </r>
  <r>
    <x v="77"/>
    <n v="6"/>
    <n v="2009"/>
    <n v="1.7169550173010382"/>
  </r>
  <r>
    <x v="78"/>
    <n v="7"/>
    <n v="2009"/>
    <n v="0.23944636678200693"/>
  </r>
  <r>
    <x v="78"/>
    <n v="7"/>
    <n v="2009"/>
    <n v="0"/>
  </r>
  <r>
    <x v="78"/>
    <n v="7"/>
    <n v="2009"/>
    <n v="5.8062283737024227"/>
  </r>
  <r>
    <x v="78"/>
    <n v="7"/>
    <n v="2009"/>
    <n v="0.53217993079584769"/>
  </r>
  <r>
    <x v="78"/>
    <n v="7"/>
    <n v="2009"/>
    <n v="2.7432525951557096"/>
  </r>
  <r>
    <x v="78"/>
    <n v="7"/>
    <n v="2009"/>
    <n v="13.220761245674741"/>
  </r>
  <r>
    <x v="78"/>
    <n v="7"/>
    <n v="2009"/>
    <n v="3.9114186851211072"/>
  </r>
  <r>
    <x v="78"/>
    <n v="7"/>
    <n v="2009"/>
    <n v="0.38408304498269902"/>
  </r>
  <r>
    <x v="78"/>
    <n v="7"/>
    <n v="2009"/>
    <n v="0"/>
  </r>
  <r>
    <x v="78"/>
    <n v="7"/>
    <n v="2009"/>
    <n v="0"/>
  </r>
  <r>
    <x v="78"/>
    <n v="7"/>
    <n v="2009"/>
    <n v="0"/>
  </r>
  <r>
    <x v="78"/>
    <n v="7"/>
    <n v="2009"/>
    <n v="12.721107266435986"/>
  </r>
  <r>
    <x v="78"/>
    <n v="7"/>
    <n v="2009"/>
    <n v="5.9771626297577862"/>
  </r>
  <r>
    <x v="78"/>
    <n v="7"/>
    <n v="2009"/>
    <n v="2.6442906574394467"/>
  </r>
  <r>
    <x v="78"/>
    <n v="7"/>
    <n v="2009"/>
    <n v="1.9079584775086504"/>
  </r>
  <r>
    <x v="78"/>
    <n v="7"/>
    <n v="2009"/>
    <n v="5.988235294117648"/>
  </r>
  <r>
    <x v="78"/>
    <n v="7"/>
    <n v="2009"/>
    <n v="40.114878892733557"/>
  </r>
  <r>
    <x v="78"/>
    <n v="7"/>
    <n v="2009"/>
    <n v="4.9494809688581318"/>
  </r>
  <r>
    <x v="78"/>
    <n v="7"/>
    <n v="2009"/>
    <n v="0"/>
  </r>
  <r>
    <x v="78"/>
    <n v="7"/>
    <n v="2009"/>
    <n v="0"/>
  </r>
  <r>
    <x v="78"/>
    <n v="7"/>
    <n v="2009"/>
    <n v="2.307266435986159"/>
  </r>
  <r>
    <x v="78"/>
    <n v="7"/>
    <n v="2009"/>
    <n v="0"/>
  </r>
  <r>
    <x v="78"/>
    <n v="7"/>
    <n v="2009"/>
    <n v="0"/>
  </r>
  <r>
    <x v="78"/>
    <n v="7"/>
    <n v="2009"/>
    <n v="2.627681660899654"/>
  </r>
  <r>
    <x v="78"/>
    <n v="7"/>
    <n v="2009"/>
    <n v="0"/>
  </r>
  <r>
    <x v="78"/>
    <n v="7"/>
    <n v="2009"/>
    <n v="1.1010380622837368"/>
  </r>
  <r>
    <x v="78"/>
    <n v="7"/>
    <n v="2009"/>
    <n v="0"/>
  </r>
  <r>
    <x v="78"/>
    <n v="7"/>
    <n v="2009"/>
    <n v="1.0083044982698961"/>
  </r>
  <r>
    <x v="78"/>
    <n v="7"/>
    <n v="2009"/>
    <n v="2.8871972318339099"/>
  </r>
  <r>
    <x v="78"/>
    <n v="7"/>
    <n v="2009"/>
    <n v="0.68235294117647061"/>
  </r>
  <r>
    <x v="78"/>
    <n v="7"/>
    <n v="2009"/>
    <n v="1.0519031141868511"/>
  </r>
  <r>
    <x v="79"/>
    <n v="8"/>
    <n v="2009"/>
    <n v="1.8512110726643596"/>
  </r>
  <r>
    <x v="79"/>
    <n v="8"/>
    <n v="2009"/>
    <n v="0"/>
  </r>
  <r>
    <x v="79"/>
    <n v="8"/>
    <n v="2009"/>
    <n v="0"/>
  </r>
  <r>
    <x v="79"/>
    <n v="8"/>
    <n v="2009"/>
    <n v="1.23598615916955"/>
  </r>
  <r>
    <x v="79"/>
    <n v="8"/>
    <n v="2009"/>
    <n v="0"/>
  </r>
  <r>
    <x v="79"/>
    <n v="8"/>
    <n v="2009"/>
    <n v="0"/>
  </r>
  <r>
    <x v="79"/>
    <n v="8"/>
    <n v="2009"/>
    <n v="0"/>
  </r>
  <r>
    <x v="79"/>
    <n v="8"/>
    <n v="2009"/>
    <n v="0"/>
  </r>
  <r>
    <x v="79"/>
    <n v="8"/>
    <n v="2009"/>
    <n v="0"/>
  </r>
  <r>
    <x v="79"/>
    <n v="8"/>
    <n v="2009"/>
    <n v="3.0332179930795853"/>
  </r>
  <r>
    <x v="79"/>
    <n v="8"/>
    <n v="2009"/>
    <n v="0.68719723183391002"/>
  </r>
  <r>
    <x v="79"/>
    <n v="8"/>
    <n v="2009"/>
    <n v="0"/>
  </r>
  <r>
    <x v="79"/>
    <n v="8"/>
    <n v="2009"/>
    <n v="0"/>
  </r>
  <r>
    <x v="79"/>
    <n v="8"/>
    <n v="2009"/>
    <n v="4.2332179930795846"/>
  </r>
  <r>
    <x v="79"/>
    <n v="8"/>
    <n v="2009"/>
    <n v="5.4242214532871973"/>
  </r>
  <r>
    <x v="79"/>
    <n v="8"/>
    <n v="2009"/>
    <n v="0.50311418685121101"/>
  </r>
  <r>
    <x v="79"/>
    <n v="8"/>
    <n v="2009"/>
    <n v="5.7598615916955014"/>
  </r>
  <r>
    <x v="79"/>
    <n v="8"/>
    <n v="2009"/>
    <n v="3.9328719723183387"/>
  </r>
  <r>
    <x v="79"/>
    <n v="8"/>
    <n v="2009"/>
    <n v="0.63598615916955015"/>
  </r>
  <r>
    <x v="79"/>
    <n v="8"/>
    <n v="2009"/>
    <n v="1.8262975778546711"/>
  </r>
  <r>
    <x v="79"/>
    <n v="8"/>
    <n v="2009"/>
    <n v="2.685813148788927"/>
  </r>
  <r>
    <x v="79"/>
    <n v="8"/>
    <n v="2009"/>
    <n v="0"/>
  </r>
  <r>
    <x v="79"/>
    <n v="8"/>
    <n v="2009"/>
    <n v="7.7640138408304518"/>
  </r>
  <r>
    <x v="79"/>
    <n v="8"/>
    <n v="2009"/>
    <n v="1.8560553633217995"/>
  </r>
  <r>
    <x v="79"/>
    <n v="8"/>
    <n v="2009"/>
    <n v="0"/>
  </r>
  <r>
    <x v="79"/>
    <n v="8"/>
    <n v="2009"/>
    <n v="9.3840830449826971"/>
  </r>
  <r>
    <x v="79"/>
    <n v="8"/>
    <n v="2009"/>
    <n v="1.1349480968858132"/>
  </r>
  <r>
    <x v="79"/>
    <n v="8"/>
    <n v="2009"/>
    <n v="1.3349480968858132"/>
  </r>
  <r>
    <x v="79"/>
    <n v="8"/>
    <n v="2009"/>
    <n v="0"/>
  </r>
  <r>
    <x v="79"/>
    <n v="8"/>
    <n v="2009"/>
    <n v="2.3529411764705879"/>
  </r>
  <r>
    <x v="79"/>
    <n v="8"/>
    <n v="2009"/>
    <n v="15.78339100346021"/>
  </r>
  <r>
    <x v="80"/>
    <n v="9"/>
    <n v="2009"/>
    <n v="1.1411764705882355"/>
  </r>
  <r>
    <x v="80"/>
    <n v="9"/>
    <n v="2009"/>
    <n v="7.1515570934256054"/>
  </r>
  <r>
    <x v="80"/>
    <n v="9"/>
    <n v="2009"/>
    <n v="14.802768166089963"/>
  </r>
  <r>
    <x v="80"/>
    <n v="9"/>
    <n v="2009"/>
    <n v="9.5128027681660896"/>
  </r>
  <r>
    <x v="80"/>
    <n v="9"/>
    <n v="2009"/>
    <n v="0"/>
  </r>
  <r>
    <x v="80"/>
    <n v="9"/>
    <n v="2009"/>
    <n v="0.30865051903114182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.66712802768166102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1.2048442906574395"/>
  </r>
  <r>
    <x v="80"/>
    <n v="9"/>
    <n v="2009"/>
    <n v="0.29204152249134946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4.7529411764705882"/>
  </r>
  <r>
    <x v="80"/>
    <n v="9"/>
    <n v="2009"/>
    <n v="1.6138408304498268"/>
  </r>
  <r>
    <x v="81"/>
    <n v="10"/>
    <n v="2009"/>
    <n v="0"/>
  </r>
  <r>
    <x v="81"/>
    <n v="10"/>
    <n v="2009"/>
    <n v="2.8622837370242218"/>
  </r>
  <r>
    <x v="81"/>
    <n v="10"/>
    <n v="2009"/>
    <n v="4.9868512110726648"/>
  </r>
  <r>
    <x v="81"/>
    <n v="10"/>
    <n v="2009"/>
    <n v="0"/>
  </r>
  <r>
    <x v="81"/>
    <n v="10"/>
    <n v="2009"/>
    <n v="0"/>
  </r>
  <r>
    <x v="81"/>
    <n v="10"/>
    <n v="2009"/>
    <n v="3.2567474048442908"/>
  </r>
  <r>
    <x v="81"/>
    <n v="10"/>
    <n v="2009"/>
    <n v="0"/>
  </r>
  <r>
    <x v="81"/>
    <n v="10"/>
    <n v="2009"/>
    <n v="0"/>
  </r>
  <r>
    <x v="81"/>
    <n v="10"/>
    <n v="2009"/>
    <n v="3.561937716262976"/>
  </r>
  <r>
    <x v="81"/>
    <n v="10"/>
    <n v="2009"/>
    <n v="0.54256055363321798"/>
  </r>
  <r>
    <x v="81"/>
    <n v="10"/>
    <n v="2009"/>
    <n v="0.29204152249134946"/>
  </r>
  <r>
    <x v="81"/>
    <n v="10"/>
    <n v="2009"/>
    <n v="0"/>
  </r>
  <r>
    <x v="81"/>
    <n v="10"/>
    <n v="2009"/>
    <n v="0"/>
  </r>
  <r>
    <x v="81"/>
    <n v="10"/>
    <n v="2009"/>
    <n v="0.39169550173010381"/>
  </r>
  <r>
    <x v="81"/>
    <n v="10"/>
    <n v="2009"/>
    <n v="1.6740484429065745"/>
  </r>
  <r>
    <x v="81"/>
    <n v="10"/>
    <n v="2009"/>
    <n v="0"/>
  </r>
  <r>
    <x v="81"/>
    <n v="10"/>
    <n v="2009"/>
    <n v="0"/>
  </r>
  <r>
    <x v="81"/>
    <n v="10"/>
    <n v="2009"/>
    <n v="0.53494809688581313"/>
  </r>
  <r>
    <x v="81"/>
    <n v="10"/>
    <n v="2009"/>
    <n v="3.3986159169550167"/>
  </r>
  <r>
    <x v="81"/>
    <n v="10"/>
    <n v="2009"/>
    <n v="1.4761245674740484"/>
  </r>
  <r>
    <x v="81"/>
    <n v="10"/>
    <n v="2009"/>
    <n v="6.2304498269896191"/>
  </r>
  <r>
    <x v="81"/>
    <n v="10"/>
    <n v="2009"/>
    <n v="1.9107266435986159"/>
  </r>
  <r>
    <x v="81"/>
    <n v="10"/>
    <n v="2009"/>
    <n v="0"/>
  </r>
  <r>
    <x v="81"/>
    <n v="10"/>
    <n v="2009"/>
    <n v="5.8110726643598607"/>
  </r>
  <r>
    <x v="81"/>
    <n v="10"/>
    <n v="2009"/>
    <n v="3.9944636678200687"/>
  </r>
  <r>
    <x v="81"/>
    <n v="10"/>
    <n v="2009"/>
    <n v="0"/>
  </r>
  <r>
    <x v="81"/>
    <n v="10"/>
    <n v="2009"/>
    <n v="1.4865051903114186"/>
  </r>
  <r>
    <x v="81"/>
    <n v="10"/>
    <n v="2009"/>
    <n v="1.7910034602076126"/>
  </r>
  <r>
    <x v="81"/>
    <n v="10"/>
    <n v="2009"/>
    <n v="0"/>
  </r>
  <r>
    <x v="81"/>
    <n v="10"/>
    <n v="2009"/>
    <n v="3.8643598615916956"/>
  </r>
  <r>
    <x v="81"/>
    <n v="10"/>
    <n v="2009"/>
    <n v="1.3958477508650518"/>
  </r>
  <r>
    <x v="82"/>
    <n v="11"/>
    <n v="2009"/>
    <n v="33.698269896193771"/>
  </r>
  <r>
    <x v="82"/>
    <n v="11"/>
    <n v="2009"/>
    <n v="0.27612456747404845"/>
  </r>
  <r>
    <x v="82"/>
    <n v="11"/>
    <n v="2009"/>
    <n v="6.3792387543252591"/>
  </r>
  <r>
    <x v="82"/>
    <n v="11"/>
    <n v="2009"/>
    <n v="0.43114186851211073"/>
  </r>
  <r>
    <x v="82"/>
    <n v="11"/>
    <n v="2009"/>
    <n v="0.36124567474048441"/>
  </r>
  <r>
    <x v="82"/>
    <n v="11"/>
    <n v="2009"/>
    <n v="2.319723183391003"/>
  </r>
  <r>
    <x v="82"/>
    <n v="11"/>
    <n v="2009"/>
    <n v="3.4214532871972319"/>
  </r>
  <r>
    <x v="82"/>
    <n v="11"/>
    <n v="2009"/>
    <n v="5.6871972318339106"/>
  </r>
  <r>
    <x v="82"/>
    <n v="11"/>
    <n v="2009"/>
    <n v="0"/>
  </r>
  <r>
    <x v="82"/>
    <n v="11"/>
    <n v="2009"/>
    <n v="0.70519031141868505"/>
  </r>
  <r>
    <x v="82"/>
    <n v="11"/>
    <n v="2009"/>
    <n v="1.3377162629757786"/>
  </r>
  <r>
    <x v="82"/>
    <n v="11"/>
    <n v="2009"/>
    <n v="3.7024221453287196"/>
  </r>
  <r>
    <x v="82"/>
    <n v="11"/>
    <n v="2009"/>
    <n v="11.683737024221454"/>
  </r>
  <r>
    <x v="82"/>
    <n v="11"/>
    <n v="2009"/>
    <n v="1.5653979238754325"/>
  </r>
  <r>
    <x v="82"/>
    <n v="11"/>
    <n v="2009"/>
    <n v="0"/>
  </r>
  <r>
    <x v="82"/>
    <n v="11"/>
    <n v="2009"/>
    <n v="12.857439446366779"/>
  </r>
  <r>
    <x v="82"/>
    <n v="11"/>
    <n v="2009"/>
    <n v="2.2456747404844291"/>
  </r>
  <r>
    <x v="82"/>
    <n v="11"/>
    <n v="2009"/>
    <n v="18.231833910034602"/>
  </r>
  <r>
    <x v="82"/>
    <n v="11"/>
    <n v="2009"/>
    <n v="1.6346020761245674"/>
  </r>
  <r>
    <x v="82"/>
    <n v="11"/>
    <n v="2009"/>
    <n v="1.2851211072664359"/>
  </r>
  <r>
    <x v="82"/>
    <n v="11"/>
    <n v="2009"/>
    <n v="3.9633217993079581"/>
  </r>
  <r>
    <x v="82"/>
    <n v="11"/>
    <n v="2009"/>
    <n v="3.5418685121107263"/>
  </r>
  <r>
    <x v="82"/>
    <n v="11"/>
    <n v="2009"/>
    <n v="4.4685121107266426"/>
  </r>
  <r>
    <x v="82"/>
    <n v="11"/>
    <n v="2009"/>
    <n v="5.167474048442906"/>
  </r>
  <r>
    <x v="82"/>
    <n v="11"/>
    <n v="2009"/>
    <n v="2.5017301038062287"/>
  </r>
  <r>
    <x v="82"/>
    <n v="11"/>
    <n v="2009"/>
    <n v="3.9764705882352938"/>
  </r>
  <r>
    <x v="82"/>
    <n v="11"/>
    <n v="2009"/>
    <n v="0"/>
  </r>
  <r>
    <x v="82"/>
    <n v="11"/>
    <n v="2009"/>
    <n v="1.4435986159169549"/>
  </r>
  <r>
    <x v="82"/>
    <n v="11"/>
    <n v="2009"/>
    <n v="16.151557093425605"/>
  </r>
  <r>
    <x v="82"/>
    <n v="11"/>
    <n v="2009"/>
    <n v="5.6816608996539779"/>
  </r>
  <r>
    <x v="83"/>
    <n v="12"/>
    <n v="2009"/>
    <n v="2.5211072664359859"/>
  </r>
  <r>
    <x v="83"/>
    <n v="12"/>
    <n v="2009"/>
    <n v="1.5986159169550178"/>
  </r>
  <r>
    <x v="83"/>
    <n v="12"/>
    <n v="2009"/>
    <n v="0.44498269896193771"/>
  </r>
  <r>
    <x v="83"/>
    <n v="12"/>
    <n v="2009"/>
    <n v="0"/>
  </r>
  <r>
    <x v="83"/>
    <n v="12"/>
    <n v="2009"/>
    <n v="7.0463667820069213"/>
  </r>
  <r>
    <x v="83"/>
    <n v="12"/>
    <n v="2009"/>
    <n v="5.3252595155709352"/>
  </r>
  <r>
    <x v="83"/>
    <n v="12"/>
    <n v="2009"/>
    <n v="2.4262975778546712"/>
  </r>
  <r>
    <x v="83"/>
    <n v="12"/>
    <n v="2009"/>
    <n v="0.3529411764705882"/>
  </r>
  <r>
    <x v="83"/>
    <n v="12"/>
    <n v="2009"/>
    <n v="2.6470588235294121"/>
  </r>
  <r>
    <x v="83"/>
    <n v="12"/>
    <n v="2009"/>
    <n v="1.3792387543252593"/>
  </r>
  <r>
    <x v="83"/>
    <n v="12"/>
    <n v="2009"/>
    <n v="0.30103806228373703"/>
  </r>
  <r>
    <x v="83"/>
    <n v="12"/>
    <n v="2009"/>
    <n v="0"/>
  </r>
  <r>
    <x v="83"/>
    <n v="12"/>
    <n v="2009"/>
    <n v="0"/>
  </r>
  <r>
    <x v="83"/>
    <n v="12"/>
    <n v="2009"/>
    <n v="8.0048442906574397"/>
  </r>
  <r>
    <x v="83"/>
    <n v="12"/>
    <n v="2009"/>
    <n v="4.7889273356401389"/>
  </r>
  <r>
    <x v="83"/>
    <n v="12"/>
    <n v="2009"/>
    <n v="6.2000000000000011"/>
  </r>
  <r>
    <x v="83"/>
    <n v="12"/>
    <n v="2009"/>
    <n v="6.7114186851211075"/>
  </r>
  <r>
    <x v="83"/>
    <n v="12"/>
    <n v="2009"/>
    <n v="0.56608996539792389"/>
  </r>
  <r>
    <x v="83"/>
    <n v="12"/>
    <n v="2009"/>
    <n v="0.23944636678200693"/>
  </r>
  <r>
    <x v="83"/>
    <n v="12"/>
    <n v="2009"/>
    <n v="0.55224913494809691"/>
  </r>
  <r>
    <x v="83"/>
    <n v="12"/>
    <n v="2009"/>
    <n v="2.186159169550173"/>
  </r>
  <r>
    <x v="83"/>
    <n v="12"/>
    <n v="2009"/>
    <n v="0.46020761245674746"/>
  </r>
  <r>
    <x v="83"/>
    <n v="12"/>
    <n v="2009"/>
    <n v="0"/>
  </r>
  <r>
    <x v="83"/>
    <n v="12"/>
    <n v="2009"/>
    <n v="0"/>
  </r>
  <r>
    <x v="83"/>
    <n v="12"/>
    <n v="2009"/>
    <n v="0"/>
  </r>
  <r>
    <x v="83"/>
    <n v="12"/>
    <n v="2009"/>
    <n v="1.0339100346020762"/>
  </r>
  <r>
    <x v="83"/>
    <n v="12"/>
    <n v="2009"/>
    <n v="1.6207612456747404"/>
  </r>
  <r>
    <x v="83"/>
    <n v="12"/>
    <n v="2009"/>
    <n v="0"/>
  </r>
  <r>
    <x v="83"/>
    <n v="12"/>
    <n v="2009"/>
    <n v="2.7619377162629757"/>
  </r>
  <r>
    <x v="83"/>
    <n v="12"/>
    <n v="2009"/>
    <n v="16.220761245674744"/>
  </r>
  <r>
    <x v="83"/>
    <n v="12"/>
    <n v="2009"/>
    <n v="0.77439446366782017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6.869896193771627"/>
  </r>
  <r>
    <x v="84"/>
    <n v="1"/>
    <n v="2010"/>
    <n v="1.2373702422145327"/>
  </r>
  <r>
    <x v="84"/>
    <n v="1"/>
    <n v="2010"/>
    <n v="10.851211072664359"/>
  </r>
  <r>
    <x v="84"/>
    <n v="1"/>
    <n v="2010"/>
    <n v="0.87128027681660902"/>
  </r>
  <r>
    <x v="84"/>
    <n v="1"/>
    <n v="2010"/>
    <n v="0"/>
  </r>
  <r>
    <x v="84"/>
    <n v="1"/>
    <n v="2010"/>
    <n v="5.080276816608996"/>
  </r>
  <r>
    <x v="84"/>
    <n v="1"/>
    <n v="2010"/>
    <n v="14.797231833910034"/>
  </r>
  <r>
    <x v="84"/>
    <n v="1"/>
    <n v="2010"/>
    <n v="2.5570934256055362"/>
  </r>
  <r>
    <x v="84"/>
    <n v="1"/>
    <n v="2010"/>
    <n v="3.0269896193771633"/>
  </r>
  <r>
    <x v="84"/>
    <n v="1"/>
    <n v="2010"/>
    <n v="0.64913494809688577"/>
  </r>
  <r>
    <x v="84"/>
    <n v="1"/>
    <n v="2010"/>
    <n v="3.0429065743944643"/>
  </r>
  <r>
    <x v="84"/>
    <n v="1"/>
    <n v="2010"/>
    <n v="0"/>
  </r>
  <r>
    <x v="84"/>
    <n v="1"/>
    <n v="2010"/>
    <n v="12.298269896193771"/>
  </r>
  <r>
    <x v="84"/>
    <n v="1"/>
    <n v="2010"/>
    <n v="0"/>
  </r>
  <r>
    <x v="84"/>
    <n v="1"/>
    <n v="2010"/>
    <n v="2.3647058823529408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.84013840830449826"/>
  </r>
  <r>
    <x v="84"/>
    <n v="1"/>
    <n v="2010"/>
    <n v="0.88373702422145328"/>
  </r>
  <r>
    <x v="84"/>
    <n v="1"/>
    <n v="2010"/>
    <n v="0"/>
  </r>
  <r>
    <x v="84"/>
    <n v="1"/>
    <n v="2010"/>
    <n v="0"/>
  </r>
  <r>
    <x v="85"/>
    <n v="2"/>
    <n v="2010"/>
    <n v="0.73148788927335651"/>
  </r>
  <r>
    <x v="85"/>
    <n v="2"/>
    <n v="2010"/>
    <n v="5.1847750865051907"/>
  </r>
  <r>
    <x v="85"/>
    <n v="2"/>
    <n v="2010"/>
    <n v="0"/>
  </r>
  <r>
    <x v="85"/>
    <n v="2"/>
    <n v="2010"/>
    <n v="0.68512110726643605"/>
  </r>
  <r>
    <x v="85"/>
    <n v="2"/>
    <n v="2010"/>
    <n v="7.9612456747404838"/>
  </r>
  <r>
    <x v="85"/>
    <n v="2"/>
    <n v="2010"/>
    <n v="0"/>
  </r>
  <r>
    <x v="85"/>
    <n v="2"/>
    <n v="2010"/>
    <n v="2.7280276816608993"/>
  </r>
  <r>
    <x v="85"/>
    <n v="2"/>
    <n v="2010"/>
    <n v="2.0429065743944634"/>
  </r>
  <r>
    <x v="85"/>
    <n v="2"/>
    <n v="2010"/>
    <n v="5.5716262975778541"/>
  </r>
  <r>
    <x v="85"/>
    <n v="2"/>
    <n v="2010"/>
    <n v="4.8581314878892732"/>
  </r>
  <r>
    <x v="85"/>
    <n v="2"/>
    <n v="2010"/>
    <n v="0.35017301038062282"/>
  </r>
  <r>
    <x v="85"/>
    <n v="2"/>
    <n v="2010"/>
    <n v="3.9211072664359863"/>
  </r>
  <r>
    <x v="85"/>
    <n v="2"/>
    <n v="2010"/>
    <n v="0.31695501730103803"/>
  </r>
  <r>
    <x v="85"/>
    <n v="2"/>
    <n v="2010"/>
    <n v="0.2179930795847751"/>
  </r>
  <r>
    <x v="85"/>
    <n v="2"/>
    <n v="2010"/>
    <n v="3.2802768166089962"/>
  </r>
  <r>
    <x v="85"/>
    <n v="2"/>
    <n v="2010"/>
    <n v="0"/>
  </r>
  <r>
    <x v="85"/>
    <n v="2"/>
    <n v="2010"/>
    <n v="0"/>
  </r>
  <r>
    <x v="85"/>
    <n v="2"/>
    <n v="2010"/>
    <n v="0"/>
  </r>
  <r>
    <x v="85"/>
    <n v="2"/>
    <n v="2010"/>
    <n v="0.21591695501730107"/>
  </r>
  <r>
    <x v="85"/>
    <n v="2"/>
    <n v="2010"/>
    <n v="0"/>
  </r>
  <r>
    <x v="85"/>
    <n v="2"/>
    <n v="2010"/>
    <n v="0.41799307958477511"/>
  </r>
  <r>
    <x v="85"/>
    <n v="2"/>
    <n v="2010"/>
    <n v="1.649134948096886"/>
  </r>
  <r>
    <x v="85"/>
    <n v="2"/>
    <n v="2010"/>
    <n v="0.298961937716263"/>
  </r>
  <r>
    <x v="85"/>
    <n v="2"/>
    <n v="2010"/>
    <n v="8.3868512110726652"/>
  </r>
  <r>
    <x v="85"/>
    <n v="2"/>
    <n v="2010"/>
    <n v="2.4290657439446366"/>
  </r>
  <r>
    <x v="85"/>
    <n v="2"/>
    <n v="2010"/>
    <n v="13.985467128027679"/>
  </r>
  <r>
    <x v="85"/>
    <n v="2"/>
    <n v="2010"/>
    <n v="13.899653979238755"/>
  </r>
  <r>
    <x v="85"/>
    <n v="2"/>
    <n v="2010"/>
    <n v="2.5439446366782001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0.41799307958477511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1.1453287197231834"/>
  </r>
  <r>
    <x v="86"/>
    <n v="3"/>
    <n v="2010"/>
    <n v="0"/>
  </r>
  <r>
    <x v="86"/>
    <n v="3"/>
    <n v="2010"/>
    <n v="0.63114186851211074"/>
  </r>
  <r>
    <x v="86"/>
    <n v="3"/>
    <n v="2010"/>
    <n v="0.2179930795847751"/>
  </r>
  <r>
    <x v="86"/>
    <n v="3"/>
    <n v="2010"/>
    <n v="0"/>
  </r>
  <r>
    <x v="86"/>
    <n v="3"/>
    <n v="2010"/>
    <n v="0"/>
  </r>
  <r>
    <x v="86"/>
    <n v="3"/>
    <n v="2010"/>
    <n v="0.20207612456747404"/>
  </r>
  <r>
    <x v="86"/>
    <n v="3"/>
    <n v="2010"/>
    <n v="0"/>
  </r>
  <r>
    <x v="86"/>
    <n v="3"/>
    <n v="2010"/>
    <n v="9.1010380622837364"/>
  </r>
  <r>
    <x v="86"/>
    <n v="3"/>
    <n v="2010"/>
    <n v="0.298961937716263"/>
  </r>
  <r>
    <x v="86"/>
    <n v="3"/>
    <n v="2010"/>
    <n v="1.1640138408304497"/>
  </r>
  <r>
    <x v="86"/>
    <n v="3"/>
    <n v="2010"/>
    <n v="4.0712802768166085"/>
  </r>
  <r>
    <x v="86"/>
    <n v="3"/>
    <n v="2010"/>
    <n v="1.2851211072664361"/>
  </r>
  <r>
    <x v="86"/>
    <n v="3"/>
    <n v="2010"/>
    <n v="10.188927335640138"/>
  </r>
  <r>
    <x v="86"/>
    <n v="3"/>
    <n v="2010"/>
    <n v="11.767474048442905"/>
  </r>
  <r>
    <x v="86"/>
    <n v="3"/>
    <n v="2010"/>
    <n v="0"/>
  </r>
  <r>
    <x v="86"/>
    <n v="3"/>
    <n v="2010"/>
    <n v="3.3314878892733564"/>
  </r>
  <r>
    <x v="86"/>
    <n v="3"/>
    <n v="2010"/>
    <n v="20.477508650519031"/>
  </r>
  <r>
    <x v="86"/>
    <n v="3"/>
    <n v="2010"/>
    <n v="26.296885813148791"/>
  </r>
  <r>
    <x v="86"/>
    <n v="3"/>
    <n v="2010"/>
    <n v="20.651903114186858"/>
  </r>
  <r>
    <x v="87"/>
    <n v="4"/>
    <n v="2010"/>
    <n v="0.3910034602076124"/>
  </r>
  <r>
    <x v="87"/>
    <n v="4"/>
    <n v="2010"/>
    <n v="2.0782006920415226"/>
  </r>
  <r>
    <x v="87"/>
    <n v="4"/>
    <n v="2010"/>
    <n v="5.8664359861591695"/>
  </r>
  <r>
    <x v="87"/>
    <n v="4"/>
    <n v="2010"/>
    <n v="2.2920415224913495"/>
  </r>
  <r>
    <x v="87"/>
    <n v="4"/>
    <n v="2010"/>
    <n v="1.1743944636678201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.59100346020761252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2.6394463667820069"/>
  </r>
  <r>
    <x v="87"/>
    <n v="4"/>
    <n v="2010"/>
    <n v="0.33287197231833909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.6961937716262977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2.6968858131487892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9.6975778546712768"/>
  </r>
  <r>
    <x v="88"/>
    <n v="5"/>
    <n v="2010"/>
    <n v="1.1564013840830449"/>
  </r>
  <r>
    <x v="88"/>
    <n v="5"/>
    <n v="2010"/>
    <n v="0"/>
  </r>
  <r>
    <x v="88"/>
    <n v="5"/>
    <n v="2010"/>
    <n v="0.66020761245674742"/>
  </r>
  <r>
    <x v="88"/>
    <n v="5"/>
    <n v="2010"/>
    <n v="0.51487889273356402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.65605536332179937"/>
  </r>
  <r>
    <x v="88"/>
    <n v="5"/>
    <n v="2010"/>
    <n v="0"/>
  </r>
  <r>
    <x v="88"/>
    <n v="5"/>
    <n v="2010"/>
    <n v="1.2103806228373704"/>
  </r>
  <r>
    <x v="88"/>
    <n v="5"/>
    <n v="2010"/>
    <n v="0.35432525951557098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.25813148788927337"/>
  </r>
  <r>
    <x v="88"/>
    <n v="5"/>
    <n v="2010"/>
    <n v="1.0629757785467131"/>
  </r>
  <r>
    <x v="88"/>
    <n v="5"/>
    <n v="2010"/>
    <n v="5.9584775086505193"/>
  </r>
  <r>
    <x v="88"/>
    <n v="5"/>
    <n v="2010"/>
    <n v="0"/>
  </r>
  <r>
    <x v="88"/>
    <n v="5"/>
    <n v="2010"/>
    <n v="2.962629757785467"/>
  </r>
  <r>
    <x v="88"/>
    <n v="5"/>
    <n v="2010"/>
    <n v="0.7820069204152249"/>
  </r>
  <r>
    <x v="88"/>
    <n v="5"/>
    <n v="2010"/>
    <n v="0"/>
  </r>
  <r>
    <x v="89"/>
    <n v="6"/>
    <n v="2010"/>
    <n v="1.7667820069204152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4.7737024221453304"/>
  </r>
  <r>
    <x v="89"/>
    <n v="6"/>
    <n v="2010"/>
    <n v="0.70311418685121096"/>
  </r>
  <r>
    <x v="89"/>
    <n v="6"/>
    <n v="2010"/>
    <n v="2.0733564013840828"/>
  </r>
  <r>
    <x v="89"/>
    <n v="6"/>
    <n v="2010"/>
    <n v="4.4346020761245679"/>
  </r>
  <r>
    <x v="89"/>
    <n v="6"/>
    <n v="2010"/>
    <n v="1.3972318339100345"/>
  </r>
  <r>
    <x v="89"/>
    <n v="6"/>
    <n v="2010"/>
    <n v="0"/>
  </r>
  <r>
    <x v="89"/>
    <n v="6"/>
    <n v="2010"/>
    <n v="0"/>
  </r>
  <r>
    <x v="89"/>
    <n v="6"/>
    <n v="2010"/>
    <n v="0.66712802768166102"/>
  </r>
  <r>
    <x v="89"/>
    <n v="6"/>
    <n v="2010"/>
    <n v="0.48512110726643598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1.1391003460207612"/>
  </r>
  <r>
    <x v="89"/>
    <n v="6"/>
    <n v="2010"/>
    <n v="3.3944636678200695"/>
  </r>
  <r>
    <x v="89"/>
    <n v="6"/>
    <n v="2010"/>
    <n v="0"/>
  </r>
  <r>
    <x v="90"/>
    <n v="7"/>
    <n v="2010"/>
    <n v="1.4352941176470586"/>
  </r>
  <r>
    <x v="90"/>
    <n v="7"/>
    <n v="2010"/>
    <n v="8.7314878892733567"/>
  </r>
  <r>
    <x v="90"/>
    <n v="7"/>
    <n v="2010"/>
    <n v="0"/>
  </r>
  <r>
    <x v="90"/>
    <n v="7"/>
    <n v="2010"/>
    <n v="0.97231833910034604"/>
  </r>
  <r>
    <x v="90"/>
    <n v="7"/>
    <n v="2010"/>
    <n v="0"/>
  </r>
  <r>
    <x v="90"/>
    <n v="7"/>
    <n v="2010"/>
    <n v="0.39307958477508648"/>
  </r>
  <r>
    <x v="90"/>
    <n v="7"/>
    <n v="2010"/>
    <n v="0.44913494809688581"/>
  </r>
  <r>
    <x v="90"/>
    <n v="7"/>
    <n v="2010"/>
    <n v="0"/>
  </r>
  <r>
    <x v="90"/>
    <n v="7"/>
    <n v="2010"/>
    <n v="0.3370242214532872"/>
  </r>
  <r>
    <x v="90"/>
    <n v="7"/>
    <n v="2010"/>
    <n v="11.339100346020762"/>
  </r>
  <r>
    <x v="90"/>
    <n v="7"/>
    <n v="2010"/>
    <n v="1.3051903114186854"/>
  </r>
  <r>
    <x v="90"/>
    <n v="7"/>
    <n v="2010"/>
    <n v="0"/>
  </r>
  <r>
    <x v="90"/>
    <n v="7"/>
    <n v="2010"/>
    <n v="3.8525951557093423"/>
  </r>
  <r>
    <x v="90"/>
    <n v="7"/>
    <n v="2010"/>
    <n v="26.765397923875433"/>
  </r>
  <r>
    <x v="90"/>
    <n v="7"/>
    <n v="2010"/>
    <n v="6.6505190311418678"/>
  </r>
  <r>
    <x v="90"/>
    <n v="7"/>
    <n v="2010"/>
    <n v="0.84982698961937708"/>
  </r>
  <r>
    <x v="90"/>
    <n v="7"/>
    <n v="2010"/>
    <n v="0.79515570934256052"/>
  </r>
  <r>
    <x v="90"/>
    <n v="7"/>
    <n v="2010"/>
    <n v="0"/>
  </r>
  <r>
    <x v="90"/>
    <n v="7"/>
    <n v="2010"/>
    <n v="10.318339100346019"/>
  </r>
  <r>
    <x v="90"/>
    <n v="7"/>
    <n v="2010"/>
    <n v="10.898961937716264"/>
  </r>
  <r>
    <x v="90"/>
    <n v="7"/>
    <n v="2010"/>
    <n v="12.992387543252596"/>
  </r>
  <r>
    <x v="90"/>
    <n v="7"/>
    <n v="2010"/>
    <n v="0.55501730103806235"/>
  </r>
  <r>
    <x v="90"/>
    <n v="7"/>
    <n v="2010"/>
    <n v="0"/>
  </r>
  <r>
    <x v="90"/>
    <n v="7"/>
    <n v="2010"/>
    <n v="0"/>
  </r>
  <r>
    <x v="90"/>
    <n v="7"/>
    <n v="2010"/>
    <n v="0"/>
  </r>
  <r>
    <x v="90"/>
    <n v="7"/>
    <n v="2010"/>
    <n v="0"/>
  </r>
  <r>
    <x v="90"/>
    <n v="7"/>
    <n v="2010"/>
    <n v="0"/>
  </r>
  <r>
    <x v="90"/>
    <n v="7"/>
    <n v="2010"/>
    <n v="0.2069204152249135"/>
  </r>
  <r>
    <x v="90"/>
    <n v="7"/>
    <n v="2010"/>
    <n v="0"/>
  </r>
  <r>
    <x v="90"/>
    <n v="7"/>
    <n v="2010"/>
    <n v="0"/>
  </r>
  <r>
    <x v="90"/>
    <n v="7"/>
    <n v="2010"/>
    <n v="0"/>
  </r>
  <r>
    <x v="91"/>
    <n v="8"/>
    <n v="2010"/>
    <n v="5.9723183391003474"/>
  </r>
  <r>
    <x v="91"/>
    <n v="8"/>
    <n v="2010"/>
    <n v="0"/>
  </r>
  <r>
    <x v="91"/>
    <n v="8"/>
    <n v="2010"/>
    <n v="0"/>
  </r>
  <r>
    <x v="91"/>
    <n v="8"/>
    <n v="2010"/>
    <n v="0"/>
  </r>
  <r>
    <x v="91"/>
    <n v="8"/>
    <n v="2010"/>
    <n v="3.952941176470588"/>
  </r>
  <r>
    <x v="91"/>
    <n v="8"/>
    <n v="2010"/>
    <n v="0.99723183391003456"/>
  </r>
  <r>
    <x v="91"/>
    <n v="8"/>
    <n v="2010"/>
    <n v="0.71764705882352942"/>
  </r>
  <r>
    <x v="91"/>
    <n v="8"/>
    <n v="2010"/>
    <n v="0"/>
  </r>
  <r>
    <x v="91"/>
    <n v="8"/>
    <n v="2010"/>
    <n v="0"/>
  </r>
  <r>
    <x v="91"/>
    <n v="8"/>
    <n v="2010"/>
    <n v="2.4304498269896198"/>
  </r>
  <r>
    <x v="91"/>
    <n v="8"/>
    <n v="2010"/>
    <n v="2.8089965397923873"/>
  </r>
  <r>
    <x v="91"/>
    <n v="8"/>
    <n v="2010"/>
    <n v="0"/>
  </r>
  <r>
    <x v="91"/>
    <n v="8"/>
    <n v="2010"/>
    <n v="16.519723183391005"/>
  </r>
  <r>
    <x v="91"/>
    <n v="8"/>
    <n v="2010"/>
    <n v="1.2352941176470589"/>
  </r>
  <r>
    <x v="91"/>
    <n v="8"/>
    <n v="2010"/>
    <n v="0"/>
  </r>
  <r>
    <x v="91"/>
    <n v="8"/>
    <n v="2010"/>
    <n v="0"/>
  </r>
  <r>
    <x v="91"/>
    <n v="8"/>
    <n v="2010"/>
    <n v="5.0145328719723175"/>
  </r>
  <r>
    <x v="91"/>
    <n v="8"/>
    <n v="2010"/>
    <n v="0"/>
  </r>
  <r>
    <x v="91"/>
    <n v="8"/>
    <n v="2010"/>
    <n v="0.61107266435986163"/>
  </r>
  <r>
    <x v="91"/>
    <n v="8"/>
    <n v="2010"/>
    <n v="9.8747404844290667"/>
  </r>
  <r>
    <x v="91"/>
    <n v="8"/>
    <n v="2010"/>
    <n v="1.0664359861591697"/>
  </r>
  <r>
    <x v="91"/>
    <n v="8"/>
    <n v="2010"/>
    <n v="0.3681660899653979"/>
  </r>
  <r>
    <x v="91"/>
    <n v="8"/>
    <n v="2010"/>
    <n v="10.662283737024223"/>
  </r>
  <r>
    <x v="91"/>
    <n v="8"/>
    <n v="2010"/>
    <n v="3.0643598615916954"/>
  </r>
  <r>
    <x v="91"/>
    <n v="8"/>
    <n v="2010"/>
    <n v="0"/>
  </r>
  <r>
    <x v="91"/>
    <n v="8"/>
    <n v="2010"/>
    <n v="0.36816608996539796"/>
  </r>
  <r>
    <x v="91"/>
    <n v="8"/>
    <n v="2010"/>
    <n v="0.58477508650519028"/>
  </r>
  <r>
    <x v="91"/>
    <n v="8"/>
    <n v="2010"/>
    <n v="0.22145328719723184"/>
  </r>
  <r>
    <x v="91"/>
    <n v="8"/>
    <n v="2010"/>
    <n v="1.8560553633217993"/>
  </r>
  <r>
    <x v="91"/>
    <n v="8"/>
    <n v="2010"/>
    <n v="0"/>
  </r>
  <r>
    <x v="91"/>
    <n v="8"/>
    <n v="2010"/>
    <n v="0"/>
  </r>
  <r>
    <x v="92"/>
    <n v="9"/>
    <n v="2010"/>
    <n v="0"/>
  </r>
  <r>
    <x v="92"/>
    <n v="9"/>
    <n v="2010"/>
    <n v="0"/>
  </r>
  <r>
    <x v="92"/>
    <n v="9"/>
    <n v="2010"/>
    <n v="0"/>
  </r>
  <r>
    <x v="92"/>
    <n v="9"/>
    <n v="2010"/>
    <n v="0"/>
  </r>
  <r>
    <x v="92"/>
    <n v="9"/>
    <n v="2010"/>
    <n v="0"/>
  </r>
  <r>
    <x v="92"/>
    <n v="9"/>
    <n v="2010"/>
    <n v="0"/>
  </r>
  <r>
    <x v="92"/>
    <n v="9"/>
    <n v="2010"/>
    <n v="19.415224913494811"/>
  </r>
  <r>
    <x v="92"/>
    <n v="9"/>
    <n v="2010"/>
    <n v="0.34602076124567471"/>
  </r>
  <r>
    <x v="92"/>
    <n v="9"/>
    <n v="2010"/>
    <n v="0"/>
  </r>
  <r>
    <x v="92"/>
    <n v="9"/>
    <n v="2010"/>
    <n v="1.7743944636678202"/>
  </r>
  <r>
    <x v="92"/>
    <n v="9"/>
    <n v="2010"/>
    <n v="10.101038062283736"/>
  </r>
  <r>
    <x v="92"/>
    <n v="9"/>
    <n v="2010"/>
    <n v="0"/>
  </r>
  <r>
    <x v="92"/>
    <n v="9"/>
    <n v="2010"/>
    <n v="1.7529411764705884"/>
  </r>
  <r>
    <x v="92"/>
    <n v="9"/>
    <n v="2010"/>
    <n v="3.0581314878892734"/>
  </r>
  <r>
    <x v="92"/>
    <n v="9"/>
    <n v="2010"/>
    <n v="0.66989619377162624"/>
  </r>
  <r>
    <x v="92"/>
    <n v="9"/>
    <n v="2010"/>
    <n v="0.3259515570934256"/>
  </r>
  <r>
    <x v="92"/>
    <n v="9"/>
    <n v="2010"/>
    <n v="0"/>
  </r>
  <r>
    <x v="92"/>
    <n v="9"/>
    <n v="2010"/>
    <n v="0"/>
  </r>
  <r>
    <x v="92"/>
    <n v="9"/>
    <n v="2010"/>
    <n v="5.4858131487889272"/>
  </r>
  <r>
    <x v="92"/>
    <n v="9"/>
    <n v="2010"/>
    <n v="1.7418685121107267"/>
  </r>
  <r>
    <x v="92"/>
    <n v="9"/>
    <n v="2010"/>
    <n v="0"/>
  </r>
  <r>
    <x v="92"/>
    <n v="9"/>
    <n v="2010"/>
    <n v="2.3584775086505192"/>
  </r>
  <r>
    <x v="92"/>
    <n v="9"/>
    <n v="2010"/>
    <n v="7.3467128027681667"/>
  </r>
  <r>
    <x v="92"/>
    <n v="9"/>
    <n v="2010"/>
    <n v="4.4207612456747407"/>
  </r>
  <r>
    <x v="92"/>
    <n v="9"/>
    <n v="2010"/>
    <n v="0"/>
  </r>
  <r>
    <x v="92"/>
    <n v="9"/>
    <n v="2010"/>
    <n v="0.22076124567474048"/>
  </r>
  <r>
    <x v="92"/>
    <n v="9"/>
    <n v="2010"/>
    <n v="3.5958477508650515"/>
  </r>
  <r>
    <x v="92"/>
    <n v="9"/>
    <n v="2010"/>
    <n v="0.90726643598615919"/>
  </r>
  <r>
    <x v="92"/>
    <n v="9"/>
    <n v="2010"/>
    <n v="12.232525951557093"/>
  </r>
  <r>
    <x v="92"/>
    <n v="9"/>
    <n v="2010"/>
    <n v="0.6401384083044982"/>
  </r>
  <r>
    <x v="93"/>
    <n v="10"/>
    <n v="2010"/>
    <n v="9.6283737024221434"/>
  </r>
  <r>
    <x v="93"/>
    <n v="10"/>
    <n v="2010"/>
    <n v="0.20207612456747404"/>
  </r>
  <r>
    <x v="93"/>
    <n v="10"/>
    <n v="2010"/>
    <n v="12.085813148788928"/>
  </r>
  <r>
    <x v="93"/>
    <n v="10"/>
    <n v="2010"/>
    <n v="0.66228373702422139"/>
  </r>
  <r>
    <x v="93"/>
    <n v="10"/>
    <n v="2010"/>
    <n v="0.39515570934256056"/>
  </r>
  <r>
    <x v="93"/>
    <n v="10"/>
    <n v="2010"/>
    <n v="5.6373702422145335"/>
  </r>
  <r>
    <x v="93"/>
    <n v="10"/>
    <n v="2010"/>
    <n v="0"/>
  </r>
  <r>
    <x v="93"/>
    <n v="10"/>
    <n v="2010"/>
    <n v="1.7626297577854673"/>
  </r>
  <r>
    <x v="93"/>
    <n v="10"/>
    <n v="2010"/>
    <n v="0.98339100346020769"/>
  </r>
  <r>
    <x v="93"/>
    <n v="10"/>
    <n v="2010"/>
    <n v="0"/>
  </r>
  <r>
    <x v="93"/>
    <n v="10"/>
    <n v="2010"/>
    <n v="0"/>
  </r>
  <r>
    <x v="93"/>
    <n v="10"/>
    <n v="2010"/>
    <n v="0"/>
  </r>
  <r>
    <x v="93"/>
    <n v="10"/>
    <n v="2010"/>
    <n v="0"/>
  </r>
  <r>
    <x v="93"/>
    <n v="10"/>
    <n v="2010"/>
    <n v="0"/>
  </r>
  <r>
    <x v="93"/>
    <n v="10"/>
    <n v="2010"/>
    <n v="2.515570934256055"/>
  </r>
  <r>
    <x v="93"/>
    <n v="10"/>
    <n v="2010"/>
    <n v="1.0615916955017302"/>
  </r>
  <r>
    <x v="93"/>
    <n v="10"/>
    <n v="2010"/>
    <n v="0"/>
  </r>
  <r>
    <x v="93"/>
    <n v="10"/>
    <n v="2010"/>
    <n v="1.2228373702422146"/>
  </r>
  <r>
    <x v="93"/>
    <n v="10"/>
    <n v="2010"/>
    <n v="0.72871972318339095"/>
  </r>
  <r>
    <x v="93"/>
    <n v="10"/>
    <n v="2010"/>
    <n v="1.7287197231833908"/>
  </r>
  <r>
    <x v="93"/>
    <n v="10"/>
    <n v="2010"/>
    <n v="5.781314878892732"/>
  </r>
  <r>
    <x v="93"/>
    <n v="10"/>
    <n v="2010"/>
    <n v="3.0782006920415226"/>
  </r>
  <r>
    <x v="93"/>
    <n v="10"/>
    <n v="2010"/>
    <n v="6.0103806228373697"/>
  </r>
  <r>
    <x v="93"/>
    <n v="10"/>
    <n v="2010"/>
    <n v="2.0871972318339105"/>
  </r>
  <r>
    <x v="93"/>
    <n v="10"/>
    <n v="2010"/>
    <n v="0"/>
  </r>
  <r>
    <x v="93"/>
    <n v="10"/>
    <n v="2010"/>
    <n v="4.5771626297577859"/>
  </r>
  <r>
    <x v="93"/>
    <n v="10"/>
    <n v="2010"/>
    <n v="2.9903114186851214"/>
  </r>
  <r>
    <x v="93"/>
    <n v="10"/>
    <n v="2010"/>
    <n v="0.82906574394463672"/>
  </r>
  <r>
    <x v="93"/>
    <n v="10"/>
    <n v="2010"/>
    <n v="0.29411764705882348"/>
  </r>
  <r>
    <x v="93"/>
    <n v="10"/>
    <n v="2010"/>
    <n v="0.40415224913494813"/>
  </r>
  <r>
    <x v="93"/>
    <n v="10"/>
    <n v="2010"/>
    <n v="0"/>
  </r>
  <r>
    <x v="94"/>
    <n v="11"/>
    <n v="2010"/>
    <n v="0.790311418685121"/>
  </r>
  <r>
    <x v="94"/>
    <n v="11"/>
    <n v="2010"/>
    <n v="8.6110726643598614"/>
  </r>
  <r>
    <x v="94"/>
    <n v="11"/>
    <n v="2010"/>
    <n v="1.0920415224913496"/>
  </r>
  <r>
    <x v="94"/>
    <n v="11"/>
    <n v="2010"/>
    <n v="18.375086505190314"/>
  </r>
  <r>
    <x v="94"/>
    <n v="11"/>
    <n v="2010"/>
    <n v="0.22283737024221451"/>
  </r>
  <r>
    <x v="94"/>
    <n v="11"/>
    <n v="2010"/>
    <n v="0.62352941176470589"/>
  </r>
  <r>
    <x v="94"/>
    <n v="11"/>
    <n v="2010"/>
    <n v="0.55017301038062283"/>
  </r>
  <r>
    <x v="94"/>
    <n v="11"/>
    <n v="2010"/>
    <n v="5.9979238754325266"/>
  </r>
  <r>
    <x v="94"/>
    <n v="11"/>
    <n v="2010"/>
    <n v="8.0394463667820055"/>
  </r>
  <r>
    <x v="94"/>
    <n v="11"/>
    <n v="2010"/>
    <n v="0"/>
  </r>
  <r>
    <x v="94"/>
    <n v="11"/>
    <n v="2010"/>
    <n v="10.083737024221456"/>
  </r>
  <r>
    <x v="94"/>
    <n v="11"/>
    <n v="2010"/>
    <n v="5.4705882352941169"/>
  </r>
  <r>
    <x v="94"/>
    <n v="11"/>
    <n v="2010"/>
    <n v="0.95017301038062274"/>
  </r>
  <r>
    <x v="94"/>
    <n v="11"/>
    <n v="2010"/>
    <n v="4.0975778546712798"/>
  </r>
  <r>
    <x v="94"/>
    <n v="11"/>
    <n v="2010"/>
    <n v="0.7162629757785467"/>
  </r>
  <r>
    <x v="94"/>
    <n v="11"/>
    <n v="2010"/>
    <n v="0.55501730103806235"/>
  </r>
  <r>
    <x v="94"/>
    <n v="11"/>
    <n v="2010"/>
    <n v="0"/>
  </r>
  <r>
    <x v="94"/>
    <n v="11"/>
    <n v="2010"/>
    <n v="1.1916955017301039"/>
  </r>
  <r>
    <x v="94"/>
    <n v="11"/>
    <n v="2010"/>
    <n v="1.8595155709342561"/>
  </r>
  <r>
    <x v="94"/>
    <n v="11"/>
    <n v="2010"/>
    <n v="7.6719723183391002"/>
  </r>
  <r>
    <x v="94"/>
    <n v="11"/>
    <n v="2010"/>
    <n v="4.9591695501730104"/>
  </r>
  <r>
    <x v="94"/>
    <n v="11"/>
    <n v="2010"/>
    <n v="12.160553633217994"/>
  </r>
  <r>
    <x v="94"/>
    <n v="11"/>
    <n v="2010"/>
    <n v="2.5882352941176467"/>
  </r>
  <r>
    <x v="94"/>
    <n v="11"/>
    <n v="2010"/>
    <n v="10.28858131487889"/>
  </r>
  <r>
    <x v="94"/>
    <n v="11"/>
    <n v="2010"/>
    <n v="11.2"/>
  </r>
  <r>
    <x v="94"/>
    <n v="11"/>
    <n v="2010"/>
    <n v="0.6"/>
  </r>
  <r>
    <x v="94"/>
    <n v="11"/>
    <n v="2010"/>
    <n v="4.3999999999999995"/>
  </r>
  <r>
    <x v="94"/>
    <n v="11"/>
    <n v="2010"/>
    <n v="12.199999999999998"/>
  </r>
  <r>
    <x v="94"/>
    <n v="11"/>
    <n v="2010"/>
    <n v="8.296885813148787"/>
  </r>
  <r>
    <x v="94"/>
    <n v="11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5.5501730103806235"/>
  </r>
  <r>
    <x v="95"/>
    <n v="12"/>
    <n v="2010"/>
    <n v="26.353633217993085"/>
  </r>
  <r>
    <x v="95"/>
    <n v="12"/>
    <n v="2010"/>
    <n v="5.5197231833910045"/>
  </r>
  <r>
    <x v="95"/>
    <n v="12"/>
    <n v="2010"/>
    <n v="0"/>
  </r>
  <r>
    <x v="95"/>
    <n v="12"/>
    <n v="2010"/>
    <n v="0"/>
  </r>
  <r>
    <x v="95"/>
    <n v="12"/>
    <n v="2010"/>
    <n v="2.4110726643598617"/>
  </r>
  <r>
    <x v="95"/>
    <n v="12"/>
    <n v="2010"/>
    <n v="0.38131487889273352"/>
  </r>
  <r>
    <x v="95"/>
    <n v="12"/>
    <n v="2010"/>
    <n v="2.8878892733564014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.53010380622837372"/>
  </r>
  <r>
    <x v="95"/>
    <n v="12"/>
    <n v="2010"/>
    <n v="0"/>
  </r>
  <r>
    <x v="95"/>
    <n v="12"/>
    <n v="2010"/>
    <n v="0"/>
  </r>
  <r>
    <x v="95"/>
    <n v="12"/>
    <n v="2010"/>
    <n v="0.78961937716262964"/>
  </r>
  <r>
    <x v="95"/>
    <n v="12"/>
    <n v="2010"/>
    <n v="0"/>
  </r>
  <r>
    <x v="95"/>
    <n v="12"/>
    <n v="2010"/>
    <n v="1.9287197231833908"/>
  </r>
  <r>
    <x v="95"/>
    <n v="12"/>
    <n v="2010"/>
    <n v="7.6380622837370264"/>
  </r>
  <r>
    <x v="95"/>
    <n v="12"/>
    <n v="2010"/>
    <n v="3.5044982698961933"/>
  </r>
  <r>
    <x v="95"/>
    <n v="12"/>
    <n v="2010"/>
    <n v="7.4643598615916966"/>
  </r>
  <r>
    <x v="95"/>
    <n v="12"/>
    <n v="2010"/>
    <n v="2.729411764705882"/>
  </r>
  <r>
    <x v="96"/>
    <n v="1"/>
    <n v="2011"/>
    <n v="0.90588235294117647"/>
  </r>
  <r>
    <x v="96"/>
    <n v="1"/>
    <n v="2011"/>
    <n v="0"/>
  </r>
  <r>
    <x v="96"/>
    <n v="1"/>
    <n v="2011"/>
    <n v="0"/>
  </r>
  <r>
    <x v="96"/>
    <n v="1"/>
    <n v="2011"/>
    <n v="1.7148788927335639"/>
  </r>
  <r>
    <x v="96"/>
    <n v="1"/>
    <n v="2011"/>
    <n v="6.5411764705882351"/>
  </r>
  <r>
    <x v="96"/>
    <n v="1"/>
    <n v="2011"/>
    <n v="0.29204152249134946"/>
  </r>
  <r>
    <x v="96"/>
    <n v="1"/>
    <n v="2011"/>
    <n v="4.6048442906574394"/>
  </r>
  <r>
    <x v="96"/>
    <n v="1"/>
    <n v="2011"/>
    <n v="0.4249134948096886"/>
  </r>
  <r>
    <x v="96"/>
    <n v="1"/>
    <n v="2011"/>
    <n v="0.49619377162629758"/>
  </r>
  <r>
    <x v="96"/>
    <n v="1"/>
    <n v="2011"/>
    <n v="11.949480968858131"/>
  </r>
  <r>
    <x v="96"/>
    <n v="1"/>
    <n v="2011"/>
    <n v="6.9252595155709358"/>
  </r>
  <r>
    <x v="96"/>
    <n v="1"/>
    <n v="2011"/>
    <n v="0.92871972318339102"/>
  </r>
  <r>
    <x v="96"/>
    <n v="1"/>
    <n v="2011"/>
    <n v="3.2761245674740476"/>
  </r>
  <r>
    <x v="96"/>
    <n v="1"/>
    <n v="2011"/>
    <n v="2.0553633217993079"/>
  </r>
  <r>
    <x v="96"/>
    <n v="1"/>
    <n v="2011"/>
    <n v="6.2788927335640139"/>
  </r>
  <r>
    <x v="96"/>
    <n v="1"/>
    <n v="2011"/>
    <n v="0.79515570934256063"/>
  </r>
  <r>
    <x v="96"/>
    <n v="1"/>
    <n v="2011"/>
    <n v="0"/>
  </r>
  <r>
    <x v="96"/>
    <n v="1"/>
    <n v="2011"/>
    <n v="0.30103806228373703"/>
  </r>
  <r>
    <x v="96"/>
    <n v="1"/>
    <n v="2011"/>
    <n v="0"/>
  </r>
  <r>
    <x v="96"/>
    <n v="1"/>
    <n v="2011"/>
    <n v="0"/>
  </r>
  <r>
    <x v="96"/>
    <n v="1"/>
    <n v="2011"/>
    <n v="0"/>
  </r>
  <r>
    <x v="96"/>
    <n v="1"/>
    <n v="2011"/>
    <n v="0"/>
  </r>
  <r>
    <x v="96"/>
    <n v="1"/>
    <n v="2011"/>
    <n v="0"/>
  </r>
  <r>
    <x v="96"/>
    <n v="1"/>
    <n v="2011"/>
    <n v="0.28512110726643597"/>
  </r>
  <r>
    <x v="96"/>
    <n v="1"/>
    <n v="2011"/>
    <n v="0"/>
  </r>
  <r>
    <x v="96"/>
    <n v="1"/>
    <n v="2011"/>
    <n v="6.3190311418685114"/>
  </r>
  <r>
    <x v="96"/>
    <n v="1"/>
    <n v="2011"/>
    <n v="1.2304498269896194"/>
  </r>
  <r>
    <x v="96"/>
    <n v="1"/>
    <n v="2011"/>
    <n v="0"/>
  </r>
  <r>
    <x v="96"/>
    <n v="1"/>
    <n v="2011"/>
    <n v="0"/>
  </r>
  <r>
    <x v="96"/>
    <n v="1"/>
    <n v="2011"/>
    <n v="0.21384083044982699"/>
  </r>
  <r>
    <x v="96"/>
    <n v="1"/>
    <n v="2011"/>
    <n v="0"/>
  </r>
  <r>
    <x v="97"/>
    <n v="2"/>
    <n v="2011"/>
    <n v="0"/>
  </r>
  <r>
    <x v="97"/>
    <n v="2"/>
    <n v="2011"/>
    <n v="0.93633217993079598"/>
  </r>
  <r>
    <x v="97"/>
    <n v="2"/>
    <n v="2011"/>
    <n v="6.7501730103806219"/>
  </r>
  <r>
    <x v="97"/>
    <n v="2"/>
    <n v="2011"/>
    <n v="9.1757785467128041"/>
  </r>
  <r>
    <x v="97"/>
    <n v="2"/>
    <n v="2011"/>
    <n v="4.2186851211072662"/>
  </r>
  <r>
    <x v="97"/>
    <n v="2"/>
    <n v="2011"/>
    <n v="10.498961937716262"/>
  </r>
  <r>
    <x v="97"/>
    <n v="2"/>
    <n v="2011"/>
    <n v="6.5038062283737021"/>
  </r>
  <r>
    <x v="97"/>
    <n v="2"/>
    <n v="2011"/>
    <n v="0"/>
  </r>
  <r>
    <x v="97"/>
    <n v="2"/>
    <n v="2011"/>
    <n v="6.5792387543252602"/>
  </r>
  <r>
    <x v="97"/>
    <n v="2"/>
    <n v="2011"/>
    <n v="0.22006920415224912"/>
  </r>
  <r>
    <x v="97"/>
    <n v="2"/>
    <n v="2011"/>
    <n v="1.8435986159169551"/>
  </r>
  <r>
    <x v="97"/>
    <n v="2"/>
    <n v="2011"/>
    <n v="7.5564013840830464"/>
  </r>
  <r>
    <x v="97"/>
    <n v="2"/>
    <n v="2011"/>
    <n v="3.0934256055363316"/>
  </r>
  <r>
    <x v="97"/>
    <n v="2"/>
    <n v="2011"/>
    <n v="3.1183391003460206"/>
  </r>
  <r>
    <x v="97"/>
    <n v="2"/>
    <n v="2011"/>
    <n v="1.4913494809688581"/>
  </r>
  <r>
    <x v="97"/>
    <n v="2"/>
    <n v="2011"/>
    <n v="2.7529411764705882"/>
  </r>
  <r>
    <x v="97"/>
    <n v="2"/>
    <n v="2011"/>
    <n v="0"/>
  </r>
  <r>
    <x v="97"/>
    <n v="2"/>
    <n v="2011"/>
    <n v="0"/>
  </r>
  <r>
    <x v="97"/>
    <n v="2"/>
    <n v="2011"/>
    <n v="6.8761245674740463"/>
  </r>
  <r>
    <x v="97"/>
    <n v="2"/>
    <n v="2011"/>
    <n v="0.57508650519031135"/>
  </r>
  <r>
    <x v="97"/>
    <n v="2"/>
    <n v="2011"/>
    <n v="0.49204152249134953"/>
  </r>
  <r>
    <x v="97"/>
    <n v="2"/>
    <n v="2011"/>
    <n v="0"/>
  </r>
  <r>
    <x v="97"/>
    <n v="2"/>
    <n v="2011"/>
    <n v="3.570934256055363"/>
  </r>
  <r>
    <x v="97"/>
    <n v="2"/>
    <n v="2011"/>
    <n v="0"/>
  </r>
  <r>
    <x v="97"/>
    <n v="2"/>
    <n v="2011"/>
    <n v="0.42214532871972316"/>
  </r>
  <r>
    <x v="97"/>
    <n v="2"/>
    <n v="2011"/>
    <n v="1.573010380622837"/>
  </r>
  <r>
    <x v="97"/>
    <n v="2"/>
    <n v="2011"/>
    <n v="0"/>
  </r>
  <r>
    <x v="97"/>
    <n v="2"/>
    <n v="2011"/>
    <n v="2.1128027681660897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.41799307958477511"/>
  </r>
  <r>
    <x v="98"/>
    <n v="3"/>
    <n v="2011"/>
    <n v="0"/>
  </r>
  <r>
    <x v="98"/>
    <n v="3"/>
    <n v="2011"/>
    <n v="0"/>
  </r>
  <r>
    <x v="98"/>
    <n v="3"/>
    <n v="2011"/>
    <n v="0.70519031141868516"/>
  </r>
  <r>
    <x v="98"/>
    <n v="3"/>
    <n v="2011"/>
    <n v="4.0463667820069205"/>
  </r>
  <r>
    <x v="98"/>
    <n v="3"/>
    <n v="2011"/>
    <n v="7.4865051903114184"/>
  </r>
  <r>
    <x v="98"/>
    <n v="3"/>
    <n v="2011"/>
    <n v="4.8615916955017298"/>
  </r>
  <r>
    <x v="98"/>
    <n v="3"/>
    <n v="2011"/>
    <n v="9.8588235294117652"/>
  </r>
  <r>
    <x v="98"/>
    <n v="3"/>
    <n v="2011"/>
    <n v="1.2138408304498272"/>
  </r>
  <r>
    <x v="98"/>
    <n v="3"/>
    <n v="2011"/>
    <n v="0"/>
  </r>
  <r>
    <x v="98"/>
    <n v="3"/>
    <n v="2011"/>
    <n v="0.89619377162629776"/>
  </r>
  <r>
    <x v="98"/>
    <n v="3"/>
    <n v="2011"/>
    <n v="1.3155709342560553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1.0041522491349482"/>
  </r>
  <r>
    <x v="98"/>
    <n v="3"/>
    <n v="2011"/>
    <n v="0"/>
  </r>
  <r>
    <x v="98"/>
    <n v="3"/>
    <n v="2011"/>
    <n v="0"/>
  </r>
  <r>
    <x v="98"/>
    <n v="3"/>
    <n v="2011"/>
    <n v="1.1584775086505192"/>
  </r>
  <r>
    <x v="98"/>
    <n v="3"/>
    <n v="2011"/>
    <n v="2.3570934256055365"/>
  </r>
  <r>
    <x v="98"/>
    <n v="3"/>
    <n v="2011"/>
    <n v="6.4083044982698958"/>
  </r>
  <r>
    <x v="99"/>
    <n v="4"/>
    <n v="2011"/>
    <n v="1.7785467128027681"/>
  </r>
  <r>
    <x v="99"/>
    <n v="4"/>
    <n v="2011"/>
    <n v="4.5072664359861587"/>
  </r>
  <r>
    <x v="99"/>
    <n v="4"/>
    <n v="2011"/>
    <n v="0.94740484429065752"/>
  </r>
  <r>
    <x v="99"/>
    <n v="4"/>
    <n v="2011"/>
    <n v="0.82629757785467128"/>
  </r>
  <r>
    <x v="99"/>
    <n v="4"/>
    <n v="2011"/>
    <n v="0.91626297577854665"/>
  </r>
  <r>
    <x v="99"/>
    <n v="4"/>
    <n v="2011"/>
    <n v="2.7688581314878897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.42906574394463665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1.7397923875432526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100"/>
    <n v="5"/>
    <n v="2011"/>
    <n v="0"/>
  </r>
  <r>
    <x v="100"/>
    <n v="5"/>
    <n v="2011"/>
    <n v="0"/>
  </r>
  <r>
    <x v="100"/>
    <n v="5"/>
    <n v="2011"/>
    <n v="0"/>
  </r>
  <r>
    <x v="100"/>
    <n v="5"/>
    <n v="2011"/>
    <n v="0"/>
  </r>
  <r>
    <x v="100"/>
    <n v="5"/>
    <n v="2011"/>
    <n v="2.4159169550173014"/>
  </r>
  <r>
    <x v="100"/>
    <n v="5"/>
    <n v="2011"/>
    <n v="4.658823529411765"/>
  </r>
  <r>
    <x v="100"/>
    <n v="5"/>
    <n v="2011"/>
    <n v="5.236678200692042"/>
  </r>
  <r>
    <x v="100"/>
    <n v="5"/>
    <n v="2011"/>
    <n v="18.044982698961938"/>
  </r>
  <r>
    <x v="100"/>
    <n v="5"/>
    <n v="2011"/>
    <n v="1.6069204152249137"/>
  </r>
  <r>
    <x v="100"/>
    <n v="5"/>
    <n v="2011"/>
    <n v="0"/>
  </r>
  <r>
    <x v="100"/>
    <n v="5"/>
    <n v="2011"/>
    <n v="0"/>
  </r>
  <r>
    <x v="100"/>
    <n v="5"/>
    <n v="2011"/>
    <n v="1.8747404844290656"/>
  </r>
  <r>
    <x v="100"/>
    <n v="5"/>
    <n v="2011"/>
    <n v="2.3217993079584778"/>
  </r>
  <r>
    <x v="100"/>
    <n v="5"/>
    <n v="2011"/>
    <n v="0"/>
  </r>
  <r>
    <x v="100"/>
    <n v="5"/>
    <n v="2011"/>
    <n v="0"/>
  </r>
  <r>
    <x v="100"/>
    <n v="5"/>
    <n v="2011"/>
    <n v="1.1944636678200693"/>
  </r>
  <r>
    <x v="100"/>
    <n v="5"/>
    <n v="2011"/>
    <n v="0"/>
  </r>
  <r>
    <x v="100"/>
    <n v="5"/>
    <n v="2011"/>
    <n v="1.8456747404844291"/>
  </r>
  <r>
    <x v="100"/>
    <n v="5"/>
    <n v="2011"/>
    <n v="0"/>
  </r>
  <r>
    <x v="100"/>
    <n v="5"/>
    <n v="2011"/>
    <n v="0"/>
  </r>
  <r>
    <x v="100"/>
    <n v="5"/>
    <n v="2011"/>
    <n v="0.49619377162629752"/>
  </r>
  <r>
    <x v="100"/>
    <n v="5"/>
    <n v="2011"/>
    <n v="6.9591695501730113"/>
  </r>
  <r>
    <x v="100"/>
    <n v="5"/>
    <n v="2011"/>
    <n v="4.1294117647058828"/>
  </r>
  <r>
    <x v="100"/>
    <n v="5"/>
    <n v="2011"/>
    <n v="1.4629757785467128"/>
  </r>
  <r>
    <x v="100"/>
    <n v="5"/>
    <n v="2011"/>
    <n v="0"/>
  </r>
  <r>
    <x v="100"/>
    <n v="5"/>
    <n v="2011"/>
    <n v="6.7916955017301035"/>
  </r>
  <r>
    <x v="100"/>
    <n v="5"/>
    <n v="2011"/>
    <n v="1.6096885813148789"/>
  </r>
  <r>
    <x v="100"/>
    <n v="5"/>
    <n v="2011"/>
    <n v="2.2013840830449825"/>
  </r>
  <r>
    <x v="100"/>
    <n v="5"/>
    <n v="2011"/>
    <n v="1.3024221453287197"/>
  </r>
  <r>
    <x v="100"/>
    <n v="5"/>
    <n v="2011"/>
    <n v="0.39377162629757778"/>
  </r>
  <r>
    <x v="100"/>
    <n v="5"/>
    <n v="2011"/>
    <n v="0"/>
  </r>
  <r>
    <x v="101"/>
    <n v="6"/>
    <n v="2011"/>
    <n v="0"/>
  </r>
  <r>
    <x v="101"/>
    <n v="6"/>
    <n v="2011"/>
    <n v="0"/>
  </r>
  <r>
    <x v="101"/>
    <n v="6"/>
    <n v="2011"/>
    <n v="0"/>
  </r>
  <r>
    <x v="101"/>
    <n v="6"/>
    <n v="2011"/>
    <n v="0"/>
  </r>
  <r>
    <x v="101"/>
    <n v="6"/>
    <n v="2011"/>
    <n v="3.5792387543252597"/>
  </r>
  <r>
    <x v="101"/>
    <n v="6"/>
    <n v="2011"/>
    <n v="0"/>
  </r>
  <r>
    <x v="101"/>
    <n v="6"/>
    <n v="2011"/>
    <n v="1.6622837370242214"/>
  </r>
  <r>
    <x v="101"/>
    <n v="6"/>
    <n v="2011"/>
    <n v="1.6359861591695504"/>
  </r>
  <r>
    <x v="101"/>
    <n v="6"/>
    <n v="2011"/>
    <n v="0"/>
  </r>
  <r>
    <x v="101"/>
    <n v="6"/>
    <n v="2011"/>
    <n v="1.2442906574394463"/>
  </r>
  <r>
    <x v="101"/>
    <n v="6"/>
    <n v="2011"/>
    <n v="4.757785467128028"/>
  </r>
  <r>
    <x v="101"/>
    <n v="6"/>
    <n v="2011"/>
    <n v="10.263667820069204"/>
  </r>
  <r>
    <x v="101"/>
    <n v="6"/>
    <n v="2011"/>
    <n v="1.2152249134948097"/>
  </r>
  <r>
    <x v="101"/>
    <n v="6"/>
    <n v="2011"/>
    <n v="0"/>
  </r>
  <r>
    <x v="101"/>
    <n v="6"/>
    <n v="2011"/>
    <n v="0"/>
  </r>
  <r>
    <x v="101"/>
    <n v="6"/>
    <n v="2011"/>
    <n v="1.3480968858131488"/>
  </r>
  <r>
    <x v="101"/>
    <n v="6"/>
    <n v="2011"/>
    <n v="0.26505190311418686"/>
  </r>
  <r>
    <x v="101"/>
    <n v="6"/>
    <n v="2011"/>
    <n v="13.17923875432526"/>
  </r>
  <r>
    <x v="101"/>
    <n v="6"/>
    <n v="2011"/>
    <n v="2.1896193771626296"/>
  </r>
  <r>
    <x v="101"/>
    <n v="6"/>
    <n v="2011"/>
    <n v="0.79792387543252596"/>
  </r>
  <r>
    <x v="101"/>
    <n v="6"/>
    <n v="2011"/>
    <n v="8.1335640138408305"/>
  </r>
  <r>
    <x v="101"/>
    <n v="6"/>
    <n v="2011"/>
    <n v="5.3467128027681659"/>
  </r>
  <r>
    <x v="101"/>
    <n v="6"/>
    <n v="2011"/>
    <n v="8.5508650519031111"/>
  </r>
  <r>
    <x v="101"/>
    <n v="6"/>
    <n v="2011"/>
    <n v="0"/>
  </r>
  <r>
    <x v="101"/>
    <n v="6"/>
    <n v="2011"/>
    <n v="2.580622837370242"/>
  </r>
  <r>
    <x v="101"/>
    <n v="6"/>
    <n v="2011"/>
    <n v="3.8934256055363319"/>
  </r>
  <r>
    <x v="101"/>
    <n v="6"/>
    <n v="2011"/>
    <n v="3.8166089965397925"/>
  </r>
  <r>
    <x v="101"/>
    <n v="6"/>
    <n v="2011"/>
    <n v="0"/>
  </r>
  <r>
    <x v="101"/>
    <n v="6"/>
    <n v="2011"/>
    <n v="0.90934256055363316"/>
  </r>
  <r>
    <x v="101"/>
    <n v="6"/>
    <n v="2011"/>
    <n v="3.4484429065743942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.29273356401384082"/>
  </r>
  <r>
    <x v="102"/>
    <n v="7"/>
    <n v="2011"/>
    <n v="12.104498269896192"/>
  </r>
  <r>
    <x v="102"/>
    <n v="7"/>
    <n v="2011"/>
    <n v="1.9356401384083048"/>
  </r>
  <r>
    <x v="102"/>
    <n v="7"/>
    <n v="2011"/>
    <n v="3.2463667820069202"/>
  </r>
  <r>
    <x v="102"/>
    <n v="7"/>
    <n v="2011"/>
    <n v="5.844290657439446"/>
  </r>
  <r>
    <x v="102"/>
    <n v="7"/>
    <n v="2011"/>
    <n v="0.26712802768166088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.32110726643598619"/>
  </r>
  <r>
    <x v="102"/>
    <n v="7"/>
    <n v="2011"/>
    <n v="14.427681660899655"/>
  </r>
  <r>
    <x v="102"/>
    <n v="7"/>
    <n v="2011"/>
    <n v="17.181314878892731"/>
  </r>
  <r>
    <x v="102"/>
    <n v="7"/>
    <n v="2011"/>
    <n v="3.9923875432525948"/>
  </r>
  <r>
    <x v="102"/>
    <n v="7"/>
    <n v="2011"/>
    <n v="10.606228373702422"/>
  </r>
  <r>
    <x v="102"/>
    <n v="7"/>
    <n v="2011"/>
    <n v="27.949480968858133"/>
  </r>
  <r>
    <x v="102"/>
    <n v="7"/>
    <n v="2011"/>
    <n v="0.27612456747404845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.99930795847750864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"/>
  </r>
  <r>
    <x v="103"/>
    <n v="8"/>
    <n v="2011"/>
    <n v="0.62145328719723181"/>
  </r>
  <r>
    <x v="103"/>
    <n v="8"/>
    <n v="2011"/>
    <n v="8.0145328719723175"/>
  </r>
  <r>
    <x v="103"/>
    <n v="8"/>
    <n v="2011"/>
    <n v="0"/>
  </r>
  <r>
    <x v="103"/>
    <n v="8"/>
    <n v="2011"/>
    <n v="12.085813148788928"/>
  </r>
  <r>
    <x v="103"/>
    <n v="8"/>
    <n v="2011"/>
    <n v="0"/>
  </r>
  <r>
    <x v="103"/>
    <n v="8"/>
    <n v="2011"/>
    <n v="31.248442906574393"/>
  </r>
  <r>
    <x v="103"/>
    <n v="8"/>
    <n v="2011"/>
    <n v="6.0401384083044976"/>
  </r>
  <r>
    <x v="103"/>
    <n v="8"/>
    <n v="2011"/>
    <n v="0"/>
  </r>
  <r>
    <x v="103"/>
    <n v="8"/>
    <n v="2011"/>
    <n v="0"/>
  </r>
  <r>
    <x v="103"/>
    <n v="8"/>
    <n v="2011"/>
    <n v="9.1598615916955008"/>
  </r>
  <r>
    <x v="103"/>
    <n v="8"/>
    <n v="2011"/>
    <n v="11.750173010380623"/>
  </r>
  <r>
    <x v="103"/>
    <n v="8"/>
    <n v="2011"/>
    <n v="1.8186851211072663"/>
  </r>
  <r>
    <x v="103"/>
    <n v="8"/>
    <n v="2011"/>
    <n v="3.5550173010380623"/>
  </r>
  <r>
    <x v="103"/>
    <n v="8"/>
    <n v="2011"/>
    <n v="0"/>
  </r>
  <r>
    <x v="103"/>
    <n v="8"/>
    <n v="2011"/>
    <n v="0"/>
  </r>
  <r>
    <x v="103"/>
    <n v="8"/>
    <n v="2011"/>
    <n v="4.4193771626297575"/>
  </r>
  <r>
    <x v="103"/>
    <n v="8"/>
    <n v="2011"/>
    <n v="0"/>
  </r>
  <r>
    <x v="103"/>
    <n v="8"/>
    <n v="2011"/>
    <n v="1.837370242214533"/>
  </r>
  <r>
    <x v="103"/>
    <n v="8"/>
    <n v="2011"/>
    <n v="0.42698961937716262"/>
  </r>
  <r>
    <x v="103"/>
    <n v="8"/>
    <n v="2011"/>
    <n v="2.2228373702422148"/>
  </r>
  <r>
    <x v="103"/>
    <n v="8"/>
    <n v="2011"/>
    <n v="0"/>
  </r>
  <r>
    <x v="103"/>
    <n v="8"/>
    <n v="2011"/>
    <n v="0"/>
  </r>
  <r>
    <x v="103"/>
    <n v="8"/>
    <n v="2011"/>
    <n v="0.78131487889273366"/>
  </r>
  <r>
    <x v="103"/>
    <n v="8"/>
    <n v="2011"/>
    <n v="1.9072664359861593"/>
  </r>
  <r>
    <x v="103"/>
    <n v="8"/>
    <n v="2011"/>
    <n v="0.42145328719723185"/>
  </r>
  <r>
    <x v="103"/>
    <n v="8"/>
    <n v="2011"/>
    <n v="1.4207612456747412"/>
  </r>
  <r>
    <x v="103"/>
    <n v="8"/>
    <n v="2011"/>
    <n v="5.8761245674740481"/>
  </r>
  <r>
    <x v="103"/>
    <n v="8"/>
    <n v="2011"/>
    <n v="0.70519031141868516"/>
  </r>
  <r>
    <x v="103"/>
    <n v="8"/>
    <n v="2011"/>
    <n v="0"/>
  </r>
  <r>
    <x v="103"/>
    <n v="8"/>
    <n v="2011"/>
    <n v="0.25882352941176473"/>
  </r>
  <r>
    <x v="103"/>
    <n v="8"/>
    <n v="2011"/>
    <n v="0"/>
  </r>
  <r>
    <x v="104"/>
    <n v="9"/>
    <n v="2011"/>
    <n v="0"/>
  </r>
  <r>
    <x v="104"/>
    <n v="9"/>
    <n v="2011"/>
    <n v="0.35916955017301039"/>
  </r>
  <r>
    <x v="104"/>
    <n v="9"/>
    <n v="2011"/>
    <n v="3.3211072664359862"/>
  </r>
  <r>
    <x v="104"/>
    <n v="9"/>
    <n v="2011"/>
    <n v="0.22906574394463666"/>
  </r>
  <r>
    <x v="104"/>
    <n v="9"/>
    <n v="2011"/>
    <n v="2.6595155709342562"/>
  </r>
  <r>
    <x v="104"/>
    <n v="9"/>
    <n v="2011"/>
    <n v="7.4166089965397921"/>
  </r>
  <r>
    <x v="104"/>
    <n v="9"/>
    <n v="2011"/>
    <n v="0.7231833910034603"/>
  </r>
  <r>
    <x v="104"/>
    <n v="9"/>
    <n v="2011"/>
    <n v="0.28512110726643602"/>
  </r>
  <r>
    <x v="104"/>
    <n v="9"/>
    <n v="2011"/>
    <n v="2.3307958477508652"/>
  </r>
  <r>
    <x v="104"/>
    <n v="9"/>
    <n v="2011"/>
    <n v="3.0754325259515567"/>
  </r>
  <r>
    <x v="104"/>
    <n v="9"/>
    <n v="2011"/>
    <n v="1.3806228373702423"/>
  </r>
  <r>
    <x v="104"/>
    <n v="9"/>
    <n v="2011"/>
    <n v="2.4961937716262979"/>
  </r>
  <r>
    <x v="104"/>
    <n v="9"/>
    <n v="2011"/>
    <n v="0.8782006920415224"/>
  </r>
  <r>
    <x v="104"/>
    <n v="9"/>
    <n v="2011"/>
    <n v="0"/>
  </r>
  <r>
    <x v="104"/>
    <n v="9"/>
    <n v="2011"/>
    <n v="0"/>
  </r>
  <r>
    <x v="104"/>
    <n v="9"/>
    <n v="2011"/>
    <n v="9.1217993079584776"/>
  </r>
  <r>
    <x v="104"/>
    <n v="9"/>
    <n v="2011"/>
    <n v="2.7688581314878888"/>
  </r>
  <r>
    <x v="104"/>
    <n v="9"/>
    <n v="2011"/>
    <n v="0.89134948096885824"/>
  </r>
  <r>
    <x v="104"/>
    <n v="9"/>
    <n v="2011"/>
    <n v="1.1294117647058823"/>
  </r>
  <r>
    <x v="104"/>
    <n v="9"/>
    <n v="2011"/>
    <n v="0.89134948096885824"/>
  </r>
  <r>
    <x v="104"/>
    <n v="9"/>
    <n v="2011"/>
    <n v="2.2837370242214536"/>
  </r>
  <r>
    <x v="104"/>
    <n v="9"/>
    <n v="2011"/>
    <n v="0"/>
  </r>
  <r>
    <x v="104"/>
    <n v="9"/>
    <n v="2011"/>
    <n v="0"/>
  </r>
  <r>
    <x v="104"/>
    <n v="9"/>
    <n v="2011"/>
    <n v="0"/>
  </r>
  <r>
    <x v="104"/>
    <n v="9"/>
    <n v="2011"/>
    <n v="0"/>
  </r>
  <r>
    <x v="104"/>
    <n v="9"/>
    <n v="2011"/>
    <n v="2.1840830449826987"/>
  </r>
  <r>
    <x v="104"/>
    <n v="9"/>
    <n v="2011"/>
    <n v="0"/>
  </r>
  <r>
    <x v="104"/>
    <n v="9"/>
    <n v="2011"/>
    <n v="0"/>
  </r>
  <r>
    <x v="104"/>
    <n v="9"/>
    <n v="2011"/>
    <n v="0"/>
  </r>
  <r>
    <x v="104"/>
    <n v="9"/>
    <n v="2011"/>
    <n v="0"/>
  </r>
  <r>
    <x v="105"/>
    <n v="10"/>
    <n v="2011"/>
    <n v="0"/>
  </r>
  <r>
    <x v="105"/>
    <n v="10"/>
    <n v="2011"/>
    <n v="2.0671280276816608"/>
  </r>
  <r>
    <x v="105"/>
    <n v="10"/>
    <n v="2011"/>
    <n v="0.47820069204152255"/>
  </r>
  <r>
    <x v="105"/>
    <n v="10"/>
    <n v="2011"/>
    <n v="0"/>
  </r>
  <r>
    <x v="105"/>
    <n v="10"/>
    <n v="2011"/>
    <n v="0.33010380622837371"/>
  </r>
  <r>
    <x v="105"/>
    <n v="10"/>
    <n v="2011"/>
    <n v="1.6975778546712803"/>
  </r>
  <r>
    <x v="105"/>
    <n v="10"/>
    <n v="2011"/>
    <n v="0"/>
  </r>
  <r>
    <x v="105"/>
    <n v="10"/>
    <n v="2011"/>
    <n v="5.0636678200692042"/>
  </r>
  <r>
    <x v="105"/>
    <n v="10"/>
    <n v="2011"/>
    <n v="3.8269896193771626"/>
  </r>
  <r>
    <x v="105"/>
    <n v="10"/>
    <n v="2011"/>
    <n v="3.4650519031141869"/>
  </r>
  <r>
    <x v="105"/>
    <n v="10"/>
    <n v="2011"/>
    <n v="1.3370242214532873"/>
  </r>
  <r>
    <x v="105"/>
    <n v="10"/>
    <n v="2011"/>
    <n v="10.110034602076121"/>
  </r>
  <r>
    <x v="105"/>
    <n v="10"/>
    <n v="2011"/>
    <n v="0"/>
  </r>
  <r>
    <x v="105"/>
    <n v="10"/>
    <n v="2011"/>
    <n v="0"/>
  </r>
  <r>
    <x v="105"/>
    <n v="10"/>
    <n v="2011"/>
    <n v="0"/>
  </r>
  <r>
    <x v="105"/>
    <n v="10"/>
    <n v="2011"/>
    <n v="0.87404844290657446"/>
  </r>
  <r>
    <x v="105"/>
    <n v="10"/>
    <n v="2011"/>
    <n v="5.0318339100346021"/>
  </r>
  <r>
    <x v="105"/>
    <n v="10"/>
    <n v="2011"/>
    <n v="1.8249134948096886"/>
  </r>
  <r>
    <x v="105"/>
    <n v="10"/>
    <n v="2011"/>
    <n v="0"/>
  </r>
  <r>
    <x v="105"/>
    <n v="10"/>
    <n v="2011"/>
    <n v="2.3460207612456747"/>
  </r>
  <r>
    <x v="105"/>
    <n v="10"/>
    <n v="2011"/>
    <n v="0.68788927335640138"/>
  </r>
  <r>
    <x v="105"/>
    <n v="10"/>
    <n v="2011"/>
    <n v="0"/>
  </r>
  <r>
    <x v="105"/>
    <n v="10"/>
    <n v="2011"/>
    <n v="0.53910034602076118"/>
  </r>
  <r>
    <x v="105"/>
    <n v="10"/>
    <n v="2011"/>
    <n v="0"/>
  </r>
  <r>
    <x v="105"/>
    <n v="10"/>
    <n v="2011"/>
    <n v="7.0602076124567485"/>
  </r>
  <r>
    <x v="105"/>
    <n v="10"/>
    <n v="2011"/>
    <n v="0.34809688581314879"/>
  </r>
  <r>
    <x v="105"/>
    <n v="10"/>
    <n v="2011"/>
    <n v="0.65743944636678198"/>
  </r>
  <r>
    <x v="105"/>
    <n v="10"/>
    <n v="2011"/>
    <n v="0"/>
  </r>
  <r>
    <x v="105"/>
    <n v="10"/>
    <n v="2011"/>
    <n v="0.86920415224913494"/>
  </r>
  <r>
    <x v="105"/>
    <n v="10"/>
    <n v="2011"/>
    <n v="0"/>
  </r>
  <r>
    <x v="105"/>
    <n v="10"/>
    <n v="2011"/>
    <n v="1.627681660899654"/>
  </r>
  <r>
    <x v="106"/>
    <n v="11"/>
    <n v="2011"/>
    <n v="4.1155709342560547"/>
  </r>
  <r>
    <x v="106"/>
    <n v="11"/>
    <n v="2011"/>
    <n v="0.42214532871972321"/>
  </r>
  <r>
    <x v="106"/>
    <n v="11"/>
    <n v="2011"/>
    <n v="3.0567474048442911"/>
  </r>
  <r>
    <x v="106"/>
    <n v="11"/>
    <n v="2011"/>
    <n v="0.83183391003460205"/>
  </r>
  <r>
    <x v="106"/>
    <n v="11"/>
    <n v="2011"/>
    <n v="0.4858131487889274"/>
  </r>
  <r>
    <x v="106"/>
    <n v="11"/>
    <n v="2011"/>
    <n v="0"/>
  </r>
  <r>
    <x v="106"/>
    <n v="11"/>
    <n v="2011"/>
    <n v="0.30103806228373703"/>
  </r>
  <r>
    <x v="106"/>
    <n v="11"/>
    <n v="2011"/>
    <n v="1.3584775086505192"/>
  </r>
  <r>
    <x v="106"/>
    <n v="11"/>
    <n v="2011"/>
    <n v="0.48166089965397924"/>
  </r>
  <r>
    <x v="106"/>
    <n v="11"/>
    <n v="2011"/>
    <n v="0.75224913494809686"/>
  </r>
  <r>
    <x v="106"/>
    <n v="11"/>
    <n v="2011"/>
    <n v="0.71418685121107273"/>
  </r>
  <r>
    <x v="106"/>
    <n v="11"/>
    <n v="2011"/>
    <n v="3.3467128027681659"/>
  </r>
  <r>
    <x v="106"/>
    <n v="11"/>
    <n v="2011"/>
    <n v="0.82906574394463695"/>
  </r>
  <r>
    <x v="106"/>
    <n v="11"/>
    <n v="2011"/>
    <n v="0"/>
  </r>
  <r>
    <x v="106"/>
    <n v="11"/>
    <n v="2011"/>
    <n v="0"/>
  </r>
  <r>
    <x v="106"/>
    <n v="11"/>
    <n v="2011"/>
    <n v="0"/>
  </r>
  <r>
    <x v="106"/>
    <n v="11"/>
    <n v="2011"/>
    <n v="0"/>
  </r>
  <r>
    <x v="106"/>
    <n v="11"/>
    <n v="2011"/>
    <n v="0"/>
  </r>
  <r>
    <x v="106"/>
    <n v="11"/>
    <n v="2011"/>
    <n v="0"/>
  </r>
  <r>
    <x v="106"/>
    <n v="11"/>
    <n v="2011"/>
    <n v="0"/>
  </r>
  <r>
    <x v="106"/>
    <n v="11"/>
    <n v="2011"/>
    <n v="4.8145328719723191"/>
  </r>
  <r>
    <x v="106"/>
    <n v="11"/>
    <n v="2011"/>
    <n v="1.3550173010380622"/>
  </r>
  <r>
    <x v="106"/>
    <n v="11"/>
    <n v="2011"/>
    <n v="0.64221453287197228"/>
  </r>
  <r>
    <x v="106"/>
    <n v="11"/>
    <n v="2011"/>
    <n v="6.8346020761245674"/>
  </r>
  <r>
    <x v="106"/>
    <n v="11"/>
    <n v="2011"/>
    <n v="6.496885813148789"/>
  </r>
  <r>
    <x v="106"/>
    <n v="11"/>
    <n v="2011"/>
    <n v="2.7480968858131485"/>
  </r>
  <r>
    <x v="106"/>
    <n v="11"/>
    <n v="2011"/>
    <n v="6.9121107266435988"/>
  </r>
  <r>
    <x v="106"/>
    <n v="11"/>
    <n v="2011"/>
    <n v="0.29411764705882354"/>
  </r>
  <r>
    <x v="106"/>
    <n v="11"/>
    <n v="2011"/>
    <n v="1.4145328719723183"/>
  </r>
  <r>
    <x v="106"/>
    <n v="11"/>
    <n v="2011"/>
    <n v="0.66920415224913499"/>
  </r>
  <r>
    <x v="107"/>
    <n v="12"/>
    <n v="2011"/>
    <n v="2.6636678200692039"/>
  </r>
  <r>
    <x v="107"/>
    <n v="12"/>
    <n v="2011"/>
    <n v="0.81799307958477518"/>
  </r>
  <r>
    <x v="107"/>
    <n v="12"/>
    <n v="2011"/>
    <n v="1.0359861591695503"/>
  </r>
  <r>
    <x v="107"/>
    <n v="12"/>
    <n v="2011"/>
    <n v="0.30103806228373703"/>
  </r>
  <r>
    <x v="107"/>
    <n v="12"/>
    <n v="2011"/>
    <n v="0"/>
  </r>
  <r>
    <x v="107"/>
    <n v="12"/>
    <n v="2011"/>
    <n v="0.7820069204152249"/>
  </r>
  <r>
    <x v="107"/>
    <n v="12"/>
    <n v="2011"/>
    <n v="4.0913494809688578"/>
  </r>
  <r>
    <x v="107"/>
    <n v="12"/>
    <n v="2011"/>
    <n v="13.395847750865052"/>
  </r>
  <r>
    <x v="107"/>
    <n v="12"/>
    <n v="2011"/>
    <n v="0"/>
  </r>
  <r>
    <x v="107"/>
    <n v="12"/>
    <n v="2011"/>
    <n v="0"/>
  </r>
  <r>
    <x v="107"/>
    <n v="12"/>
    <n v="2011"/>
    <n v="2.8449826989619371"/>
  </r>
  <r>
    <x v="107"/>
    <n v="12"/>
    <n v="2011"/>
    <n v="0.51903114186851207"/>
  </r>
  <r>
    <x v="107"/>
    <n v="12"/>
    <n v="2011"/>
    <n v="9.2013840830449833"/>
  </r>
  <r>
    <x v="107"/>
    <n v="12"/>
    <n v="2011"/>
    <n v="3.1633217993079583"/>
  </r>
  <r>
    <x v="107"/>
    <n v="12"/>
    <n v="2011"/>
    <n v="0"/>
  </r>
  <r>
    <x v="107"/>
    <n v="12"/>
    <n v="2011"/>
    <n v="5.6013840830449837"/>
  </r>
  <r>
    <x v="107"/>
    <n v="12"/>
    <n v="2011"/>
    <n v="0.55709342560553621"/>
  </r>
  <r>
    <x v="107"/>
    <n v="12"/>
    <n v="2011"/>
    <n v="0"/>
  </r>
  <r>
    <x v="107"/>
    <n v="12"/>
    <n v="2011"/>
    <n v="3.8851211072664369"/>
  </r>
  <r>
    <x v="107"/>
    <n v="12"/>
    <n v="2011"/>
    <n v="0.80692041522491353"/>
  </r>
  <r>
    <x v="107"/>
    <n v="12"/>
    <n v="2011"/>
    <n v="3.9169550173010381"/>
  </r>
  <r>
    <x v="107"/>
    <n v="12"/>
    <n v="2011"/>
    <n v="0.53910034602076129"/>
  </r>
  <r>
    <x v="107"/>
    <n v="12"/>
    <n v="2011"/>
    <n v="5.9993079584775089"/>
  </r>
  <r>
    <x v="107"/>
    <n v="12"/>
    <n v="2011"/>
    <n v="0.80899653979238761"/>
  </r>
  <r>
    <x v="107"/>
    <n v="12"/>
    <n v="2011"/>
    <n v="3.2339100346020762"/>
  </r>
  <r>
    <x v="107"/>
    <n v="12"/>
    <n v="2011"/>
    <n v="1.0851211072664357"/>
  </r>
  <r>
    <x v="107"/>
    <n v="12"/>
    <n v="2011"/>
    <n v="0.51695501730103799"/>
  </r>
  <r>
    <x v="107"/>
    <n v="12"/>
    <n v="2011"/>
    <n v="3.6892733564013831"/>
  </r>
  <r>
    <x v="107"/>
    <n v="12"/>
    <n v="2011"/>
    <n v="2.1820069204152248"/>
  </r>
  <r>
    <x v="107"/>
    <n v="12"/>
    <n v="2011"/>
    <n v="8.6359861591695495"/>
  </r>
  <r>
    <x v="107"/>
    <n v="12"/>
    <n v="2011"/>
    <n v="0.81799307958477507"/>
  </r>
  <r>
    <x v="108"/>
    <n v="1"/>
    <n v="2012"/>
    <n v="3.6539792387543253"/>
  </r>
  <r>
    <x v="108"/>
    <n v="1"/>
    <n v="2012"/>
    <n v="6.1833910034602075"/>
  </r>
  <r>
    <x v="108"/>
    <n v="1"/>
    <n v="2012"/>
    <n v="6.2795847750865059"/>
  </r>
  <r>
    <x v="108"/>
    <n v="1"/>
    <n v="2012"/>
    <n v="7.0235294117647049"/>
  </r>
  <r>
    <x v="108"/>
    <n v="1"/>
    <n v="2012"/>
    <n v="0.93010380622837374"/>
  </r>
  <r>
    <x v="108"/>
    <n v="1"/>
    <n v="2012"/>
    <n v="0.23598615916955018"/>
  </r>
  <r>
    <x v="108"/>
    <n v="1"/>
    <n v="2012"/>
    <n v="0"/>
  </r>
  <r>
    <x v="108"/>
    <n v="1"/>
    <n v="2012"/>
    <n v="0"/>
  </r>
  <r>
    <x v="108"/>
    <n v="1"/>
    <n v="2012"/>
    <n v="0"/>
  </r>
  <r>
    <x v="108"/>
    <n v="1"/>
    <n v="2012"/>
    <n v="0"/>
  </r>
  <r>
    <x v="108"/>
    <n v="1"/>
    <n v="2012"/>
    <n v="0"/>
  </r>
  <r>
    <x v="108"/>
    <n v="1"/>
    <n v="2012"/>
    <n v="2.1944636678200693"/>
  </r>
  <r>
    <x v="108"/>
    <n v="1"/>
    <n v="2012"/>
    <n v="0"/>
  </r>
  <r>
    <x v="108"/>
    <n v="1"/>
    <n v="2012"/>
    <n v="0"/>
  </r>
  <r>
    <x v="108"/>
    <n v="1"/>
    <n v="2012"/>
    <n v="0"/>
  </r>
  <r>
    <x v="108"/>
    <n v="1"/>
    <n v="2012"/>
    <n v="0"/>
  </r>
  <r>
    <x v="108"/>
    <n v="1"/>
    <n v="2012"/>
    <n v="0.33217993079584773"/>
  </r>
  <r>
    <x v="108"/>
    <n v="1"/>
    <n v="2012"/>
    <n v="0.53494809688581313"/>
  </r>
  <r>
    <x v="108"/>
    <n v="1"/>
    <n v="2012"/>
    <n v="2.7349480968858133"/>
  </r>
  <r>
    <x v="108"/>
    <n v="1"/>
    <n v="2012"/>
    <n v="3.3010380622837365"/>
  </r>
  <r>
    <x v="108"/>
    <n v="1"/>
    <n v="2012"/>
    <n v="0.89688581314878879"/>
  </r>
  <r>
    <x v="108"/>
    <n v="1"/>
    <n v="2012"/>
    <n v="1.0830449826989619"/>
  </r>
  <r>
    <x v="108"/>
    <n v="1"/>
    <n v="2012"/>
    <n v="0"/>
  </r>
  <r>
    <x v="108"/>
    <n v="1"/>
    <n v="2012"/>
    <n v="4.6968858131487892"/>
  </r>
  <r>
    <x v="108"/>
    <n v="1"/>
    <n v="2012"/>
    <n v="0.30103806228373703"/>
  </r>
  <r>
    <x v="108"/>
    <n v="1"/>
    <n v="2012"/>
    <n v="3.1716262975778546"/>
  </r>
  <r>
    <x v="108"/>
    <n v="1"/>
    <n v="2012"/>
    <n v="0.28996539792387543"/>
  </r>
  <r>
    <x v="108"/>
    <n v="1"/>
    <n v="2012"/>
    <n v="0"/>
  </r>
  <r>
    <x v="108"/>
    <n v="1"/>
    <n v="2012"/>
    <n v="1.1633217993079583"/>
  </r>
  <r>
    <x v="108"/>
    <n v="1"/>
    <n v="2012"/>
    <n v="0.48304498269896196"/>
  </r>
  <r>
    <x v="108"/>
    <n v="1"/>
    <n v="2012"/>
    <n v="0"/>
  </r>
  <r>
    <x v="109"/>
    <n v="2"/>
    <n v="2012"/>
    <n v="0"/>
  </r>
  <r>
    <x v="109"/>
    <n v="2"/>
    <n v="2012"/>
    <n v="0"/>
  </r>
  <r>
    <x v="109"/>
    <n v="2"/>
    <n v="2012"/>
    <n v="0"/>
  </r>
  <r>
    <x v="109"/>
    <n v="2"/>
    <n v="2012"/>
    <n v="0"/>
  </r>
  <r>
    <x v="109"/>
    <n v="2"/>
    <n v="2012"/>
    <n v="3.8435986159169544"/>
  </r>
  <r>
    <x v="109"/>
    <n v="2"/>
    <n v="2012"/>
    <n v="0"/>
  </r>
  <r>
    <x v="109"/>
    <n v="2"/>
    <n v="2012"/>
    <n v="0"/>
  </r>
  <r>
    <x v="109"/>
    <n v="2"/>
    <n v="2012"/>
    <n v="0"/>
  </r>
  <r>
    <x v="109"/>
    <n v="2"/>
    <n v="2012"/>
    <n v="6.7550173010380625"/>
  </r>
  <r>
    <x v="109"/>
    <n v="2"/>
    <n v="2012"/>
    <n v="0"/>
  </r>
  <r>
    <x v="109"/>
    <n v="2"/>
    <n v="2012"/>
    <n v="0"/>
  </r>
  <r>
    <x v="109"/>
    <n v="2"/>
    <n v="2012"/>
    <n v="0.22906574394463666"/>
  </r>
  <r>
    <x v="109"/>
    <n v="2"/>
    <n v="2012"/>
    <n v="0"/>
  </r>
  <r>
    <x v="109"/>
    <n v="2"/>
    <n v="2012"/>
    <n v="0"/>
  </r>
  <r>
    <x v="109"/>
    <n v="2"/>
    <n v="2012"/>
    <n v="0"/>
  </r>
  <r>
    <x v="109"/>
    <n v="2"/>
    <n v="2012"/>
    <n v="0"/>
  </r>
  <r>
    <x v="109"/>
    <n v="2"/>
    <n v="2012"/>
    <n v="0.72525951557093427"/>
  </r>
  <r>
    <x v="109"/>
    <n v="2"/>
    <n v="2012"/>
    <n v="1.8366782006920415"/>
  </r>
  <r>
    <x v="109"/>
    <n v="2"/>
    <n v="2012"/>
    <n v="0"/>
  </r>
  <r>
    <x v="109"/>
    <n v="2"/>
    <n v="2012"/>
    <n v="0"/>
  </r>
  <r>
    <x v="109"/>
    <n v="2"/>
    <n v="2012"/>
    <n v="0.21107266435986161"/>
  </r>
  <r>
    <x v="109"/>
    <n v="2"/>
    <n v="2012"/>
    <n v="7.2186851211072645"/>
  </r>
  <r>
    <x v="109"/>
    <n v="2"/>
    <n v="2012"/>
    <n v="0.30311418685121111"/>
  </r>
  <r>
    <x v="109"/>
    <n v="2"/>
    <n v="2012"/>
    <n v="0"/>
  </r>
  <r>
    <x v="109"/>
    <n v="2"/>
    <n v="2012"/>
    <n v="0"/>
  </r>
  <r>
    <x v="109"/>
    <n v="2"/>
    <n v="2012"/>
    <n v="0.35709342560553636"/>
  </r>
  <r>
    <x v="109"/>
    <n v="2"/>
    <n v="2012"/>
    <n v="0.28027681660899656"/>
  </r>
  <r>
    <x v="109"/>
    <n v="2"/>
    <n v="2012"/>
    <n v="0"/>
  </r>
  <r>
    <x v="109"/>
    <n v="2"/>
    <n v="2012"/>
    <n v="0"/>
  </r>
  <r>
    <x v="110"/>
    <n v="3"/>
    <n v="2012"/>
    <n v="0"/>
  </r>
  <r>
    <x v="110"/>
    <n v="3"/>
    <n v="2012"/>
    <n v="0"/>
  </r>
  <r>
    <x v="110"/>
    <n v="3"/>
    <n v="2012"/>
    <n v="0.57785467128027679"/>
  </r>
  <r>
    <x v="110"/>
    <n v="3"/>
    <n v="2012"/>
    <n v="4.1294117647058828"/>
  </r>
  <r>
    <x v="110"/>
    <n v="3"/>
    <n v="2012"/>
    <n v="0"/>
  </r>
  <r>
    <x v="110"/>
    <n v="3"/>
    <n v="2012"/>
    <n v="1.7363321799307958"/>
  </r>
  <r>
    <x v="110"/>
    <n v="3"/>
    <n v="2012"/>
    <n v="2.3038062283737024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.37716262975778547"/>
  </r>
  <r>
    <x v="111"/>
    <n v="4"/>
    <n v="2012"/>
    <n v="0"/>
  </r>
  <r>
    <x v="111"/>
    <n v="4"/>
    <n v="2012"/>
    <n v="0.40692041522491346"/>
  </r>
  <r>
    <x v="111"/>
    <n v="4"/>
    <n v="2012"/>
    <n v="12.643598615916954"/>
  </r>
  <r>
    <x v="111"/>
    <n v="4"/>
    <n v="2012"/>
    <n v="5.8602076124567475"/>
  </r>
  <r>
    <x v="111"/>
    <n v="4"/>
    <n v="2012"/>
    <n v="0.20207612456747404"/>
  </r>
  <r>
    <x v="111"/>
    <n v="4"/>
    <n v="2012"/>
    <n v="0.94256055363321789"/>
  </r>
  <r>
    <x v="111"/>
    <n v="4"/>
    <n v="2012"/>
    <n v="0.87128027681660891"/>
  </r>
  <r>
    <x v="111"/>
    <n v="4"/>
    <n v="2012"/>
    <n v="0.71695501730103806"/>
  </r>
  <r>
    <x v="111"/>
    <n v="4"/>
    <n v="2012"/>
    <n v="1.2325259515570934"/>
  </r>
  <r>
    <x v="111"/>
    <n v="4"/>
    <n v="2012"/>
    <n v="9.0332179930795853"/>
  </r>
  <r>
    <x v="111"/>
    <n v="4"/>
    <n v="2012"/>
    <n v="9.3674740484429062"/>
  </r>
  <r>
    <x v="111"/>
    <n v="4"/>
    <n v="2012"/>
    <n v="2.0179930795847749"/>
  </r>
  <r>
    <x v="111"/>
    <n v="4"/>
    <n v="2012"/>
    <n v="0"/>
  </r>
  <r>
    <x v="111"/>
    <n v="4"/>
    <n v="2012"/>
    <n v="0.60484429065743939"/>
  </r>
  <r>
    <x v="111"/>
    <n v="4"/>
    <n v="2012"/>
    <n v="0.31280276816608998"/>
  </r>
  <r>
    <x v="111"/>
    <n v="4"/>
    <n v="2012"/>
    <n v="0"/>
  </r>
  <r>
    <x v="111"/>
    <n v="4"/>
    <n v="2012"/>
    <n v="3.5598615916955016"/>
  </r>
  <r>
    <x v="111"/>
    <n v="4"/>
    <n v="2012"/>
    <n v="10.018685121107268"/>
  </r>
  <r>
    <x v="111"/>
    <n v="4"/>
    <n v="2012"/>
    <n v="7.0629757785467113"/>
  </r>
  <r>
    <x v="111"/>
    <n v="4"/>
    <n v="2012"/>
    <n v="7.1833910034602066"/>
  </r>
  <r>
    <x v="111"/>
    <n v="4"/>
    <n v="2012"/>
    <n v="3.0103806228373702"/>
  </r>
  <r>
    <x v="111"/>
    <n v="4"/>
    <n v="2012"/>
    <n v="8.7349480968858124"/>
  </r>
  <r>
    <x v="111"/>
    <n v="4"/>
    <n v="2012"/>
    <n v="2.9993079584775089"/>
  </r>
  <r>
    <x v="111"/>
    <n v="4"/>
    <n v="2012"/>
    <n v="3.8581314878892741"/>
  </r>
  <r>
    <x v="111"/>
    <n v="4"/>
    <n v="2012"/>
    <n v="11.991695501730103"/>
  </r>
  <r>
    <x v="111"/>
    <n v="4"/>
    <n v="2012"/>
    <n v="18.034602076124571"/>
  </r>
  <r>
    <x v="111"/>
    <n v="4"/>
    <n v="2012"/>
    <n v="0.29204152249134946"/>
  </r>
  <r>
    <x v="111"/>
    <n v="4"/>
    <n v="2012"/>
    <n v="0.66228373702422139"/>
  </r>
  <r>
    <x v="111"/>
    <n v="4"/>
    <n v="2012"/>
    <n v="4.5024221453287199"/>
  </r>
  <r>
    <x v="111"/>
    <n v="4"/>
    <n v="2012"/>
    <n v="0.78615916955017295"/>
  </r>
  <r>
    <x v="112"/>
    <n v="5"/>
    <n v="2012"/>
    <n v="0"/>
  </r>
  <r>
    <x v="112"/>
    <n v="5"/>
    <n v="2012"/>
    <n v="0.20207612456747404"/>
  </r>
  <r>
    <x v="112"/>
    <n v="5"/>
    <n v="2012"/>
    <n v="0"/>
  </r>
  <r>
    <x v="112"/>
    <n v="5"/>
    <n v="2012"/>
    <n v="1.2173010380622837"/>
  </r>
  <r>
    <x v="112"/>
    <n v="5"/>
    <n v="2012"/>
    <n v="0"/>
  </r>
  <r>
    <x v="112"/>
    <n v="5"/>
    <n v="2012"/>
    <n v="0.3411764705882353"/>
  </r>
  <r>
    <x v="112"/>
    <n v="5"/>
    <n v="2012"/>
    <n v="4.4768166089965407"/>
  </r>
  <r>
    <x v="112"/>
    <n v="5"/>
    <n v="2012"/>
    <n v="1.5577854671280278"/>
  </r>
  <r>
    <x v="112"/>
    <n v="5"/>
    <n v="2012"/>
    <n v="0.60207612456747406"/>
  </r>
  <r>
    <x v="112"/>
    <n v="5"/>
    <n v="2012"/>
    <n v="29.075432525951555"/>
  </r>
  <r>
    <x v="112"/>
    <n v="5"/>
    <n v="2012"/>
    <n v="8.6622837370242234"/>
  </r>
  <r>
    <x v="112"/>
    <n v="5"/>
    <n v="2012"/>
    <n v="0"/>
  </r>
  <r>
    <x v="112"/>
    <n v="5"/>
    <n v="2012"/>
    <n v="0.49619377162629758"/>
  </r>
  <r>
    <x v="112"/>
    <n v="5"/>
    <n v="2012"/>
    <n v="0.6961937716262977"/>
  </r>
  <r>
    <x v="112"/>
    <n v="5"/>
    <n v="2012"/>
    <n v="2.465743944636678"/>
  </r>
  <r>
    <x v="112"/>
    <n v="5"/>
    <n v="2012"/>
    <n v="0.20207612456747404"/>
  </r>
  <r>
    <x v="112"/>
    <n v="5"/>
    <n v="2012"/>
    <n v="2.1882352941176468"/>
  </r>
  <r>
    <x v="112"/>
    <n v="5"/>
    <n v="2012"/>
    <n v="2.7667820069204145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.46020761245674735"/>
  </r>
  <r>
    <x v="112"/>
    <n v="5"/>
    <n v="2012"/>
    <n v="6.8692041522491349"/>
  </r>
  <r>
    <x v="113"/>
    <n v="6"/>
    <n v="2012"/>
    <n v="1.1377162629757787"/>
  </r>
  <r>
    <x v="113"/>
    <n v="6"/>
    <n v="2012"/>
    <n v="0"/>
  </r>
  <r>
    <x v="113"/>
    <n v="6"/>
    <n v="2012"/>
    <n v="0"/>
  </r>
  <r>
    <x v="113"/>
    <n v="6"/>
    <n v="2012"/>
    <n v="0.53979238754325254"/>
  </r>
  <r>
    <x v="113"/>
    <n v="6"/>
    <n v="2012"/>
    <n v="2.5785467128027681"/>
  </r>
  <r>
    <x v="113"/>
    <n v="6"/>
    <n v="2012"/>
    <n v="13.496885813148792"/>
  </r>
  <r>
    <x v="113"/>
    <n v="6"/>
    <n v="2012"/>
    <n v="7.8608996539792386"/>
  </r>
  <r>
    <x v="113"/>
    <n v="6"/>
    <n v="2012"/>
    <n v="20.7356401384083"/>
  </r>
  <r>
    <x v="113"/>
    <n v="6"/>
    <n v="2012"/>
    <n v="8.0152249134948104"/>
  </r>
  <r>
    <x v="113"/>
    <n v="6"/>
    <n v="2012"/>
    <n v="3.6733564013840834"/>
  </r>
  <r>
    <x v="113"/>
    <n v="6"/>
    <n v="2012"/>
    <n v="0"/>
  </r>
  <r>
    <x v="113"/>
    <n v="6"/>
    <n v="2012"/>
    <n v="0.38615916955017304"/>
  </r>
  <r>
    <x v="113"/>
    <n v="6"/>
    <n v="2012"/>
    <n v="0"/>
  </r>
  <r>
    <x v="113"/>
    <n v="6"/>
    <n v="2012"/>
    <n v="0"/>
  </r>
  <r>
    <x v="113"/>
    <n v="6"/>
    <n v="2012"/>
    <n v="11.169550173010379"/>
  </r>
  <r>
    <x v="113"/>
    <n v="6"/>
    <n v="2012"/>
    <n v="9.4906574394463661"/>
  </r>
  <r>
    <x v="113"/>
    <n v="6"/>
    <n v="2012"/>
    <n v="0.89826989619377151"/>
  </r>
  <r>
    <x v="113"/>
    <n v="6"/>
    <n v="2012"/>
    <n v="0"/>
  </r>
  <r>
    <x v="113"/>
    <n v="6"/>
    <n v="2012"/>
    <n v="0.643598615916955"/>
  </r>
  <r>
    <x v="113"/>
    <n v="6"/>
    <n v="2012"/>
    <n v="0"/>
  </r>
  <r>
    <x v="113"/>
    <n v="6"/>
    <n v="2012"/>
    <n v="12.880276816608998"/>
  </r>
  <r>
    <x v="113"/>
    <n v="6"/>
    <n v="2012"/>
    <n v="12.622145328719723"/>
  </r>
  <r>
    <x v="113"/>
    <n v="6"/>
    <n v="2012"/>
    <n v="2.9100346020761245"/>
  </r>
  <r>
    <x v="113"/>
    <n v="6"/>
    <n v="2012"/>
    <n v="7.4318339100346007"/>
  </r>
  <r>
    <x v="113"/>
    <n v="6"/>
    <n v="2012"/>
    <n v="0"/>
  </r>
  <r>
    <x v="113"/>
    <n v="6"/>
    <n v="2012"/>
    <n v="1.4179930795847751"/>
  </r>
  <r>
    <x v="113"/>
    <n v="6"/>
    <n v="2012"/>
    <n v="2.8193771626297579"/>
  </r>
  <r>
    <x v="113"/>
    <n v="6"/>
    <n v="2012"/>
    <n v="22.644982698961932"/>
  </r>
  <r>
    <x v="113"/>
    <n v="6"/>
    <n v="2012"/>
    <n v="0.57439446366781999"/>
  </r>
  <r>
    <x v="113"/>
    <n v="6"/>
    <n v="2012"/>
    <n v="0"/>
  </r>
  <r>
    <x v="114"/>
    <n v="7"/>
    <n v="2012"/>
    <n v="0.22006920415224912"/>
  </r>
  <r>
    <x v="114"/>
    <n v="7"/>
    <n v="2012"/>
    <n v="4.4948096885813147"/>
  </r>
  <r>
    <x v="114"/>
    <n v="7"/>
    <n v="2012"/>
    <n v="0"/>
  </r>
  <r>
    <x v="114"/>
    <n v="7"/>
    <n v="2012"/>
    <n v="1.2698961937716264"/>
  </r>
  <r>
    <x v="114"/>
    <n v="7"/>
    <n v="2012"/>
    <n v="0"/>
  </r>
  <r>
    <x v="114"/>
    <n v="7"/>
    <n v="2012"/>
    <n v="26.352249134948096"/>
  </r>
  <r>
    <x v="114"/>
    <n v="7"/>
    <n v="2012"/>
    <n v="7.7183391003460216"/>
  </r>
  <r>
    <x v="114"/>
    <n v="7"/>
    <n v="2012"/>
    <n v="0.40830449826989623"/>
  </r>
  <r>
    <x v="114"/>
    <n v="7"/>
    <n v="2012"/>
    <n v="5.9522491349480973"/>
  </r>
  <r>
    <x v="114"/>
    <n v="7"/>
    <n v="2012"/>
    <n v="8.5723183391003452"/>
  </r>
  <r>
    <x v="114"/>
    <n v="7"/>
    <n v="2012"/>
    <n v="22.733564013840834"/>
  </r>
  <r>
    <x v="114"/>
    <n v="7"/>
    <n v="2012"/>
    <n v="0"/>
  </r>
  <r>
    <x v="114"/>
    <n v="7"/>
    <n v="2012"/>
    <n v="0"/>
  </r>
  <r>
    <x v="114"/>
    <n v="7"/>
    <n v="2012"/>
    <n v="2.0477508650519032"/>
  </r>
  <r>
    <x v="114"/>
    <n v="7"/>
    <n v="2012"/>
    <n v="0.21107266435986158"/>
  </r>
  <r>
    <x v="114"/>
    <n v="7"/>
    <n v="2012"/>
    <n v="0"/>
  </r>
  <r>
    <x v="114"/>
    <n v="7"/>
    <n v="2012"/>
    <n v="0.97508650519031159"/>
  </r>
  <r>
    <x v="114"/>
    <n v="7"/>
    <n v="2012"/>
    <n v="7.6449826989619387"/>
  </r>
  <r>
    <x v="114"/>
    <n v="7"/>
    <n v="2012"/>
    <n v="1.1314878892733564"/>
  </r>
  <r>
    <x v="114"/>
    <n v="7"/>
    <n v="2012"/>
    <n v="0"/>
  </r>
  <r>
    <x v="114"/>
    <n v="7"/>
    <n v="2012"/>
    <n v="0"/>
  </r>
  <r>
    <x v="114"/>
    <n v="7"/>
    <n v="2012"/>
    <n v="0"/>
  </r>
  <r>
    <x v="114"/>
    <n v="7"/>
    <n v="2012"/>
    <n v="0"/>
  </r>
  <r>
    <x v="114"/>
    <n v="7"/>
    <n v="2012"/>
    <n v="0.9273356401384083"/>
  </r>
  <r>
    <x v="114"/>
    <n v="7"/>
    <n v="2012"/>
    <n v="2.5564013840830446"/>
  </r>
  <r>
    <x v="114"/>
    <n v="7"/>
    <n v="2012"/>
    <n v="0"/>
  </r>
  <r>
    <x v="114"/>
    <n v="7"/>
    <n v="2012"/>
    <n v="0"/>
  </r>
  <r>
    <x v="114"/>
    <n v="7"/>
    <n v="2012"/>
    <n v="1.1854671280276816"/>
  </r>
  <r>
    <x v="114"/>
    <n v="7"/>
    <n v="2012"/>
    <n v="0.94532871972318333"/>
  </r>
  <r>
    <x v="114"/>
    <n v="7"/>
    <n v="2012"/>
    <n v="5.5847750865051911"/>
  </r>
  <r>
    <x v="114"/>
    <n v="7"/>
    <n v="2012"/>
    <n v="1.1619377162629756"/>
  </r>
  <r>
    <x v="115"/>
    <n v="8"/>
    <n v="2012"/>
    <n v="5.1044982698961938"/>
  </r>
  <r>
    <x v="115"/>
    <n v="8"/>
    <n v="2012"/>
    <n v="0"/>
  </r>
  <r>
    <x v="115"/>
    <n v="8"/>
    <n v="2012"/>
    <n v="0"/>
  </r>
  <r>
    <x v="115"/>
    <n v="8"/>
    <n v="2012"/>
    <n v="1.9183391003460206"/>
  </r>
  <r>
    <x v="115"/>
    <n v="8"/>
    <n v="2012"/>
    <n v="16.771626297577853"/>
  </r>
  <r>
    <x v="115"/>
    <n v="8"/>
    <n v="2012"/>
    <n v="10.422837370242215"/>
  </r>
  <r>
    <x v="115"/>
    <n v="8"/>
    <n v="2012"/>
    <n v="0.51903114186851207"/>
  </r>
  <r>
    <x v="115"/>
    <n v="8"/>
    <n v="2012"/>
    <n v="0"/>
  </r>
  <r>
    <x v="115"/>
    <n v="8"/>
    <n v="2012"/>
    <n v="0"/>
  </r>
  <r>
    <x v="115"/>
    <n v="8"/>
    <n v="2012"/>
    <n v="0"/>
  </r>
  <r>
    <x v="115"/>
    <n v="8"/>
    <n v="2012"/>
    <n v="0"/>
  </r>
  <r>
    <x v="115"/>
    <n v="8"/>
    <n v="2012"/>
    <n v="0"/>
  </r>
  <r>
    <x v="115"/>
    <n v="8"/>
    <n v="2012"/>
    <n v="1.5474048442906574"/>
  </r>
  <r>
    <x v="115"/>
    <n v="8"/>
    <n v="2012"/>
    <n v="0"/>
  </r>
  <r>
    <x v="115"/>
    <n v="8"/>
    <n v="2012"/>
    <n v="19.638062283737025"/>
  </r>
  <r>
    <x v="115"/>
    <n v="8"/>
    <n v="2012"/>
    <n v="0.27404844290657437"/>
  </r>
  <r>
    <x v="115"/>
    <n v="8"/>
    <n v="2012"/>
    <n v="8.6352941176470583"/>
  </r>
  <r>
    <x v="115"/>
    <n v="8"/>
    <n v="2012"/>
    <n v="5.0332179930795844"/>
  </r>
  <r>
    <x v="115"/>
    <n v="8"/>
    <n v="2012"/>
    <n v="7.3695501730103805"/>
  </r>
  <r>
    <x v="115"/>
    <n v="8"/>
    <n v="2012"/>
    <n v="0.67128027681660896"/>
  </r>
  <r>
    <x v="115"/>
    <n v="8"/>
    <n v="2012"/>
    <n v="0.79031141868512111"/>
  </r>
  <r>
    <x v="115"/>
    <n v="8"/>
    <n v="2012"/>
    <n v="3.969550173010381"/>
  </r>
  <r>
    <x v="115"/>
    <n v="8"/>
    <n v="2012"/>
    <n v="0.28512110726643602"/>
  </r>
  <r>
    <x v="115"/>
    <n v="8"/>
    <n v="2012"/>
    <n v="0"/>
  </r>
  <r>
    <x v="115"/>
    <n v="8"/>
    <n v="2012"/>
    <n v="14.184083044982698"/>
  </r>
  <r>
    <x v="115"/>
    <n v="8"/>
    <n v="2012"/>
    <n v="0.30103806228373703"/>
  </r>
  <r>
    <x v="115"/>
    <n v="8"/>
    <n v="2012"/>
    <n v="10.460899653979236"/>
  </r>
  <r>
    <x v="115"/>
    <n v="8"/>
    <n v="2012"/>
    <n v="0.68512110726643594"/>
  </r>
  <r>
    <x v="115"/>
    <n v="8"/>
    <n v="2012"/>
    <n v="1.0470588235294116"/>
  </r>
  <r>
    <x v="115"/>
    <n v="8"/>
    <n v="2012"/>
    <n v="1.5716262975778548"/>
  </r>
  <r>
    <x v="115"/>
    <n v="8"/>
    <n v="2012"/>
    <n v="0.51211072664359858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7.2512110726643604"/>
  </r>
  <r>
    <x v="116"/>
    <n v="9"/>
    <n v="2012"/>
    <n v="0.62906574394463677"/>
  </r>
  <r>
    <x v="116"/>
    <n v="9"/>
    <n v="2012"/>
    <n v="0.92525951557093433"/>
  </r>
  <r>
    <x v="116"/>
    <n v="9"/>
    <n v="2012"/>
    <n v="0.90519031141868522"/>
  </r>
  <r>
    <x v="116"/>
    <n v="9"/>
    <n v="2012"/>
    <n v="0.33910034602076122"/>
  </r>
  <r>
    <x v="116"/>
    <n v="9"/>
    <n v="2012"/>
    <n v="0"/>
  </r>
  <r>
    <x v="116"/>
    <n v="9"/>
    <n v="2012"/>
    <n v="0.55501730103806235"/>
  </r>
  <r>
    <x v="116"/>
    <n v="9"/>
    <n v="2012"/>
    <n v="1.2754325259515571"/>
  </r>
  <r>
    <x v="116"/>
    <n v="9"/>
    <n v="2012"/>
    <n v="0"/>
  </r>
  <r>
    <x v="116"/>
    <n v="9"/>
    <n v="2012"/>
    <n v="0"/>
  </r>
  <r>
    <x v="116"/>
    <n v="9"/>
    <n v="2012"/>
    <n v="18.50934256055363"/>
  </r>
  <r>
    <x v="116"/>
    <n v="9"/>
    <n v="2012"/>
    <n v="1.2650519031141867"/>
  </r>
  <r>
    <x v="116"/>
    <n v="9"/>
    <n v="2012"/>
    <n v="0"/>
  </r>
  <r>
    <x v="116"/>
    <n v="9"/>
    <n v="2012"/>
    <n v="0"/>
  </r>
  <r>
    <x v="116"/>
    <n v="9"/>
    <n v="2012"/>
    <n v="32.807612456747407"/>
  </r>
  <r>
    <x v="116"/>
    <n v="9"/>
    <n v="2012"/>
    <n v="40.982698961937722"/>
  </r>
  <r>
    <x v="116"/>
    <n v="9"/>
    <n v="2012"/>
    <n v="1.0041522491349482"/>
  </r>
  <r>
    <x v="116"/>
    <n v="9"/>
    <n v="2012"/>
    <n v="0"/>
  </r>
  <r>
    <x v="116"/>
    <n v="9"/>
    <n v="2012"/>
    <n v="1.4581314878892735"/>
  </r>
  <r>
    <x v="116"/>
    <n v="9"/>
    <n v="2012"/>
    <n v="0"/>
  </r>
  <r>
    <x v="116"/>
    <n v="9"/>
    <n v="2012"/>
    <n v="1.7785467128027681"/>
  </r>
  <r>
    <x v="117"/>
    <n v="10"/>
    <n v="2012"/>
    <n v="2.0346020761245676"/>
  </r>
  <r>
    <x v="117"/>
    <n v="10"/>
    <n v="2012"/>
    <n v="9.6186851211072657"/>
  </r>
  <r>
    <x v="117"/>
    <n v="10"/>
    <n v="2012"/>
    <n v="1.6775086505190315"/>
  </r>
  <r>
    <x v="117"/>
    <n v="10"/>
    <n v="2012"/>
    <n v="0"/>
  </r>
  <r>
    <x v="117"/>
    <n v="10"/>
    <n v="2012"/>
    <n v="1.928719723183391"/>
  </r>
  <r>
    <x v="117"/>
    <n v="10"/>
    <n v="2012"/>
    <n v="0"/>
  </r>
  <r>
    <x v="117"/>
    <n v="10"/>
    <n v="2012"/>
    <n v="0"/>
  </r>
  <r>
    <x v="117"/>
    <n v="10"/>
    <n v="2012"/>
    <n v="0"/>
  </r>
  <r>
    <x v="117"/>
    <n v="10"/>
    <n v="2012"/>
    <n v="0"/>
  </r>
  <r>
    <x v="117"/>
    <n v="10"/>
    <n v="2012"/>
    <n v="0"/>
  </r>
  <r>
    <x v="117"/>
    <n v="10"/>
    <n v="2012"/>
    <n v="3.689273356401384"/>
  </r>
  <r>
    <x v="117"/>
    <n v="10"/>
    <n v="2012"/>
    <n v="23.413840830449828"/>
  </r>
  <r>
    <x v="117"/>
    <n v="10"/>
    <n v="2012"/>
    <n v="0.64913494809688577"/>
  </r>
  <r>
    <x v="117"/>
    <n v="10"/>
    <n v="2012"/>
    <n v="1.6449826989619376"/>
  </r>
  <r>
    <x v="117"/>
    <n v="10"/>
    <n v="2012"/>
    <n v="0.23806228373702423"/>
  </r>
  <r>
    <x v="117"/>
    <n v="10"/>
    <n v="2012"/>
    <n v="14.814532871972315"/>
  </r>
  <r>
    <x v="117"/>
    <n v="10"/>
    <n v="2012"/>
    <n v="9.4525951557093428"/>
  </r>
  <r>
    <x v="117"/>
    <n v="10"/>
    <n v="2012"/>
    <n v="4.0131487889273352"/>
  </r>
  <r>
    <x v="117"/>
    <n v="10"/>
    <n v="2012"/>
    <n v="0"/>
  </r>
  <r>
    <x v="117"/>
    <n v="10"/>
    <n v="2012"/>
    <n v="0.2179930795847751"/>
  </r>
  <r>
    <x v="117"/>
    <n v="10"/>
    <n v="2012"/>
    <n v="0"/>
  </r>
  <r>
    <x v="117"/>
    <n v="10"/>
    <n v="2012"/>
    <n v="2.7107266435986164"/>
  </r>
  <r>
    <x v="117"/>
    <n v="10"/>
    <n v="2012"/>
    <n v="1.1079584775086506"/>
  </r>
  <r>
    <x v="117"/>
    <n v="10"/>
    <n v="2012"/>
    <n v="1.6083044982698962"/>
  </r>
  <r>
    <x v="117"/>
    <n v="10"/>
    <n v="2012"/>
    <n v="0.99999999999999989"/>
  </r>
  <r>
    <x v="117"/>
    <n v="10"/>
    <n v="2012"/>
    <n v="0.25743944636678195"/>
  </r>
  <r>
    <x v="117"/>
    <n v="10"/>
    <n v="2012"/>
    <n v="2.3764705882352941"/>
  </r>
  <r>
    <x v="117"/>
    <n v="10"/>
    <n v="2012"/>
    <n v="1.1723183391003462"/>
  </r>
  <r>
    <x v="117"/>
    <n v="10"/>
    <n v="2012"/>
    <n v="0"/>
  </r>
  <r>
    <x v="117"/>
    <n v="10"/>
    <n v="2012"/>
    <n v="0.39515570934256061"/>
  </r>
  <r>
    <x v="117"/>
    <n v="10"/>
    <n v="2012"/>
    <n v="1.4498269896193774"/>
  </r>
  <r>
    <x v="118"/>
    <n v="11"/>
    <n v="2012"/>
    <n v="0.97716262975778534"/>
  </r>
  <r>
    <x v="118"/>
    <n v="11"/>
    <n v="2012"/>
    <n v="2.5307958477508654"/>
  </r>
  <r>
    <x v="118"/>
    <n v="11"/>
    <n v="2012"/>
    <n v="2.0927335640138409"/>
  </r>
  <r>
    <x v="118"/>
    <n v="11"/>
    <n v="2012"/>
    <n v="0"/>
  </r>
  <r>
    <x v="118"/>
    <n v="11"/>
    <n v="2012"/>
    <n v="0.27612456747404845"/>
  </r>
  <r>
    <x v="118"/>
    <n v="11"/>
    <n v="2012"/>
    <n v="1.7515570934256057"/>
  </r>
  <r>
    <x v="118"/>
    <n v="11"/>
    <n v="2012"/>
    <n v="0.44013840830449824"/>
  </r>
  <r>
    <x v="118"/>
    <n v="11"/>
    <n v="2012"/>
    <n v="0"/>
  </r>
  <r>
    <x v="118"/>
    <n v="11"/>
    <n v="2012"/>
    <n v="1.3564013840830451"/>
  </r>
  <r>
    <x v="118"/>
    <n v="11"/>
    <n v="2012"/>
    <n v="0.40415224913494813"/>
  </r>
  <r>
    <x v="118"/>
    <n v="11"/>
    <n v="2012"/>
    <n v="0"/>
  </r>
  <r>
    <x v="118"/>
    <n v="11"/>
    <n v="2012"/>
    <n v="0.4290657439446367"/>
  </r>
  <r>
    <x v="118"/>
    <n v="11"/>
    <n v="2012"/>
    <n v="0"/>
  </r>
  <r>
    <x v="118"/>
    <n v="11"/>
    <n v="2012"/>
    <n v="0"/>
  </r>
  <r>
    <x v="118"/>
    <n v="11"/>
    <n v="2012"/>
    <n v="0.88927335640138405"/>
  </r>
  <r>
    <x v="118"/>
    <n v="11"/>
    <n v="2012"/>
    <n v="0.23667820069204151"/>
  </r>
  <r>
    <x v="118"/>
    <n v="11"/>
    <n v="2012"/>
    <n v="2.2996539792387547"/>
  </r>
  <r>
    <x v="118"/>
    <n v="11"/>
    <n v="2012"/>
    <n v="0.21107266435986161"/>
  </r>
  <r>
    <x v="118"/>
    <n v="11"/>
    <n v="2012"/>
    <n v="8.6117647058823525"/>
  </r>
  <r>
    <x v="118"/>
    <n v="11"/>
    <n v="2012"/>
    <n v="0.87612456747404832"/>
  </r>
  <r>
    <x v="118"/>
    <n v="11"/>
    <n v="2012"/>
    <n v="0.46505190311418687"/>
  </r>
  <r>
    <x v="118"/>
    <n v="11"/>
    <n v="2012"/>
    <n v="12.55432525951557"/>
  </r>
  <r>
    <x v="118"/>
    <n v="11"/>
    <n v="2012"/>
    <n v="5.2152249134948097"/>
  </r>
  <r>
    <x v="118"/>
    <n v="11"/>
    <n v="2012"/>
    <n v="2.6159169550173011"/>
  </r>
  <r>
    <x v="118"/>
    <n v="11"/>
    <n v="2012"/>
    <n v="15.146712802768166"/>
  </r>
  <r>
    <x v="118"/>
    <n v="11"/>
    <n v="2012"/>
    <n v="21.578546712802765"/>
  </r>
  <r>
    <x v="118"/>
    <n v="11"/>
    <n v="2012"/>
    <n v="14.168166089965395"/>
  </r>
  <r>
    <x v="118"/>
    <n v="11"/>
    <n v="2012"/>
    <n v="0.39377162629757778"/>
  </r>
  <r>
    <x v="118"/>
    <n v="11"/>
    <n v="2012"/>
    <n v="0"/>
  </r>
  <r>
    <x v="118"/>
    <n v="11"/>
    <n v="2012"/>
    <n v="0"/>
  </r>
  <r>
    <x v="119"/>
    <n v="12"/>
    <n v="2012"/>
    <n v="2.7377162629757787"/>
  </r>
  <r>
    <x v="119"/>
    <n v="12"/>
    <n v="2012"/>
    <n v="0"/>
  </r>
  <r>
    <x v="119"/>
    <n v="12"/>
    <n v="2012"/>
    <n v="2.5522491349480965"/>
  </r>
  <r>
    <x v="119"/>
    <n v="12"/>
    <n v="2012"/>
    <n v="1.5833910034602074"/>
  </r>
  <r>
    <x v="119"/>
    <n v="12"/>
    <n v="2012"/>
    <n v="0"/>
  </r>
  <r>
    <x v="119"/>
    <n v="12"/>
    <n v="2012"/>
    <n v="7.2449826989619384"/>
  </r>
  <r>
    <x v="119"/>
    <n v="12"/>
    <n v="2012"/>
    <n v="7.4975778546712792"/>
  </r>
  <r>
    <x v="119"/>
    <n v="12"/>
    <n v="2012"/>
    <n v="0"/>
  </r>
  <r>
    <x v="119"/>
    <n v="12"/>
    <n v="2012"/>
    <n v="1.1972318339100347"/>
  </r>
  <r>
    <x v="119"/>
    <n v="12"/>
    <n v="2012"/>
    <n v="3.9743944636678199"/>
  </r>
  <r>
    <x v="119"/>
    <n v="12"/>
    <n v="2012"/>
    <n v="0.20484429065743948"/>
  </r>
  <r>
    <x v="119"/>
    <n v="12"/>
    <n v="2012"/>
    <n v="0"/>
  </r>
  <r>
    <x v="119"/>
    <n v="12"/>
    <n v="2012"/>
    <n v="0.38615916955017299"/>
  </r>
  <r>
    <x v="119"/>
    <n v="12"/>
    <n v="2012"/>
    <n v="13.606920415224913"/>
  </r>
  <r>
    <x v="119"/>
    <n v="12"/>
    <n v="2012"/>
    <n v="0.77231833910034597"/>
  </r>
  <r>
    <x v="119"/>
    <n v="12"/>
    <n v="2012"/>
    <n v="0"/>
  </r>
  <r>
    <x v="119"/>
    <n v="12"/>
    <n v="2012"/>
    <n v="2.972318339100346"/>
  </r>
  <r>
    <x v="119"/>
    <n v="12"/>
    <n v="2012"/>
    <n v="0"/>
  </r>
  <r>
    <x v="119"/>
    <n v="12"/>
    <n v="2012"/>
    <n v="2.1307958477508651"/>
  </r>
  <r>
    <x v="119"/>
    <n v="12"/>
    <n v="2012"/>
    <n v="19.130795847750864"/>
  </r>
  <r>
    <x v="119"/>
    <n v="12"/>
    <n v="2012"/>
    <n v="9.5723183391003417"/>
  </r>
  <r>
    <x v="119"/>
    <n v="12"/>
    <n v="2012"/>
    <n v="12.179238754325258"/>
  </r>
  <r>
    <x v="119"/>
    <n v="12"/>
    <n v="2012"/>
    <n v="1.9377162629757789"/>
  </r>
  <r>
    <x v="119"/>
    <n v="12"/>
    <n v="2012"/>
    <n v="1.9930795847750864"/>
  </r>
  <r>
    <x v="119"/>
    <n v="12"/>
    <n v="2012"/>
    <n v="3.1999999999999997"/>
  </r>
  <r>
    <x v="119"/>
    <n v="12"/>
    <n v="2012"/>
    <n v="9.7100346020761261"/>
  </r>
  <r>
    <x v="119"/>
    <n v="12"/>
    <n v="2012"/>
    <n v="11.006228373702422"/>
  </r>
  <r>
    <x v="119"/>
    <n v="12"/>
    <n v="2012"/>
    <n v="1.6089965397923875"/>
  </r>
  <r>
    <x v="119"/>
    <n v="12"/>
    <n v="2012"/>
    <n v="1.3051903114186849"/>
  </r>
  <r>
    <x v="119"/>
    <n v="12"/>
    <n v="2012"/>
    <n v="5.0539792387543248"/>
  </r>
  <r>
    <x v="119"/>
    <n v="12"/>
    <n v="2012"/>
    <n v="3.1211072664359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W1:X122" firstHeaderRow="1" firstDataRow="1" firstDataCol="1"/>
  <pivotFields count="4">
    <pivotField axis="axisRow" numFmtId="1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umFmtId="1" showAll="0"/>
    <pivotField numFmtId="1" showAll="0"/>
    <pivotField dataField="1" numFmtId="164" showAll="0"/>
  </pivotFields>
  <rowFields count="1">
    <field x="0"/>
  </rowFields>
  <rowItems count="1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 t="grand">
      <x/>
    </i>
  </rowItems>
  <colItems count="1">
    <i/>
  </colItems>
  <dataFields count="1">
    <dataField name="Sum of Obs rainfall (mm) 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2"/>
  <sheetViews>
    <sheetView workbookViewId="0">
      <selection activeCell="M10" sqref="M10"/>
    </sheetView>
  </sheetViews>
  <sheetFormatPr defaultRowHeight="15" x14ac:dyDescent="0.25"/>
  <cols>
    <col min="6" max="6" width="13" customWidth="1"/>
  </cols>
  <sheetData>
    <row r="2" spans="1:16" ht="23.25" x14ac:dyDescent="0.35">
      <c r="A2" s="8" t="s">
        <v>0</v>
      </c>
    </row>
    <row r="4" spans="1:16" x14ac:dyDescent="0.25">
      <c r="A4" t="s">
        <v>1</v>
      </c>
    </row>
    <row r="5" spans="1:16" x14ac:dyDescent="0.25">
      <c r="A5" t="s">
        <v>2</v>
      </c>
    </row>
    <row r="6" spans="1:16" x14ac:dyDescent="0.25">
      <c r="A6" t="s">
        <v>3</v>
      </c>
    </row>
    <row r="7" spans="1:16" x14ac:dyDescent="0.25">
      <c r="A7" t="s">
        <v>4</v>
      </c>
    </row>
    <row r="8" spans="1:16" x14ac:dyDescent="0.25">
      <c r="A8" t="s">
        <v>5</v>
      </c>
    </row>
    <row r="10" spans="1:16" s="39" customFormat="1" x14ac:dyDescent="0.25">
      <c r="A10" s="92" t="s">
        <v>6</v>
      </c>
      <c r="B10" s="91"/>
    </row>
    <row r="11" spans="1:16" x14ac:dyDescent="0.25">
      <c r="A11" t="s">
        <v>7</v>
      </c>
    </row>
    <row r="12" spans="1:16" x14ac:dyDescent="0.25">
      <c r="A12" t="s">
        <v>8</v>
      </c>
    </row>
    <row r="14" spans="1:16" x14ac:dyDescent="0.25">
      <c r="A14" t="s">
        <v>9</v>
      </c>
    </row>
    <row r="15" spans="1:16" ht="21" x14ac:dyDescent="0.35">
      <c r="A15" t="s">
        <v>10</v>
      </c>
      <c r="M15" s="37" t="s">
        <v>11</v>
      </c>
      <c r="N15" s="37"/>
      <c r="O15" s="37"/>
      <c r="P15" s="3"/>
    </row>
    <row r="16" spans="1:16" ht="21" x14ac:dyDescent="0.35">
      <c r="A16" t="s">
        <v>12</v>
      </c>
      <c r="M16" s="37" t="s">
        <v>13</v>
      </c>
      <c r="N16" s="37" t="s">
        <v>14</v>
      </c>
      <c r="O16" s="37" t="s">
        <v>15</v>
      </c>
      <c r="P16" s="3"/>
    </row>
    <row r="17" spans="1:16" ht="21" x14ac:dyDescent="0.35">
      <c r="M17" s="37">
        <v>0.43</v>
      </c>
      <c r="N17" s="37">
        <v>0.72</v>
      </c>
      <c r="O17" s="37">
        <v>0.62</v>
      </c>
      <c r="P17" s="3"/>
    </row>
    <row r="18" spans="1:16" ht="23.25" x14ac:dyDescent="0.35">
      <c r="A18" t="s">
        <v>16</v>
      </c>
      <c r="M18" s="14">
        <v>3.9</v>
      </c>
      <c r="N18" s="14" t="s">
        <v>17</v>
      </c>
      <c r="O18" s="14"/>
      <c r="P18" s="3"/>
    </row>
    <row r="19" spans="1:16" ht="23.25" x14ac:dyDescent="0.35">
      <c r="A19" s="92" t="s">
        <v>18</v>
      </c>
      <c r="B19" s="92"/>
      <c r="C19" s="92"/>
      <c r="M19" s="14">
        <v>817</v>
      </c>
      <c r="N19" s="14" t="s">
        <v>19</v>
      </c>
      <c r="O19" s="3"/>
      <c r="P19" s="3"/>
    </row>
    <row r="20" spans="1:16" x14ac:dyDescent="0.25">
      <c r="A20" t="s">
        <v>20</v>
      </c>
    </row>
    <row r="21" spans="1:16" x14ac:dyDescent="0.25">
      <c r="A21" t="s">
        <v>21</v>
      </c>
    </row>
    <row r="22" spans="1:16" x14ac:dyDescent="0.25">
      <c r="A22" t="s">
        <v>22</v>
      </c>
    </row>
    <row r="24" spans="1:16" x14ac:dyDescent="0.25">
      <c r="A24" s="92" t="s">
        <v>23</v>
      </c>
      <c r="B24" s="92"/>
      <c r="C24" s="92"/>
      <c r="D24" s="92"/>
    </row>
    <row r="25" spans="1:16" x14ac:dyDescent="0.25">
      <c r="A25" t="s">
        <v>24</v>
      </c>
    </row>
    <row r="26" spans="1:16" x14ac:dyDescent="0.25">
      <c r="A26" t="s">
        <v>25</v>
      </c>
    </row>
    <row r="28" spans="1:16" x14ac:dyDescent="0.25">
      <c r="A28" s="92" t="s">
        <v>26</v>
      </c>
      <c r="B28" s="38"/>
    </row>
    <row r="30" spans="1:16" x14ac:dyDescent="0.25">
      <c r="A30" t="s">
        <v>27</v>
      </c>
    </row>
    <row r="31" spans="1:16" x14ac:dyDescent="0.25">
      <c r="A31" t="s">
        <v>28</v>
      </c>
    </row>
    <row r="32" spans="1:16" x14ac:dyDescent="0.25">
      <c r="A32" s="90" t="s">
        <v>29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5849"/>
  <sheetViews>
    <sheetView topLeftCell="A34" workbookViewId="0">
      <selection activeCell="U72" sqref="U72"/>
    </sheetView>
  </sheetViews>
  <sheetFormatPr defaultRowHeight="15" x14ac:dyDescent="0.25"/>
  <cols>
    <col min="2" max="2" width="12.85546875" customWidth="1"/>
    <col min="3" max="3" width="15.85546875" style="23" customWidth="1"/>
    <col min="7" max="7" width="6.7109375" customWidth="1"/>
    <col min="8" max="8" width="6.85546875" customWidth="1"/>
    <col min="9" max="9" width="8.140625" customWidth="1"/>
    <col min="16" max="16" width="13.42578125" customWidth="1"/>
    <col min="17" max="17" width="16.42578125" customWidth="1"/>
    <col min="20" max="20" width="23.5703125" customWidth="1"/>
    <col min="21" max="21" width="23" customWidth="1"/>
    <col min="22" max="22" width="20.7109375" customWidth="1"/>
    <col min="24" max="24" width="10.28515625" customWidth="1"/>
    <col min="25" max="25" width="22.7109375" customWidth="1"/>
    <col min="26" max="26" width="18.42578125" customWidth="1"/>
    <col min="27" max="27" width="24.28515625" customWidth="1"/>
    <col min="30" max="30" width="18.7109375" customWidth="1"/>
    <col min="31" max="31" width="20" customWidth="1"/>
    <col min="32" max="32" width="18.28515625" customWidth="1"/>
    <col min="35" max="35" width="19.140625" customWidth="1"/>
    <col min="36" max="36" width="18.5703125" customWidth="1"/>
    <col min="37" max="37" width="16.42578125" customWidth="1"/>
  </cols>
  <sheetData>
    <row r="1" spans="1:37" ht="26.25" x14ac:dyDescent="0.4">
      <c r="A1" s="9" t="s">
        <v>30</v>
      </c>
      <c r="B1" s="9"/>
      <c r="O1" s="37" t="s">
        <v>31</v>
      </c>
      <c r="P1" s="37"/>
      <c r="Q1" s="37"/>
      <c r="R1" s="3"/>
      <c r="T1" s="40" t="s">
        <v>59</v>
      </c>
      <c r="U1" s="41"/>
      <c r="V1" s="41" t="s">
        <v>60</v>
      </c>
      <c r="Y1" s="40" t="s">
        <v>59</v>
      </c>
      <c r="Z1" s="41" t="s">
        <v>148</v>
      </c>
      <c r="AA1" s="41" t="s">
        <v>60</v>
      </c>
      <c r="AD1" s="40" t="s">
        <v>59</v>
      </c>
      <c r="AE1" s="41" t="s">
        <v>149</v>
      </c>
      <c r="AF1" s="41" t="s">
        <v>60</v>
      </c>
      <c r="AI1" s="40" t="s">
        <v>59</v>
      </c>
      <c r="AJ1" s="41" t="s">
        <v>150</v>
      </c>
      <c r="AK1" s="41" t="s">
        <v>60</v>
      </c>
    </row>
    <row r="2" spans="1:37" ht="26.25" x14ac:dyDescent="0.4">
      <c r="A2" s="12"/>
      <c r="B2" s="13" t="s">
        <v>32</v>
      </c>
      <c r="C2" s="24"/>
      <c r="D2" s="1"/>
      <c r="E2" s="15" t="s">
        <v>33</v>
      </c>
      <c r="F2" s="1"/>
      <c r="G2" s="1"/>
      <c r="H2" s="1"/>
      <c r="I2" s="1"/>
      <c r="L2" s="64" t="s">
        <v>34</v>
      </c>
      <c r="M2" s="65"/>
      <c r="N2" s="65"/>
      <c r="O2" s="37" t="s">
        <v>13</v>
      </c>
      <c r="P2" s="37" t="s">
        <v>14</v>
      </c>
      <c r="Q2" s="37" t="s">
        <v>15</v>
      </c>
      <c r="R2" s="3"/>
      <c r="S2">
        <f>S1+1</f>
        <v>1</v>
      </c>
      <c r="T2">
        <v>2.3510917085019098</v>
      </c>
      <c r="V2">
        <v>184.38659388294053</v>
      </c>
      <c r="Y2">
        <v>2.6269194522653643</v>
      </c>
      <c r="AA2">
        <v>212.31998087948557</v>
      </c>
      <c r="AD2">
        <v>2.7517961187571545</v>
      </c>
      <c r="AF2">
        <v>227.36376276286407</v>
      </c>
      <c r="AI2">
        <v>2.9826523656692814</v>
      </c>
      <c r="AK2">
        <v>231.73119321990504</v>
      </c>
    </row>
    <row r="3" spans="1:37" ht="21.75" thickBot="1" x14ac:dyDescent="0.4">
      <c r="A3" s="2" t="s">
        <v>35</v>
      </c>
      <c r="B3" s="2"/>
      <c r="C3" s="24"/>
      <c r="D3" s="1"/>
      <c r="E3" s="1"/>
      <c r="F3" s="1"/>
      <c r="G3" s="1"/>
      <c r="H3" s="1"/>
      <c r="I3" s="1"/>
      <c r="L3" s="65" t="s">
        <v>36</v>
      </c>
      <c r="M3" s="65"/>
      <c r="N3" s="65"/>
      <c r="O3" s="37"/>
      <c r="P3" s="37">
        <v>0.77</v>
      </c>
      <c r="Q3" s="37">
        <v>0.54</v>
      </c>
      <c r="R3" s="3"/>
      <c r="S3">
        <f t="shared" ref="S3:S51" si="0">S2+1</f>
        <v>2</v>
      </c>
      <c r="T3">
        <v>2.3517268159284224</v>
      </c>
      <c r="V3">
        <v>181.30239424086525</v>
      </c>
      <c r="Y3">
        <v>2.5820686934160646</v>
      </c>
      <c r="AA3">
        <v>209.7272231790374</v>
      </c>
      <c r="AD3">
        <v>2.594812976399417</v>
      </c>
      <c r="AF3">
        <v>196.23895916066041</v>
      </c>
      <c r="AI3">
        <v>2.7156553138570327</v>
      </c>
      <c r="AK3">
        <v>213.15878963596694</v>
      </c>
    </row>
    <row r="4" spans="1:37" ht="24" thickBot="1" x14ac:dyDescent="0.4">
      <c r="A4" s="2" t="s">
        <v>141</v>
      </c>
      <c r="B4" s="28">
        <v>1</v>
      </c>
      <c r="C4" s="29" t="s">
        <v>37</v>
      </c>
      <c r="D4" s="17" t="s">
        <v>38</v>
      </c>
      <c r="E4" s="17"/>
      <c r="F4" s="1"/>
      <c r="G4" s="2" t="s">
        <v>39</v>
      </c>
      <c r="H4" s="2"/>
      <c r="I4" s="2"/>
      <c r="J4" s="2" t="s">
        <v>39</v>
      </c>
      <c r="K4" s="2"/>
      <c r="L4" s="66" t="s">
        <v>40</v>
      </c>
      <c r="M4" s="87">
        <f>1/M5</f>
        <v>0.34482758620689657</v>
      </c>
      <c r="N4" s="67" t="s">
        <v>41</v>
      </c>
      <c r="O4" s="14">
        <v>733.5</v>
      </c>
      <c r="P4" s="14" t="s">
        <v>19</v>
      </c>
      <c r="Q4" s="14"/>
      <c r="R4" s="3"/>
      <c r="S4">
        <f t="shared" si="0"/>
        <v>3</v>
      </c>
      <c r="T4">
        <v>2.3141115705664208</v>
      </c>
      <c r="V4">
        <v>181.33219749715448</v>
      </c>
      <c r="Y4">
        <v>2.4938953174186929</v>
      </c>
      <c r="AA4">
        <v>183.62161672340375</v>
      </c>
      <c r="AD4">
        <v>2.7920210410335122</v>
      </c>
      <c r="AF4">
        <v>225.10615309762872</v>
      </c>
      <c r="AI4">
        <v>2.7538074975105205</v>
      </c>
      <c r="AK4">
        <v>215.78646913964323</v>
      </c>
    </row>
    <row r="5" spans="1:37" x14ac:dyDescent="0.25">
      <c r="A5" s="2"/>
      <c r="B5" s="30">
        <v>0</v>
      </c>
      <c r="C5" s="31" t="s">
        <v>42</v>
      </c>
      <c r="D5" s="27" t="s">
        <v>43</v>
      </c>
      <c r="E5" s="18"/>
      <c r="F5" s="1"/>
      <c r="G5" s="20" t="s">
        <v>44</v>
      </c>
      <c r="H5" s="21"/>
      <c r="I5" s="21"/>
      <c r="J5" s="2" t="s">
        <v>14</v>
      </c>
      <c r="K5" s="2" t="s">
        <v>45</v>
      </c>
      <c r="L5" s="68" t="s">
        <v>46</v>
      </c>
      <c r="M5" s="89">
        <v>2.9</v>
      </c>
      <c r="N5" s="65"/>
      <c r="O5" s="3"/>
      <c r="P5" s="3"/>
      <c r="Q5" s="3"/>
      <c r="R5" s="3"/>
      <c r="S5">
        <f t="shared" si="0"/>
        <v>4</v>
      </c>
      <c r="T5">
        <v>2.393429891193172</v>
      </c>
      <c r="V5">
        <v>194.24565272421879</v>
      </c>
      <c r="Y5">
        <v>2.5642584177685821</v>
      </c>
      <c r="AA5">
        <v>201.4461186362802</v>
      </c>
      <c r="AD5">
        <v>2.6977188208969354</v>
      </c>
      <c r="AF5">
        <v>214.08771772411589</v>
      </c>
      <c r="AI5">
        <v>2.9697516299763724</v>
      </c>
      <c r="AK5">
        <v>234.29074903899121</v>
      </c>
    </row>
    <row r="6" spans="1:37" x14ac:dyDescent="0.25">
      <c r="A6" s="5" t="s">
        <v>47</v>
      </c>
      <c r="B6" s="10" t="s">
        <v>48</v>
      </c>
      <c r="C6" s="25" t="s">
        <v>49</v>
      </c>
      <c r="D6" s="19" t="s">
        <v>50</v>
      </c>
      <c r="E6" s="19" t="s">
        <v>51</v>
      </c>
      <c r="F6" s="16" t="s">
        <v>52</v>
      </c>
      <c r="G6" s="21" t="s">
        <v>53</v>
      </c>
      <c r="H6" s="22">
        <f ca="1">COUNTIF(rainout,"&gt;0")/COUNT(rainout)</f>
        <v>0.58536585365853655</v>
      </c>
      <c r="I6" s="21"/>
      <c r="J6" s="6">
        <f ca="1">SUM(J7:J3656)/SUM(rainout)</f>
        <v>0.74113475177304966</v>
      </c>
      <c r="K6" s="6">
        <f ca="1">SUM(K7:K3656)/(3650-SUM(rainout))</f>
        <v>0.20103092783505155</v>
      </c>
      <c r="L6" s="69" t="s">
        <v>47</v>
      </c>
      <c r="M6" s="70" t="s">
        <v>54</v>
      </c>
      <c r="N6" s="65"/>
      <c r="S6">
        <f t="shared" si="0"/>
        <v>5</v>
      </c>
      <c r="T6">
        <v>2.3200060725893548</v>
      </c>
      <c r="V6">
        <v>176.69272196185824</v>
      </c>
      <c r="Y6">
        <v>2.649229297221654</v>
      </c>
      <c r="AA6">
        <v>201.41346582868712</v>
      </c>
      <c r="AD6">
        <v>2.7728873979192876</v>
      </c>
      <c r="AF6">
        <v>214.69487186272758</v>
      </c>
      <c r="AI6">
        <v>2.9496140932771362</v>
      </c>
      <c r="AK6">
        <v>239.58091231660612</v>
      </c>
    </row>
    <row r="7" spans="1:37" x14ac:dyDescent="0.25">
      <c r="A7" s="2">
        <v>1</v>
      </c>
      <c r="B7" s="11">
        <v>1</v>
      </c>
      <c r="C7" s="26">
        <f ca="1">RAND()</f>
        <v>0.94495199200208546</v>
      </c>
      <c r="D7" s="19" t="s">
        <v>55</v>
      </c>
      <c r="E7" s="19" t="s">
        <v>56</v>
      </c>
      <c r="F7" s="16" t="s">
        <v>52</v>
      </c>
      <c r="G7" s="21" t="s">
        <v>13</v>
      </c>
      <c r="H7" s="22">
        <f ca="1">COUNTIF(rainout,"=0")/COUNT(rainout)</f>
        <v>0.41463414634146339</v>
      </c>
      <c r="I7" s="21"/>
      <c r="J7">
        <f ca="1">IF(AND(B7,B8),1,0)</f>
        <v>0</v>
      </c>
      <c r="K7">
        <f ca="1">IF(AND(NOT(B7),NOT(B8)),1,0)</f>
        <v>0</v>
      </c>
      <c r="L7" s="65">
        <v>1</v>
      </c>
      <c r="M7" s="71">
        <f t="shared" ref="M7:M70" ca="1" si="1">IF(B7&gt;0,-LN(1-(RAND()))/lambda,0)</f>
        <v>1.3513049891807891</v>
      </c>
      <c r="N7" s="65"/>
      <c r="O7" s="35"/>
      <c r="P7" t="s">
        <v>57</v>
      </c>
      <c r="S7">
        <f t="shared" si="0"/>
        <v>6</v>
      </c>
      <c r="T7">
        <v>2.435950093751539</v>
      </c>
      <c r="V7">
        <v>186.01000875724</v>
      </c>
      <c r="Y7">
        <v>2.6749188716790528</v>
      </c>
      <c r="AA7">
        <v>212.45657658708862</v>
      </c>
      <c r="AD7">
        <v>2.9013323384188761</v>
      </c>
      <c r="AF7">
        <v>226.37980571263307</v>
      </c>
      <c r="AI7">
        <v>2.8129099964791142</v>
      </c>
      <c r="AK7">
        <v>219.29312036900072</v>
      </c>
    </row>
    <row r="8" spans="1:37" x14ac:dyDescent="0.25">
      <c r="A8" s="2">
        <v>2</v>
      </c>
      <c r="B8" s="11">
        <f t="shared" ref="B8:B71" ca="1" si="2">IF(B7&gt;0,IF(C8&lt;pww,1,0),IF(C8&lt;pdw,1,0))</f>
        <v>0</v>
      </c>
      <c r="C8" s="26">
        <f t="shared" ref="C8:C71" ca="1" si="3">RAND()</f>
        <v>0.9281957500896294</v>
      </c>
      <c r="D8" s="19"/>
      <c r="E8" s="19"/>
      <c r="F8" s="1"/>
      <c r="G8" s="20" t="s">
        <v>43</v>
      </c>
      <c r="H8" s="20"/>
      <c r="I8" s="21"/>
      <c r="J8">
        <f t="shared" ref="J8:J71" ca="1" si="4">IF(AND(B8,B9),1,0)</f>
        <v>0</v>
      </c>
      <c r="K8">
        <f t="shared" ref="K8:K71" ca="1" si="5">IF(AND(NOT(B8),NOT(B9)),1,0)</f>
        <v>0</v>
      </c>
      <c r="L8" s="65">
        <v>2</v>
      </c>
      <c r="M8" s="71">
        <f t="shared" ca="1" si="1"/>
        <v>0</v>
      </c>
      <c r="N8" s="65"/>
      <c r="O8" s="4"/>
      <c r="P8" t="s">
        <v>58</v>
      </c>
      <c r="S8">
        <f t="shared" si="0"/>
        <v>7</v>
      </c>
      <c r="T8">
        <v>2.2982147695948916</v>
      </c>
      <c r="V8">
        <v>179.01459140128975</v>
      </c>
      <c r="Y8">
        <v>2.4022062771484451</v>
      </c>
      <c r="AA8">
        <v>196.71862920426693</v>
      </c>
      <c r="AD8">
        <v>2.5563507490023882</v>
      </c>
      <c r="AF8">
        <v>201.6765731331279</v>
      </c>
      <c r="AI8">
        <v>2.8802461242887771</v>
      </c>
      <c r="AK8">
        <v>216.29019193473334</v>
      </c>
    </row>
    <row r="9" spans="1:37" ht="15.75" x14ac:dyDescent="0.25">
      <c r="A9" s="2">
        <v>3</v>
      </c>
      <c r="B9" s="11">
        <f t="shared" ca="1" si="2"/>
        <v>1</v>
      </c>
      <c r="C9" s="26">
        <f t="shared" ca="1" si="3"/>
        <v>1.1832367111163422E-2</v>
      </c>
      <c r="D9" s="88">
        <v>0.75</v>
      </c>
      <c r="E9" s="32">
        <f>1-pww</f>
        <v>0.25</v>
      </c>
      <c r="F9" s="33" t="s">
        <v>52</v>
      </c>
      <c r="G9" s="34">
        <f ca="1">J6</f>
        <v>0.74113475177304966</v>
      </c>
      <c r="H9" s="34">
        <f ca="1">1-G9</f>
        <v>0.25886524822695034</v>
      </c>
      <c r="I9" s="21"/>
      <c r="J9">
        <f t="shared" ca="1" si="4"/>
        <v>1</v>
      </c>
      <c r="K9">
        <f t="shared" ca="1" si="5"/>
        <v>0</v>
      </c>
      <c r="L9" s="65">
        <v>3</v>
      </c>
      <c r="M9" s="71">
        <f t="shared" ca="1" si="1"/>
        <v>5.8863743279963971</v>
      </c>
      <c r="N9" s="65"/>
      <c r="O9" s="40" t="s">
        <v>59</v>
      </c>
      <c r="P9" s="41"/>
      <c r="Q9" s="41" t="s">
        <v>60</v>
      </c>
      <c r="R9" s="42"/>
      <c r="S9">
        <f t="shared" si="0"/>
        <v>8</v>
      </c>
      <c r="T9">
        <v>2.4901401262551222</v>
      </c>
      <c r="V9">
        <v>193.96421219244593</v>
      </c>
      <c r="Y9">
        <v>2.682214981826057</v>
      </c>
      <c r="AA9">
        <v>214.28712402495711</v>
      </c>
      <c r="AD9">
        <v>2.7323180902322282</v>
      </c>
      <c r="AF9">
        <v>209.00489357452992</v>
      </c>
      <c r="AI9">
        <v>2.9068952661232381</v>
      </c>
      <c r="AK9">
        <v>232.43094063532357</v>
      </c>
    </row>
    <row r="10" spans="1:37" ht="15.75" x14ac:dyDescent="0.25">
      <c r="A10" s="2">
        <v>4</v>
      </c>
      <c r="B10" s="11">
        <f t="shared" ca="1" si="2"/>
        <v>1</v>
      </c>
      <c r="C10" s="26">
        <f t="shared" ca="1" si="3"/>
        <v>0.20154542275239185</v>
      </c>
      <c r="D10" s="32">
        <f>1-pdd</f>
        <v>0.39</v>
      </c>
      <c r="E10" s="88">
        <v>0.61</v>
      </c>
      <c r="F10" s="33" t="s">
        <v>52</v>
      </c>
      <c r="G10" s="34">
        <f ca="1">1-H10</f>
        <v>0.7989690721649485</v>
      </c>
      <c r="H10" s="34">
        <f ca="1">K6</f>
        <v>0.20103092783505155</v>
      </c>
      <c r="I10" s="21"/>
      <c r="J10">
        <f t="shared" ca="1" si="4"/>
        <v>0</v>
      </c>
      <c r="K10">
        <f t="shared" ca="1" si="5"/>
        <v>0</v>
      </c>
      <c r="L10" s="65">
        <v>4</v>
      </c>
      <c r="M10" s="71">
        <f t="shared" ca="1" si="1"/>
        <v>4.0814234327105803</v>
      </c>
      <c r="N10" s="65"/>
      <c r="O10" s="43">
        <f ca="1">SUM(M7:M5849)/1926/H6</f>
        <v>2.7794985055841646</v>
      </c>
      <c r="P10" s="44"/>
      <c r="Q10" s="45">
        <f ca="1">SUM(M7:M5849)/15</f>
        <v>208.90981938556487</v>
      </c>
      <c r="R10" s="46" t="s">
        <v>61</v>
      </c>
      <c r="S10">
        <f t="shared" si="0"/>
        <v>9</v>
      </c>
      <c r="T10">
        <v>2.4589185459172165</v>
      </c>
      <c r="V10">
        <v>195.6283439061495</v>
      </c>
      <c r="Y10">
        <v>2.5610369939158333</v>
      </c>
      <c r="AA10">
        <v>201.36369331716435</v>
      </c>
      <c r="AD10">
        <v>2.7364513516976361</v>
      </c>
      <c r="AF10">
        <v>219.34950977179332</v>
      </c>
      <c r="AI10">
        <v>2.8315822267001121</v>
      </c>
      <c r="AK10">
        <v>215.84326966636678</v>
      </c>
    </row>
    <row r="11" spans="1:37" ht="15.75" x14ac:dyDescent="0.25">
      <c r="A11" s="2">
        <v>5</v>
      </c>
      <c r="B11" s="11">
        <f t="shared" ca="1" si="2"/>
        <v>0</v>
      </c>
      <c r="C11" s="26">
        <f t="shared" ca="1" si="3"/>
        <v>0.80616644513295477</v>
      </c>
      <c r="J11">
        <f t="shared" ca="1" si="4"/>
        <v>0</v>
      </c>
      <c r="K11">
        <f t="shared" ca="1" si="5"/>
        <v>1</v>
      </c>
      <c r="L11" s="65">
        <v>5</v>
      </c>
      <c r="M11" s="71">
        <f t="shared" ca="1" si="1"/>
        <v>0</v>
      </c>
      <c r="N11" s="65"/>
      <c r="O11" s="47"/>
      <c r="P11" s="48"/>
      <c r="Q11" s="49" t="s">
        <v>62</v>
      </c>
      <c r="R11" s="50"/>
      <c r="S11">
        <f t="shared" si="0"/>
        <v>10</v>
      </c>
      <c r="T11">
        <v>2.2701556349155312</v>
      </c>
      <c r="V11">
        <v>174.86253707979569</v>
      </c>
      <c r="Y11">
        <v>2.6117746619595827</v>
      </c>
      <c r="AA11">
        <v>206.3971529747763</v>
      </c>
      <c r="AD11">
        <v>2.8005802351346083</v>
      </c>
      <c r="AF11">
        <v>220.0113742000641</v>
      </c>
      <c r="AI11">
        <v>2.9872474014842005</v>
      </c>
      <c r="AK11">
        <v>227.31107979883367</v>
      </c>
    </row>
    <row r="12" spans="1:37" x14ac:dyDescent="0.25">
      <c r="A12" s="2">
        <v>6</v>
      </c>
      <c r="B12" s="11">
        <f t="shared" ca="1" si="2"/>
        <v>0</v>
      </c>
      <c r="C12" s="26">
        <f t="shared" ca="1" si="3"/>
        <v>0.68531882448937775</v>
      </c>
      <c r="J12">
        <f t="shared" ca="1" si="4"/>
        <v>0</v>
      </c>
      <c r="K12">
        <f t="shared" ca="1" si="5"/>
        <v>0</v>
      </c>
      <c r="L12" s="65">
        <v>6</v>
      </c>
      <c r="M12" s="71">
        <f t="shared" ca="1" si="1"/>
        <v>0</v>
      </c>
      <c r="N12" s="65"/>
      <c r="S12">
        <f t="shared" si="0"/>
        <v>11</v>
      </c>
      <c r="T12">
        <v>2.3951147589096662</v>
      </c>
      <c r="V12">
        <v>184.96649710223008</v>
      </c>
      <c r="Y12">
        <v>2.6350565834972235</v>
      </c>
      <c r="AA12">
        <v>203.67196044235104</v>
      </c>
      <c r="AD12">
        <v>2.7853288160084464</v>
      </c>
      <c r="AF12">
        <v>216.95731248123582</v>
      </c>
      <c r="AI12">
        <v>2.8675937121367694</v>
      </c>
      <c r="AK12">
        <v>221.26335225491556</v>
      </c>
    </row>
    <row r="13" spans="1:37" x14ac:dyDescent="0.25">
      <c r="A13" s="2">
        <v>7</v>
      </c>
      <c r="B13" s="11">
        <f t="shared" ca="1" si="2"/>
        <v>1</v>
      </c>
      <c r="C13" s="26">
        <f t="shared" ca="1" si="3"/>
        <v>0.24024082825676596</v>
      </c>
      <c r="J13">
        <f t="shared" ca="1" si="4"/>
        <v>0</v>
      </c>
      <c r="K13">
        <f t="shared" ca="1" si="5"/>
        <v>0</v>
      </c>
      <c r="L13" s="65">
        <v>7</v>
      </c>
      <c r="M13" s="71">
        <f t="shared" ca="1" si="1"/>
        <v>1.3417131647681451</v>
      </c>
      <c r="N13" s="65"/>
      <c r="O13" s="5" t="s">
        <v>63</v>
      </c>
      <c r="P13" s="5" t="s">
        <v>64</v>
      </c>
      <c r="Q13" s="7">
        <f>MAX(obsdata)</f>
        <v>26.666666666666668</v>
      </c>
      <c r="R13" t="s">
        <v>61</v>
      </c>
      <c r="S13">
        <f t="shared" si="0"/>
        <v>12</v>
      </c>
      <c r="T13">
        <v>2.4207929552278236</v>
      </c>
      <c r="V13">
        <v>191.94991198079424</v>
      </c>
      <c r="Y13">
        <v>2.5063045674857061</v>
      </c>
      <c r="AA13">
        <v>197.89531144847959</v>
      </c>
      <c r="AD13">
        <v>2.760566882473737</v>
      </c>
      <c r="AF13">
        <v>222.01834082279231</v>
      </c>
      <c r="AI13">
        <v>2.9445732862009018</v>
      </c>
      <c r="AK13">
        <v>238.97527229730278</v>
      </c>
    </row>
    <row r="14" spans="1:37" x14ac:dyDescent="0.25">
      <c r="A14" s="2">
        <v>8</v>
      </c>
      <c r="B14" s="11">
        <f t="shared" ca="1" si="2"/>
        <v>0</v>
      </c>
      <c r="C14" s="26">
        <f t="shared" ca="1" si="3"/>
        <v>0.97589475932667713</v>
      </c>
      <c r="J14">
        <f t="shared" ca="1" si="4"/>
        <v>0</v>
      </c>
      <c r="K14">
        <f t="shared" ca="1" si="5"/>
        <v>0</v>
      </c>
      <c r="L14" s="65">
        <v>8</v>
      </c>
      <c r="M14" s="71">
        <f t="shared" ca="1" si="1"/>
        <v>0</v>
      </c>
      <c r="N14" s="65"/>
      <c r="O14" s="5"/>
      <c r="P14" s="5" t="s">
        <v>65</v>
      </c>
      <c r="Q14" s="7">
        <f ca="1">MAX(M7:M5849)</f>
        <v>19.121177349562466</v>
      </c>
      <c r="R14" t="s">
        <v>61</v>
      </c>
      <c r="S14">
        <f t="shared" si="0"/>
        <v>13</v>
      </c>
      <c r="T14">
        <v>2.4400813340993635</v>
      </c>
      <c r="V14">
        <v>181.12266623475406</v>
      </c>
      <c r="Y14">
        <v>2.613850292995016</v>
      </c>
      <c r="AA14">
        <v>203.77452092166857</v>
      </c>
      <c r="AD14">
        <v>2.7439598338440621</v>
      </c>
      <c r="AF14">
        <v>213.36929143265647</v>
      </c>
      <c r="AI14">
        <v>2.8495894324373165</v>
      </c>
      <c r="AK14">
        <v>226.13998661225594</v>
      </c>
    </row>
    <row r="15" spans="1:37" x14ac:dyDescent="0.25">
      <c r="A15" s="2">
        <v>9</v>
      </c>
      <c r="B15" s="11">
        <f t="shared" ca="1" si="2"/>
        <v>1</v>
      </c>
      <c r="C15" s="26">
        <f t="shared" ca="1" si="3"/>
        <v>0.28625828621611815</v>
      </c>
      <c r="J15">
        <f t="shared" ca="1" si="4"/>
        <v>1</v>
      </c>
      <c r="K15">
        <f t="shared" ca="1" si="5"/>
        <v>0</v>
      </c>
      <c r="L15" s="65">
        <v>9</v>
      </c>
      <c r="M15" s="71">
        <f t="shared" ca="1" si="1"/>
        <v>12.146880095060279</v>
      </c>
      <c r="N15" s="65"/>
      <c r="Q15" s="51"/>
      <c r="S15">
        <f t="shared" si="0"/>
        <v>14</v>
      </c>
      <c r="T15">
        <v>2.4869447312271067</v>
      </c>
      <c r="V15">
        <v>190.89823893096715</v>
      </c>
      <c r="Y15">
        <v>2.6327795204790263</v>
      </c>
      <c r="AA15">
        <v>214.37246710163856</v>
      </c>
      <c r="AD15">
        <v>2.7676127312266288</v>
      </c>
      <c r="AF15">
        <v>216.13059072967982</v>
      </c>
      <c r="AI15">
        <v>3.0403953733654103</v>
      </c>
      <c r="AK15">
        <v>233.98895415715469</v>
      </c>
    </row>
    <row r="16" spans="1:37" x14ac:dyDescent="0.25">
      <c r="A16" s="2">
        <v>10</v>
      </c>
      <c r="B16" s="11">
        <f t="shared" ca="1" si="2"/>
        <v>1</v>
      </c>
      <c r="C16" s="26">
        <f t="shared" ca="1" si="3"/>
        <v>0.47474914898107023</v>
      </c>
      <c r="J16">
        <f t="shared" ca="1" si="4"/>
        <v>1</v>
      </c>
      <c r="K16">
        <f t="shared" ca="1" si="5"/>
        <v>0</v>
      </c>
      <c r="L16" s="65">
        <v>10</v>
      </c>
      <c r="M16" s="71">
        <f t="shared" ca="1" si="1"/>
        <v>0.70119843397308135</v>
      </c>
      <c r="N16" s="65"/>
      <c r="Q16" s="51"/>
      <c r="S16">
        <f t="shared" si="0"/>
        <v>15</v>
      </c>
      <c r="T16">
        <v>2.3351926429365455</v>
      </c>
      <c r="V16">
        <v>190.60843321613351</v>
      </c>
      <c r="Y16">
        <v>2.6278269142785584</v>
      </c>
      <c r="AA16">
        <v>210.99254583861293</v>
      </c>
      <c r="AD16">
        <v>2.7971269060179464</v>
      </c>
      <c r="AF16">
        <v>218.99456995896605</v>
      </c>
      <c r="AI16">
        <v>2.9307455286166686</v>
      </c>
      <c r="AK16">
        <v>232.77571834056113</v>
      </c>
    </row>
    <row r="17" spans="1:37" x14ac:dyDescent="0.25">
      <c r="A17" s="2">
        <v>11</v>
      </c>
      <c r="B17" s="11">
        <f t="shared" ca="1" si="2"/>
        <v>1</v>
      </c>
      <c r="C17" s="26">
        <f t="shared" ca="1" si="3"/>
        <v>0.11185089970864059</v>
      </c>
      <c r="J17">
        <f t="shared" ca="1" si="4"/>
        <v>1</v>
      </c>
      <c r="K17">
        <f t="shared" ca="1" si="5"/>
        <v>0</v>
      </c>
      <c r="L17" s="65">
        <v>11</v>
      </c>
      <c r="M17" s="71">
        <f t="shared" ca="1" si="1"/>
        <v>0.26565698471913862</v>
      </c>
      <c r="N17" s="65"/>
      <c r="S17">
        <f t="shared" si="0"/>
        <v>16</v>
      </c>
      <c r="T17">
        <v>2.3897582382539189</v>
      </c>
      <c r="V17">
        <v>189.96680573202966</v>
      </c>
      <c r="Y17">
        <v>2.5049429895503685</v>
      </c>
      <c r="AA17">
        <v>196.11870723065081</v>
      </c>
      <c r="AD17">
        <v>2.661025794410846</v>
      </c>
      <c r="AF17">
        <v>199.82798517210762</v>
      </c>
      <c r="AI17">
        <v>2.9454675339649703</v>
      </c>
      <c r="AK17">
        <v>229.03845490316877</v>
      </c>
    </row>
    <row r="18" spans="1:37" x14ac:dyDescent="0.25">
      <c r="A18" s="2">
        <v>12</v>
      </c>
      <c r="B18" s="11">
        <f t="shared" ca="1" si="2"/>
        <v>1</v>
      </c>
      <c r="C18" s="26">
        <f t="shared" ca="1" si="3"/>
        <v>0.73140637764340344</v>
      </c>
      <c r="J18">
        <f t="shared" ca="1" si="4"/>
        <v>1</v>
      </c>
      <c r="K18">
        <f t="shared" ca="1" si="5"/>
        <v>0</v>
      </c>
      <c r="L18" s="65">
        <v>12</v>
      </c>
      <c r="M18" s="71">
        <f t="shared" ca="1" si="1"/>
        <v>6.1357074289307691</v>
      </c>
      <c r="N18" s="65"/>
      <c r="S18">
        <f t="shared" si="0"/>
        <v>17</v>
      </c>
      <c r="T18">
        <v>2.3774483175240184</v>
      </c>
      <c r="V18">
        <v>181.70120678447654</v>
      </c>
      <c r="Y18">
        <v>2.4818076743190258</v>
      </c>
      <c r="AA18">
        <v>193.97664536260837</v>
      </c>
      <c r="AD18">
        <v>2.7158439794874418</v>
      </c>
      <c r="AF18">
        <v>210.09723925674297</v>
      </c>
      <c r="AI18">
        <v>2.9510014870297292</v>
      </c>
      <c r="AK18">
        <v>234.38455650963351</v>
      </c>
    </row>
    <row r="19" spans="1:37" x14ac:dyDescent="0.25">
      <c r="A19" s="2">
        <v>13</v>
      </c>
      <c r="B19" s="11">
        <f t="shared" ca="1" si="2"/>
        <v>1</v>
      </c>
      <c r="C19" s="26">
        <f t="shared" ca="1" si="3"/>
        <v>0.3921924746587313</v>
      </c>
      <c r="J19">
        <f t="shared" ca="1" si="4"/>
        <v>1</v>
      </c>
      <c r="K19">
        <f t="shared" ca="1" si="5"/>
        <v>0</v>
      </c>
      <c r="L19" s="65">
        <v>13</v>
      </c>
      <c r="M19" s="71">
        <f t="shared" ca="1" si="1"/>
        <v>0.99346139985547233</v>
      </c>
      <c r="N19" s="65"/>
      <c r="S19">
        <f t="shared" si="0"/>
        <v>18</v>
      </c>
      <c r="T19">
        <v>2.4512580778292641</v>
      </c>
      <c r="V19">
        <v>193.54889547173528</v>
      </c>
      <c r="Y19">
        <v>2.6593100948289492</v>
      </c>
      <c r="AA19">
        <v>196.86402043153979</v>
      </c>
      <c r="AD19">
        <v>2.6106291860187079</v>
      </c>
      <c r="AF19">
        <v>214.13445427804433</v>
      </c>
      <c r="AI19">
        <v>2.9486423032783868</v>
      </c>
      <c r="AK19">
        <v>233.21480661987624</v>
      </c>
    </row>
    <row r="20" spans="1:37" x14ac:dyDescent="0.25">
      <c r="A20" s="2">
        <v>14</v>
      </c>
      <c r="B20" s="11">
        <f t="shared" ca="1" si="2"/>
        <v>1</v>
      </c>
      <c r="C20" s="26">
        <f t="shared" ca="1" si="3"/>
        <v>0.74121852791102327</v>
      </c>
      <c r="J20">
        <f t="shared" ca="1" si="4"/>
        <v>0</v>
      </c>
      <c r="K20">
        <f t="shared" ca="1" si="5"/>
        <v>0</v>
      </c>
      <c r="L20" s="65">
        <v>14</v>
      </c>
      <c r="M20" s="71">
        <f t="shared" ca="1" si="1"/>
        <v>0.34210294314148804</v>
      </c>
      <c r="N20" s="65"/>
      <c r="S20">
        <f t="shared" si="0"/>
        <v>19</v>
      </c>
      <c r="T20">
        <v>2.3150405922244492</v>
      </c>
      <c r="V20">
        <v>185.5699055973368</v>
      </c>
      <c r="Y20">
        <v>2.5676518932376138</v>
      </c>
      <c r="AA20">
        <v>197.26442037609817</v>
      </c>
      <c r="AD20">
        <v>2.7694305419355487</v>
      </c>
      <c r="AF20">
        <v>213.50455526377519</v>
      </c>
      <c r="AI20">
        <v>3.0790224568941289</v>
      </c>
      <c r="AK20">
        <v>238.19266595905776</v>
      </c>
    </row>
    <row r="21" spans="1:37" x14ac:dyDescent="0.25">
      <c r="A21" s="2">
        <v>15</v>
      </c>
      <c r="B21" s="11">
        <f t="shared" ca="1" si="2"/>
        <v>0</v>
      </c>
      <c r="C21" s="26">
        <f t="shared" ca="1" si="3"/>
        <v>0.75405344910676586</v>
      </c>
      <c r="J21">
        <f t="shared" ca="1" si="4"/>
        <v>0</v>
      </c>
      <c r="K21">
        <f t="shared" ca="1" si="5"/>
        <v>1</v>
      </c>
      <c r="L21" s="65">
        <v>15</v>
      </c>
      <c r="M21" s="71">
        <f t="shared" ca="1" si="1"/>
        <v>0</v>
      </c>
      <c r="N21" s="65"/>
      <c r="S21">
        <f t="shared" si="0"/>
        <v>20</v>
      </c>
      <c r="T21">
        <v>2.3572534580684223</v>
      </c>
      <c r="V21">
        <v>181.57139267383454</v>
      </c>
      <c r="Y21">
        <v>2.6674061083861629</v>
      </c>
      <c r="AA21">
        <v>205.6391544237251</v>
      </c>
      <c r="AD21">
        <v>2.7824964485003076</v>
      </c>
      <c r="AF21">
        <v>217.29290168826111</v>
      </c>
      <c r="AI21">
        <v>2.7798126308692943</v>
      </c>
      <c r="AK21">
        <v>213.56404613366416</v>
      </c>
    </row>
    <row r="22" spans="1:37" x14ac:dyDescent="0.25">
      <c r="A22" s="2">
        <v>16</v>
      </c>
      <c r="B22" s="11">
        <f t="shared" ca="1" si="2"/>
        <v>0</v>
      </c>
      <c r="C22" s="26">
        <f t="shared" ca="1" si="3"/>
        <v>0.48710888779667039</v>
      </c>
      <c r="J22">
        <f t="shared" ca="1" si="4"/>
        <v>0</v>
      </c>
      <c r="K22">
        <f t="shared" ca="1" si="5"/>
        <v>1</v>
      </c>
      <c r="L22" s="65">
        <v>16</v>
      </c>
      <c r="M22" s="71">
        <f t="shared" ca="1" si="1"/>
        <v>0</v>
      </c>
      <c r="N22" s="65"/>
      <c r="S22">
        <f t="shared" si="0"/>
        <v>21</v>
      </c>
      <c r="T22">
        <v>2.3641842923608927</v>
      </c>
      <c r="V22">
        <v>169.50281221469285</v>
      </c>
      <c r="Y22">
        <v>2.5683217615786824</v>
      </c>
      <c r="AA22">
        <v>202.79212730214991</v>
      </c>
      <c r="AD22">
        <v>2.7625525552386816</v>
      </c>
      <c r="AF22">
        <v>225.49138111753618</v>
      </c>
      <c r="AI22">
        <v>3.0622466210141028</v>
      </c>
      <c r="AK22">
        <v>246.48495023090746</v>
      </c>
    </row>
    <row r="23" spans="1:37" x14ac:dyDescent="0.25">
      <c r="A23" s="2">
        <v>17</v>
      </c>
      <c r="B23" s="11">
        <f t="shared" ca="1" si="2"/>
        <v>0</v>
      </c>
      <c r="C23" s="26">
        <f t="shared" ca="1" si="3"/>
        <v>0.54634590368107128</v>
      </c>
      <c r="J23">
        <f t="shared" ca="1" si="4"/>
        <v>0</v>
      </c>
      <c r="K23">
        <f t="shared" ca="1" si="5"/>
        <v>1</v>
      </c>
      <c r="L23" s="65">
        <v>17</v>
      </c>
      <c r="M23" s="71">
        <f t="shared" ca="1" si="1"/>
        <v>0</v>
      </c>
      <c r="N23" s="65"/>
      <c r="S23">
        <f t="shared" si="0"/>
        <v>22</v>
      </c>
      <c r="T23">
        <v>2.4212827693815795</v>
      </c>
      <c r="V23">
        <v>189.24605397063917</v>
      </c>
      <c r="Y23">
        <v>2.5444630585085779</v>
      </c>
      <c r="AA23">
        <v>197.51741103791602</v>
      </c>
      <c r="AD23">
        <v>2.8454237529033621</v>
      </c>
      <c r="AF23">
        <v>221.44868434427642</v>
      </c>
      <c r="AI23">
        <v>2.9082569004824794</v>
      </c>
      <c r="AK23">
        <v>230.60198306493041</v>
      </c>
    </row>
    <row r="24" spans="1:37" x14ac:dyDescent="0.25">
      <c r="A24" s="2">
        <v>18</v>
      </c>
      <c r="B24" s="11">
        <f t="shared" ca="1" si="2"/>
        <v>0</v>
      </c>
      <c r="C24" s="26">
        <f t="shared" ca="1" si="3"/>
        <v>0.97952817276359372</v>
      </c>
      <c r="J24">
        <f t="shared" ca="1" si="4"/>
        <v>0</v>
      </c>
      <c r="K24">
        <f t="shared" ca="1" si="5"/>
        <v>1</v>
      </c>
      <c r="L24" s="65">
        <v>18</v>
      </c>
      <c r="M24" s="71">
        <f t="shared" ca="1" si="1"/>
        <v>0</v>
      </c>
      <c r="N24" s="65"/>
      <c r="S24">
        <f t="shared" si="0"/>
        <v>23</v>
      </c>
      <c r="T24">
        <v>2.3875990069422981</v>
      </c>
      <c r="V24">
        <v>191.54516130754277</v>
      </c>
      <c r="Y24">
        <v>2.6172065781899874</v>
      </c>
      <c r="AA24">
        <v>199.32764819048074</v>
      </c>
      <c r="AD24">
        <v>2.6531429931915471</v>
      </c>
      <c r="AF24">
        <v>207.19132989197269</v>
      </c>
      <c r="AI24">
        <v>2.8856147713369955</v>
      </c>
      <c r="AK24">
        <v>231.30620798003284</v>
      </c>
    </row>
    <row r="25" spans="1:37" x14ac:dyDescent="0.25">
      <c r="A25" s="2">
        <v>19</v>
      </c>
      <c r="B25" s="11">
        <f t="shared" ca="1" si="2"/>
        <v>0</v>
      </c>
      <c r="C25" s="26">
        <f t="shared" ca="1" si="3"/>
        <v>0.68297374819160639</v>
      </c>
      <c r="J25">
        <f t="shared" ca="1" si="4"/>
        <v>0</v>
      </c>
      <c r="K25">
        <f t="shared" ca="1" si="5"/>
        <v>1</v>
      </c>
      <c r="L25" s="65">
        <v>19</v>
      </c>
      <c r="M25" s="71">
        <f t="shared" ca="1" si="1"/>
        <v>0</v>
      </c>
      <c r="N25" s="65"/>
      <c r="S25">
        <f t="shared" si="0"/>
        <v>24</v>
      </c>
      <c r="T25">
        <v>2.5084151141693041</v>
      </c>
      <c r="V25">
        <v>197.72767632589395</v>
      </c>
      <c r="Y25">
        <v>2.6924413495033095</v>
      </c>
      <c r="AA25">
        <v>218.33338044066724</v>
      </c>
      <c r="AD25">
        <v>2.6803185389997655</v>
      </c>
      <c r="AF25">
        <v>208.42056812435604</v>
      </c>
      <c r="AI25">
        <v>2.9042432532690867</v>
      </c>
      <c r="AK25">
        <v>229.31615358479743</v>
      </c>
    </row>
    <row r="26" spans="1:37" x14ac:dyDescent="0.25">
      <c r="A26" s="2">
        <v>20</v>
      </c>
      <c r="B26" s="11">
        <f t="shared" ca="1" si="2"/>
        <v>0</v>
      </c>
      <c r="C26" s="26">
        <f t="shared" ca="1" si="3"/>
        <v>0.99076692883421624</v>
      </c>
      <c r="J26">
        <f t="shared" ca="1" si="4"/>
        <v>0</v>
      </c>
      <c r="K26">
        <f t="shared" ca="1" si="5"/>
        <v>1</v>
      </c>
      <c r="L26" s="65">
        <v>20</v>
      </c>
      <c r="M26" s="71">
        <f t="shared" ca="1" si="1"/>
        <v>0</v>
      </c>
      <c r="N26" s="65"/>
      <c r="S26">
        <f t="shared" si="0"/>
        <v>25</v>
      </c>
      <c r="T26">
        <v>2.4456739993596872</v>
      </c>
      <c r="V26">
        <v>193.92278381222772</v>
      </c>
      <c r="Y26">
        <v>2.4644213712926808</v>
      </c>
      <c r="AA26">
        <v>184.24305758744461</v>
      </c>
      <c r="AD26">
        <v>2.6923137096340803</v>
      </c>
      <c r="AF26">
        <v>216.17029672133066</v>
      </c>
      <c r="AI26">
        <v>2.9494256409477297</v>
      </c>
      <c r="AK26">
        <v>233.86634158497631</v>
      </c>
    </row>
    <row r="27" spans="1:37" x14ac:dyDescent="0.25">
      <c r="A27" s="2">
        <v>21</v>
      </c>
      <c r="B27" s="11">
        <f t="shared" ca="1" si="2"/>
        <v>0</v>
      </c>
      <c r="C27" s="26">
        <f t="shared" ca="1" si="3"/>
        <v>0.77827386460537951</v>
      </c>
      <c r="J27">
        <f t="shared" ca="1" si="4"/>
        <v>0</v>
      </c>
      <c r="K27">
        <f t="shared" ca="1" si="5"/>
        <v>1</v>
      </c>
      <c r="L27" s="65">
        <v>21</v>
      </c>
      <c r="M27" s="71">
        <f t="shared" ca="1" si="1"/>
        <v>0</v>
      </c>
      <c r="N27" s="65"/>
      <c r="O27" t="s">
        <v>66</v>
      </c>
      <c r="S27">
        <f t="shared" si="0"/>
        <v>26</v>
      </c>
      <c r="T27">
        <v>2.263509747239028</v>
      </c>
      <c r="V27">
        <v>172.54075836431861</v>
      </c>
      <c r="Y27">
        <v>2.5111726187041779</v>
      </c>
      <c r="AA27">
        <v>191.75402730715749</v>
      </c>
      <c r="AD27">
        <v>2.7750715867955735</v>
      </c>
      <c r="AF27">
        <v>209.87144921124343</v>
      </c>
      <c r="AI27">
        <v>2.7896359466502707</v>
      </c>
      <c r="AK27">
        <v>213.7611021704094</v>
      </c>
    </row>
    <row r="28" spans="1:37" x14ac:dyDescent="0.25">
      <c r="A28" s="2">
        <v>22</v>
      </c>
      <c r="B28" s="11">
        <f t="shared" ca="1" si="2"/>
        <v>0</v>
      </c>
      <c r="C28" s="26">
        <f t="shared" ca="1" si="3"/>
        <v>0.77769240709803755</v>
      </c>
      <c r="J28">
        <f t="shared" ca="1" si="4"/>
        <v>0</v>
      </c>
      <c r="K28">
        <f t="shared" ca="1" si="5"/>
        <v>0</v>
      </c>
      <c r="L28" s="65">
        <v>22</v>
      </c>
      <c r="M28" s="71">
        <f t="shared" ca="1" si="1"/>
        <v>0</v>
      </c>
      <c r="N28" s="65"/>
      <c r="S28">
        <f t="shared" si="0"/>
        <v>27</v>
      </c>
      <c r="T28">
        <v>2.2667226616119405</v>
      </c>
      <c r="V28">
        <v>171.72841450277971</v>
      </c>
      <c r="Y28">
        <v>2.6675062582047926</v>
      </c>
      <c r="AA28">
        <v>202.26978746438905</v>
      </c>
      <c r="AD28">
        <v>2.6967264535936346</v>
      </c>
      <c r="AF28">
        <v>215.80584932348137</v>
      </c>
      <c r="AI28">
        <v>3.0186604964824717</v>
      </c>
      <c r="AK28">
        <v>237.14358751183394</v>
      </c>
    </row>
    <row r="29" spans="1:37" x14ac:dyDescent="0.25">
      <c r="A29" s="2">
        <v>23</v>
      </c>
      <c r="B29" s="11">
        <f t="shared" ca="1" si="2"/>
        <v>1</v>
      </c>
      <c r="C29" s="26">
        <f t="shared" ca="1" si="3"/>
        <v>1.6176046698300195E-2</v>
      </c>
      <c r="J29">
        <f t="shared" ca="1" si="4"/>
        <v>1</v>
      </c>
      <c r="K29">
        <f t="shared" ca="1" si="5"/>
        <v>0</v>
      </c>
      <c r="L29" s="65">
        <v>23</v>
      </c>
      <c r="M29" s="71">
        <f t="shared" ca="1" si="1"/>
        <v>2.0649277676777666</v>
      </c>
      <c r="N29" s="65"/>
      <c r="S29">
        <f t="shared" si="0"/>
        <v>28</v>
      </c>
      <c r="T29">
        <v>2.3769381115418082</v>
      </c>
      <c r="V29">
        <v>182.13735420356173</v>
      </c>
      <c r="Y29">
        <v>2.5866827778014314</v>
      </c>
      <c r="AA29">
        <v>203.03540264292221</v>
      </c>
      <c r="AD29">
        <v>2.6395964622639072</v>
      </c>
      <c r="AF29">
        <v>215.63105954086384</v>
      </c>
      <c r="AI29">
        <v>2.9550280801077951</v>
      </c>
      <c r="AK29">
        <v>231.16017687616875</v>
      </c>
    </row>
    <row r="30" spans="1:37" x14ac:dyDescent="0.25">
      <c r="A30" s="2">
        <v>24</v>
      </c>
      <c r="B30" s="11">
        <f t="shared" ca="1" si="2"/>
        <v>1</v>
      </c>
      <c r="C30" s="26">
        <f t="shared" ca="1" si="3"/>
        <v>0.40449317073886648</v>
      </c>
      <c r="J30">
        <f t="shared" ca="1" si="4"/>
        <v>0</v>
      </c>
      <c r="K30">
        <f t="shared" ca="1" si="5"/>
        <v>0</v>
      </c>
      <c r="L30" s="65">
        <v>24</v>
      </c>
      <c r="M30" s="71">
        <f t="shared" ca="1" si="1"/>
        <v>0.18383396980119868</v>
      </c>
      <c r="N30" s="65"/>
      <c r="S30">
        <f t="shared" si="0"/>
        <v>29</v>
      </c>
      <c r="T30">
        <v>2.39777008245406</v>
      </c>
      <c r="V30">
        <v>182.61526446551986</v>
      </c>
      <c r="Y30">
        <v>2.5778224298030348</v>
      </c>
      <c r="AA30">
        <v>208.3517286890912</v>
      </c>
      <c r="AD30">
        <v>2.7210045680092447</v>
      </c>
      <c r="AF30">
        <v>213.75997255925498</v>
      </c>
      <c r="AI30">
        <v>2.981428319507359</v>
      </c>
      <c r="AK30">
        <v>222.29913252490374</v>
      </c>
    </row>
    <row r="31" spans="1:37" x14ac:dyDescent="0.25">
      <c r="A31" s="2">
        <v>25</v>
      </c>
      <c r="B31" s="11">
        <f t="shared" ca="1" si="2"/>
        <v>0</v>
      </c>
      <c r="C31" s="26">
        <f t="shared" ca="1" si="3"/>
        <v>0.93711522075058284</v>
      </c>
      <c r="J31">
        <f t="shared" ca="1" si="4"/>
        <v>0</v>
      </c>
      <c r="K31">
        <f t="shared" ca="1" si="5"/>
        <v>0</v>
      </c>
      <c r="L31" s="65">
        <v>25</v>
      </c>
      <c r="M31" s="71">
        <f t="shared" ca="1" si="1"/>
        <v>0</v>
      </c>
      <c r="N31" s="65"/>
      <c r="S31">
        <f t="shared" si="0"/>
        <v>30</v>
      </c>
      <c r="T31">
        <v>2.4549646859461265</v>
      </c>
      <c r="V31">
        <v>186.64407282601229</v>
      </c>
      <c r="Y31">
        <v>2.6562579763215486</v>
      </c>
      <c r="AA31">
        <v>203.89474822623728</v>
      </c>
      <c r="AD31">
        <v>2.6661845587878354</v>
      </c>
      <c r="AF31">
        <v>205.18967433178699</v>
      </c>
      <c r="AI31">
        <v>2.8622682780515909</v>
      </c>
      <c r="AK31">
        <v>211.50721785891182</v>
      </c>
    </row>
    <row r="32" spans="1:37" x14ac:dyDescent="0.25">
      <c r="A32" s="2">
        <v>26</v>
      </c>
      <c r="B32" s="11">
        <f t="shared" ca="1" si="2"/>
        <v>1</v>
      </c>
      <c r="C32" s="26">
        <f t="shared" ca="1" si="3"/>
        <v>1.2453992411113002E-2</v>
      </c>
      <c r="J32">
        <f t="shared" ca="1" si="4"/>
        <v>1</v>
      </c>
      <c r="K32">
        <f t="shared" ca="1" si="5"/>
        <v>0</v>
      </c>
      <c r="L32" s="65">
        <v>26</v>
      </c>
      <c r="M32" s="71">
        <f t="shared" ca="1" si="1"/>
        <v>2.0419699152404998</v>
      </c>
      <c r="N32" s="65"/>
      <c r="S32">
        <f t="shared" si="0"/>
        <v>31</v>
      </c>
      <c r="T32">
        <v>2.3747377565445604</v>
      </c>
      <c r="V32">
        <v>186.08282390130677</v>
      </c>
      <c r="Y32">
        <v>2.5108324599635647</v>
      </c>
      <c r="AA32">
        <v>193.56837428813455</v>
      </c>
      <c r="AD32">
        <v>2.7010380029958752</v>
      </c>
      <c r="AF32">
        <v>207.33206958045682</v>
      </c>
      <c r="AI32">
        <v>2.7939378609533985</v>
      </c>
      <c r="AK32">
        <v>231.96266746114932</v>
      </c>
    </row>
    <row r="33" spans="1:37" x14ac:dyDescent="0.25">
      <c r="A33" s="2">
        <v>27</v>
      </c>
      <c r="B33" s="11">
        <f t="shared" ca="1" si="2"/>
        <v>1</v>
      </c>
      <c r="C33" s="26">
        <f t="shared" ca="1" si="3"/>
        <v>0.32702118291702287</v>
      </c>
      <c r="J33">
        <f t="shared" ca="1" si="4"/>
        <v>1</v>
      </c>
      <c r="K33">
        <f t="shared" ca="1" si="5"/>
        <v>0</v>
      </c>
      <c r="L33" s="65">
        <v>27</v>
      </c>
      <c r="M33" s="71">
        <f t="shared" ca="1" si="1"/>
        <v>3.3756742267040118E-2</v>
      </c>
      <c r="N33" s="65"/>
      <c r="S33">
        <f t="shared" si="0"/>
        <v>32</v>
      </c>
      <c r="T33">
        <v>2.4443995796916926</v>
      </c>
      <c r="V33">
        <v>187.79534232245589</v>
      </c>
      <c r="Y33">
        <v>2.6324864456170638</v>
      </c>
      <c r="AA33">
        <v>203.99953032425518</v>
      </c>
      <c r="AD33">
        <v>2.8280719184966907</v>
      </c>
      <c r="AF33">
        <v>233.85439699517599</v>
      </c>
      <c r="AI33">
        <v>2.959149958946266</v>
      </c>
      <c r="AK33">
        <v>235.62327524691082</v>
      </c>
    </row>
    <row r="34" spans="1:37" x14ac:dyDescent="0.25">
      <c r="A34" s="2">
        <v>28</v>
      </c>
      <c r="B34" s="11">
        <f t="shared" ca="1" si="2"/>
        <v>1</v>
      </c>
      <c r="C34" s="26">
        <f t="shared" ca="1" si="3"/>
        <v>0.74940594853093079</v>
      </c>
      <c r="J34">
        <f t="shared" ca="1" si="4"/>
        <v>0</v>
      </c>
      <c r="K34">
        <f t="shared" ca="1" si="5"/>
        <v>0</v>
      </c>
      <c r="L34" s="65">
        <v>28</v>
      </c>
      <c r="M34" s="71">
        <f t="shared" ca="1" si="1"/>
        <v>1.5448074831645402</v>
      </c>
      <c r="N34" s="65"/>
      <c r="S34">
        <f t="shared" si="0"/>
        <v>33</v>
      </c>
      <c r="T34">
        <v>2.4637360403118898</v>
      </c>
      <c r="V34">
        <v>188.95257261029047</v>
      </c>
      <c r="Y34">
        <v>2.5418572563915536</v>
      </c>
      <c r="AA34">
        <v>196.63765525049521</v>
      </c>
      <c r="AD34">
        <v>2.7816370198102258</v>
      </c>
      <c r="AF34">
        <v>214.07490052511471</v>
      </c>
      <c r="AI34">
        <v>2.8807963380973147</v>
      </c>
      <c r="AK34">
        <v>232.45559757237308</v>
      </c>
    </row>
    <row r="35" spans="1:37" x14ac:dyDescent="0.25">
      <c r="A35" s="2">
        <v>29</v>
      </c>
      <c r="B35" s="11">
        <f t="shared" ca="1" si="2"/>
        <v>0</v>
      </c>
      <c r="C35" s="26">
        <f t="shared" ca="1" si="3"/>
        <v>0.97725695325958528</v>
      </c>
      <c r="J35">
        <f t="shared" ca="1" si="4"/>
        <v>0</v>
      </c>
      <c r="K35">
        <f t="shared" ca="1" si="5"/>
        <v>0</v>
      </c>
      <c r="L35" s="65">
        <v>29</v>
      </c>
      <c r="M35" s="71">
        <f t="shared" ca="1" si="1"/>
        <v>0</v>
      </c>
      <c r="N35" s="65"/>
      <c r="S35">
        <f t="shared" si="0"/>
        <v>34</v>
      </c>
      <c r="T35">
        <v>2.4390908487524063</v>
      </c>
      <c r="V35">
        <v>190.150358083226</v>
      </c>
      <c r="Y35">
        <v>2.6372765692161964</v>
      </c>
      <c r="AA35">
        <v>206.65518542248827</v>
      </c>
      <c r="AD35">
        <v>2.7845406389227834</v>
      </c>
      <c r="AF35">
        <v>214.1128234641873</v>
      </c>
      <c r="AI35">
        <v>3.0149450045676609</v>
      </c>
      <c r="AK35">
        <v>235.44545719946214</v>
      </c>
    </row>
    <row r="36" spans="1:37" x14ac:dyDescent="0.25">
      <c r="A36" s="2">
        <v>30</v>
      </c>
      <c r="B36" s="11">
        <f t="shared" ca="1" si="2"/>
        <v>1</v>
      </c>
      <c r="C36" s="26">
        <f t="shared" ca="1" si="3"/>
        <v>0.15495731161346571</v>
      </c>
      <c r="J36">
        <f t="shared" ca="1" si="4"/>
        <v>0</v>
      </c>
      <c r="K36">
        <f t="shared" ca="1" si="5"/>
        <v>0</v>
      </c>
      <c r="L36" s="65">
        <v>30</v>
      </c>
      <c r="M36" s="71">
        <f t="shared" ca="1" si="1"/>
        <v>2.2907981529288377</v>
      </c>
      <c r="N36" s="65"/>
      <c r="S36">
        <f t="shared" si="0"/>
        <v>35</v>
      </c>
      <c r="T36">
        <v>2.3455168019456751</v>
      </c>
      <c r="V36">
        <v>176.76019106656551</v>
      </c>
      <c r="Y36">
        <v>2.5438783465674271</v>
      </c>
      <c r="AA36">
        <v>190.35285895291454</v>
      </c>
      <c r="AD36">
        <v>2.7389878366082776</v>
      </c>
      <c r="AF36">
        <v>213.16517521616365</v>
      </c>
      <c r="AI36">
        <v>2.8437001746606105</v>
      </c>
      <c r="AK36">
        <v>220.36713654485172</v>
      </c>
    </row>
    <row r="37" spans="1:37" x14ac:dyDescent="0.25">
      <c r="A37" s="2">
        <v>31</v>
      </c>
      <c r="B37" s="11">
        <f t="shared" ca="1" si="2"/>
        <v>0</v>
      </c>
      <c r="C37" s="26">
        <f t="shared" ca="1" si="3"/>
        <v>0.92242044845817206</v>
      </c>
      <c r="J37">
        <f t="shared" ca="1" si="4"/>
        <v>0</v>
      </c>
      <c r="K37">
        <f t="shared" ca="1" si="5"/>
        <v>0</v>
      </c>
      <c r="L37" s="65">
        <v>31</v>
      </c>
      <c r="M37" s="71">
        <f t="shared" ca="1" si="1"/>
        <v>0</v>
      </c>
      <c r="N37" s="65"/>
      <c r="S37">
        <f t="shared" si="0"/>
        <v>36</v>
      </c>
      <c r="T37">
        <v>2.4699894360914008</v>
      </c>
      <c r="V37">
        <v>193.0529387316665</v>
      </c>
      <c r="Y37">
        <v>2.553568578285053</v>
      </c>
      <c r="AA37">
        <v>204.51977319826909</v>
      </c>
      <c r="AD37">
        <v>2.7035436301886544</v>
      </c>
      <c r="AF37">
        <v>212.56839776706974</v>
      </c>
      <c r="AI37">
        <v>2.8830889658589229</v>
      </c>
      <c r="AK37">
        <v>228.99057544048395</v>
      </c>
    </row>
    <row r="38" spans="1:37" x14ac:dyDescent="0.25">
      <c r="A38" s="2">
        <v>32</v>
      </c>
      <c r="B38" s="11">
        <f t="shared" ca="1" si="2"/>
        <v>1</v>
      </c>
      <c r="C38" s="26">
        <f t="shared" ca="1" si="3"/>
        <v>0.12962292899089101</v>
      </c>
      <c r="J38">
        <f t="shared" ca="1" si="4"/>
        <v>1</v>
      </c>
      <c r="K38">
        <f t="shared" ca="1" si="5"/>
        <v>0</v>
      </c>
      <c r="L38" s="65">
        <v>32</v>
      </c>
      <c r="M38" s="71">
        <f t="shared" ca="1" si="1"/>
        <v>8.6606049066056023</v>
      </c>
      <c r="N38" s="65"/>
      <c r="S38">
        <f t="shared" si="0"/>
        <v>37</v>
      </c>
      <c r="T38">
        <v>2.3844915445529424</v>
      </c>
      <c r="V38">
        <v>185.09940435054307</v>
      </c>
      <c r="Y38">
        <v>2.5594178358386777</v>
      </c>
      <c r="AA38">
        <v>197.1434422110375</v>
      </c>
      <c r="AD38">
        <v>2.7014890299764471</v>
      </c>
      <c r="AF38">
        <v>217.0870040931317</v>
      </c>
      <c r="AI38">
        <v>2.9050659350503745</v>
      </c>
      <c r="AK38">
        <v>230.73610562744059</v>
      </c>
    </row>
    <row r="39" spans="1:37" x14ac:dyDescent="0.25">
      <c r="A39" s="2">
        <v>33</v>
      </c>
      <c r="B39" s="11">
        <f t="shared" ca="1" si="2"/>
        <v>1</v>
      </c>
      <c r="C39" s="26">
        <f t="shared" ca="1" si="3"/>
        <v>0.53589465002758452</v>
      </c>
      <c r="J39">
        <f t="shared" ca="1" si="4"/>
        <v>0</v>
      </c>
      <c r="K39">
        <f t="shared" ca="1" si="5"/>
        <v>0</v>
      </c>
      <c r="L39" s="65">
        <v>33</v>
      </c>
      <c r="M39" s="71">
        <f t="shared" ca="1" si="1"/>
        <v>1.9508147794023147</v>
      </c>
      <c r="N39" s="65"/>
      <c r="S39">
        <f t="shared" si="0"/>
        <v>38</v>
      </c>
      <c r="T39">
        <v>2.442799118670945</v>
      </c>
      <c r="V39">
        <v>186.37023395369226</v>
      </c>
      <c r="Y39">
        <v>2.5833916823514471</v>
      </c>
      <c r="AA39">
        <v>204.15416996809338</v>
      </c>
      <c r="AD39">
        <v>2.7410809877201028</v>
      </c>
      <c r="AF39">
        <v>210.77106270993428</v>
      </c>
      <c r="AI39">
        <v>2.8440418269048173</v>
      </c>
      <c r="AK39">
        <v>228.73180564790673</v>
      </c>
    </row>
    <row r="40" spans="1:37" x14ac:dyDescent="0.25">
      <c r="A40" s="2">
        <v>34</v>
      </c>
      <c r="B40" s="11">
        <f t="shared" ca="1" si="2"/>
        <v>0</v>
      </c>
      <c r="C40" s="26">
        <f t="shared" ca="1" si="3"/>
        <v>0.78087819602818154</v>
      </c>
      <c r="J40">
        <f t="shared" ca="1" si="4"/>
        <v>0</v>
      </c>
      <c r="K40">
        <f t="shared" ca="1" si="5"/>
        <v>1</v>
      </c>
      <c r="L40" s="65">
        <v>34</v>
      </c>
      <c r="M40" s="71">
        <f t="shared" ca="1" si="1"/>
        <v>0</v>
      </c>
      <c r="N40" s="65"/>
      <c r="S40">
        <f t="shared" si="0"/>
        <v>39</v>
      </c>
      <c r="T40">
        <v>2.4565755800034568</v>
      </c>
      <c r="V40">
        <v>201.82572258148588</v>
      </c>
      <c r="Y40">
        <v>2.593606125953646</v>
      </c>
      <c r="AA40">
        <v>197.18459227771839</v>
      </c>
      <c r="AD40">
        <v>2.8473407423059744</v>
      </c>
      <c r="AF40">
        <v>220.26980699186979</v>
      </c>
      <c r="AI40">
        <v>2.8070894287053645</v>
      </c>
      <c r="AK40">
        <v>219.40047822702999</v>
      </c>
    </row>
    <row r="41" spans="1:37" x14ac:dyDescent="0.25">
      <c r="A41" s="2">
        <v>35</v>
      </c>
      <c r="B41" s="11">
        <f t="shared" ca="1" si="2"/>
        <v>0</v>
      </c>
      <c r="C41" s="26">
        <f t="shared" ca="1" si="3"/>
        <v>0.49056909824014694</v>
      </c>
      <c r="J41">
        <f t="shared" ca="1" si="4"/>
        <v>0</v>
      </c>
      <c r="K41">
        <f t="shared" ca="1" si="5"/>
        <v>1</v>
      </c>
      <c r="L41" s="65">
        <v>35</v>
      </c>
      <c r="M41" s="71">
        <f t="shared" ca="1" si="1"/>
        <v>0</v>
      </c>
      <c r="N41" s="65"/>
      <c r="S41">
        <f t="shared" si="0"/>
        <v>40</v>
      </c>
      <c r="T41">
        <v>2.3378451628166257</v>
      </c>
      <c r="V41">
        <v>182.41306820888516</v>
      </c>
      <c r="Y41">
        <v>2.5008712241558499</v>
      </c>
      <c r="AA41">
        <v>192.63379146338477</v>
      </c>
      <c r="AD41">
        <v>2.7573303621085619</v>
      </c>
      <c r="AF41">
        <v>219.92077765345252</v>
      </c>
      <c r="AI41">
        <v>2.7520750148837561</v>
      </c>
      <c r="AK41">
        <v>216.38421881425407</v>
      </c>
    </row>
    <row r="42" spans="1:37" x14ac:dyDescent="0.25">
      <c r="A42" s="2">
        <v>36</v>
      </c>
      <c r="B42" s="11">
        <f t="shared" ca="1" si="2"/>
        <v>0</v>
      </c>
      <c r="C42" s="26">
        <f t="shared" ca="1" si="3"/>
        <v>0.85560703206349042</v>
      </c>
      <c r="J42">
        <f t="shared" ca="1" si="4"/>
        <v>0</v>
      </c>
      <c r="K42">
        <f t="shared" ca="1" si="5"/>
        <v>1</v>
      </c>
      <c r="L42" s="65">
        <v>36</v>
      </c>
      <c r="M42" s="71">
        <f t="shared" ca="1" si="1"/>
        <v>0</v>
      </c>
      <c r="N42" s="65"/>
      <c r="S42">
        <f t="shared" si="0"/>
        <v>41</v>
      </c>
      <c r="T42">
        <v>2.4007185250386511</v>
      </c>
      <c r="V42">
        <v>187.63876458502924</v>
      </c>
      <c r="Y42">
        <v>2.5727338955175707</v>
      </c>
      <c r="AA42">
        <v>196.28344154187974</v>
      </c>
      <c r="AD42">
        <v>2.7838880733383076</v>
      </c>
      <c r="AF42">
        <v>222.03898321438328</v>
      </c>
      <c r="AI42">
        <v>3.1204072318349541</v>
      </c>
      <c r="AK42">
        <v>238.2753973526097</v>
      </c>
    </row>
    <row r="43" spans="1:37" x14ac:dyDescent="0.25">
      <c r="A43" s="2">
        <v>37</v>
      </c>
      <c r="B43" s="11">
        <f t="shared" ca="1" si="2"/>
        <v>0</v>
      </c>
      <c r="C43" s="26">
        <f t="shared" ca="1" si="3"/>
        <v>0.45531921713699397</v>
      </c>
      <c r="J43">
        <f t="shared" ca="1" si="4"/>
        <v>0</v>
      </c>
      <c r="K43">
        <f t="shared" ca="1" si="5"/>
        <v>1</v>
      </c>
      <c r="L43" s="65">
        <v>37</v>
      </c>
      <c r="M43" s="71">
        <f t="shared" ca="1" si="1"/>
        <v>0</v>
      </c>
      <c r="N43" s="65"/>
      <c r="S43">
        <f t="shared" si="0"/>
        <v>42</v>
      </c>
      <c r="T43">
        <v>2.392931537182565</v>
      </c>
      <c r="V43">
        <v>179.85506890199494</v>
      </c>
      <c r="Y43">
        <v>2.56309053557727</v>
      </c>
      <c r="AA43">
        <v>199.98809849687092</v>
      </c>
      <c r="AD43">
        <v>2.679526808684225</v>
      </c>
      <c r="AF43">
        <v>208.0019186319868</v>
      </c>
      <c r="AI43">
        <v>2.7981042529228404</v>
      </c>
      <c r="AK43">
        <v>222.61351519143719</v>
      </c>
    </row>
    <row r="44" spans="1:37" x14ac:dyDescent="0.25">
      <c r="A44" s="2">
        <v>38</v>
      </c>
      <c r="B44" s="11">
        <f t="shared" ca="1" si="2"/>
        <v>0</v>
      </c>
      <c r="C44" s="26">
        <f t="shared" ca="1" si="3"/>
        <v>0.76472185082857924</v>
      </c>
      <c r="J44">
        <f t="shared" ca="1" si="4"/>
        <v>0</v>
      </c>
      <c r="K44">
        <f t="shared" ca="1" si="5"/>
        <v>1</v>
      </c>
      <c r="L44" s="65">
        <v>38</v>
      </c>
      <c r="M44" s="71">
        <f t="shared" ca="1" si="1"/>
        <v>0</v>
      </c>
      <c r="N44" s="65"/>
      <c r="S44">
        <f t="shared" si="0"/>
        <v>43</v>
      </c>
      <c r="T44">
        <v>2.3601262049642919</v>
      </c>
      <c r="V44">
        <v>186.82499387871775</v>
      </c>
      <c r="Y44">
        <v>2.5944418074396673</v>
      </c>
      <c r="AA44">
        <v>205.71890524626437</v>
      </c>
      <c r="AD44">
        <v>2.7372215942732447</v>
      </c>
      <c r="AF44">
        <v>212.84532844129055</v>
      </c>
      <c r="AI44">
        <v>2.8750815161264001</v>
      </c>
      <c r="AK44">
        <v>212.26247901974975</v>
      </c>
    </row>
    <row r="45" spans="1:37" x14ac:dyDescent="0.25">
      <c r="A45" s="2">
        <v>39</v>
      </c>
      <c r="B45" s="11">
        <f t="shared" ca="1" si="2"/>
        <v>0</v>
      </c>
      <c r="C45" s="26">
        <f t="shared" ca="1" si="3"/>
        <v>0.63520112063473899</v>
      </c>
      <c r="J45">
        <f t="shared" ca="1" si="4"/>
        <v>0</v>
      </c>
      <c r="K45">
        <f t="shared" ca="1" si="5"/>
        <v>1</v>
      </c>
      <c r="L45" s="65">
        <v>39</v>
      </c>
      <c r="M45" s="71">
        <f t="shared" ca="1" si="1"/>
        <v>0</v>
      </c>
      <c r="N45" s="65"/>
      <c r="S45">
        <f t="shared" si="0"/>
        <v>44</v>
      </c>
      <c r="T45">
        <v>2.4399532213355624</v>
      </c>
      <c r="V45">
        <v>192.81885440202939</v>
      </c>
      <c r="Y45">
        <v>2.6601424473697666</v>
      </c>
      <c r="AA45">
        <v>207.91518757352989</v>
      </c>
      <c r="AD45">
        <v>2.6414667089273549</v>
      </c>
      <c r="AF45">
        <v>211.55968820050825</v>
      </c>
      <c r="AI45">
        <v>2.9200179355764488</v>
      </c>
      <c r="AK45">
        <v>232.11824151174008</v>
      </c>
    </row>
    <row r="46" spans="1:37" x14ac:dyDescent="0.25">
      <c r="A46" s="2">
        <v>40</v>
      </c>
      <c r="B46" s="11">
        <f t="shared" ca="1" si="2"/>
        <v>0</v>
      </c>
      <c r="C46" s="26">
        <f t="shared" ca="1" si="3"/>
        <v>0.96763602358459355</v>
      </c>
      <c r="J46">
        <f t="shared" ca="1" si="4"/>
        <v>0</v>
      </c>
      <c r="K46">
        <f t="shared" ca="1" si="5"/>
        <v>1</v>
      </c>
      <c r="L46" s="65">
        <v>40</v>
      </c>
      <c r="M46" s="71">
        <f t="shared" ca="1" si="1"/>
        <v>0</v>
      </c>
      <c r="N46" s="65"/>
      <c r="S46">
        <f t="shared" si="0"/>
        <v>45</v>
      </c>
      <c r="T46">
        <v>2.4012662508437552</v>
      </c>
      <c r="V46">
        <v>194.56163223442616</v>
      </c>
      <c r="Y46">
        <v>2.5236539683467822</v>
      </c>
      <c r="AA46">
        <v>190.35291951969012</v>
      </c>
      <c r="AD46">
        <v>2.8938118966107269</v>
      </c>
      <c r="AF46">
        <v>221.93660098654115</v>
      </c>
      <c r="AI46">
        <v>3.0174066201919381</v>
      </c>
      <c r="AK46">
        <v>241.87042920045238</v>
      </c>
    </row>
    <row r="47" spans="1:37" x14ac:dyDescent="0.25">
      <c r="A47" s="2">
        <v>41</v>
      </c>
      <c r="B47" s="11">
        <f t="shared" ca="1" si="2"/>
        <v>0</v>
      </c>
      <c r="C47" s="26">
        <f t="shared" ca="1" si="3"/>
        <v>0.45485043024599414</v>
      </c>
      <c r="J47">
        <f t="shared" ca="1" si="4"/>
        <v>0</v>
      </c>
      <c r="K47">
        <f t="shared" ca="1" si="5"/>
        <v>1</v>
      </c>
      <c r="L47" s="65">
        <v>41</v>
      </c>
      <c r="M47" s="71">
        <f t="shared" ca="1" si="1"/>
        <v>0</v>
      </c>
      <c r="N47" s="65"/>
      <c r="S47">
        <f t="shared" si="0"/>
        <v>46</v>
      </c>
      <c r="T47">
        <v>2.3990368521784218</v>
      </c>
      <c r="V47">
        <v>180.79350871203494</v>
      </c>
      <c r="Y47">
        <v>2.3737010146523856</v>
      </c>
      <c r="AA47">
        <v>191.06285314991723</v>
      </c>
      <c r="AD47">
        <v>2.6059743513818288</v>
      </c>
      <c r="AF47">
        <v>206.45970414479524</v>
      </c>
      <c r="AI47">
        <v>2.7586348905964959</v>
      </c>
      <c r="AK47">
        <v>222.78202832513708</v>
      </c>
    </row>
    <row r="48" spans="1:37" x14ac:dyDescent="0.25">
      <c r="A48" s="2">
        <v>42</v>
      </c>
      <c r="B48" s="11">
        <f t="shared" ca="1" si="2"/>
        <v>0</v>
      </c>
      <c r="C48" s="26">
        <f t="shared" ca="1" si="3"/>
        <v>0.53533454726998431</v>
      </c>
      <c r="J48">
        <f t="shared" ca="1" si="4"/>
        <v>0</v>
      </c>
      <c r="K48">
        <f t="shared" ca="1" si="5"/>
        <v>1</v>
      </c>
      <c r="L48" s="65">
        <v>42</v>
      </c>
      <c r="M48" s="71">
        <f t="shared" ca="1" si="1"/>
        <v>0</v>
      </c>
      <c r="N48" s="65"/>
      <c r="S48">
        <f t="shared" si="0"/>
        <v>47</v>
      </c>
      <c r="T48">
        <v>2.2074485820066561</v>
      </c>
      <c r="V48">
        <v>173.70959312658127</v>
      </c>
      <c r="Y48">
        <v>2.7425801100636198</v>
      </c>
      <c r="AA48">
        <v>208.51066604919799</v>
      </c>
      <c r="AD48">
        <v>2.8151791543578213</v>
      </c>
      <c r="AF48">
        <v>222.28374107532952</v>
      </c>
      <c r="AI48">
        <v>2.7076010895602849</v>
      </c>
      <c r="AK48">
        <v>202.78428718582438</v>
      </c>
    </row>
    <row r="49" spans="1:37" x14ac:dyDescent="0.25">
      <c r="A49" s="2">
        <v>43</v>
      </c>
      <c r="B49" s="11">
        <f t="shared" ca="1" si="2"/>
        <v>0</v>
      </c>
      <c r="C49" s="26">
        <f t="shared" ca="1" si="3"/>
        <v>0.54467034798507263</v>
      </c>
      <c r="J49">
        <f t="shared" ca="1" si="4"/>
        <v>0</v>
      </c>
      <c r="K49">
        <f t="shared" ca="1" si="5"/>
        <v>0</v>
      </c>
      <c r="L49" s="65">
        <v>43</v>
      </c>
      <c r="M49" s="71">
        <f t="shared" ca="1" si="1"/>
        <v>0</v>
      </c>
      <c r="N49" s="65"/>
      <c r="S49">
        <f t="shared" si="0"/>
        <v>48</v>
      </c>
      <c r="T49">
        <v>2.3367578100884097</v>
      </c>
      <c r="V49">
        <v>185.28658347185711</v>
      </c>
      <c r="Y49">
        <v>2.6232028575634359</v>
      </c>
      <c r="AA49">
        <v>206.77590508348976</v>
      </c>
      <c r="AD49">
        <v>2.7421105054055026</v>
      </c>
      <c r="AF49">
        <v>216.51431335727497</v>
      </c>
      <c r="AI49">
        <v>2.8599900803946099</v>
      </c>
      <c r="AK49">
        <v>222.39176005114348</v>
      </c>
    </row>
    <row r="50" spans="1:37" x14ac:dyDescent="0.25">
      <c r="A50" s="2">
        <v>44</v>
      </c>
      <c r="B50" s="11">
        <f t="shared" ca="1" si="2"/>
        <v>1</v>
      </c>
      <c r="C50" s="26">
        <f t="shared" ca="1" si="3"/>
        <v>0.35129599388443677</v>
      </c>
      <c r="J50">
        <f t="shared" ca="1" si="4"/>
        <v>1</v>
      </c>
      <c r="K50">
        <f t="shared" ca="1" si="5"/>
        <v>0</v>
      </c>
      <c r="L50" s="65">
        <v>44</v>
      </c>
      <c r="M50" s="71">
        <f t="shared" ca="1" si="1"/>
        <v>2.6808576008675762</v>
      </c>
      <c r="N50" s="65"/>
      <c r="S50">
        <f t="shared" si="0"/>
        <v>49</v>
      </c>
      <c r="T50">
        <v>2.5608873107574661</v>
      </c>
      <c r="V50">
        <v>192.64942592720342</v>
      </c>
      <c r="Y50">
        <v>2.6294623861191098</v>
      </c>
      <c r="AA50">
        <v>199.73543654933616</v>
      </c>
      <c r="AD50">
        <v>2.8106649455830839</v>
      </c>
      <c r="AF50">
        <v>213.68696494742207</v>
      </c>
      <c r="AI50">
        <v>2.9365138903343939</v>
      </c>
      <c r="AK50">
        <v>227.95089091829823</v>
      </c>
    </row>
    <row r="51" spans="1:37" x14ac:dyDescent="0.25">
      <c r="A51" s="2">
        <v>45</v>
      </c>
      <c r="B51" s="11">
        <f t="shared" ca="1" si="2"/>
        <v>1</v>
      </c>
      <c r="C51" s="26">
        <f t="shared" ca="1" si="3"/>
        <v>0.14414241890223789</v>
      </c>
      <c r="J51">
        <f t="shared" ca="1" si="4"/>
        <v>1</v>
      </c>
      <c r="K51">
        <f t="shared" ca="1" si="5"/>
        <v>0</v>
      </c>
      <c r="L51" s="65">
        <v>45</v>
      </c>
      <c r="M51" s="71">
        <f t="shared" ca="1" si="1"/>
        <v>0.68081140157064657</v>
      </c>
      <c r="N51" s="65"/>
      <c r="S51">
        <f t="shared" si="0"/>
        <v>50</v>
      </c>
      <c r="T51">
        <v>2.349224099653656</v>
      </c>
      <c r="V51">
        <v>184.2401248902637</v>
      </c>
      <c r="Y51">
        <v>2.6792591987272893</v>
      </c>
      <c r="AA51">
        <v>204.41065328411452</v>
      </c>
      <c r="AD51">
        <v>2.643042504499185</v>
      </c>
      <c r="AF51">
        <v>209.22033689792531</v>
      </c>
      <c r="AI51">
        <v>2.9500153770699087</v>
      </c>
      <c r="AK51">
        <v>223.29855886679908</v>
      </c>
    </row>
    <row r="52" spans="1:37" x14ac:dyDescent="0.25">
      <c r="A52" s="2">
        <v>46</v>
      </c>
      <c r="B52" s="11">
        <f t="shared" ca="1" si="2"/>
        <v>1</v>
      </c>
      <c r="C52" s="26">
        <f t="shared" ca="1" si="3"/>
        <v>0.37464844500347583</v>
      </c>
      <c r="J52">
        <f t="shared" ca="1" si="4"/>
        <v>0</v>
      </c>
      <c r="K52">
        <f t="shared" ca="1" si="5"/>
        <v>0</v>
      </c>
      <c r="L52" s="65">
        <v>46</v>
      </c>
      <c r="M52" s="71">
        <f t="shared" ca="1" si="1"/>
        <v>0.43545151953834821</v>
      </c>
      <c r="N52" s="65"/>
      <c r="S52" s="95" t="s">
        <v>142</v>
      </c>
      <c r="T52" s="95">
        <f>AVERAGE(T2:T51)</f>
        <v>2.3909444613990383</v>
      </c>
      <c r="U52" s="95"/>
      <c r="V52" s="95">
        <f>AVERAGE(V2:V51)</f>
        <v>185.87669530603389</v>
      </c>
      <c r="X52" s="95" t="s">
        <v>142</v>
      </c>
      <c r="Y52" s="95">
        <f>AVERAGE(Y2:Y51)</f>
        <v>2.5850242105860515</v>
      </c>
      <c r="Z52" s="95"/>
      <c r="AA52" s="95">
        <f>AVERAGE(AA2:AA51)</f>
        <v>201.38888187344114</v>
      </c>
      <c r="AC52" s="95" t="s">
        <v>142</v>
      </c>
      <c r="AD52" s="95">
        <f>AVERAGE(AD2:AD51)</f>
        <v>2.7360114426205637</v>
      </c>
      <c r="AE52" s="95"/>
      <c r="AF52" s="95">
        <f>AVERAGE(AF2:AF51)</f>
        <v>214.8585024428904</v>
      </c>
      <c r="AH52" s="95" t="s">
        <v>142</v>
      </c>
      <c r="AI52" s="95">
        <f>AVERAGE(AI2:AI51)</f>
        <v>2.90143354722492</v>
      </c>
      <c r="AJ52" s="95"/>
      <c r="AK52" s="95">
        <f>AVERAGE(AK2:AK51)</f>
        <v>227.22292576671774</v>
      </c>
    </row>
    <row r="53" spans="1:37" x14ac:dyDescent="0.25">
      <c r="A53" s="2">
        <v>47</v>
      </c>
      <c r="B53" s="11">
        <f t="shared" ca="1" si="2"/>
        <v>0</v>
      </c>
      <c r="C53" s="26">
        <f t="shared" ca="1" si="3"/>
        <v>0.84578543912325421</v>
      </c>
      <c r="J53">
        <f t="shared" ca="1" si="4"/>
        <v>0</v>
      </c>
      <c r="K53">
        <f t="shared" ca="1" si="5"/>
        <v>1</v>
      </c>
      <c r="L53" s="65">
        <v>47</v>
      </c>
      <c r="M53" s="71">
        <f t="shared" ca="1" si="1"/>
        <v>0</v>
      </c>
      <c r="N53" s="65"/>
    </row>
    <row r="54" spans="1:37" ht="15.75" x14ac:dyDescent="0.25">
      <c r="A54" s="2">
        <v>48</v>
      </c>
      <c r="B54" s="11">
        <f t="shared" ca="1" si="2"/>
        <v>0</v>
      </c>
      <c r="C54" s="26">
        <f t="shared" ca="1" si="3"/>
        <v>0.90121044854187615</v>
      </c>
      <c r="J54">
        <f t="shared" ca="1" si="4"/>
        <v>0</v>
      </c>
      <c r="K54">
        <f t="shared" ca="1" si="5"/>
        <v>1</v>
      </c>
      <c r="L54" s="65">
        <v>48</v>
      </c>
      <c r="M54" s="71">
        <f t="shared" ca="1" si="1"/>
        <v>0</v>
      </c>
      <c r="N54" s="65"/>
      <c r="Y54" s="40"/>
      <c r="Z54" s="41"/>
      <c r="AA54" s="41"/>
      <c r="AD54" s="40"/>
      <c r="AE54" s="41"/>
      <c r="AF54" s="41"/>
      <c r="AI54" s="40"/>
      <c r="AJ54" s="41"/>
      <c r="AK54" s="41"/>
    </row>
    <row r="55" spans="1:37" x14ac:dyDescent="0.25">
      <c r="A55" s="2">
        <v>49</v>
      </c>
      <c r="B55" s="11">
        <f t="shared" ca="1" si="2"/>
        <v>0</v>
      </c>
      <c r="C55" s="26">
        <f t="shared" ca="1" si="3"/>
        <v>0.99026741942040819</v>
      </c>
      <c r="J55">
        <f t="shared" ca="1" si="4"/>
        <v>0</v>
      </c>
      <c r="K55">
        <f t="shared" ca="1" si="5"/>
        <v>0</v>
      </c>
      <c r="L55" s="65">
        <v>49</v>
      </c>
      <c r="M55" s="71">
        <f t="shared" ca="1" si="1"/>
        <v>0</v>
      </c>
      <c r="N55" s="65"/>
      <c r="T55" t="s">
        <v>152</v>
      </c>
      <c r="V55" t="s">
        <v>153</v>
      </c>
    </row>
    <row r="56" spans="1:37" x14ac:dyDescent="0.25">
      <c r="A56" s="2">
        <v>50</v>
      </c>
      <c r="B56" s="11">
        <f t="shared" ca="1" si="2"/>
        <v>1</v>
      </c>
      <c r="C56" s="26">
        <f t="shared" ca="1" si="3"/>
        <v>0.12448540571563738</v>
      </c>
      <c r="J56">
        <f t="shared" ca="1" si="4"/>
        <v>1</v>
      </c>
      <c r="K56">
        <f t="shared" ca="1" si="5"/>
        <v>0</v>
      </c>
      <c r="L56" s="65">
        <v>50</v>
      </c>
      <c r="M56" s="71">
        <f t="shared" ca="1" si="1"/>
        <v>1.8764045024453393</v>
      </c>
      <c r="N56" s="65"/>
      <c r="R56" t="s">
        <v>151</v>
      </c>
      <c r="S56" s="95" t="s">
        <v>142</v>
      </c>
      <c r="T56" s="95">
        <f>AVERAGE(T6:T55)</f>
        <v>2.3942086711736383</v>
      </c>
      <c r="U56" s="95"/>
      <c r="V56" s="95">
        <f>AVERAGE(V6:V55)</f>
        <v>185.9243536651606</v>
      </c>
    </row>
    <row r="57" spans="1:37" x14ac:dyDescent="0.25">
      <c r="A57" s="2">
        <v>51</v>
      </c>
      <c r="B57" s="11">
        <f t="shared" ca="1" si="2"/>
        <v>1</v>
      </c>
      <c r="C57" s="26">
        <f t="shared" ca="1" si="3"/>
        <v>0.2146713677536376</v>
      </c>
      <c r="J57">
        <f t="shared" ca="1" si="4"/>
        <v>1</v>
      </c>
      <c r="K57">
        <f t="shared" ca="1" si="5"/>
        <v>0</v>
      </c>
      <c r="L57" s="65">
        <v>51</v>
      </c>
      <c r="M57" s="71">
        <f t="shared" ca="1" si="1"/>
        <v>0.13448788109721332</v>
      </c>
      <c r="N57" s="65"/>
    </row>
    <row r="58" spans="1:37" x14ac:dyDescent="0.25">
      <c r="A58" s="2">
        <v>52</v>
      </c>
      <c r="B58" s="11">
        <f t="shared" ca="1" si="2"/>
        <v>1</v>
      </c>
      <c r="C58" s="26">
        <f t="shared" ca="1" si="3"/>
        <v>5.0969857270055874E-2</v>
      </c>
      <c r="J58">
        <f t="shared" ca="1" si="4"/>
        <v>1</v>
      </c>
      <c r="K58">
        <f t="shared" ca="1" si="5"/>
        <v>0</v>
      </c>
      <c r="L58" s="65">
        <v>52</v>
      </c>
      <c r="M58" s="71">
        <f t="shared" ca="1" si="1"/>
        <v>2.0451924205628083</v>
      </c>
      <c r="N58" s="65"/>
      <c r="R58">
        <v>25</v>
      </c>
      <c r="S58" s="95" t="s">
        <v>142</v>
      </c>
      <c r="T58" s="95">
        <f>AVERAGE(Y6:Y55)</f>
        <v>2.5865764438089345</v>
      </c>
      <c r="U58" s="95"/>
      <c r="V58" s="95">
        <f>AVERAGE(AA6:AA55)</f>
        <v>201.3557028963254</v>
      </c>
    </row>
    <row r="59" spans="1:37" x14ac:dyDescent="0.25">
      <c r="A59" s="2">
        <v>53</v>
      </c>
      <c r="B59" s="11">
        <f t="shared" ca="1" si="2"/>
        <v>1</v>
      </c>
      <c r="C59" s="26">
        <f t="shared" ca="1" si="3"/>
        <v>0.54219916556845282</v>
      </c>
      <c r="J59">
        <f t="shared" ca="1" si="4"/>
        <v>1</v>
      </c>
      <c r="K59">
        <f t="shared" ca="1" si="5"/>
        <v>0</v>
      </c>
      <c r="L59" s="65">
        <v>53</v>
      </c>
      <c r="M59" s="71">
        <f t="shared" ca="1" si="1"/>
        <v>0.22265603789381658</v>
      </c>
      <c r="N59" s="65"/>
    </row>
    <row r="60" spans="1:37" x14ac:dyDescent="0.25">
      <c r="A60" s="2">
        <v>54</v>
      </c>
      <c r="B60" s="11">
        <f t="shared" ca="1" si="2"/>
        <v>1</v>
      </c>
      <c r="C60" s="26">
        <f t="shared" ca="1" si="3"/>
        <v>0.71123788989121017</v>
      </c>
      <c r="J60">
        <f t="shared" ca="1" si="4"/>
        <v>0</v>
      </c>
      <c r="K60">
        <f t="shared" ca="1" si="5"/>
        <v>0</v>
      </c>
      <c r="L60" s="65">
        <v>54</v>
      </c>
      <c r="M60" s="71">
        <f t="shared" ca="1" si="1"/>
        <v>4.5703429855748041</v>
      </c>
      <c r="N60" s="65"/>
      <c r="R60">
        <v>50</v>
      </c>
      <c r="S60" s="95" t="s">
        <v>142</v>
      </c>
      <c r="T60" s="95">
        <f>AVERAGE(AD6:AD55)</f>
        <v>2.738302864182165</v>
      </c>
      <c r="U60" s="95"/>
      <c r="V60" s="95">
        <f>AVERAGE(AF6:AF55)</f>
        <v>214.7869581243009</v>
      </c>
    </row>
    <row r="61" spans="1:37" x14ac:dyDescent="0.25">
      <c r="A61" s="2">
        <v>55</v>
      </c>
      <c r="B61" s="11">
        <f t="shared" ca="1" si="2"/>
        <v>0</v>
      </c>
      <c r="C61" s="26">
        <f t="shared" ca="1" si="3"/>
        <v>0.84658898932713467</v>
      </c>
      <c r="J61">
        <f t="shared" ca="1" si="4"/>
        <v>0</v>
      </c>
      <c r="K61">
        <f t="shared" ca="1" si="5"/>
        <v>0</v>
      </c>
      <c r="L61" s="65">
        <v>55</v>
      </c>
      <c r="M61" s="71">
        <f t="shared" ca="1" si="1"/>
        <v>0</v>
      </c>
      <c r="N61" s="65"/>
    </row>
    <row r="62" spans="1:37" x14ac:dyDescent="0.25">
      <c r="A62" s="2">
        <v>56</v>
      </c>
      <c r="B62" s="11">
        <f t="shared" ca="1" si="2"/>
        <v>1</v>
      </c>
      <c r="C62" s="26">
        <f t="shared" ca="1" si="3"/>
        <v>3.72804820251742E-2</v>
      </c>
      <c r="J62">
        <f t="shared" ca="1" si="4"/>
        <v>1</v>
      </c>
      <c r="K62">
        <f t="shared" ca="1" si="5"/>
        <v>0</v>
      </c>
      <c r="L62" s="65">
        <v>56</v>
      </c>
      <c r="M62" s="71">
        <f t="shared" ca="1" si="1"/>
        <v>1.7207711949745064</v>
      </c>
      <c r="N62" s="65"/>
      <c r="R62">
        <v>75</v>
      </c>
      <c r="S62" s="95" t="s">
        <v>142</v>
      </c>
      <c r="T62" s="95">
        <f>AVERAGE(AI6:AI55)</f>
        <v>2.9053456191799514</v>
      </c>
      <c r="U62" s="95"/>
      <c r="V62" s="95">
        <f>AVERAGE(AK6:AK55)</f>
        <v>227.5191917674064</v>
      </c>
    </row>
    <row r="63" spans="1:37" x14ac:dyDescent="0.25">
      <c r="A63" s="2">
        <v>57</v>
      </c>
      <c r="B63" s="11">
        <f t="shared" ca="1" si="2"/>
        <v>1</v>
      </c>
      <c r="C63" s="26">
        <f t="shared" ca="1" si="3"/>
        <v>0.12870461440506198</v>
      </c>
      <c r="J63">
        <f t="shared" ca="1" si="4"/>
        <v>1</v>
      </c>
      <c r="K63">
        <f t="shared" ca="1" si="5"/>
        <v>0</v>
      </c>
      <c r="L63" s="65">
        <v>57</v>
      </c>
      <c r="M63" s="71">
        <f t="shared" ca="1" si="1"/>
        <v>2.62442904044301</v>
      </c>
      <c r="N63" s="65"/>
    </row>
    <row r="64" spans="1:37" x14ac:dyDescent="0.25">
      <c r="A64" s="2">
        <v>58</v>
      </c>
      <c r="B64" s="11">
        <f t="shared" ca="1" si="2"/>
        <v>1</v>
      </c>
      <c r="C64" s="26">
        <f t="shared" ca="1" si="3"/>
        <v>0.37210187295956298</v>
      </c>
      <c r="J64">
        <f t="shared" ca="1" si="4"/>
        <v>0</v>
      </c>
      <c r="K64">
        <f t="shared" ca="1" si="5"/>
        <v>0</v>
      </c>
      <c r="L64" s="65">
        <v>58</v>
      </c>
      <c r="M64" s="71">
        <f t="shared" ca="1" si="1"/>
        <v>0.36472482563556075</v>
      </c>
      <c r="N64" s="65"/>
    </row>
    <row r="65" spans="1:14" x14ac:dyDescent="0.25">
      <c r="A65" s="2">
        <v>59</v>
      </c>
      <c r="B65" s="11">
        <f t="shared" ca="1" si="2"/>
        <v>0</v>
      </c>
      <c r="C65" s="26">
        <f t="shared" ca="1" si="3"/>
        <v>0.83130796807137786</v>
      </c>
      <c r="J65">
        <f t="shared" ca="1" si="4"/>
        <v>0</v>
      </c>
      <c r="K65">
        <f t="shared" ca="1" si="5"/>
        <v>1</v>
      </c>
      <c r="L65" s="65">
        <v>59</v>
      </c>
      <c r="M65" s="71">
        <f t="shared" ca="1" si="1"/>
        <v>0</v>
      </c>
      <c r="N65" s="65"/>
    </row>
    <row r="66" spans="1:14" x14ac:dyDescent="0.25">
      <c r="A66" s="2">
        <v>60</v>
      </c>
      <c r="B66" s="11">
        <f t="shared" ca="1" si="2"/>
        <v>0</v>
      </c>
      <c r="C66" s="26">
        <f t="shared" ca="1" si="3"/>
        <v>0.45969472377496479</v>
      </c>
      <c r="J66">
        <f t="shared" ca="1" si="4"/>
        <v>0</v>
      </c>
      <c r="K66">
        <f t="shared" ca="1" si="5"/>
        <v>1</v>
      </c>
      <c r="L66" s="65">
        <v>60</v>
      </c>
      <c r="M66" s="71">
        <f t="shared" ca="1" si="1"/>
        <v>0</v>
      </c>
      <c r="N66" s="65"/>
    </row>
    <row r="67" spans="1:14" x14ac:dyDescent="0.25">
      <c r="A67" s="2">
        <v>61</v>
      </c>
      <c r="B67" s="11">
        <f t="shared" ca="1" si="2"/>
        <v>0</v>
      </c>
      <c r="C67" s="26">
        <f t="shared" ca="1" si="3"/>
        <v>0.42181322191142845</v>
      </c>
      <c r="J67">
        <f t="shared" ca="1" si="4"/>
        <v>0</v>
      </c>
      <c r="K67">
        <f t="shared" ca="1" si="5"/>
        <v>0</v>
      </c>
      <c r="L67" s="65">
        <v>61</v>
      </c>
      <c r="M67" s="71">
        <f t="shared" ca="1" si="1"/>
        <v>0</v>
      </c>
      <c r="N67" s="65"/>
    </row>
    <row r="68" spans="1:14" x14ac:dyDescent="0.25">
      <c r="A68" s="2">
        <v>62</v>
      </c>
      <c r="B68" s="11">
        <f t="shared" ca="1" si="2"/>
        <v>1</v>
      </c>
      <c r="C68" s="26">
        <f t="shared" ca="1" si="3"/>
        <v>0.12926400101774782</v>
      </c>
      <c r="J68">
        <f t="shared" ca="1" si="4"/>
        <v>0</v>
      </c>
      <c r="K68">
        <f t="shared" ca="1" si="5"/>
        <v>0</v>
      </c>
      <c r="L68" s="65">
        <v>62</v>
      </c>
      <c r="M68" s="71">
        <f t="shared" ca="1" si="1"/>
        <v>1.6543568492487903</v>
      </c>
      <c r="N68" s="65"/>
    </row>
    <row r="69" spans="1:14" x14ac:dyDescent="0.25">
      <c r="A69" s="2">
        <v>63</v>
      </c>
      <c r="B69" s="11">
        <f t="shared" ca="1" si="2"/>
        <v>0</v>
      </c>
      <c r="C69" s="26">
        <f t="shared" ca="1" si="3"/>
        <v>0.96960230553236848</v>
      </c>
      <c r="J69">
        <f t="shared" ca="1" si="4"/>
        <v>0</v>
      </c>
      <c r="K69">
        <f t="shared" ca="1" si="5"/>
        <v>1</v>
      </c>
      <c r="L69" s="65">
        <v>63</v>
      </c>
      <c r="M69" s="71">
        <f t="shared" ca="1" si="1"/>
        <v>0</v>
      </c>
      <c r="N69" s="65"/>
    </row>
    <row r="70" spans="1:14" x14ac:dyDescent="0.25">
      <c r="A70" s="2">
        <v>64</v>
      </c>
      <c r="B70" s="11">
        <f t="shared" ca="1" si="2"/>
        <v>0</v>
      </c>
      <c r="C70" s="26">
        <f t="shared" ca="1" si="3"/>
        <v>0.7134806904630534</v>
      </c>
      <c r="J70">
        <f t="shared" ca="1" si="4"/>
        <v>0</v>
      </c>
      <c r="K70">
        <f t="shared" ca="1" si="5"/>
        <v>1</v>
      </c>
      <c r="L70" s="65">
        <v>64</v>
      </c>
      <c r="M70" s="71">
        <f t="shared" ca="1" si="1"/>
        <v>0</v>
      </c>
      <c r="N70" s="65"/>
    </row>
    <row r="71" spans="1:14" x14ac:dyDescent="0.25">
      <c r="A71" s="2">
        <v>65</v>
      </c>
      <c r="B71" s="11">
        <f t="shared" ca="1" si="2"/>
        <v>0</v>
      </c>
      <c r="C71" s="26">
        <f t="shared" ca="1" si="3"/>
        <v>0.94218986918732994</v>
      </c>
      <c r="J71">
        <f t="shared" ca="1" si="4"/>
        <v>0</v>
      </c>
      <c r="K71">
        <f t="shared" ca="1" si="5"/>
        <v>0</v>
      </c>
      <c r="L71" s="65">
        <v>65</v>
      </c>
      <c r="M71" s="71">
        <f t="shared" ref="M71:M134" ca="1" si="6">IF(B71&gt;0,-LN(1-(RAND()))/lambda,0)</f>
        <v>0</v>
      </c>
      <c r="N71" s="65"/>
    </row>
    <row r="72" spans="1:14" x14ac:dyDescent="0.25">
      <c r="A72" s="2">
        <v>66</v>
      </c>
      <c r="B72" s="11">
        <f t="shared" ref="B72:B135" ca="1" si="7">IF(B71&gt;0,IF(C72&lt;pww,1,0),IF(C72&lt;pdw,1,0))</f>
        <v>1</v>
      </c>
      <c r="C72" s="26">
        <f t="shared" ref="C72:C135" ca="1" si="8">RAND()</f>
        <v>4.8075119077143569E-2</v>
      </c>
      <c r="J72">
        <f t="shared" ref="J72:J135" ca="1" si="9">IF(AND(B72,B73),1,0)</f>
        <v>1</v>
      </c>
      <c r="K72">
        <f t="shared" ref="K72:K135" ca="1" si="10">IF(AND(NOT(B72),NOT(B73)),1,0)</f>
        <v>0</v>
      </c>
      <c r="L72" s="65">
        <v>66</v>
      </c>
      <c r="M72" s="71">
        <f t="shared" ca="1" si="6"/>
        <v>1.0052384387864064</v>
      </c>
      <c r="N72" s="65"/>
    </row>
    <row r="73" spans="1:14" x14ac:dyDescent="0.25">
      <c r="A73" s="2">
        <v>67</v>
      </c>
      <c r="B73" s="11">
        <f t="shared" ca="1" si="7"/>
        <v>1</v>
      </c>
      <c r="C73" s="26">
        <f t="shared" ca="1" si="8"/>
        <v>0.39198073683829637</v>
      </c>
      <c r="J73">
        <f t="shared" ca="1" si="9"/>
        <v>1</v>
      </c>
      <c r="K73">
        <f t="shared" ca="1" si="10"/>
        <v>0</v>
      </c>
      <c r="L73" s="65">
        <v>67</v>
      </c>
      <c r="M73" s="71">
        <f t="shared" ca="1" si="6"/>
        <v>11.70744134826877</v>
      </c>
      <c r="N73" s="65"/>
    </row>
    <row r="74" spans="1:14" x14ac:dyDescent="0.25">
      <c r="A74" s="2">
        <v>68</v>
      </c>
      <c r="B74" s="11">
        <f t="shared" ca="1" si="7"/>
        <v>1</v>
      </c>
      <c r="C74" s="26">
        <f t="shared" ca="1" si="8"/>
        <v>0.58423146987701624</v>
      </c>
      <c r="J74">
        <f t="shared" ca="1" si="9"/>
        <v>1</v>
      </c>
      <c r="K74">
        <f t="shared" ca="1" si="10"/>
        <v>0</v>
      </c>
      <c r="L74" s="65">
        <v>68</v>
      </c>
      <c r="M74" s="71">
        <f t="shared" ca="1" si="6"/>
        <v>1.175846732524543</v>
      </c>
      <c r="N74" s="65"/>
    </row>
    <row r="75" spans="1:14" x14ac:dyDescent="0.25">
      <c r="A75" s="2">
        <v>69</v>
      </c>
      <c r="B75" s="11">
        <f t="shared" ca="1" si="7"/>
        <v>1</v>
      </c>
      <c r="C75" s="26">
        <f t="shared" ca="1" si="8"/>
        <v>0.62459278129848905</v>
      </c>
      <c r="J75">
        <f t="shared" ca="1" si="9"/>
        <v>1</v>
      </c>
      <c r="K75">
        <f t="shared" ca="1" si="10"/>
        <v>0</v>
      </c>
      <c r="L75" s="65">
        <v>69</v>
      </c>
      <c r="M75" s="71">
        <f t="shared" ca="1" si="6"/>
        <v>0.36793921467795876</v>
      </c>
      <c r="N75" s="65"/>
    </row>
    <row r="76" spans="1:14" x14ac:dyDescent="0.25">
      <c r="A76" s="2">
        <v>70</v>
      </c>
      <c r="B76" s="11">
        <f t="shared" ca="1" si="7"/>
        <v>1</v>
      </c>
      <c r="C76" s="26">
        <f t="shared" ca="1" si="8"/>
        <v>0.38177938115220489</v>
      </c>
      <c r="J76">
        <f t="shared" ca="1" si="9"/>
        <v>0</v>
      </c>
      <c r="K76">
        <f t="shared" ca="1" si="10"/>
        <v>0</v>
      </c>
      <c r="L76" s="65">
        <v>70</v>
      </c>
      <c r="M76" s="71">
        <f t="shared" ca="1" si="6"/>
        <v>4.7293867670836036</v>
      </c>
      <c r="N76" s="65"/>
    </row>
    <row r="77" spans="1:14" x14ac:dyDescent="0.25">
      <c r="A77" s="2">
        <v>71</v>
      </c>
      <c r="B77" s="11">
        <f t="shared" ca="1" si="7"/>
        <v>0</v>
      </c>
      <c r="C77" s="26">
        <f t="shared" ca="1" si="8"/>
        <v>0.88191771901182103</v>
      </c>
      <c r="J77">
        <f t="shared" ca="1" si="9"/>
        <v>0</v>
      </c>
      <c r="K77">
        <f t="shared" ca="1" si="10"/>
        <v>1</v>
      </c>
      <c r="L77" s="65">
        <v>71</v>
      </c>
      <c r="M77" s="71">
        <f t="shared" ca="1" si="6"/>
        <v>0</v>
      </c>
      <c r="N77" s="65"/>
    </row>
    <row r="78" spans="1:14" x14ac:dyDescent="0.25">
      <c r="A78" s="2">
        <v>72</v>
      </c>
      <c r="B78" s="11">
        <f t="shared" ca="1" si="7"/>
        <v>0</v>
      </c>
      <c r="C78" s="26">
        <f t="shared" ca="1" si="8"/>
        <v>0.59088057270191863</v>
      </c>
      <c r="J78">
        <f t="shared" ca="1" si="9"/>
        <v>0</v>
      </c>
      <c r="K78">
        <f t="shared" ca="1" si="10"/>
        <v>1</v>
      </c>
      <c r="L78" s="65">
        <v>72</v>
      </c>
      <c r="M78" s="71">
        <f t="shared" ca="1" si="6"/>
        <v>0</v>
      </c>
      <c r="N78" s="65"/>
    </row>
    <row r="79" spans="1:14" x14ac:dyDescent="0.25">
      <c r="A79" s="2">
        <v>73</v>
      </c>
      <c r="B79" s="11">
        <f t="shared" ca="1" si="7"/>
        <v>0</v>
      </c>
      <c r="C79" s="26">
        <f t="shared" ca="1" si="8"/>
        <v>0.41058292781636185</v>
      </c>
      <c r="J79">
        <f t="shared" ca="1" si="9"/>
        <v>0</v>
      </c>
      <c r="K79">
        <f t="shared" ca="1" si="10"/>
        <v>1</v>
      </c>
      <c r="L79" s="65">
        <v>73</v>
      </c>
      <c r="M79" s="71">
        <f t="shared" ca="1" si="6"/>
        <v>0</v>
      </c>
      <c r="N79" s="65"/>
    </row>
    <row r="80" spans="1:14" x14ac:dyDescent="0.25">
      <c r="A80" s="2">
        <v>74</v>
      </c>
      <c r="B80" s="11">
        <f t="shared" ca="1" si="7"/>
        <v>0</v>
      </c>
      <c r="C80" s="26">
        <f t="shared" ca="1" si="8"/>
        <v>0.48556775994226908</v>
      </c>
      <c r="J80">
        <f t="shared" ca="1" si="9"/>
        <v>0</v>
      </c>
      <c r="K80">
        <f t="shared" ca="1" si="10"/>
        <v>0</v>
      </c>
      <c r="L80" s="65">
        <v>74</v>
      </c>
      <c r="M80" s="71">
        <f t="shared" ca="1" si="6"/>
        <v>0</v>
      </c>
      <c r="N80" s="65"/>
    </row>
    <row r="81" spans="1:14" x14ac:dyDescent="0.25">
      <c r="A81" s="2">
        <v>75</v>
      </c>
      <c r="B81" s="11">
        <f t="shared" ca="1" si="7"/>
        <v>1</v>
      </c>
      <c r="C81" s="26">
        <f t="shared" ca="1" si="8"/>
        <v>0.29934497888786382</v>
      </c>
      <c r="J81">
        <f t="shared" ca="1" si="9"/>
        <v>1</v>
      </c>
      <c r="K81">
        <f t="shared" ca="1" si="10"/>
        <v>0</v>
      </c>
      <c r="L81" s="65">
        <v>75</v>
      </c>
      <c r="M81" s="71">
        <f t="shared" ca="1" si="6"/>
        <v>0.86290450490241843</v>
      </c>
      <c r="N81" s="65"/>
    </row>
    <row r="82" spans="1:14" x14ac:dyDescent="0.25">
      <c r="A82" s="2">
        <v>76</v>
      </c>
      <c r="B82" s="11">
        <f t="shared" ca="1" si="7"/>
        <v>1</v>
      </c>
      <c r="C82" s="26">
        <f t="shared" ca="1" si="8"/>
        <v>1.7026493039395407E-2</v>
      </c>
      <c r="J82">
        <f t="shared" ca="1" si="9"/>
        <v>1</v>
      </c>
      <c r="K82">
        <f t="shared" ca="1" si="10"/>
        <v>0</v>
      </c>
      <c r="L82" s="65">
        <v>76</v>
      </c>
      <c r="M82" s="71">
        <f t="shared" ca="1" si="6"/>
        <v>3.5427105194280415</v>
      </c>
      <c r="N82" s="65"/>
    </row>
    <row r="83" spans="1:14" x14ac:dyDescent="0.25">
      <c r="A83" s="2">
        <v>77</v>
      </c>
      <c r="B83" s="11">
        <f t="shared" ca="1" si="7"/>
        <v>1</v>
      </c>
      <c r="C83" s="26">
        <f t="shared" ca="1" si="8"/>
        <v>0.71132449893717031</v>
      </c>
      <c r="J83">
        <f t="shared" ca="1" si="9"/>
        <v>1</v>
      </c>
      <c r="K83">
        <f t="shared" ca="1" si="10"/>
        <v>0</v>
      </c>
      <c r="L83" s="65">
        <v>77</v>
      </c>
      <c r="M83" s="71">
        <f t="shared" ca="1" si="6"/>
        <v>1.0858313810990101</v>
      </c>
      <c r="N83" s="65"/>
    </row>
    <row r="84" spans="1:14" x14ac:dyDescent="0.25">
      <c r="A84" s="2">
        <v>78</v>
      </c>
      <c r="B84" s="11">
        <f t="shared" ca="1" si="7"/>
        <v>1</v>
      </c>
      <c r="C84" s="26">
        <f t="shared" ca="1" si="8"/>
        <v>0.2324367854198045</v>
      </c>
      <c r="J84">
        <f t="shared" ca="1" si="9"/>
        <v>0</v>
      </c>
      <c r="K84">
        <f t="shared" ca="1" si="10"/>
        <v>0</v>
      </c>
      <c r="L84" s="65">
        <v>78</v>
      </c>
      <c r="M84" s="71">
        <f t="shared" ca="1" si="6"/>
        <v>3.514055282068441</v>
      </c>
      <c r="N84" s="65"/>
    </row>
    <row r="85" spans="1:14" x14ac:dyDescent="0.25">
      <c r="A85" s="2">
        <v>79</v>
      </c>
      <c r="B85" s="11">
        <f t="shared" ca="1" si="7"/>
        <v>0</v>
      </c>
      <c r="C85" s="26">
        <f t="shared" ca="1" si="8"/>
        <v>0.89197541090636223</v>
      </c>
      <c r="J85">
        <f t="shared" ca="1" si="9"/>
        <v>0</v>
      </c>
      <c r="K85">
        <f t="shared" ca="1" si="10"/>
        <v>1</v>
      </c>
      <c r="L85" s="65">
        <v>79</v>
      </c>
      <c r="M85" s="71">
        <f t="shared" ca="1" si="6"/>
        <v>0</v>
      </c>
      <c r="N85" s="65"/>
    </row>
    <row r="86" spans="1:14" x14ac:dyDescent="0.25">
      <c r="A86" s="2">
        <v>80</v>
      </c>
      <c r="B86" s="11">
        <f t="shared" ca="1" si="7"/>
        <v>0</v>
      </c>
      <c r="C86" s="26">
        <f t="shared" ca="1" si="8"/>
        <v>0.96752399919351284</v>
      </c>
      <c r="J86">
        <f t="shared" ca="1" si="9"/>
        <v>0</v>
      </c>
      <c r="K86">
        <f t="shared" ca="1" si="10"/>
        <v>0</v>
      </c>
      <c r="L86" s="65">
        <v>80</v>
      </c>
      <c r="M86" s="71">
        <f t="shared" ca="1" si="6"/>
        <v>0</v>
      </c>
      <c r="N86" s="65"/>
    </row>
    <row r="87" spans="1:14" x14ac:dyDescent="0.25">
      <c r="A87" s="2">
        <v>81</v>
      </c>
      <c r="B87" s="11">
        <f t="shared" ca="1" si="7"/>
        <v>1</v>
      </c>
      <c r="C87" s="26">
        <f t="shared" ca="1" si="8"/>
        <v>0.35407757577698118</v>
      </c>
      <c r="J87">
        <f t="shared" ca="1" si="9"/>
        <v>1</v>
      </c>
      <c r="K87">
        <f t="shared" ca="1" si="10"/>
        <v>0</v>
      </c>
      <c r="L87" s="65">
        <v>81</v>
      </c>
      <c r="M87" s="71">
        <f t="shared" ca="1" si="6"/>
        <v>2.5713049885565389</v>
      </c>
      <c r="N87" s="65"/>
    </row>
    <row r="88" spans="1:14" x14ac:dyDescent="0.25">
      <c r="A88" s="2">
        <v>82</v>
      </c>
      <c r="B88" s="11">
        <f t="shared" ca="1" si="7"/>
        <v>1</v>
      </c>
      <c r="C88" s="26">
        <f t="shared" ca="1" si="8"/>
        <v>0.60496622456695626</v>
      </c>
      <c r="J88">
        <f t="shared" ca="1" si="9"/>
        <v>1</v>
      </c>
      <c r="K88">
        <f t="shared" ca="1" si="10"/>
        <v>0</v>
      </c>
      <c r="L88" s="65">
        <v>82</v>
      </c>
      <c r="M88" s="71">
        <f t="shared" ca="1" si="6"/>
        <v>0.39451305591995534</v>
      </c>
      <c r="N88" s="65"/>
    </row>
    <row r="89" spans="1:14" x14ac:dyDescent="0.25">
      <c r="A89" s="2">
        <v>83</v>
      </c>
      <c r="B89" s="11">
        <f t="shared" ca="1" si="7"/>
        <v>1</v>
      </c>
      <c r="C89" s="26">
        <f t="shared" ca="1" si="8"/>
        <v>0.33920721998860348</v>
      </c>
      <c r="J89">
        <f t="shared" ca="1" si="9"/>
        <v>0</v>
      </c>
      <c r="K89">
        <f t="shared" ca="1" si="10"/>
        <v>0</v>
      </c>
      <c r="L89" s="65">
        <v>83</v>
      </c>
      <c r="M89" s="71">
        <f t="shared" ca="1" si="6"/>
        <v>4.0225024661935045</v>
      </c>
      <c r="N89" s="65"/>
    </row>
    <row r="90" spans="1:14" x14ac:dyDescent="0.25">
      <c r="A90" s="2">
        <v>84</v>
      </c>
      <c r="B90" s="11">
        <f t="shared" ca="1" si="7"/>
        <v>0</v>
      </c>
      <c r="C90" s="26">
        <f t="shared" ca="1" si="8"/>
        <v>0.90461340671609314</v>
      </c>
      <c r="J90">
        <f t="shared" ca="1" si="9"/>
        <v>0</v>
      </c>
      <c r="K90">
        <f t="shared" ca="1" si="10"/>
        <v>0</v>
      </c>
      <c r="L90" s="65">
        <v>84</v>
      </c>
      <c r="M90" s="71">
        <f t="shared" ca="1" si="6"/>
        <v>0</v>
      </c>
      <c r="N90" s="65"/>
    </row>
    <row r="91" spans="1:14" x14ac:dyDescent="0.25">
      <c r="A91" s="2">
        <v>85</v>
      </c>
      <c r="B91" s="11">
        <f t="shared" ca="1" si="7"/>
        <v>1</v>
      </c>
      <c r="C91" s="26">
        <f t="shared" ca="1" si="8"/>
        <v>7.030713023157853E-2</v>
      </c>
      <c r="J91">
        <f t="shared" ca="1" si="9"/>
        <v>1</v>
      </c>
      <c r="K91">
        <f t="shared" ca="1" si="10"/>
        <v>0</v>
      </c>
      <c r="L91" s="65">
        <v>85</v>
      </c>
      <c r="M91" s="71">
        <f t="shared" ca="1" si="6"/>
        <v>6.7272017097993349</v>
      </c>
      <c r="N91" s="65"/>
    </row>
    <row r="92" spans="1:14" x14ac:dyDescent="0.25">
      <c r="A92" s="2">
        <v>86</v>
      </c>
      <c r="B92" s="11">
        <f t="shared" ca="1" si="7"/>
        <v>1</v>
      </c>
      <c r="C92" s="26">
        <f t="shared" ca="1" si="8"/>
        <v>0.13920946308859861</v>
      </c>
      <c r="J92">
        <f t="shared" ca="1" si="9"/>
        <v>1</v>
      </c>
      <c r="K92">
        <f t="shared" ca="1" si="10"/>
        <v>0</v>
      </c>
      <c r="L92" s="65">
        <v>86</v>
      </c>
      <c r="M92" s="71">
        <f t="shared" ca="1" si="6"/>
        <v>8.3405206859709971</v>
      </c>
      <c r="N92" s="65"/>
    </row>
    <row r="93" spans="1:14" x14ac:dyDescent="0.25">
      <c r="A93" s="2">
        <v>87</v>
      </c>
      <c r="B93" s="11">
        <f t="shared" ca="1" si="7"/>
        <v>1</v>
      </c>
      <c r="C93" s="26">
        <f t="shared" ca="1" si="8"/>
        <v>0.32703120224640514</v>
      </c>
      <c r="J93">
        <f t="shared" ca="1" si="9"/>
        <v>1</v>
      </c>
      <c r="K93">
        <f t="shared" ca="1" si="10"/>
        <v>0</v>
      </c>
      <c r="L93" s="65">
        <v>87</v>
      </c>
      <c r="M93" s="71">
        <f t="shared" ca="1" si="6"/>
        <v>1.3721437747353342</v>
      </c>
      <c r="N93" s="65"/>
    </row>
    <row r="94" spans="1:14" x14ac:dyDescent="0.25">
      <c r="A94" s="2">
        <v>88</v>
      </c>
      <c r="B94" s="11">
        <f t="shared" ca="1" si="7"/>
        <v>1</v>
      </c>
      <c r="C94" s="26">
        <f t="shared" ca="1" si="8"/>
        <v>0.63282460403513741</v>
      </c>
      <c r="J94">
        <f t="shared" ca="1" si="9"/>
        <v>1</v>
      </c>
      <c r="K94">
        <f t="shared" ca="1" si="10"/>
        <v>0</v>
      </c>
      <c r="L94" s="65">
        <v>88</v>
      </c>
      <c r="M94" s="71">
        <f t="shared" ca="1" si="6"/>
        <v>1.2844073205863844</v>
      </c>
      <c r="N94" s="65"/>
    </row>
    <row r="95" spans="1:14" x14ac:dyDescent="0.25">
      <c r="A95" s="2">
        <v>89</v>
      </c>
      <c r="B95" s="11">
        <f t="shared" ca="1" si="7"/>
        <v>1</v>
      </c>
      <c r="C95" s="26">
        <f t="shared" ca="1" si="8"/>
        <v>0.32439470252545999</v>
      </c>
      <c r="J95">
        <f t="shared" ca="1" si="9"/>
        <v>1</v>
      </c>
      <c r="K95">
        <f t="shared" ca="1" si="10"/>
        <v>0</v>
      </c>
      <c r="L95" s="65">
        <v>89</v>
      </c>
      <c r="M95" s="71">
        <f t="shared" ca="1" si="6"/>
        <v>2.6297637958401086</v>
      </c>
      <c r="N95" s="65"/>
    </row>
    <row r="96" spans="1:14" x14ac:dyDescent="0.25">
      <c r="A96" s="2">
        <v>90</v>
      </c>
      <c r="B96" s="11">
        <f t="shared" ca="1" si="7"/>
        <v>1</v>
      </c>
      <c r="C96" s="26">
        <f t="shared" ca="1" si="8"/>
        <v>0.23512947837256959</v>
      </c>
      <c r="J96">
        <f t="shared" ca="1" si="9"/>
        <v>1</v>
      </c>
      <c r="K96">
        <f t="shared" ca="1" si="10"/>
        <v>0</v>
      </c>
      <c r="L96" s="65">
        <v>90</v>
      </c>
      <c r="M96" s="71">
        <f t="shared" ca="1" si="6"/>
        <v>1.5658665311810616</v>
      </c>
      <c r="N96" s="65"/>
    </row>
    <row r="97" spans="1:37" x14ac:dyDescent="0.25">
      <c r="A97" s="2">
        <v>91</v>
      </c>
      <c r="B97" s="11">
        <f t="shared" ca="1" si="7"/>
        <v>1</v>
      </c>
      <c r="C97" s="26">
        <f t="shared" ca="1" si="8"/>
        <v>0.37722772486831435</v>
      </c>
      <c r="J97">
        <f t="shared" ca="1" si="9"/>
        <v>1</v>
      </c>
      <c r="K97">
        <f t="shared" ca="1" si="10"/>
        <v>0</v>
      </c>
      <c r="L97" s="65">
        <v>91</v>
      </c>
      <c r="M97" s="71">
        <f t="shared" ca="1" si="6"/>
        <v>1.2137787940802276</v>
      </c>
      <c r="N97" s="65"/>
    </row>
    <row r="98" spans="1:37" x14ac:dyDescent="0.25">
      <c r="A98" s="2">
        <v>92</v>
      </c>
      <c r="B98" s="11">
        <f t="shared" ca="1" si="7"/>
        <v>1</v>
      </c>
      <c r="C98" s="26">
        <f t="shared" ca="1" si="8"/>
        <v>0.51934615883015833</v>
      </c>
      <c r="J98">
        <f t="shared" ca="1" si="9"/>
        <v>1</v>
      </c>
      <c r="K98">
        <f t="shared" ca="1" si="10"/>
        <v>0</v>
      </c>
      <c r="L98" s="65">
        <v>92</v>
      </c>
      <c r="M98" s="71">
        <f t="shared" ca="1" si="6"/>
        <v>5.6157067983832762</v>
      </c>
      <c r="N98" s="65"/>
    </row>
    <row r="99" spans="1:37" x14ac:dyDescent="0.25">
      <c r="A99" s="2">
        <v>93</v>
      </c>
      <c r="B99" s="11">
        <f t="shared" ca="1" si="7"/>
        <v>1</v>
      </c>
      <c r="C99" s="26">
        <f t="shared" ca="1" si="8"/>
        <v>0.28713645616587702</v>
      </c>
      <c r="J99">
        <f t="shared" ca="1" si="9"/>
        <v>1</v>
      </c>
      <c r="K99">
        <f t="shared" ca="1" si="10"/>
        <v>0</v>
      </c>
      <c r="L99" s="65">
        <v>93</v>
      </c>
      <c r="M99" s="71">
        <f t="shared" ca="1" si="6"/>
        <v>1.2399067525208123</v>
      </c>
      <c r="N99" s="65"/>
    </row>
    <row r="100" spans="1:37" x14ac:dyDescent="0.25">
      <c r="A100" s="2">
        <v>94</v>
      </c>
      <c r="B100" s="11">
        <f t="shared" ca="1" si="7"/>
        <v>1</v>
      </c>
      <c r="C100" s="26">
        <f t="shared" ca="1" si="8"/>
        <v>0.26982617125338015</v>
      </c>
      <c r="J100">
        <f t="shared" ca="1" si="9"/>
        <v>1</v>
      </c>
      <c r="K100">
        <f t="shared" ca="1" si="10"/>
        <v>0</v>
      </c>
      <c r="L100" s="65">
        <v>94</v>
      </c>
      <c r="M100" s="71">
        <f t="shared" ca="1" si="6"/>
        <v>0.62045831672717056</v>
      </c>
      <c r="N100" s="65"/>
    </row>
    <row r="101" spans="1:37" x14ac:dyDescent="0.25">
      <c r="A101" s="2">
        <v>95</v>
      </c>
      <c r="B101" s="11">
        <f t="shared" ca="1" si="7"/>
        <v>1</v>
      </c>
      <c r="C101" s="26">
        <f t="shared" ca="1" si="8"/>
        <v>0.60901866285002348</v>
      </c>
      <c r="J101">
        <f t="shared" ca="1" si="9"/>
        <v>1</v>
      </c>
      <c r="K101">
        <f t="shared" ca="1" si="10"/>
        <v>0</v>
      </c>
      <c r="L101" s="65">
        <v>95</v>
      </c>
      <c r="M101" s="71">
        <f t="shared" ca="1" si="6"/>
        <v>2.6280035928148808</v>
      </c>
      <c r="N101" s="65"/>
    </row>
    <row r="102" spans="1:37" x14ac:dyDescent="0.25">
      <c r="A102" s="2">
        <v>96</v>
      </c>
      <c r="B102" s="11">
        <f t="shared" ca="1" si="7"/>
        <v>1</v>
      </c>
      <c r="C102" s="26">
        <f t="shared" ca="1" si="8"/>
        <v>0.59561152475287882</v>
      </c>
      <c r="J102">
        <f t="shared" ca="1" si="9"/>
        <v>0</v>
      </c>
      <c r="K102">
        <f t="shared" ca="1" si="10"/>
        <v>0</v>
      </c>
      <c r="L102" s="65">
        <v>96</v>
      </c>
      <c r="M102" s="71">
        <f t="shared" ca="1" si="6"/>
        <v>7.8004078233681327</v>
      </c>
      <c r="N102" s="65"/>
    </row>
    <row r="103" spans="1:37" x14ac:dyDescent="0.25">
      <c r="A103" s="2">
        <v>97</v>
      </c>
      <c r="B103" s="11">
        <f t="shared" ca="1" si="7"/>
        <v>0</v>
      </c>
      <c r="C103" s="26">
        <f t="shared" ca="1" si="8"/>
        <v>0.84099720021444435</v>
      </c>
      <c r="J103">
        <f t="shared" ca="1" si="9"/>
        <v>0</v>
      </c>
      <c r="K103">
        <f t="shared" ca="1" si="10"/>
        <v>1</v>
      </c>
      <c r="L103" s="65">
        <v>97</v>
      </c>
      <c r="M103" s="71">
        <f t="shared" ca="1" si="6"/>
        <v>0</v>
      </c>
      <c r="N103" s="65"/>
    </row>
    <row r="104" spans="1:37" x14ac:dyDescent="0.25">
      <c r="A104" s="2">
        <v>98</v>
      </c>
      <c r="B104" s="11">
        <f t="shared" ca="1" si="7"/>
        <v>0</v>
      </c>
      <c r="C104" s="26">
        <f t="shared" ca="1" si="8"/>
        <v>0.98703505108742762</v>
      </c>
      <c r="J104">
        <f t="shared" ca="1" si="9"/>
        <v>0</v>
      </c>
      <c r="K104">
        <f t="shared" ca="1" si="10"/>
        <v>1</v>
      </c>
      <c r="L104" s="65">
        <v>98</v>
      </c>
      <c r="M104" s="71">
        <f t="shared" ca="1" si="6"/>
        <v>0</v>
      </c>
      <c r="N104" s="65"/>
    </row>
    <row r="105" spans="1:37" x14ac:dyDescent="0.25">
      <c r="A105" s="2">
        <v>99</v>
      </c>
      <c r="B105" s="11">
        <f t="shared" ca="1" si="7"/>
        <v>0</v>
      </c>
      <c r="C105" s="26">
        <f t="shared" ca="1" si="8"/>
        <v>0.86314500645417302</v>
      </c>
      <c r="J105">
        <f t="shared" ca="1" si="9"/>
        <v>0</v>
      </c>
      <c r="K105">
        <f t="shared" ca="1" si="10"/>
        <v>1</v>
      </c>
      <c r="L105" s="65">
        <v>99</v>
      </c>
      <c r="M105" s="71">
        <f t="shared" ca="1" si="6"/>
        <v>0</v>
      </c>
      <c r="N105" s="65"/>
      <c r="X105" s="95"/>
      <c r="Y105" s="95"/>
      <c r="Z105" s="95"/>
      <c r="AA105" s="95"/>
      <c r="AC105" s="95"/>
      <c r="AD105" s="95"/>
      <c r="AF105" s="95"/>
      <c r="AH105" s="95"/>
      <c r="AI105" s="95"/>
      <c r="AK105" s="95"/>
    </row>
    <row r="106" spans="1:37" x14ac:dyDescent="0.25">
      <c r="A106" s="2">
        <v>100</v>
      </c>
      <c r="B106" s="11">
        <f t="shared" ca="1" si="7"/>
        <v>0</v>
      </c>
      <c r="C106" s="26">
        <f t="shared" ca="1" si="8"/>
        <v>0.60739837329063118</v>
      </c>
      <c r="J106">
        <f t="shared" ca="1" si="9"/>
        <v>0</v>
      </c>
      <c r="K106">
        <f t="shared" ca="1" si="10"/>
        <v>1</v>
      </c>
      <c r="L106" s="65">
        <v>100</v>
      </c>
      <c r="M106" s="71">
        <f t="shared" ca="1" si="6"/>
        <v>0</v>
      </c>
      <c r="N106" s="65"/>
    </row>
    <row r="107" spans="1:37" x14ac:dyDescent="0.25">
      <c r="A107" s="2">
        <v>101</v>
      </c>
      <c r="B107" s="11">
        <f t="shared" ca="1" si="7"/>
        <v>0</v>
      </c>
      <c r="C107" s="26">
        <f t="shared" ca="1" si="8"/>
        <v>0.47521178327410563</v>
      </c>
      <c r="J107">
        <f t="shared" ca="1" si="9"/>
        <v>0</v>
      </c>
      <c r="K107">
        <f t="shared" ca="1" si="10"/>
        <v>0</v>
      </c>
      <c r="L107" s="65">
        <v>101</v>
      </c>
      <c r="M107" s="71">
        <f t="shared" ca="1" si="6"/>
        <v>0</v>
      </c>
      <c r="N107" s="65"/>
    </row>
    <row r="108" spans="1:37" x14ac:dyDescent="0.25">
      <c r="A108" s="2">
        <v>102</v>
      </c>
      <c r="B108" s="11">
        <f t="shared" ca="1" si="7"/>
        <v>1</v>
      </c>
      <c r="C108" s="26">
        <f t="shared" ca="1" si="8"/>
        <v>0.36184033858585651</v>
      </c>
      <c r="J108">
        <f t="shared" ca="1" si="9"/>
        <v>0</v>
      </c>
      <c r="K108">
        <f t="shared" ca="1" si="10"/>
        <v>0</v>
      </c>
      <c r="L108" s="65">
        <v>102</v>
      </c>
      <c r="M108" s="71">
        <f t="shared" ca="1" si="6"/>
        <v>0.51390505537866538</v>
      </c>
      <c r="N108" s="65"/>
    </row>
    <row r="109" spans="1:37" x14ac:dyDescent="0.25">
      <c r="A109" s="2">
        <v>103</v>
      </c>
      <c r="B109" s="11">
        <f t="shared" ca="1" si="7"/>
        <v>0</v>
      </c>
      <c r="C109" s="26">
        <f t="shared" ca="1" si="8"/>
        <v>0.98524240345531344</v>
      </c>
      <c r="J109">
        <f t="shared" ca="1" si="9"/>
        <v>0</v>
      </c>
      <c r="K109">
        <f t="shared" ca="1" si="10"/>
        <v>0</v>
      </c>
      <c r="L109" s="65">
        <v>103</v>
      </c>
      <c r="M109" s="71">
        <f t="shared" ca="1" si="6"/>
        <v>0</v>
      </c>
      <c r="N109" s="65"/>
    </row>
    <row r="110" spans="1:37" x14ac:dyDescent="0.25">
      <c r="A110" s="2">
        <v>104</v>
      </c>
      <c r="B110" s="11">
        <f t="shared" ca="1" si="7"/>
        <v>1</v>
      </c>
      <c r="C110" s="26">
        <f t="shared" ca="1" si="8"/>
        <v>0.10903801699099702</v>
      </c>
      <c r="J110">
        <f t="shared" ca="1" si="9"/>
        <v>1</v>
      </c>
      <c r="K110">
        <f t="shared" ca="1" si="10"/>
        <v>0</v>
      </c>
      <c r="L110" s="65">
        <v>104</v>
      </c>
      <c r="M110" s="71">
        <f t="shared" ca="1" si="6"/>
        <v>0.91093595835184038</v>
      </c>
      <c r="N110" s="65"/>
    </row>
    <row r="111" spans="1:37" x14ac:dyDescent="0.25">
      <c r="A111" s="2">
        <v>105</v>
      </c>
      <c r="B111" s="11">
        <f t="shared" ca="1" si="7"/>
        <v>1</v>
      </c>
      <c r="C111" s="26">
        <f t="shared" ca="1" si="8"/>
        <v>0.34775664306690546</v>
      </c>
      <c r="J111">
        <f t="shared" ca="1" si="9"/>
        <v>1</v>
      </c>
      <c r="K111">
        <f t="shared" ca="1" si="10"/>
        <v>0</v>
      </c>
      <c r="L111" s="65">
        <v>105</v>
      </c>
      <c r="M111" s="71">
        <f t="shared" ca="1" si="6"/>
        <v>1.1459429818055074</v>
      </c>
      <c r="N111" s="65"/>
    </row>
    <row r="112" spans="1:37" x14ac:dyDescent="0.25">
      <c r="A112" s="2">
        <v>106</v>
      </c>
      <c r="B112" s="11">
        <f t="shared" ca="1" si="7"/>
        <v>1</v>
      </c>
      <c r="C112" s="26">
        <f t="shared" ca="1" si="8"/>
        <v>0.20167467539495199</v>
      </c>
      <c r="J112">
        <f t="shared" ca="1" si="9"/>
        <v>1</v>
      </c>
      <c r="K112">
        <f t="shared" ca="1" si="10"/>
        <v>0</v>
      </c>
      <c r="L112" s="65">
        <v>106</v>
      </c>
      <c r="M112" s="71">
        <f t="shared" ca="1" si="6"/>
        <v>3.7551488057488478</v>
      </c>
      <c r="N112" s="65"/>
    </row>
    <row r="113" spans="1:14" x14ac:dyDescent="0.25">
      <c r="A113" s="2">
        <v>107</v>
      </c>
      <c r="B113" s="11">
        <f t="shared" ca="1" si="7"/>
        <v>1</v>
      </c>
      <c r="C113" s="26">
        <f t="shared" ca="1" si="8"/>
        <v>0.45958360072697146</v>
      </c>
      <c r="J113">
        <f t="shared" ca="1" si="9"/>
        <v>1</v>
      </c>
      <c r="K113">
        <f t="shared" ca="1" si="10"/>
        <v>0</v>
      </c>
      <c r="L113" s="65">
        <v>107</v>
      </c>
      <c r="M113" s="71">
        <f t="shared" ca="1" si="6"/>
        <v>1.6215855298424666</v>
      </c>
      <c r="N113" s="65"/>
    </row>
    <row r="114" spans="1:14" x14ac:dyDescent="0.25">
      <c r="A114" s="2">
        <v>108</v>
      </c>
      <c r="B114" s="11">
        <f t="shared" ca="1" si="7"/>
        <v>1</v>
      </c>
      <c r="C114" s="26">
        <f t="shared" ca="1" si="8"/>
        <v>0.17466524201260725</v>
      </c>
      <c r="J114">
        <f t="shared" ca="1" si="9"/>
        <v>1</v>
      </c>
      <c r="K114">
        <f t="shared" ca="1" si="10"/>
        <v>0</v>
      </c>
      <c r="L114" s="65">
        <v>108</v>
      </c>
      <c r="M114" s="71">
        <f t="shared" ca="1" si="6"/>
        <v>9.826584406077439E-2</v>
      </c>
      <c r="N114" s="65"/>
    </row>
    <row r="115" spans="1:14" x14ac:dyDescent="0.25">
      <c r="A115" s="2">
        <v>109</v>
      </c>
      <c r="B115" s="11">
        <f t="shared" ca="1" si="7"/>
        <v>1</v>
      </c>
      <c r="C115" s="26">
        <f t="shared" ca="1" si="8"/>
        <v>0.44246172931001759</v>
      </c>
      <c r="J115">
        <f t="shared" ca="1" si="9"/>
        <v>0</v>
      </c>
      <c r="K115">
        <f t="shared" ca="1" si="10"/>
        <v>0</v>
      </c>
      <c r="L115" s="65">
        <v>109</v>
      </c>
      <c r="M115" s="71">
        <f t="shared" ca="1" si="6"/>
        <v>7.008922861607644</v>
      </c>
      <c r="N115" s="65"/>
    </row>
    <row r="116" spans="1:14" x14ac:dyDescent="0.25">
      <c r="A116" s="2">
        <v>110</v>
      </c>
      <c r="B116" s="11">
        <f t="shared" ca="1" si="7"/>
        <v>0</v>
      </c>
      <c r="C116" s="26">
        <f t="shared" ca="1" si="8"/>
        <v>0.94592046018756537</v>
      </c>
      <c r="J116">
        <f t="shared" ca="1" si="9"/>
        <v>0</v>
      </c>
      <c r="K116">
        <f t="shared" ca="1" si="10"/>
        <v>1</v>
      </c>
      <c r="L116" s="65">
        <v>110</v>
      </c>
      <c r="M116" s="71">
        <f t="shared" ca="1" si="6"/>
        <v>0</v>
      </c>
      <c r="N116" s="65"/>
    </row>
    <row r="117" spans="1:14" x14ac:dyDescent="0.25">
      <c r="A117" s="2">
        <v>111</v>
      </c>
      <c r="B117" s="11">
        <f t="shared" ca="1" si="7"/>
        <v>0</v>
      </c>
      <c r="C117" s="26">
        <f t="shared" ca="1" si="8"/>
        <v>0.41255908497757032</v>
      </c>
      <c r="J117">
        <f t="shared" ca="1" si="9"/>
        <v>0</v>
      </c>
      <c r="K117">
        <f t="shared" ca="1" si="10"/>
        <v>1</v>
      </c>
      <c r="L117" s="65">
        <v>111</v>
      </c>
      <c r="M117" s="71">
        <f t="shared" ca="1" si="6"/>
        <v>0</v>
      </c>
      <c r="N117" s="65"/>
    </row>
    <row r="118" spans="1:14" x14ac:dyDescent="0.25">
      <c r="A118" s="2">
        <v>112</v>
      </c>
      <c r="B118" s="11">
        <f t="shared" ca="1" si="7"/>
        <v>0</v>
      </c>
      <c r="C118" s="26">
        <f t="shared" ca="1" si="8"/>
        <v>0.66002334302661703</v>
      </c>
      <c r="J118">
        <f t="shared" ca="1" si="9"/>
        <v>0</v>
      </c>
      <c r="K118">
        <f t="shared" ca="1" si="10"/>
        <v>0</v>
      </c>
      <c r="L118" s="65">
        <v>112</v>
      </c>
      <c r="M118" s="71">
        <f t="shared" ca="1" si="6"/>
        <v>0</v>
      </c>
      <c r="N118" s="65"/>
    </row>
    <row r="119" spans="1:14" x14ac:dyDescent="0.25">
      <c r="A119" s="2">
        <v>113</v>
      </c>
      <c r="B119" s="11">
        <f t="shared" ca="1" si="7"/>
        <v>1</v>
      </c>
      <c r="C119" s="26">
        <f t="shared" ca="1" si="8"/>
        <v>4.1975989770532851E-2</v>
      </c>
      <c r="J119">
        <f t="shared" ca="1" si="9"/>
        <v>1</v>
      </c>
      <c r="K119">
        <f t="shared" ca="1" si="10"/>
        <v>0</v>
      </c>
      <c r="L119" s="65">
        <v>113</v>
      </c>
      <c r="M119" s="71">
        <f t="shared" ca="1" si="6"/>
        <v>6.0130442489150173</v>
      </c>
      <c r="N119" s="65"/>
    </row>
    <row r="120" spans="1:14" x14ac:dyDescent="0.25">
      <c r="A120" s="2">
        <v>114</v>
      </c>
      <c r="B120" s="11">
        <f t="shared" ca="1" si="7"/>
        <v>1</v>
      </c>
      <c r="C120" s="26">
        <f t="shared" ca="1" si="8"/>
        <v>0.12162266593269422</v>
      </c>
      <c r="J120">
        <f t="shared" ca="1" si="9"/>
        <v>1</v>
      </c>
      <c r="K120">
        <f t="shared" ca="1" si="10"/>
        <v>0</v>
      </c>
      <c r="L120" s="65">
        <v>114</v>
      </c>
      <c r="M120" s="71">
        <f t="shared" ca="1" si="6"/>
        <v>0.40203816413063104</v>
      </c>
      <c r="N120" s="65"/>
    </row>
    <row r="121" spans="1:14" x14ac:dyDescent="0.25">
      <c r="A121" s="2">
        <v>115</v>
      </c>
      <c r="B121" s="11">
        <f t="shared" ca="1" si="7"/>
        <v>1</v>
      </c>
      <c r="C121" s="26">
        <f t="shared" ca="1" si="8"/>
        <v>0.20944475637540594</v>
      </c>
      <c r="J121">
        <f t="shared" ca="1" si="9"/>
        <v>1</v>
      </c>
      <c r="K121">
        <f t="shared" ca="1" si="10"/>
        <v>0</v>
      </c>
      <c r="L121" s="65">
        <v>115</v>
      </c>
      <c r="M121" s="71">
        <f t="shared" ca="1" si="6"/>
        <v>1.0107357439902058</v>
      </c>
      <c r="N121" s="65"/>
    </row>
    <row r="122" spans="1:14" x14ac:dyDescent="0.25">
      <c r="A122" s="2">
        <v>116</v>
      </c>
      <c r="B122" s="11">
        <f t="shared" ca="1" si="7"/>
        <v>1</v>
      </c>
      <c r="C122" s="26">
        <f t="shared" ca="1" si="8"/>
        <v>0.74274788284138227</v>
      </c>
      <c r="J122">
        <f t="shared" ca="1" si="9"/>
        <v>1</v>
      </c>
      <c r="K122">
        <f t="shared" ca="1" si="10"/>
        <v>0</v>
      </c>
      <c r="L122" s="65">
        <v>116</v>
      </c>
      <c r="M122" s="71">
        <f t="shared" ca="1" si="6"/>
        <v>5.319175596693194</v>
      </c>
      <c r="N122" s="65"/>
    </row>
    <row r="123" spans="1:14" x14ac:dyDescent="0.25">
      <c r="A123" s="2">
        <v>117</v>
      </c>
      <c r="B123" s="11">
        <f t="shared" ca="1" si="7"/>
        <v>1</v>
      </c>
      <c r="C123" s="26">
        <f t="shared" ca="1" si="8"/>
        <v>0.66053017433311922</v>
      </c>
      <c r="J123">
        <f t="shared" ca="1" si="9"/>
        <v>0</v>
      </c>
      <c r="K123">
        <f t="shared" ca="1" si="10"/>
        <v>0</v>
      </c>
      <c r="L123" s="65">
        <v>117</v>
      </c>
      <c r="M123" s="71">
        <f t="shared" ca="1" si="6"/>
        <v>4.2350959443564191</v>
      </c>
      <c r="N123" s="65"/>
    </row>
    <row r="124" spans="1:14" x14ac:dyDescent="0.25">
      <c r="A124" s="2">
        <v>118</v>
      </c>
      <c r="B124" s="11">
        <f t="shared" ca="1" si="7"/>
        <v>0</v>
      </c>
      <c r="C124" s="26">
        <f t="shared" ca="1" si="8"/>
        <v>0.92840138343645262</v>
      </c>
      <c r="J124">
        <f t="shared" ca="1" si="9"/>
        <v>0</v>
      </c>
      <c r="K124">
        <f t="shared" ca="1" si="10"/>
        <v>1</v>
      </c>
      <c r="L124" s="65">
        <v>118</v>
      </c>
      <c r="M124" s="71">
        <f t="shared" ca="1" si="6"/>
        <v>0</v>
      </c>
      <c r="N124" s="65"/>
    </row>
    <row r="125" spans="1:14" x14ac:dyDescent="0.25">
      <c r="A125" s="2">
        <v>119</v>
      </c>
      <c r="B125" s="11">
        <f t="shared" ca="1" si="7"/>
        <v>0</v>
      </c>
      <c r="C125" s="26">
        <f t="shared" ca="1" si="8"/>
        <v>0.59979555490398495</v>
      </c>
      <c r="J125">
        <f t="shared" ca="1" si="9"/>
        <v>0</v>
      </c>
      <c r="K125">
        <f t="shared" ca="1" si="10"/>
        <v>0</v>
      </c>
      <c r="L125" s="65">
        <v>119</v>
      </c>
      <c r="M125" s="71">
        <f t="shared" ca="1" si="6"/>
        <v>0</v>
      </c>
      <c r="N125" s="65"/>
    </row>
    <row r="126" spans="1:14" x14ac:dyDescent="0.25">
      <c r="A126" s="2">
        <v>120</v>
      </c>
      <c r="B126" s="11">
        <f t="shared" ca="1" si="7"/>
        <v>1</v>
      </c>
      <c r="C126" s="26">
        <f t="shared" ca="1" si="8"/>
        <v>0.3057777233439628</v>
      </c>
      <c r="J126">
        <f t="shared" ca="1" si="9"/>
        <v>1</v>
      </c>
      <c r="K126">
        <f t="shared" ca="1" si="10"/>
        <v>0</v>
      </c>
      <c r="L126" s="65">
        <v>120</v>
      </c>
      <c r="M126" s="71">
        <f t="shared" ca="1" si="6"/>
        <v>3.7218550478159749</v>
      </c>
      <c r="N126" s="65"/>
    </row>
    <row r="127" spans="1:14" x14ac:dyDescent="0.25">
      <c r="A127" s="2">
        <v>121</v>
      </c>
      <c r="B127" s="11">
        <f t="shared" ca="1" si="7"/>
        <v>1</v>
      </c>
      <c r="C127" s="26">
        <f t="shared" ca="1" si="8"/>
        <v>0.28417188900503565</v>
      </c>
      <c r="J127">
        <f t="shared" ca="1" si="9"/>
        <v>1</v>
      </c>
      <c r="K127">
        <f t="shared" ca="1" si="10"/>
        <v>0</v>
      </c>
      <c r="L127" s="65">
        <v>121</v>
      </c>
      <c r="M127" s="71">
        <f t="shared" ca="1" si="6"/>
        <v>1.2218082832621251</v>
      </c>
      <c r="N127" s="65"/>
    </row>
    <row r="128" spans="1:14" x14ac:dyDescent="0.25">
      <c r="A128" s="2">
        <v>122</v>
      </c>
      <c r="B128" s="11">
        <f t="shared" ca="1" si="7"/>
        <v>1</v>
      </c>
      <c r="C128" s="26">
        <f t="shared" ca="1" si="8"/>
        <v>0.10684919522207759</v>
      </c>
      <c r="J128">
        <f t="shared" ca="1" si="9"/>
        <v>1</v>
      </c>
      <c r="K128">
        <f t="shared" ca="1" si="10"/>
        <v>0</v>
      </c>
      <c r="L128" s="65">
        <v>122</v>
      </c>
      <c r="M128" s="71">
        <f t="shared" ca="1" si="6"/>
        <v>9.3573641897928394E-3</v>
      </c>
      <c r="N128" s="65"/>
    </row>
    <row r="129" spans="1:14" x14ac:dyDescent="0.25">
      <c r="A129" s="2">
        <v>123</v>
      </c>
      <c r="B129" s="11">
        <f t="shared" ca="1" si="7"/>
        <v>1</v>
      </c>
      <c r="C129" s="26">
        <f t="shared" ca="1" si="8"/>
        <v>0.66807169229599961</v>
      </c>
      <c r="J129">
        <f t="shared" ca="1" si="9"/>
        <v>0</v>
      </c>
      <c r="K129">
        <f t="shared" ca="1" si="10"/>
        <v>0</v>
      </c>
      <c r="L129" s="65">
        <v>123</v>
      </c>
      <c r="M129" s="71">
        <f t="shared" ca="1" si="6"/>
        <v>5.7185925262328947</v>
      </c>
      <c r="N129" s="65"/>
    </row>
    <row r="130" spans="1:14" x14ac:dyDescent="0.25">
      <c r="A130" s="2">
        <v>124</v>
      </c>
      <c r="B130" s="11">
        <f t="shared" ca="1" si="7"/>
        <v>0</v>
      </c>
      <c r="C130" s="26">
        <f t="shared" ca="1" si="8"/>
        <v>0.79424265222338652</v>
      </c>
      <c r="J130">
        <f t="shared" ca="1" si="9"/>
        <v>0</v>
      </c>
      <c r="K130">
        <f t="shared" ca="1" si="10"/>
        <v>1</v>
      </c>
      <c r="L130" s="65">
        <v>124</v>
      </c>
      <c r="M130" s="71">
        <f t="shared" ca="1" si="6"/>
        <v>0</v>
      </c>
      <c r="N130" s="65"/>
    </row>
    <row r="131" spans="1:14" x14ac:dyDescent="0.25">
      <c r="A131" s="2">
        <v>125</v>
      </c>
      <c r="B131" s="11">
        <f t="shared" ca="1" si="7"/>
        <v>0</v>
      </c>
      <c r="C131" s="26">
        <f t="shared" ca="1" si="8"/>
        <v>0.47067804941522939</v>
      </c>
      <c r="J131">
        <f t="shared" ca="1" si="9"/>
        <v>0</v>
      </c>
      <c r="K131">
        <f t="shared" ca="1" si="10"/>
        <v>1</v>
      </c>
      <c r="L131" s="65">
        <v>125</v>
      </c>
      <c r="M131" s="71">
        <f t="shared" ca="1" si="6"/>
        <v>0</v>
      </c>
      <c r="N131" s="65"/>
    </row>
    <row r="132" spans="1:14" x14ac:dyDescent="0.25">
      <c r="A132" s="2">
        <v>126</v>
      </c>
      <c r="B132" s="11">
        <f t="shared" ca="1" si="7"/>
        <v>0</v>
      </c>
      <c r="C132" s="26">
        <f t="shared" ca="1" si="8"/>
        <v>0.43731609011515593</v>
      </c>
      <c r="J132">
        <f t="shared" ca="1" si="9"/>
        <v>0</v>
      </c>
      <c r="K132">
        <f t="shared" ca="1" si="10"/>
        <v>1</v>
      </c>
      <c r="L132" s="65">
        <v>126</v>
      </c>
      <c r="M132" s="71">
        <f t="shared" ca="1" si="6"/>
        <v>0</v>
      </c>
      <c r="N132" s="65"/>
    </row>
    <row r="133" spans="1:14" x14ac:dyDescent="0.25">
      <c r="A133" s="2">
        <v>127</v>
      </c>
      <c r="B133" s="11">
        <f t="shared" ca="1" si="7"/>
        <v>0</v>
      </c>
      <c r="C133" s="26">
        <f t="shared" ca="1" si="8"/>
        <v>0.48215705636850525</v>
      </c>
      <c r="J133">
        <f t="shared" ca="1" si="9"/>
        <v>0</v>
      </c>
      <c r="K133">
        <f t="shared" ca="1" si="10"/>
        <v>1</v>
      </c>
      <c r="L133" s="65">
        <v>127</v>
      </c>
      <c r="M133" s="71">
        <f t="shared" ca="1" si="6"/>
        <v>0</v>
      </c>
      <c r="N133" s="65"/>
    </row>
    <row r="134" spans="1:14" x14ac:dyDescent="0.25">
      <c r="A134" s="2">
        <v>128</v>
      </c>
      <c r="B134" s="11">
        <f t="shared" ca="1" si="7"/>
        <v>0</v>
      </c>
      <c r="C134" s="26">
        <f t="shared" ca="1" si="8"/>
        <v>0.44953911826828363</v>
      </c>
      <c r="J134">
        <f t="shared" ca="1" si="9"/>
        <v>0</v>
      </c>
      <c r="K134">
        <f t="shared" ca="1" si="10"/>
        <v>0</v>
      </c>
      <c r="L134" s="65">
        <v>128</v>
      </c>
      <c r="M134" s="71">
        <f t="shared" ca="1" si="6"/>
        <v>0</v>
      </c>
      <c r="N134" s="65"/>
    </row>
    <row r="135" spans="1:14" x14ac:dyDescent="0.25">
      <c r="A135" s="2">
        <v>129</v>
      </c>
      <c r="B135" s="11">
        <f t="shared" ca="1" si="7"/>
        <v>1</v>
      </c>
      <c r="C135" s="26">
        <f t="shared" ca="1" si="8"/>
        <v>0.17118505738339995</v>
      </c>
      <c r="J135">
        <f t="shared" ca="1" si="9"/>
        <v>1</v>
      </c>
      <c r="K135">
        <f t="shared" ca="1" si="10"/>
        <v>0</v>
      </c>
      <c r="L135" s="65">
        <v>129</v>
      </c>
      <c r="M135" s="71">
        <f t="shared" ref="M135:M198" ca="1" si="11">IF(B135&gt;0,-LN(1-(RAND()))/lambda,0)</f>
        <v>3.0898409617039904</v>
      </c>
      <c r="N135" s="65"/>
    </row>
    <row r="136" spans="1:14" x14ac:dyDescent="0.25">
      <c r="A136" s="2">
        <v>130</v>
      </c>
      <c r="B136" s="11">
        <f t="shared" ref="B136:B199" ca="1" si="12">IF(B135&gt;0,IF(C136&lt;pww,1,0),IF(C136&lt;pdw,1,0))</f>
        <v>1</v>
      </c>
      <c r="C136" s="26">
        <f t="shared" ref="C136:C199" ca="1" si="13">RAND()</f>
        <v>0.17472273344626033</v>
      </c>
      <c r="J136">
        <f t="shared" ref="J136:J199" ca="1" si="14">IF(AND(B136,B137),1,0)</f>
        <v>0</v>
      </c>
      <c r="K136">
        <f t="shared" ref="K136:K199" ca="1" si="15">IF(AND(NOT(B136),NOT(B137)),1,0)</f>
        <v>0</v>
      </c>
      <c r="L136" s="65">
        <v>130</v>
      </c>
      <c r="M136" s="71">
        <f t="shared" ca="1" si="11"/>
        <v>1.6472239816382126</v>
      </c>
      <c r="N136" s="65"/>
    </row>
    <row r="137" spans="1:14" x14ac:dyDescent="0.25">
      <c r="A137" s="2">
        <v>131</v>
      </c>
      <c r="B137" s="11">
        <f t="shared" ca="1" si="12"/>
        <v>0</v>
      </c>
      <c r="C137" s="26">
        <f t="shared" ca="1" si="13"/>
        <v>0.86815766019070562</v>
      </c>
      <c r="J137">
        <f t="shared" ca="1" si="14"/>
        <v>0</v>
      </c>
      <c r="K137">
        <f t="shared" ca="1" si="15"/>
        <v>0</v>
      </c>
      <c r="L137" s="65">
        <v>131</v>
      </c>
      <c r="M137" s="71">
        <f t="shared" ca="1" si="11"/>
        <v>0</v>
      </c>
      <c r="N137" s="65"/>
    </row>
    <row r="138" spans="1:14" x14ac:dyDescent="0.25">
      <c r="A138" s="2">
        <v>132</v>
      </c>
      <c r="B138" s="11">
        <f t="shared" ca="1" si="12"/>
        <v>1</v>
      </c>
      <c r="C138" s="26">
        <f t="shared" ca="1" si="13"/>
        <v>0.13013307201124102</v>
      </c>
      <c r="J138">
        <f t="shared" ca="1" si="14"/>
        <v>1</v>
      </c>
      <c r="K138">
        <f t="shared" ca="1" si="15"/>
        <v>0</v>
      </c>
      <c r="L138" s="65">
        <v>132</v>
      </c>
      <c r="M138" s="71">
        <f t="shared" ca="1" si="11"/>
        <v>1.8253382462237653</v>
      </c>
      <c r="N138" s="65"/>
    </row>
    <row r="139" spans="1:14" x14ac:dyDescent="0.25">
      <c r="A139" s="2">
        <v>133</v>
      </c>
      <c r="B139" s="11">
        <f t="shared" ca="1" si="12"/>
        <v>1</v>
      </c>
      <c r="C139" s="26">
        <f t="shared" ca="1" si="13"/>
        <v>0.23857458678600507</v>
      </c>
      <c r="J139">
        <f t="shared" ca="1" si="14"/>
        <v>1</v>
      </c>
      <c r="K139">
        <f t="shared" ca="1" si="15"/>
        <v>0</v>
      </c>
      <c r="L139" s="65">
        <v>133</v>
      </c>
      <c r="M139" s="71">
        <f t="shared" ca="1" si="11"/>
        <v>8.1130632074001863</v>
      </c>
      <c r="N139" s="65"/>
    </row>
    <row r="140" spans="1:14" x14ac:dyDescent="0.25">
      <c r="A140" s="2">
        <v>134</v>
      </c>
      <c r="B140" s="11">
        <f t="shared" ca="1" si="12"/>
        <v>1</v>
      </c>
      <c r="C140" s="26">
        <f t="shared" ca="1" si="13"/>
        <v>0.62656034412200023</v>
      </c>
      <c r="J140">
        <f t="shared" ca="1" si="14"/>
        <v>1</v>
      </c>
      <c r="K140">
        <f t="shared" ca="1" si="15"/>
        <v>0</v>
      </c>
      <c r="L140" s="65">
        <v>134</v>
      </c>
      <c r="M140" s="71">
        <f t="shared" ca="1" si="11"/>
        <v>3.4138776180047268</v>
      </c>
      <c r="N140" s="65"/>
    </row>
    <row r="141" spans="1:14" x14ac:dyDescent="0.25">
      <c r="A141" s="2">
        <v>135</v>
      </c>
      <c r="B141" s="11">
        <f t="shared" ca="1" si="12"/>
        <v>1</v>
      </c>
      <c r="C141" s="26">
        <f t="shared" ca="1" si="13"/>
        <v>0.59603124319311473</v>
      </c>
      <c r="J141">
        <f t="shared" ca="1" si="14"/>
        <v>1</v>
      </c>
      <c r="K141">
        <f t="shared" ca="1" si="15"/>
        <v>0</v>
      </c>
      <c r="L141" s="65">
        <v>135</v>
      </c>
      <c r="M141" s="71">
        <f t="shared" ca="1" si="11"/>
        <v>0.47666312208216582</v>
      </c>
      <c r="N141" s="65"/>
    </row>
    <row r="142" spans="1:14" x14ac:dyDescent="0.25">
      <c r="A142" s="2">
        <v>136</v>
      </c>
      <c r="B142" s="11">
        <f t="shared" ca="1" si="12"/>
        <v>1</v>
      </c>
      <c r="C142" s="26">
        <f t="shared" ca="1" si="13"/>
        <v>0.69726032045076181</v>
      </c>
      <c r="J142">
        <f t="shared" ca="1" si="14"/>
        <v>0</v>
      </c>
      <c r="K142">
        <f t="shared" ca="1" si="15"/>
        <v>0</v>
      </c>
      <c r="L142" s="65">
        <v>136</v>
      </c>
      <c r="M142" s="71">
        <f t="shared" ca="1" si="11"/>
        <v>3.2437851439740553</v>
      </c>
      <c r="N142" s="65"/>
    </row>
    <row r="143" spans="1:14" x14ac:dyDescent="0.25">
      <c r="A143" s="2">
        <v>137</v>
      </c>
      <c r="B143" s="11">
        <f t="shared" ca="1" si="12"/>
        <v>0</v>
      </c>
      <c r="C143" s="26">
        <f t="shared" ca="1" si="13"/>
        <v>0.89093221169014258</v>
      </c>
      <c r="J143">
        <f t="shared" ca="1" si="14"/>
        <v>0</v>
      </c>
      <c r="K143">
        <f t="shared" ca="1" si="15"/>
        <v>1</v>
      </c>
      <c r="L143" s="65">
        <v>137</v>
      </c>
      <c r="M143" s="71">
        <f t="shared" ca="1" si="11"/>
        <v>0</v>
      </c>
      <c r="N143" s="65"/>
    </row>
    <row r="144" spans="1:14" x14ac:dyDescent="0.25">
      <c r="A144" s="2">
        <v>138</v>
      </c>
      <c r="B144" s="11">
        <f t="shared" ca="1" si="12"/>
        <v>0</v>
      </c>
      <c r="C144" s="26">
        <f t="shared" ca="1" si="13"/>
        <v>0.81088111392719608</v>
      </c>
      <c r="J144">
        <f t="shared" ca="1" si="14"/>
        <v>0</v>
      </c>
      <c r="K144">
        <f t="shared" ca="1" si="15"/>
        <v>1</v>
      </c>
      <c r="L144" s="65">
        <v>138</v>
      </c>
      <c r="M144" s="71">
        <f t="shared" ca="1" si="11"/>
        <v>0</v>
      </c>
      <c r="N144" s="65"/>
    </row>
    <row r="145" spans="1:14" x14ac:dyDescent="0.25">
      <c r="A145" s="2">
        <v>139</v>
      </c>
      <c r="B145" s="11">
        <f t="shared" ca="1" si="12"/>
        <v>0</v>
      </c>
      <c r="C145" s="26">
        <f t="shared" ca="1" si="13"/>
        <v>0.4252054176598965</v>
      </c>
      <c r="J145">
        <f t="shared" ca="1" si="14"/>
        <v>0</v>
      </c>
      <c r="K145">
        <f t="shared" ca="1" si="15"/>
        <v>0</v>
      </c>
      <c r="L145" s="65">
        <v>139</v>
      </c>
      <c r="M145" s="71">
        <f t="shared" ca="1" si="11"/>
        <v>0</v>
      </c>
      <c r="N145" s="65"/>
    </row>
    <row r="146" spans="1:14" x14ac:dyDescent="0.25">
      <c r="A146" s="2">
        <v>140</v>
      </c>
      <c r="B146" s="11">
        <f t="shared" ca="1" si="12"/>
        <v>1</v>
      </c>
      <c r="C146" s="26">
        <f t="shared" ca="1" si="13"/>
        <v>0.2861445175433367</v>
      </c>
      <c r="J146">
        <f t="shared" ca="1" si="14"/>
        <v>1</v>
      </c>
      <c r="K146">
        <f t="shared" ca="1" si="15"/>
        <v>0</v>
      </c>
      <c r="L146" s="65">
        <v>140</v>
      </c>
      <c r="M146" s="71">
        <f t="shared" ca="1" si="11"/>
        <v>0.31935142311525155</v>
      </c>
      <c r="N146" s="65"/>
    </row>
    <row r="147" spans="1:14" x14ac:dyDescent="0.25">
      <c r="A147" s="2">
        <v>141</v>
      </c>
      <c r="B147" s="11">
        <f t="shared" ca="1" si="12"/>
        <v>1</v>
      </c>
      <c r="C147" s="26">
        <f t="shared" ca="1" si="13"/>
        <v>0.57338668225574019</v>
      </c>
      <c r="J147">
        <f t="shared" ca="1" si="14"/>
        <v>1</v>
      </c>
      <c r="K147">
        <f t="shared" ca="1" si="15"/>
        <v>0</v>
      </c>
      <c r="L147" s="65">
        <v>141</v>
      </c>
      <c r="M147" s="71">
        <f t="shared" ca="1" si="11"/>
        <v>11.570204177981184</v>
      </c>
      <c r="N147" s="65"/>
    </row>
    <row r="148" spans="1:14" x14ac:dyDescent="0.25">
      <c r="A148" s="2">
        <v>142</v>
      </c>
      <c r="B148" s="11">
        <f t="shared" ca="1" si="12"/>
        <v>1</v>
      </c>
      <c r="C148" s="26">
        <f t="shared" ca="1" si="13"/>
        <v>0.15895194614304375</v>
      </c>
      <c r="J148">
        <f t="shared" ca="1" si="14"/>
        <v>1</v>
      </c>
      <c r="K148">
        <f t="shared" ca="1" si="15"/>
        <v>0</v>
      </c>
      <c r="L148" s="65">
        <v>142</v>
      </c>
      <c r="M148" s="71">
        <f t="shared" ca="1" si="11"/>
        <v>0.46028924493213286</v>
      </c>
      <c r="N148" s="65"/>
    </row>
    <row r="149" spans="1:14" x14ac:dyDescent="0.25">
      <c r="A149" s="2">
        <v>143</v>
      </c>
      <c r="B149" s="11">
        <f t="shared" ca="1" si="12"/>
        <v>1</v>
      </c>
      <c r="C149" s="26">
        <f t="shared" ca="1" si="13"/>
        <v>0.6504567456558159</v>
      </c>
      <c r="J149">
        <f t="shared" ca="1" si="14"/>
        <v>1</v>
      </c>
      <c r="K149">
        <f t="shared" ca="1" si="15"/>
        <v>0</v>
      </c>
      <c r="L149" s="65">
        <v>143</v>
      </c>
      <c r="M149" s="71">
        <f t="shared" ca="1" si="11"/>
        <v>8.7353493631049624</v>
      </c>
      <c r="N149" s="65"/>
    </row>
    <row r="150" spans="1:14" x14ac:dyDescent="0.25">
      <c r="A150" s="2">
        <v>144</v>
      </c>
      <c r="B150" s="11">
        <f t="shared" ca="1" si="12"/>
        <v>1</v>
      </c>
      <c r="C150" s="26">
        <f t="shared" ca="1" si="13"/>
        <v>0.5069539024470805</v>
      </c>
      <c r="J150">
        <f t="shared" ca="1" si="14"/>
        <v>0</v>
      </c>
      <c r="K150">
        <f t="shared" ca="1" si="15"/>
        <v>0</v>
      </c>
      <c r="L150" s="65">
        <v>144</v>
      </c>
      <c r="M150" s="71">
        <f t="shared" ca="1" si="11"/>
        <v>0.82299371607791938</v>
      </c>
      <c r="N150" s="65"/>
    </row>
    <row r="151" spans="1:14" x14ac:dyDescent="0.25">
      <c r="A151" s="2">
        <v>145</v>
      </c>
      <c r="B151" s="11">
        <f t="shared" ca="1" si="12"/>
        <v>0</v>
      </c>
      <c r="C151" s="26">
        <f t="shared" ca="1" si="13"/>
        <v>0.79511122974244353</v>
      </c>
      <c r="J151">
        <f t="shared" ca="1" si="14"/>
        <v>0</v>
      </c>
      <c r="K151">
        <f t="shared" ca="1" si="15"/>
        <v>1</v>
      </c>
      <c r="L151" s="65">
        <v>145</v>
      </c>
      <c r="M151" s="71">
        <f t="shared" ca="1" si="11"/>
        <v>0</v>
      </c>
      <c r="N151" s="65"/>
    </row>
    <row r="152" spans="1:14" x14ac:dyDescent="0.25">
      <c r="A152" s="2">
        <v>146</v>
      </c>
      <c r="B152" s="11">
        <f t="shared" ca="1" si="12"/>
        <v>0</v>
      </c>
      <c r="C152" s="26">
        <f t="shared" ca="1" si="13"/>
        <v>0.72715246711367454</v>
      </c>
      <c r="J152">
        <f t="shared" ca="1" si="14"/>
        <v>0</v>
      </c>
      <c r="K152">
        <f t="shared" ca="1" si="15"/>
        <v>0</v>
      </c>
      <c r="L152" s="65">
        <v>146</v>
      </c>
      <c r="M152" s="71">
        <f t="shared" ca="1" si="11"/>
        <v>0</v>
      </c>
      <c r="N152" s="65"/>
    </row>
    <row r="153" spans="1:14" x14ac:dyDescent="0.25">
      <c r="A153" s="2">
        <v>147</v>
      </c>
      <c r="B153" s="11">
        <f t="shared" ca="1" si="12"/>
        <v>1</v>
      </c>
      <c r="C153" s="26">
        <f t="shared" ca="1" si="13"/>
        <v>0.17595046927378843</v>
      </c>
      <c r="J153">
        <f t="shared" ca="1" si="14"/>
        <v>0</v>
      </c>
      <c r="K153">
        <f t="shared" ca="1" si="15"/>
        <v>0</v>
      </c>
      <c r="L153" s="65">
        <v>147</v>
      </c>
      <c r="M153" s="71">
        <f t="shared" ca="1" si="11"/>
        <v>6.3222696812928145</v>
      </c>
      <c r="N153" s="65"/>
    </row>
    <row r="154" spans="1:14" x14ac:dyDescent="0.25">
      <c r="A154" s="2">
        <v>148</v>
      </c>
      <c r="B154" s="11">
        <f t="shared" ca="1" si="12"/>
        <v>0</v>
      </c>
      <c r="C154" s="26">
        <f t="shared" ca="1" si="13"/>
        <v>0.9172293246404315</v>
      </c>
      <c r="J154">
        <f t="shared" ca="1" si="14"/>
        <v>0</v>
      </c>
      <c r="K154">
        <f t="shared" ca="1" si="15"/>
        <v>0</v>
      </c>
      <c r="L154" s="65">
        <v>148</v>
      </c>
      <c r="M154" s="71">
        <f t="shared" ca="1" si="11"/>
        <v>0</v>
      </c>
      <c r="N154" s="65"/>
    </row>
    <row r="155" spans="1:14" x14ac:dyDescent="0.25">
      <c r="A155" s="2">
        <v>149</v>
      </c>
      <c r="B155" s="11">
        <f t="shared" ca="1" si="12"/>
        <v>1</v>
      </c>
      <c r="C155" s="26">
        <f t="shared" ca="1" si="13"/>
        <v>9.2505222127972964E-2</v>
      </c>
      <c r="J155">
        <f t="shared" ca="1" si="14"/>
        <v>1</v>
      </c>
      <c r="K155">
        <f t="shared" ca="1" si="15"/>
        <v>0</v>
      </c>
      <c r="L155" s="65">
        <v>149</v>
      </c>
      <c r="M155" s="71">
        <f t="shared" ca="1" si="11"/>
        <v>3.7219510603777377</v>
      </c>
      <c r="N155" s="65"/>
    </row>
    <row r="156" spans="1:14" x14ac:dyDescent="0.25">
      <c r="A156" s="2">
        <v>150</v>
      </c>
      <c r="B156" s="11">
        <f t="shared" ca="1" si="12"/>
        <v>1</v>
      </c>
      <c r="C156" s="26">
        <f t="shared" ca="1" si="13"/>
        <v>0.66105541621100339</v>
      </c>
      <c r="J156">
        <f t="shared" ca="1" si="14"/>
        <v>1</v>
      </c>
      <c r="K156">
        <f t="shared" ca="1" si="15"/>
        <v>0</v>
      </c>
      <c r="L156" s="65">
        <v>150</v>
      </c>
      <c r="M156" s="71">
        <f t="shared" ca="1" si="11"/>
        <v>0.42826850675346656</v>
      </c>
      <c r="N156" s="65"/>
    </row>
    <row r="157" spans="1:14" x14ac:dyDescent="0.25">
      <c r="A157" s="2">
        <v>151</v>
      </c>
      <c r="B157" s="11">
        <f t="shared" ca="1" si="12"/>
        <v>1</v>
      </c>
      <c r="C157" s="26">
        <f t="shared" ca="1" si="13"/>
        <v>0.58306048888123241</v>
      </c>
      <c r="J157">
        <f t="shared" ca="1" si="14"/>
        <v>1</v>
      </c>
      <c r="K157">
        <f t="shared" ca="1" si="15"/>
        <v>0</v>
      </c>
      <c r="L157" s="65">
        <v>151</v>
      </c>
      <c r="M157" s="71">
        <f t="shared" ca="1" si="11"/>
        <v>8.1792732679980684</v>
      </c>
      <c r="N157" s="65"/>
    </row>
    <row r="158" spans="1:14" x14ac:dyDescent="0.25">
      <c r="A158" s="2">
        <v>152</v>
      </c>
      <c r="B158" s="11">
        <f t="shared" ca="1" si="12"/>
        <v>1</v>
      </c>
      <c r="C158" s="26">
        <f t="shared" ca="1" si="13"/>
        <v>0.29702819016317672</v>
      </c>
      <c r="J158">
        <f t="shared" ca="1" si="14"/>
        <v>1</v>
      </c>
      <c r="K158">
        <f t="shared" ca="1" si="15"/>
        <v>0</v>
      </c>
      <c r="L158" s="65">
        <v>152</v>
      </c>
      <c r="M158" s="71">
        <f t="shared" ca="1" si="11"/>
        <v>1.1053406572077129</v>
      </c>
      <c r="N158" s="65"/>
    </row>
    <row r="159" spans="1:14" x14ac:dyDescent="0.25">
      <c r="A159" s="2">
        <v>153</v>
      </c>
      <c r="B159" s="11">
        <f t="shared" ca="1" si="12"/>
        <v>1</v>
      </c>
      <c r="C159" s="26">
        <f t="shared" ca="1" si="13"/>
        <v>0.11199472040767888</v>
      </c>
      <c r="J159">
        <f t="shared" ca="1" si="14"/>
        <v>1</v>
      </c>
      <c r="K159">
        <f t="shared" ca="1" si="15"/>
        <v>0</v>
      </c>
      <c r="L159" s="65">
        <v>153</v>
      </c>
      <c r="M159" s="71">
        <f t="shared" ca="1" si="11"/>
        <v>5.4511401706979408</v>
      </c>
      <c r="N159" s="65"/>
    </row>
    <row r="160" spans="1:14" x14ac:dyDescent="0.25">
      <c r="A160" s="2">
        <v>154</v>
      </c>
      <c r="B160" s="11">
        <f t="shared" ca="1" si="12"/>
        <v>1</v>
      </c>
      <c r="C160" s="26">
        <f t="shared" ca="1" si="13"/>
        <v>0.68164287541443347</v>
      </c>
      <c r="J160">
        <f t="shared" ca="1" si="14"/>
        <v>1</v>
      </c>
      <c r="K160">
        <f t="shared" ca="1" si="15"/>
        <v>0</v>
      </c>
      <c r="L160" s="65">
        <v>154</v>
      </c>
      <c r="M160" s="71">
        <f t="shared" ca="1" si="11"/>
        <v>0.6257502692859177</v>
      </c>
      <c r="N160" s="65"/>
    </row>
    <row r="161" spans="1:14" x14ac:dyDescent="0.25">
      <c r="A161" s="2">
        <v>155</v>
      </c>
      <c r="B161" s="11">
        <f t="shared" ca="1" si="12"/>
        <v>1</v>
      </c>
      <c r="C161" s="26">
        <f t="shared" ca="1" si="13"/>
        <v>0.45803672834596709</v>
      </c>
      <c r="J161">
        <f t="shared" ca="1" si="14"/>
        <v>1</v>
      </c>
      <c r="K161">
        <f t="shared" ca="1" si="15"/>
        <v>0</v>
      </c>
      <c r="L161" s="65">
        <v>155</v>
      </c>
      <c r="M161" s="71">
        <f t="shared" ca="1" si="11"/>
        <v>0.67714283979341083</v>
      </c>
      <c r="N161" s="65"/>
    </row>
    <row r="162" spans="1:14" x14ac:dyDescent="0.25">
      <c r="A162" s="2">
        <v>156</v>
      </c>
      <c r="B162" s="11">
        <f t="shared" ca="1" si="12"/>
        <v>1</v>
      </c>
      <c r="C162" s="26">
        <f t="shared" ca="1" si="13"/>
        <v>0.28852694318205696</v>
      </c>
      <c r="J162">
        <f t="shared" ca="1" si="14"/>
        <v>0</v>
      </c>
      <c r="K162">
        <f t="shared" ca="1" si="15"/>
        <v>0</v>
      </c>
      <c r="L162" s="65">
        <v>156</v>
      </c>
      <c r="M162" s="71">
        <f t="shared" ca="1" si="11"/>
        <v>3.3670780784845582</v>
      </c>
      <c r="N162" s="65"/>
    </row>
    <row r="163" spans="1:14" x14ac:dyDescent="0.25">
      <c r="A163" s="2">
        <v>157</v>
      </c>
      <c r="B163" s="11">
        <f t="shared" ca="1" si="12"/>
        <v>0</v>
      </c>
      <c r="C163" s="26">
        <f t="shared" ca="1" si="13"/>
        <v>0.93395138030794789</v>
      </c>
      <c r="J163">
        <f t="shared" ca="1" si="14"/>
        <v>0</v>
      </c>
      <c r="K163">
        <f t="shared" ca="1" si="15"/>
        <v>0</v>
      </c>
      <c r="L163" s="65">
        <v>157</v>
      </c>
      <c r="M163" s="71">
        <f t="shared" ca="1" si="11"/>
        <v>0</v>
      </c>
      <c r="N163" s="65"/>
    </row>
    <row r="164" spans="1:14" x14ac:dyDescent="0.25">
      <c r="A164" s="2">
        <v>158</v>
      </c>
      <c r="B164" s="11">
        <f t="shared" ca="1" si="12"/>
        <v>1</v>
      </c>
      <c r="C164" s="26">
        <f t="shared" ca="1" si="13"/>
        <v>0.32927113811349307</v>
      </c>
      <c r="J164">
        <f t="shared" ca="1" si="14"/>
        <v>1</v>
      </c>
      <c r="K164">
        <f t="shared" ca="1" si="15"/>
        <v>0</v>
      </c>
      <c r="L164" s="65">
        <v>158</v>
      </c>
      <c r="M164" s="71">
        <f t="shared" ca="1" si="11"/>
        <v>1.2557571461568928</v>
      </c>
      <c r="N164" s="65"/>
    </row>
    <row r="165" spans="1:14" x14ac:dyDescent="0.25">
      <c r="A165" s="2">
        <v>159</v>
      </c>
      <c r="B165" s="11">
        <f t="shared" ca="1" si="12"/>
        <v>1</v>
      </c>
      <c r="C165" s="26">
        <f t="shared" ca="1" si="13"/>
        <v>3.9980710598596203E-2</v>
      </c>
      <c r="J165">
        <f t="shared" ca="1" si="14"/>
        <v>0</v>
      </c>
      <c r="K165">
        <f t="shared" ca="1" si="15"/>
        <v>0</v>
      </c>
      <c r="L165" s="65">
        <v>159</v>
      </c>
      <c r="M165" s="71">
        <f t="shared" ca="1" si="11"/>
        <v>2.3354051742421942</v>
      </c>
      <c r="N165" s="65"/>
    </row>
    <row r="166" spans="1:14" x14ac:dyDescent="0.25">
      <c r="A166" s="2">
        <v>160</v>
      </c>
      <c r="B166" s="11">
        <f t="shared" ca="1" si="12"/>
        <v>0</v>
      </c>
      <c r="C166" s="26">
        <f t="shared" ca="1" si="13"/>
        <v>0.84681599149690689</v>
      </c>
      <c r="J166">
        <f t="shared" ca="1" si="14"/>
        <v>0</v>
      </c>
      <c r="K166">
        <f t="shared" ca="1" si="15"/>
        <v>1</v>
      </c>
      <c r="L166" s="65">
        <v>160</v>
      </c>
      <c r="M166" s="71">
        <f t="shared" ca="1" si="11"/>
        <v>0</v>
      </c>
      <c r="N166" s="65"/>
    </row>
    <row r="167" spans="1:14" x14ac:dyDescent="0.25">
      <c r="A167" s="2">
        <v>161</v>
      </c>
      <c r="B167" s="11">
        <f t="shared" ca="1" si="12"/>
        <v>0</v>
      </c>
      <c r="C167" s="26">
        <f t="shared" ca="1" si="13"/>
        <v>0.85587257488472646</v>
      </c>
      <c r="J167">
        <f t="shared" ca="1" si="14"/>
        <v>0</v>
      </c>
      <c r="K167">
        <f t="shared" ca="1" si="15"/>
        <v>1</v>
      </c>
      <c r="L167" s="65">
        <v>161</v>
      </c>
      <c r="M167" s="71">
        <f t="shared" ca="1" si="11"/>
        <v>0</v>
      </c>
      <c r="N167" s="65"/>
    </row>
    <row r="168" spans="1:14" x14ac:dyDescent="0.25">
      <c r="A168" s="2">
        <v>162</v>
      </c>
      <c r="B168" s="11">
        <f t="shared" ca="1" si="12"/>
        <v>0</v>
      </c>
      <c r="C168" s="26">
        <f t="shared" ca="1" si="13"/>
        <v>0.51492788736474515</v>
      </c>
      <c r="J168">
        <f t="shared" ca="1" si="14"/>
        <v>0</v>
      </c>
      <c r="K168">
        <f t="shared" ca="1" si="15"/>
        <v>0</v>
      </c>
      <c r="L168" s="65">
        <v>162</v>
      </c>
      <c r="M168" s="71">
        <f t="shared" ca="1" si="11"/>
        <v>0</v>
      </c>
      <c r="N168" s="65"/>
    </row>
    <row r="169" spans="1:14" x14ac:dyDescent="0.25">
      <c r="A169" s="2">
        <v>163</v>
      </c>
      <c r="B169" s="11">
        <f t="shared" ca="1" si="12"/>
        <v>1</v>
      </c>
      <c r="C169" s="26">
        <f t="shared" ca="1" si="13"/>
        <v>0.124232423233825</v>
      </c>
      <c r="J169">
        <f t="shared" ca="1" si="14"/>
        <v>0</v>
      </c>
      <c r="K169">
        <f t="shared" ca="1" si="15"/>
        <v>0</v>
      </c>
      <c r="L169" s="65">
        <v>163</v>
      </c>
      <c r="M169" s="71">
        <f t="shared" ca="1" si="11"/>
        <v>3.2725365764127492</v>
      </c>
      <c r="N169" s="65"/>
    </row>
    <row r="170" spans="1:14" x14ac:dyDescent="0.25">
      <c r="A170" s="2">
        <v>164</v>
      </c>
      <c r="B170" s="11">
        <f t="shared" ca="1" si="12"/>
        <v>0</v>
      </c>
      <c r="C170" s="26">
        <f t="shared" ca="1" si="13"/>
        <v>0.83007146803159826</v>
      </c>
      <c r="J170">
        <f t="shared" ca="1" si="14"/>
        <v>0</v>
      </c>
      <c r="K170">
        <f t="shared" ca="1" si="15"/>
        <v>0</v>
      </c>
      <c r="L170" s="65">
        <v>164</v>
      </c>
      <c r="M170" s="71">
        <f t="shared" ca="1" si="11"/>
        <v>0</v>
      </c>
      <c r="N170" s="65"/>
    </row>
    <row r="171" spans="1:14" x14ac:dyDescent="0.25">
      <c r="A171" s="2">
        <v>165</v>
      </c>
      <c r="B171" s="11">
        <f t="shared" ca="1" si="12"/>
        <v>1</v>
      </c>
      <c r="C171" s="26">
        <f t="shared" ca="1" si="13"/>
        <v>8.3376824361443225E-2</v>
      </c>
      <c r="J171">
        <f t="shared" ca="1" si="14"/>
        <v>0</v>
      </c>
      <c r="K171">
        <f t="shared" ca="1" si="15"/>
        <v>0</v>
      </c>
      <c r="L171" s="65">
        <v>165</v>
      </c>
      <c r="M171" s="71">
        <f t="shared" ca="1" si="11"/>
        <v>0.61536707107063737</v>
      </c>
      <c r="N171" s="65"/>
    </row>
    <row r="172" spans="1:14" x14ac:dyDescent="0.25">
      <c r="A172" s="2">
        <v>166</v>
      </c>
      <c r="B172" s="11">
        <f t="shared" ca="1" si="12"/>
        <v>0</v>
      </c>
      <c r="C172" s="26">
        <f t="shared" ca="1" si="13"/>
        <v>0.85296586809375396</v>
      </c>
      <c r="J172">
        <f t="shared" ca="1" si="14"/>
        <v>0</v>
      </c>
      <c r="K172">
        <f t="shared" ca="1" si="15"/>
        <v>0</v>
      </c>
      <c r="L172" s="65">
        <v>166</v>
      </c>
      <c r="M172" s="71">
        <f t="shared" ca="1" si="11"/>
        <v>0</v>
      </c>
      <c r="N172" s="65"/>
    </row>
    <row r="173" spans="1:14" x14ac:dyDescent="0.25">
      <c r="A173" s="2">
        <v>167</v>
      </c>
      <c r="B173" s="11">
        <f t="shared" ca="1" si="12"/>
        <v>1</v>
      </c>
      <c r="C173" s="26">
        <f t="shared" ca="1" si="13"/>
        <v>0.27332321507639878</v>
      </c>
      <c r="J173">
        <f t="shared" ca="1" si="14"/>
        <v>1</v>
      </c>
      <c r="K173">
        <f t="shared" ca="1" si="15"/>
        <v>0</v>
      </c>
      <c r="L173" s="65">
        <v>167</v>
      </c>
      <c r="M173" s="71">
        <f t="shared" ca="1" si="11"/>
        <v>1.3695101086131167</v>
      </c>
      <c r="N173" s="65"/>
    </row>
    <row r="174" spans="1:14" x14ac:dyDescent="0.25">
      <c r="A174" s="2">
        <v>168</v>
      </c>
      <c r="B174" s="11">
        <f t="shared" ca="1" si="12"/>
        <v>1</v>
      </c>
      <c r="C174" s="26">
        <f t="shared" ca="1" si="13"/>
        <v>0.29720718649218481</v>
      </c>
      <c r="J174">
        <f t="shared" ca="1" si="14"/>
        <v>1</v>
      </c>
      <c r="K174">
        <f t="shared" ca="1" si="15"/>
        <v>0</v>
      </c>
      <c r="L174" s="65">
        <v>168</v>
      </c>
      <c r="M174" s="71">
        <f t="shared" ca="1" si="11"/>
        <v>1.550773209613018</v>
      </c>
      <c r="N174" s="65"/>
    </row>
    <row r="175" spans="1:14" x14ac:dyDescent="0.25">
      <c r="A175" s="2">
        <v>169</v>
      </c>
      <c r="B175" s="11">
        <f t="shared" ca="1" si="12"/>
        <v>1</v>
      </c>
      <c r="C175" s="26">
        <f t="shared" ca="1" si="13"/>
        <v>8.6275083119253915E-2</v>
      </c>
      <c r="J175">
        <f t="shared" ca="1" si="14"/>
        <v>0</v>
      </c>
      <c r="K175">
        <f t="shared" ca="1" si="15"/>
        <v>0</v>
      </c>
      <c r="L175" s="65">
        <v>169</v>
      </c>
      <c r="M175" s="71">
        <f t="shared" ca="1" si="11"/>
        <v>3.0376309282942122</v>
      </c>
      <c r="N175" s="65"/>
    </row>
    <row r="176" spans="1:14" x14ac:dyDescent="0.25">
      <c r="A176" s="2">
        <v>170</v>
      </c>
      <c r="B176" s="11">
        <f t="shared" ca="1" si="12"/>
        <v>0</v>
      </c>
      <c r="C176" s="26">
        <f t="shared" ca="1" si="13"/>
        <v>0.99648918394179165</v>
      </c>
      <c r="J176">
        <f t="shared" ca="1" si="14"/>
        <v>0</v>
      </c>
      <c r="K176">
        <f t="shared" ca="1" si="15"/>
        <v>1</v>
      </c>
      <c r="L176" s="65">
        <v>170</v>
      </c>
      <c r="M176" s="71">
        <f t="shared" ca="1" si="11"/>
        <v>0</v>
      </c>
      <c r="N176" s="65"/>
    </row>
    <row r="177" spans="1:14" x14ac:dyDescent="0.25">
      <c r="A177" s="2">
        <v>171</v>
      </c>
      <c r="B177" s="11">
        <f t="shared" ca="1" si="12"/>
        <v>0</v>
      </c>
      <c r="C177" s="26">
        <f t="shared" ca="1" si="13"/>
        <v>0.77784329176610589</v>
      </c>
      <c r="J177">
        <f t="shared" ca="1" si="14"/>
        <v>0</v>
      </c>
      <c r="K177">
        <f t="shared" ca="1" si="15"/>
        <v>1</v>
      </c>
      <c r="L177" s="65">
        <v>171</v>
      </c>
      <c r="M177" s="71">
        <f t="shared" ca="1" si="11"/>
        <v>0</v>
      </c>
      <c r="N177" s="65"/>
    </row>
    <row r="178" spans="1:14" x14ac:dyDescent="0.25">
      <c r="A178" s="2">
        <v>172</v>
      </c>
      <c r="B178" s="11">
        <f t="shared" ca="1" si="12"/>
        <v>0</v>
      </c>
      <c r="C178" s="26">
        <f t="shared" ca="1" si="13"/>
        <v>0.65883162777284077</v>
      </c>
      <c r="J178">
        <f t="shared" ca="1" si="14"/>
        <v>0</v>
      </c>
      <c r="K178">
        <f t="shared" ca="1" si="15"/>
        <v>1</v>
      </c>
      <c r="L178" s="65">
        <v>172</v>
      </c>
      <c r="M178" s="71">
        <f t="shared" ca="1" si="11"/>
        <v>0</v>
      </c>
      <c r="N178" s="65"/>
    </row>
    <row r="179" spans="1:14" x14ac:dyDescent="0.25">
      <c r="A179" s="2">
        <v>173</v>
      </c>
      <c r="B179" s="11">
        <f t="shared" ca="1" si="12"/>
        <v>0</v>
      </c>
      <c r="C179" s="26">
        <f t="shared" ca="1" si="13"/>
        <v>0.94351064876418522</v>
      </c>
      <c r="J179">
        <f t="shared" ca="1" si="14"/>
        <v>0</v>
      </c>
      <c r="K179">
        <f t="shared" ca="1" si="15"/>
        <v>0</v>
      </c>
      <c r="L179" s="65">
        <v>173</v>
      </c>
      <c r="M179" s="71">
        <f t="shared" ca="1" si="11"/>
        <v>0</v>
      </c>
      <c r="N179" s="65"/>
    </row>
    <row r="180" spans="1:14" x14ac:dyDescent="0.25">
      <c r="A180" s="2">
        <v>174</v>
      </c>
      <c r="B180" s="11">
        <f t="shared" ca="1" si="12"/>
        <v>1</v>
      </c>
      <c r="C180" s="26">
        <f t="shared" ca="1" si="13"/>
        <v>8.6699167383942677E-2</v>
      </c>
      <c r="J180">
        <f t="shared" ca="1" si="14"/>
        <v>1</v>
      </c>
      <c r="K180">
        <f t="shared" ca="1" si="15"/>
        <v>0</v>
      </c>
      <c r="L180" s="65">
        <v>174</v>
      </c>
      <c r="M180" s="71">
        <f t="shared" ca="1" si="11"/>
        <v>3.5620752056405363</v>
      </c>
      <c r="N180" s="65"/>
    </row>
    <row r="181" spans="1:14" x14ac:dyDescent="0.25">
      <c r="A181" s="2">
        <v>175</v>
      </c>
      <c r="B181" s="11">
        <f t="shared" ca="1" si="12"/>
        <v>1</v>
      </c>
      <c r="C181" s="26">
        <f t="shared" ca="1" si="13"/>
        <v>0.55771413197836772</v>
      </c>
      <c r="J181">
        <f t="shared" ca="1" si="14"/>
        <v>1</v>
      </c>
      <c r="K181">
        <f t="shared" ca="1" si="15"/>
        <v>0</v>
      </c>
      <c r="L181" s="65">
        <v>175</v>
      </c>
      <c r="M181" s="71">
        <f t="shared" ca="1" si="11"/>
        <v>0.16443831400885392</v>
      </c>
      <c r="N181" s="65"/>
    </row>
    <row r="182" spans="1:14" x14ac:dyDescent="0.25">
      <c r="A182" s="2">
        <v>176</v>
      </c>
      <c r="B182" s="11">
        <f t="shared" ca="1" si="12"/>
        <v>1</v>
      </c>
      <c r="C182" s="26">
        <f t="shared" ca="1" si="13"/>
        <v>0.13250641117656603</v>
      </c>
      <c r="J182">
        <f t="shared" ca="1" si="14"/>
        <v>0</v>
      </c>
      <c r="K182">
        <f t="shared" ca="1" si="15"/>
        <v>0</v>
      </c>
      <c r="L182" s="65">
        <v>176</v>
      </c>
      <c r="M182" s="71">
        <f t="shared" ca="1" si="11"/>
        <v>1.3263734898743866</v>
      </c>
      <c r="N182" s="65"/>
    </row>
    <row r="183" spans="1:14" x14ac:dyDescent="0.25">
      <c r="A183" s="2">
        <v>177</v>
      </c>
      <c r="B183" s="11">
        <f t="shared" ca="1" si="12"/>
        <v>0</v>
      </c>
      <c r="C183" s="26">
        <f t="shared" ca="1" si="13"/>
        <v>0.80019888323431121</v>
      </c>
      <c r="J183">
        <f t="shared" ca="1" si="14"/>
        <v>0</v>
      </c>
      <c r="K183">
        <f t="shared" ca="1" si="15"/>
        <v>1</v>
      </c>
      <c r="L183" s="65">
        <v>177</v>
      </c>
      <c r="M183" s="71">
        <f t="shared" ca="1" si="11"/>
        <v>0</v>
      </c>
      <c r="N183" s="65"/>
    </row>
    <row r="184" spans="1:14" x14ac:dyDescent="0.25">
      <c r="A184" s="2">
        <v>178</v>
      </c>
      <c r="B184" s="11">
        <f t="shared" ca="1" si="12"/>
        <v>0</v>
      </c>
      <c r="C184" s="26">
        <f t="shared" ca="1" si="13"/>
        <v>0.7153882638784409</v>
      </c>
      <c r="J184">
        <f t="shared" ca="1" si="14"/>
        <v>0</v>
      </c>
      <c r="K184">
        <f t="shared" ca="1" si="15"/>
        <v>1</v>
      </c>
      <c r="L184" s="65">
        <v>178</v>
      </c>
      <c r="M184" s="71">
        <f t="shared" ca="1" si="11"/>
        <v>0</v>
      </c>
      <c r="N184" s="65"/>
    </row>
    <row r="185" spans="1:14" x14ac:dyDescent="0.25">
      <c r="A185" s="2">
        <v>179</v>
      </c>
      <c r="B185" s="11">
        <f t="shared" ca="1" si="12"/>
        <v>0</v>
      </c>
      <c r="C185" s="26">
        <f t="shared" ca="1" si="13"/>
        <v>0.8838192058678912</v>
      </c>
      <c r="J185">
        <f t="shared" ca="1" si="14"/>
        <v>0</v>
      </c>
      <c r="K185">
        <f t="shared" ca="1" si="15"/>
        <v>0</v>
      </c>
      <c r="L185" s="65">
        <v>179</v>
      </c>
      <c r="M185" s="71">
        <f t="shared" ca="1" si="11"/>
        <v>0</v>
      </c>
      <c r="N185" s="65"/>
    </row>
    <row r="186" spans="1:14" x14ac:dyDescent="0.25">
      <c r="A186" s="2">
        <v>180</v>
      </c>
      <c r="B186" s="11">
        <f t="shared" ca="1" si="12"/>
        <v>1</v>
      </c>
      <c r="C186" s="26">
        <f t="shared" ca="1" si="13"/>
        <v>0.3570837300416444</v>
      </c>
      <c r="J186">
        <f t="shared" ca="1" si="14"/>
        <v>1</v>
      </c>
      <c r="K186">
        <f t="shared" ca="1" si="15"/>
        <v>0</v>
      </c>
      <c r="L186" s="65">
        <v>180</v>
      </c>
      <c r="M186" s="71">
        <f t="shared" ca="1" si="11"/>
        <v>3.6174541690452173</v>
      </c>
      <c r="N186" s="65"/>
    </row>
    <row r="187" spans="1:14" x14ac:dyDescent="0.25">
      <c r="A187" s="2">
        <v>181</v>
      </c>
      <c r="B187" s="11">
        <f t="shared" ca="1" si="12"/>
        <v>1</v>
      </c>
      <c r="C187" s="26">
        <f t="shared" ca="1" si="13"/>
        <v>0.60312690039268124</v>
      </c>
      <c r="J187">
        <f t="shared" ca="1" si="14"/>
        <v>1</v>
      </c>
      <c r="K187">
        <f t="shared" ca="1" si="15"/>
        <v>0</v>
      </c>
      <c r="L187" s="65">
        <v>181</v>
      </c>
      <c r="M187" s="71">
        <f t="shared" ca="1" si="11"/>
        <v>1.6162274924067528</v>
      </c>
      <c r="N187" s="65"/>
    </row>
    <row r="188" spans="1:14" x14ac:dyDescent="0.25">
      <c r="A188" s="2">
        <v>182</v>
      </c>
      <c r="B188" s="11">
        <f t="shared" ca="1" si="12"/>
        <v>1</v>
      </c>
      <c r="C188" s="26">
        <f t="shared" ca="1" si="13"/>
        <v>0.49040699754660677</v>
      </c>
      <c r="J188">
        <f t="shared" ca="1" si="14"/>
        <v>1</v>
      </c>
      <c r="K188">
        <f t="shared" ca="1" si="15"/>
        <v>0</v>
      </c>
      <c r="L188" s="65">
        <v>182</v>
      </c>
      <c r="M188" s="71">
        <f t="shared" ca="1" si="11"/>
        <v>1.6864162093219619</v>
      </c>
      <c r="N188" s="65"/>
    </row>
    <row r="189" spans="1:14" x14ac:dyDescent="0.25">
      <c r="A189" s="2">
        <v>183</v>
      </c>
      <c r="B189" s="11">
        <f t="shared" ca="1" si="12"/>
        <v>1</v>
      </c>
      <c r="C189" s="26">
        <f t="shared" ca="1" si="13"/>
        <v>0.65279895787696818</v>
      </c>
      <c r="J189">
        <f t="shared" ca="1" si="14"/>
        <v>1</v>
      </c>
      <c r="K189">
        <f t="shared" ca="1" si="15"/>
        <v>0</v>
      </c>
      <c r="L189" s="65">
        <v>183</v>
      </c>
      <c r="M189" s="71">
        <f t="shared" ca="1" si="11"/>
        <v>4.1904183850422649</v>
      </c>
      <c r="N189" s="65"/>
    </row>
    <row r="190" spans="1:14" x14ac:dyDescent="0.25">
      <c r="A190" s="2">
        <v>184</v>
      </c>
      <c r="B190" s="11">
        <f t="shared" ca="1" si="12"/>
        <v>1</v>
      </c>
      <c r="C190" s="26">
        <f t="shared" ca="1" si="13"/>
        <v>0.37392732012858021</v>
      </c>
      <c r="J190">
        <f t="shared" ca="1" si="14"/>
        <v>1</v>
      </c>
      <c r="K190">
        <f t="shared" ca="1" si="15"/>
        <v>0</v>
      </c>
      <c r="L190" s="65">
        <v>184</v>
      </c>
      <c r="M190" s="71">
        <f t="shared" ca="1" si="11"/>
        <v>1.2191491381013449E-2</v>
      </c>
      <c r="N190" s="65"/>
    </row>
    <row r="191" spans="1:14" x14ac:dyDescent="0.25">
      <c r="A191" s="2">
        <v>185</v>
      </c>
      <c r="B191" s="11">
        <f t="shared" ca="1" si="12"/>
        <v>1</v>
      </c>
      <c r="C191" s="26">
        <f t="shared" ca="1" si="13"/>
        <v>0.12562115364464188</v>
      </c>
      <c r="J191">
        <f t="shared" ca="1" si="14"/>
        <v>1</v>
      </c>
      <c r="K191">
        <f t="shared" ca="1" si="15"/>
        <v>0</v>
      </c>
      <c r="L191" s="65">
        <v>185</v>
      </c>
      <c r="M191" s="71">
        <f t="shared" ca="1" si="11"/>
        <v>2.0831527478111491</v>
      </c>
      <c r="N191" s="65"/>
    </row>
    <row r="192" spans="1:14" x14ac:dyDescent="0.25">
      <c r="A192" s="2">
        <v>186</v>
      </c>
      <c r="B192" s="11">
        <f t="shared" ca="1" si="12"/>
        <v>1</v>
      </c>
      <c r="C192" s="26">
        <f t="shared" ca="1" si="13"/>
        <v>0.47377237309165643</v>
      </c>
      <c r="J192">
        <f t="shared" ca="1" si="14"/>
        <v>1</v>
      </c>
      <c r="K192">
        <f t="shared" ca="1" si="15"/>
        <v>0</v>
      </c>
      <c r="L192" s="65">
        <v>186</v>
      </c>
      <c r="M192" s="71">
        <f t="shared" ca="1" si="11"/>
        <v>3.5201027613880527</v>
      </c>
      <c r="N192" s="65"/>
    </row>
    <row r="193" spans="1:14" x14ac:dyDescent="0.25">
      <c r="A193" s="2">
        <v>187</v>
      </c>
      <c r="B193" s="11">
        <f t="shared" ca="1" si="12"/>
        <v>1</v>
      </c>
      <c r="C193" s="26">
        <f t="shared" ca="1" si="13"/>
        <v>0.64610546818566239</v>
      </c>
      <c r="J193">
        <f t="shared" ca="1" si="14"/>
        <v>1</v>
      </c>
      <c r="K193">
        <f t="shared" ca="1" si="15"/>
        <v>0</v>
      </c>
      <c r="L193" s="65">
        <v>187</v>
      </c>
      <c r="M193" s="71">
        <f t="shared" ca="1" si="11"/>
        <v>0.34946019830635355</v>
      </c>
      <c r="N193" s="65"/>
    </row>
    <row r="194" spans="1:14" x14ac:dyDescent="0.25">
      <c r="A194" s="2">
        <v>188</v>
      </c>
      <c r="B194" s="11">
        <f t="shared" ca="1" si="12"/>
        <v>1</v>
      </c>
      <c r="C194" s="26">
        <f t="shared" ca="1" si="13"/>
        <v>2.3708180297474124E-2</v>
      </c>
      <c r="J194">
        <f t="shared" ca="1" si="14"/>
        <v>0</v>
      </c>
      <c r="K194">
        <f t="shared" ca="1" si="15"/>
        <v>0</v>
      </c>
      <c r="L194" s="65">
        <v>188</v>
      </c>
      <c r="M194" s="71">
        <f t="shared" ca="1" si="11"/>
        <v>2.821607058259738E-3</v>
      </c>
      <c r="N194" s="65"/>
    </row>
    <row r="195" spans="1:14" x14ac:dyDescent="0.25">
      <c r="A195" s="2">
        <v>189</v>
      </c>
      <c r="B195" s="11">
        <f t="shared" ca="1" si="12"/>
        <v>0</v>
      </c>
      <c r="C195" s="26">
        <f t="shared" ca="1" si="13"/>
        <v>0.83828460390006665</v>
      </c>
      <c r="J195">
        <f t="shared" ca="1" si="14"/>
        <v>0</v>
      </c>
      <c r="K195">
        <f t="shared" ca="1" si="15"/>
        <v>1</v>
      </c>
      <c r="L195" s="65">
        <v>189</v>
      </c>
      <c r="M195" s="71">
        <f t="shared" ca="1" si="11"/>
        <v>0</v>
      </c>
      <c r="N195" s="65"/>
    </row>
    <row r="196" spans="1:14" x14ac:dyDescent="0.25">
      <c r="A196" s="2">
        <v>190</v>
      </c>
      <c r="B196" s="11">
        <f t="shared" ca="1" si="12"/>
        <v>0</v>
      </c>
      <c r="C196" s="26">
        <f t="shared" ca="1" si="13"/>
        <v>0.84839699684471614</v>
      </c>
      <c r="J196">
        <f t="shared" ca="1" si="14"/>
        <v>0</v>
      </c>
      <c r="K196">
        <f t="shared" ca="1" si="15"/>
        <v>0</v>
      </c>
      <c r="L196" s="65">
        <v>190</v>
      </c>
      <c r="M196" s="71">
        <f t="shared" ca="1" si="11"/>
        <v>0</v>
      </c>
      <c r="N196" s="65"/>
    </row>
    <row r="197" spans="1:14" x14ac:dyDescent="0.25">
      <c r="A197" s="2">
        <v>191</v>
      </c>
      <c r="B197" s="11">
        <f t="shared" ca="1" si="12"/>
        <v>1</v>
      </c>
      <c r="C197" s="26">
        <f t="shared" ca="1" si="13"/>
        <v>0.35336809078495002</v>
      </c>
      <c r="J197">
        <f t="shared" ca="1" si="14"/>
        <v>1</v>
      </c>
      <c r="K197">
        <f t="shared" ca="1" si="15"/>
        <v>0</v>
      </c>
      <c r="L197" s="65">
        <v>191</v>
      </c>
      <c r="M197" s="71">
        <f t="shared" ca="1" si="11"/>
        <v>2.3557686250842602</v>
      </c>
      <c r="N197" s="65"/>
    </row>
    <row r="198" spans="1:14" x14ac:dyDescent="0.25">
      <c r="A198" s="2">
        <v>192</v>
      </c>
      <c r="B198" s="11">
        <f t="shared" ca="1" si="12"/>
        <v>1</v>
      </c>
      <c r="C198" s="26">
        <f t="shared" ca="1" si="13"/>
        <v>0.71293178019580972</v>
      </c>
      <c r="J198">
        <f t="shared" ca="1" si="14"/>
        <v>1</v>
      </c>
      <c r="K198">
        <f t="shared" ca="1" si="15"/>
        <v>0</v>
      </c>
      <c r="L198" s="65">
        <v>192</v>
      </c>
      <c r="M198" s="71">
        <f t="shared" ca="1" si="11"/>
        <v>1.988734235102964</v>
      </c>
      <c r="N198" s="65"/>
    </row>
    <row r="199" spans="1:14" x14ac:dyDescent="0.25">
      <c r="A199" s="2">
        <v>193</v>
      </c>
      <c r="B199" s="11">
        <f t="shared" ca="1" si="12"/>
        <v>1</v>
      </c>
      <c r="C199" s="26">
        <f t="shared" ca="1" si="13"/>
        <v>1.8560388322056642E-2</v>
      </c>
      <c r="J199">
        <f t="shared" ca="1" si="14"/>
        <v>1</v>
      </c>
      <c r="K199">
        <f t="shared" ca="1" si="15"/>
        <v>0</v>
      </c>
      <c r="L199" s="65">
        <v>193</v>
      </c>
      <c r="M199" s="71">
        <f t="shared" ref="M199:M262" ca="1" si="16">IF(B199&gt;0,-LN(1-(RAND()))/lambda,0)</f>
        <v>3.3965772141397599</v>
      </c>
      <c r="N199" s="65"/>
    </row>
    <row r="200" spans="1:14" x14ac:dyDescent="0.25">
      <c r="A200" s="2">
        <v>194</v>
      </c>
      <c r="B200" s="11">
        <f t="shared" ref="B200:B263" ca="1" si="17">IF(B199&gt;0,IF(C200&lt;pww,1,0),IF(C200&lt;pdw,1,0))</f>
        <v>1</v>
      </c>
      <c r="C200" s="26">
        <f t="shared" ref="C200:C263" ca="1" si="18">RAND()</f>
        <v>0.7160805594187778</v>
      </c>
      <c r="J200">
        <f t="shared" ref="J200:J263" ca="1" si="19">IF(AND(B200,B201),1,0)</f>
        <v>1</v>
      </c>
      <c r="K200">
        <f t="shared" ref="K200:K263" ca="1" si="20">IF(AND(NOT(B200),NOT(B201)),1,0)</f>
        <v>0</v>
      </c>
      <c r="L200" s="65">
        <v>194</v>
      </c>
      <c r="M200" s="71">
        <f t="shared" ca="1" si="16"/>
        <v>14.811043543550603</v>
      </c>
      <c r="N200" s="65"/>
    </row>
    <row r="201" spans="1:14" x14ac:dyDescent="0.25">
      <c r="A201" s="2">
        <v>195</v>
      </c>
      <c r="B201" s="11">
        <f t="shared" ca="1" si="17"/>
        <v>1</v>
      </c>
      <c r="C201" s="26">
        <f t="shared" ca="1" si="18"/>
        <v>0.31961761441692305</v>
      </c>
      <c r="J201">
        <f t="shared" ca="1" si="19"/>
        <v>0</v>
      </c>
      <c r="K201">
        <f t="shared" ca="1" si="20"/>
        <v>0</v>
      </c>
      <c r="L201" s="65">
        <v>195</v>
      </c>
      <c r="M201" s="71">
        <f t="shared" ca="1" si="16"/>
        <v>0.57324869270256862</v>
      </c>
      <c r="N201" s="65"/>
    </row>
    <row r="202" spans="1:14" x14ac:dyDescent="0.25">
      <c r="A202" s="2">
        <v>196</v>
      </c>
      <c r="B202" s="11">
        <f t="shared" ca="1" si="17"/>
        <v>0</v>
      </c>
      <c r="C202" s="26">
        <f t="shared" ca="1" si="18"/>
        <v>0.8834159323641243</v>
      </c>
      <c r="J202">
        <f t="shared" ca="1" si="19"/>
        <v>0</v>
      </c>
      <c r="K202">
        <f t="shared" ca="1" si="20"/>
        <v>1</v>
      </c>
      <c r="L202" s="65">
        <v>196</v>
      </c>
      <c r="M202" s="71">
        <f t="shared" ca="1" si="16"/>
        <v>0</v>
      </c>
      <c r="N202" s="65"/>
    </row>
    <row r="203" spans="1:14" x14ac:dyDescent="0.25">
      <c r="A203" s="2">
        <v>197</v>
      </c>
      <c r="B203" s="11">
        <f t="shared" ca="1" si="17"/>
        <v>0</v>
      </c>
      <c r="C203" s="26">
        <f t="shared" ca="1" si="18"/>
        <v>0.53099332979549052</v>
      </c>
      <c r="J203">
        <f t="shared" ca="1" si="19"/>
        <v>0</v>
      </c>
      <c r="K203">
        <f t="shared" ca="1" si="20"/>
        <v>1</v>
      </c>
      <c r="L203" s="65">
        <v>197</v>
      </c>
      <c r="M203" s="71">
        <f t="shared" ca="1" si="16"/>
        <v>0</v>
      </c>
      <c r="N203" s="65"/>
    </row>
    <row r="204" spans="1:14" x14ac:dyDescent="0.25">
      <c r="A204" s="2">
        <v>198</v>
      </c>
      <c r="B204" s="11">
        <f t="shared" ca="1" si="17"/>
        <v>0</v>
      </c>
      <c r="C204" s="26">
        <f t="shared" ca="1" si="18"/>
        <v>0.80545403467593968</v>
      </c>
      <c r="J204">
        <f t="shared" ca="1" si="19"/>
        <v>0</v>
      </c>
      <c r="K204">
        <f t="shared" ca="1" si="20"/>
        <v>0</v>
      </c>
      <c r="L204" s="65">
        <v>198</v>
      </c>
      <c r="M204" s="71">
        <f t="shared" ca="1" si="16"/>
        <v>0</v>
      </c>
      <c r="N204" s="65"/>
    </row>
    <row r="205" spans="1:14" x14ac:dyDescent="0.25">
      <c r="A205" s="2">
        <v>199</v>
      </c>
      <c r="B205" s="11">
        <f t="shared" ca="1" si="17"/>
        <v>1</v>
      </c>
      <c r="C205" s="26">
        <f t="shared" ca="1" si="18"/>
        <v>5.4750724401047002E-3</v>
      </c>
      <c r="J205">
        <f t="shared" ca="1" si="19"/>
        <v>1</v>
      </c>
      <c r="K205">
        <f t="shared" ca="1" si="20"/>
        <v>0</v>
      </c>
      <c r="L205" s="65">
        <v>199</v>
      </c>
      <c r="M205" s="71">
        <f t="shared" ca="1" si="16"/>
        <v>0.70924191911962953</v>
      </c>
      <c r="N205" s="65"/>
    </row>
    <row r="206" spans="1:14" x14ac:dyDescent="0.25">
      <c r="A206" s="2">
        <v>200</v>
      </c>
      <c r="B206" s="11">
        <f t="shared" ca="1" si="17"/>
        <v>1</v>
      </c>
      <c r="C206" s="26">
        <f t="shared" ca="1" si="18"/>
        <v>0.40422267978374926</v>
      </c>
      <c r="J206">
        <f t="shared" ca="1" si="19"/>
        <v>1</v>
      </c>
      <c r="K206">
        <f t="shared" ca="1" si="20"/>
        <v>0</v>
      </c>
      <c r="L206" s="65">
        <v>200</v>
      </c>
      <c r="M206" s="71">
        <f t="shared" ca="1" si="16"/>
        <v>4.5513830465655287</v>
      </c>
      <c r="N206" s="65"/>
    </row>
    <row r="207" spans="1:14" x14ac:dyDescent="0.25">
      <c r="A207" s="2">
        <v>201</v>
      </c>
      <c r="B207" s="11">
        <f t="shared" ca="1" si="17"/>
        <v>1</v>
      </c>
      <c r="C207" s="26">
        <f t="shared" ca="1" si="18"/>
        <v>0.47174109831916156</v>
      </c>
      <c r="J207">
        <f t="shared" ca="1" si="19"/>
        <v>1</v>
      </c>
      <c r="K207">
        <f t="shared" ca="1" si="20"/>
        <v>0</v>
      </c>
      <c r="L207" s="65">
        <v>201</v>
      </c>
      <c r="M207" s="71">
        <f t="shared" ca="1" si="16"/>
        <v>1.5678659131092338</v>
      </c>
      <c r="N207" s="65"/>
    </row>
    <row r="208" spans="1:14" x14ac:dyDescent="0.25">
      <c r="A208" s="2">
        <v>202</v>
      </c>
      <c r="B208" s="11">
        <f t="shared" ca="1" si="17"/>
        <v>1</v>
      </c>
      <c r="C208" s="26">
        <f t="shared" ca="1" si="18"/>
        <v>0.26906785771717423</v>
      </c>
      <c r="J208">
        <f t="shared" ca="1" si="19"/>
        <v>1</v>
      </c>
      <c r="K208">
        <f t="shared" ca="1" si="20"/>
        <v>0</v>
      </c>
      <c r="L208" s="65">
        <v>202</v>
      </c>
      <c r="M208" s="71">
        <f t="shared" ca="1" si="16"/>
        <v>1.4516043656187172</v>
      </c>
      <c r="N208" s="65"/>
    </row>
    <row r="209" spans="1:14" x14ac:dyDescent="0.25">
      <c r="A209" s="2">
        <v>203</v>
      </c>
      <c r="B209" s="11">
        <f t="shared" ca="1" si="17"/>
        <v>1</v>
      </c>
      <c r="C209" s="26">
        <f t="shared" ca="1" si="18"/>
        <v>0.14349153851262464</v>
      </c>
      <c r="J209">
        <f t="shared" ca="1" si="19"/>
        <v>0</v>
      </c>
      <c r="K209">
        <f t="shared" ca="1" si="20"/>
        <v>0</v>
      </c>
      <c r="L209" s="65">
        <v>203</v>
      </c>
      <c r="M209" s="71">
        <f t="shared" ca="1" si="16"/>
        <v>4.083054321869275</v>
      </c>
      <c r="N209" s="65"/>
    </row>
    <row r="210" spans="1:14" x14ac:dyDescent="0.25">
      <c r="A210" s="2">
        <v>204</v>
      </c>
      <c r="B210" s="11">
        <f t="shared" ca="1" si="17"/>
        <v>0</v>
      </c>
      <c r="C210" s="26">
        <f t="shared" ca="1" si="18"/>
        <v>0.96583479855024945</v>
      </c>
      <c r="J210">
        <f t="shared" ca="1" si="19"/>
        <v>0</v>
      </c>
      <c r="K210">
        <f t="shared" ca="1" si="20"/>
        <v>1</v>
      </c>
      <c r="L210" s="65">
        <v>204</v>
      </c>
      <c r="M210" s="71">
        <f t="shared" ca="1" si="16"/>
        <v>0</v>
      </c>
      <c r="N210" s="65"/>
    </row>
    <row r="211" spans="1:14" x14ac:dyDescent="0.25">
      <c r="A211" s="2">
        <v>205</v>
      </c>
      <c r="B211" s="11">
        <f t="shared" ca="1" si="17"/>
        <v>0</v>
      </c>
      <c r="C211" s="26">
        <f t="shared" ca="1" si="18"/>
        <v>0.78224736334724698</v>
      </c>
      <c r="J211">
        <f t="shared" ca="1" si="19"/>
        <v>0</v>
      </c>
      <c r="K211">
        <f t="shared" ca="1" si="20"/>
        <v>0</v>
      </c>
      <c r="L211" s="65">
        <v>205</v>
      </c>
      <c r="M211" s="71">
        <f t="shared" ca="1" si="16"/>
        <v>0</v>
      </c>
      <c r="N211" s="65"/>
    </row>
    <row r="212" spans="1:14" x14ac:dyDescent="0.25">
      <c r="A212" s="2">
        <v>206</v>
      </c>
      <c r="B212" s="11">
        <f t="shared" ca="1" si="17"/>
        <v>1</v>
      </c>
      <c r="C212" s="26">
        <f t="shared" ca="1" si="18"/>
        <v>2.842776663061819E-2</v>
      </c>
      <c r="J212">
        <f t="shared" ca="1" si="19"/>
        <v>0</v>
      </c>
      <c r="K212">
        <f t="shared" ca="1" si="20"/>
        <v>0</v>
      </c>
      <c r="L212" s="65">
        <v>206</v>
      </c>
      <c r="M212" s="71">
        <f t="shared" ca="1" si="16"/>
        <v>3.1836997688792885</v>
      </c>
      <c r="N212" s="65"/>
    </row>
    <row r="213" spans="1:14" x14ac:dyDescent="0.25">
      <c r="A213" s="2">
        <v>207</v>
      </c>
      <c r="B213" s="11">
        <f t="shared" ca="1" si="17"/>
        <v>0</v>
      </c>
      <c r="C213" s="26">
        <f t="shared" ca="1" si="18"/>
        <v>0.84126165769548922</v>
      </c>
      <c r="J213">
        <f t="shared" ca="1" si="19"/>
        <v>0</v>
      </c>
      <c r="K213">
        <f t="shared" ca="1" si="20"/>
        <v>1</v>
      </c>
      <c r="L213" s="65">
        <v>207</v>
      </c>
      <c r="M213" s="71">
        <f t="shared" ca="1" si="16"/>
        <v>0</v>
      </c>
      <c r="N213" s="65"/>
    </row>
    <row r="214" spans="1:14" x14ac:dyDescent="0.25">
      <c r="A214" s="2">
        <v>208</v>
      </c>
      <c r="B214" s="11">
        <f t="shared" ca="1" si="17"/>
        <v>0</v>
      </c>
      <c r="C214" s="26">
        <f t="shared" ca="1" si="18"/>
        <v>0.60951287072030191</v>
      </c>
      <c r="J214">
        <f t="shared" ca="1" si="19"/>
        <v>0</v>
      </c>
      <c r="K214">
        <f t="shared" ca="1" si="20"/>
        <v>0</v>
      </c>
      <c r="L214" s="65">
        <v>208</v>
      </c>
      <c r="M214" s="71">
        <f t="shared" ca="1" si="16"/>
        <v>0</v>
      </c>
      <c r="N214" s="65"/>
    </row>
    <row r="215" spans="1:14" x14ac:dyDescent="0.25">
      <c r="A215" s="2">
        <v>209</v>
      </c>
      <c r="B215" s="11">
        <f t="shared" ca="1" si="17"/>
        <v>1</v>
      </c>
      <c r="C215" s="26">
        <f t="shared" ca="1" si="18"/>
        <v>0.31625496065101322</v>
      </c>
      <c r="J215">
        <f t="shared" ca="1" si="19"/>
        <v>1</v>
      </c>
      <c r="K215">
        <f t="shared" ca="1" si="20"/>
        <v>0</v>
      </c>
      <c r="L215" s="65">
        <v>209</v>
      </c>
      <c r="M215" s="71">
        <f t="shared" ca="1" si="16"/>
        <v>2.309122030175772</v>
      </c>
      <c r="N215" s="65"/>
    </row>
    <row r="216" spans="1:14" x14ac:dyDescent="0.25">
      <c r="A216" s="2">
        <v>210</v>
      </c>
      <c r="B216" s="11">
        <f t="shared" ca="1" si="17"/>
        <v>1</v>
      </c>
      <c r="C216" s="26">
        <f t="shared" ca="1" si="18"/>
        <v>0.13921504985625155</v>
      </c>
      <c r="J216">
        <f t="shared" ca="1" si="19"/>
        <v>0</v>
      </c>
      <c r="K216">
        <f t="shared" ca="1" si="20"/>
        <v>0</v>
      </c>
      <c r="L216" s="65">
        <v>210</v>
      </c>
      <c r="M216" s="71">
        <f t="shared" ca="1" si="16"/>
        <v>1.6117089328893999</v>
      </c>
      <c r="N216" s="65"/>
    </row>
    <row r="217" spans="1:14" x14ac:dyDescent="0.25">
      <c r="A217" s="2">
        <v>211</v>
      </c>
      <c r="B217" s="11">
        <f t="shared" ca="1" si="17"/>
        <v>0</v>
      </c>
      <c r="C217" s="26">
        <f t="shared" ca="1" si="18"/>
        <v>0.89372286219537889</v>
      </c>
      <c r="J217">
        <f t="shared" ca="1" si="19"/>
        <v>0</v>
      </c>
      <c r="K217">
        <f t="shared" ca="1" si="20"/>
        <v>1</v>
      </c>
      <c r="L217" s="65">
        <v>211</v>
      </c>
      <c r="M217" s="71">
        <f t="shared" ca="1" si="16"/>
        <v>0</v>
      </c>
      <c r="N217" s="65"/>
    </row>
    <row r="218" spans="1:14" x14ac:dyDescent="0.25">
      <c r="A218" s="2">
        <v>212</v>
      </c>
      <c r="B218" s="11">
        <f t="shared" ca="1" si="17"/>
        <v>0</v>
      </c>
      <c r="C218" s="26">
        <f t="shared" ca="1" si="18"/>
        <v>0.92131393718340893</v>
      </c>
      <c r="J218">
        <f t="shared" ca="1" si="19"/>
        <v>0</v>
      </c>
      <c r="K218">
        <f t="shared" ca="1" si="20"/>
        <v>1</v>
      </c>
      <c r="L218" s="65">
        <v>212</v>
      </c>
      <c r="M218" s="71">
        <f t="shared" ca="1" si="16"/>
        <v>0</v>
      </c>
      <c r="N218" s="65"/>
    </row>
    <row r="219" spans="1:14" x14ac:dyDescent="0.25">
      <c r="A219" s="2">
        <v>213</v>
      </c>
      <c r="B219" s="11">
        <f t="shared" ca="1" si="17"/>
        <v>0</v>
      </c>
      <c r="C219" s="26">
        <f t="shared" ca="1" si="18"/>
        <v>0.75991493809546917</v>
      </c>
      <c r="J219">
        <f t="shared" ca="1" si="19"/>
        <v>0</v>
      </c>
      <c r="K219">
        <f t="shared" ca="1" si="20"/>
        <v>1</v>
      </c>
      <c r="L219" s="65">
        <v>213</v>
      </c>
      <c r="M219" s="71">
        <f t="shared" ca="1" si="16"/>
        <v>0</v>
      </c>
      <c r="N219" s="65"/>
    </row>
    <row r="220" spans="1:14" x14ac:dyDescent="0.25">
      <c r="A220" s="2">
        <v>214</v>
      </c>
      <c r="B220" s="11">
        <f t="shared" ca="1" si="17"/>
        <v>0</v>
      </c>
      <c r="C220" s="26">
        <f t="shared" ca="1" si="18"/>
        <v>0.5289139378471962</v>
      </c>
      <c r="J220">
        <f t="shared" ca="1" si="19"/>
        <v>0</v>
      </c>
      <c r="K220">
        <f t="shared" ca="1" si="20"/>
        <v>1</v>
      </c>
      <c r="L220" s="65">
        <v>214</v>
      </c>
      <c r="M220" s="71">
        <f t="shared" ca="1" si="16"/>
        <v>0</v>
      </c>
      <c r="N220" s="65"/>
    </row>
    <row r="221" spans="1:14" x14ac:dyDescent="0.25">
      <c r="A221" s="2">
        <v>215</v>
      </c>
      <c r="B221" s="11">
        <f t="shared" ca="1" si="17"/>
        <v>0</v>
      </c>
      <c r="C221" s="26">
        <f t="shared" ca="1" si="18"/>
        <v>0.73071553772071796</v>
      </c>
      <c r="J221">
        <f t="shared" ca="1" si="19"/>
        <v>0</v>
      </c>
      <c r="K221">
        <f t="shared" ca="1" si="20"/>
        <v>0</v>
      </c>
      <c r="L221" s="65">
        <v>215</v>
      </c>
      <c r="M221" s="71">
        <f t="shared" ca="1" si="16"/>
        <v>0</v>
      </c>
      <c r="N221" s="65"/>
    </row>
    <row r="222" spans="1:14" x14ac:dyDescent="0.25">
      <c r="A222" s="2">
        <v>216</v>
      </c>
      <c r="B222" s="11">
        <f t="shared" ca="1" si="17"/>
        <v>1</v>
      </c>
      <c r="C222" s="26">
        <f t="shared" ca="1" si="18"/>
        <v>0.35283237147598367</v>
      </c>
      <c r="J222">
        <f t="shared" ca="1" si="19"/>
        <v>1</v>
      </c>
      <c r="K222">
        <f t="shared" ca="1" si="20"/>
        <v>0</v>
      </c>
      <c r="L222" s="65">
        <v>216</v>
      </c>
      <c r="M222" s="71">
        <f t="shared" ca="1" si="16"/>
        <v>8.281269897201927</v>
      </c>
      <c r="N222" s="65"/>
    </row>
    <row r="223" spans="1:14" x14ac:dyDescent="0.25">
      <c r="A223" s="2">
        <v>217</v>
      </c>
      <c r="B223" s="11">
        <f t="shared" ca="1" si="17"/>
        <v>1</v>
      </c>
      <c r="C223" s="26">
        <f t="shared" ca="1" si="18"/>
        <v>0.45234204783713483</v>
      </c>
      <c r="J223">
        <f t="shared" ca="1" si="19"/>
        <v>1</v>
      </c>
      <c r="K223">
        <f t="shared" ca="1" si="20"/>
        <v>0</v>
      </c>
      <c r="L223" s="65">
        <v>217</v>
      </c>
      <c r="M223" s="71">
        <f t="shared" ca="1" si="16"/>
        <v>3.1523331791302884</v>
      </c>
      <c r="N223" s="65"/>
    </row>
    <row r="224" spans="1:14" x14ac:dyDescent="0.25">
      <c r="A224" s="2">
        <v>218</v>
      </c>
      <c r="B224" s="11">
        <f t="shared" ca="1" si="17"/>
        <v>1</v>
      </c>
      <c r="C224" s="26">
        <f t="shared" ca="1" si="18"/>
        <v>0.41517269205560714</v>
      </c>
      <c r="J224">
        <f t="shared" ca="1" si="19"/>
        <v>1</v>
      </c>
      <c r="K224">
        <f t="shared" ca="1" si="20"/>
        <v>0</v>
      </c>
      <c r="L224" s="65">
        <v>218</v>
      </c>
      <c r="M224" s="71">
        <f t="shared" ca="1" si="16"/>
        <v>2.0092076341247891</v>
      </c>
      <c r="N224" s="65"/>
    </row>
    <row r="225" spans="1:14" x14ac:dyDescent="0.25">
      <c r="A225" s="2">
        <v>219</v>
      </c>
      <c r="B225" s="11">
        <f t="shared" ca="1" si="17"/>
        <v>1</v>
      </c>
      <c r="C225" s="26">
        <f t="shared" ca="1" si="18"/>
        <v>0.36344474531455173</v>
      </c>
      <c r="J225">
        <f t="shared" ca="1" si="19"/>
        <v>0</v>
      </c>
      <c r="K225">
        <f t="shared" ca="1" si="20"/>
        <v>0</v>
      </c>
      <c r="L225" s="65">
        <v>219</v>
      </c>
      <c r="M225" s="71">
        <f t="shared" ca="1" si="16"/>
        <v>5.7991019128453534</v>
      </c>
      <c r="N225" s="65"/>
    </row>
    <row r="226" spans="1:14" x14ac:dyDescent="0.25">
      <c r="A226" s="2">
        <v>220</v>
      </c>
      <c r="B226" s="11">
        <f t="shared" ca="1" si="17"/>
        <v>0</v>
      </c>
      <c r="C226" s="26">
        <f t="shared" ca="1" si="18"/>
        <v>0.94768922383515597</v>
      </c>
      <c r="J226">
        <f t="shared" ca="1" si="19"/>
        <v>0</v>
      </c>
      <c r="K226">
        <f t="shared" ca="1" si="20"/>
        <v>1</v>
      </c>
      <c r="L226" s="65">
        <v>220</v>
      </c>
      <c r="M226" s="71">
        <f t="shared" ca="1" si="16"/>
        <v>0</v>
      </c>
      <c r="N226" s="65"/>
    </row>
    <row r="227" spans="1:14" x14ac:dyDescent="0.25">
      <c r="A227" s="2">
        <v>221</v>
      </c>
      <c r="B227" s="11">
        <f t="shared" ca="1" si="17"/>
        <v>0</v>
      </c>
      <c r="C227" s="26">
        <f t="shared" ca="1" si="18"/>
        <v>0.40574659181300432</v>
      </c>
      <c r="J227">
        <f t="shared" ca="1" si="19"/>
        <v>0</v>
      </c>
      <c r="K227">
        <f t="shared" ca="1" si="20"/>
        <v>1</v>
      </c>
      <c r="L227" s="65">
        <v>221</v>
      </c>
      <c r="M227" s="71">
        <f t="shared" ca="1" si="16"/>
        <v>0</v>
      </c>
      <c r="N227" s="65"/>
    </row>
    <row r="228" spans="1:14" x14ac:dyDescent="0.25">
      <c r="A228" s="2">
        <v>222</v>
      </c>
      <c r="B228" s="11">
        <f t="shared" ca="1" si="17"/>
        <v>0</v>
      </c>
      <c r="C228" s="26">
        <f t="shared" ca="1" si="18"/>
        <v>0.92917660088357446</v>
      </c>
      <c r="J228">
        <f t="shared" ca="1" si="19"/>
        <v>0</v>
      </c>
      <c r="K228">
        <f t="shared" ca="1" si="20"/>
        <v>1</v>
      </c>
      <c r="L228" s="65">
        <v>222</v>
      </c>
      <c r="M228" s="71">
        <f t="shared" ca="1" si="16"/>
        <v>0</v>
      </c>
      <c r="N228" s="65"/>
    </row>
    <row r="229" spans="1:14" x14ac:dyDescent="0.25">
      <c r="A229" s="2">
        <v>223</v>
      </c>
      <c r="B229" s="11">
        <f t="shared" ca="1" si="17"/>
        <v>0</v>
      </c>
      <c r="C229" s="26">
        <f t="shared" ca="1" si="18"/>
        <v>0.79790403396300724</v>
      </c>
      <c r="J229">
        <f t="shared" ca="1" si="19"/>
        <v>0</v>
      </c>
      <c r="K229">
        <f t="shared" ca="1" si="20"/>
        <v>0</v>
      </c>
      <c r="L229" s="65">
        <v>223</v>
      </c>
      <c r="M229" s="71">
        <f t="shared" ca="1" si="16"/>
        <v>0</v>
      </c>
      <c r="N229" s="65"/>
    </row>
    <row r="230" spans="1:14" x14ac:dyDescent="0.25">
      <c r="A230" s="2">
        <v>224</v>
      </c>
      <c r="B230" s="11">
        <f t="shared" ca="1" si="17"/>
        <v>1</v>
      </c>
      <c r="C230" s="26">
        <f t="shared" ca="1" si="18"/>
        <v>9.1491626032140339E-2</v>
      </c>
      <c r="J230">
        <f t="shared" ca="1" si="19"/>
        <v>1</v>
      </c>
      <c r="K230">
        <f t="shared" ca="1" si="20"/>
        <v>0</v>
      </c>
      <c r="L230" s="65">
        <v>224</v>
      </c>
      <c r="M230" s="71">
        <f t="shared" ca="1" si="16"/>
        <v>1.5167215682007105</v>
      </c>
      <c r="N230" s="65"/>
    </row>
    <row r="231" spans="1:14" x14ac:dyDescent="0.25">
      <c r="A231" s="2">
        <v>225</v>
      </c>
      <c r="B231" s="11">
        <f t="shared" ca="1" si="17"/>
        <v>1</v>
      </c>
      <c r="C231" s="26">
        <f t="shared" ca="1" si="18"/>
        <v>3.1650114830156451E-2</v>
      </c>
      <c r="J231">
        <f t="shared" ca="1" si="19"/>
        <v>1</v>
      </c>
      <c r="K231">
        <f t="shared" ca="1" si="20"/>
        <v>0</v>
      </c>
      <c r="L231" s="65">
        <v>225</v>
      </c>
      <c r="M231" s="71">
        <f t="shared" ca="1" si="16"/>
        <v>0.54336674973664034</v>
      </c>
      <c r="N231" s="65"/>
    </row>
    <row r="232" spans="1:14" x14ac:dyDescent="0.25">
      <c r="A232" s="2">
        <v>226</v>
      </c>
      <c r="B232" s="11">
        <f t="shared" ca="1" si="17"/>
        <v>1</v>
      </c>
      <c r="C232" s="26">
        <f t="shared" ca="1" si="18"/>
        <v>1.7751606885210158E-2</v>
      </c>
      <c r="J232">
        <f t="shared" ca="1" si="19"/>
        <v>1</v>
      </c>
      <c r="K232">
        <f t="shared" ca="1" si="20"/>
        <v>0</v>
      </c>
      <c r="L232" s="65">
        <v>226</v>
      </c>
      <c r="M232" s="71">
        <f t="shared" ca="1" si="16"/>
        <v>2.4864026504678263</v>
      </c>
      <c r="N232" s="65"/>
    </row>
    <row r="233" spans="1:14" x14ac:dyDescent="0.25">
      <c r="A233" s="2">
        <v>227</v>
      </c>
      <c r="B233" s="11">
        <f t="shared" ca="1" si="17"/>
        <v>1</v>
      </c>
      <c r="C233" s="26">
        <f t="shared" ca="1" si="18"/>
        <v>0.35905003879491726</v>
      </c>
      <c r="J233">
        <f t="shared" ca="1" si="19"/>
        <v>1</v>
      </c>
      <c r="K233">
        <f t="shared" ca="1" si="20"/>
        <v>0</v>
      </c>
      <c r="L233" s="65">
        <v>227</v>
      </c>
      <c r="M233" s="71">
        <f t="shared" ca="1" si="16"/>
        <v>0.87455996886083009</v>
      </c>
      <c r="N233" s="65"/>
    </row>
    <row r="234" spans="1:14" x14ac:dyDescent="0.25">
      <c r="A234" s="2">
        <v>228</v>
      </c>
      <c r="B234" s="11">
        <f t="shared" ca="1" si="17"/>
        <v>1</v>
      </c>
      <c r="C234" s="26">
        <f t="shared" ca="1" si="18"/>
        <v>0.46557661895396885</v>
      </c>
      <c r="J234">
        <f t="shared" ca="1" si="19"/>
        <v>0</v>
      </c>
      <c r="K234">
        <f t="shared" ca="1" si="20"/>
        <v>0</v>
      </c>
      <c r="L234" s="65">
        <v>228</v>
      </c>
      <c r="M234" s="71">
        <f t="shared" ca="1" si="16"/>
        <v>3.3207468391137631</v>
      </c>
      <c r="N234" s="65"/>
    </row>
    <row r="235" spans="1:14" x14ac:dyDescent="0.25">
      <c r="A235" s="2">
        <v>229</v>
      </c>
      <c r="B235" s="11">
        <f t="shared" ca="1" si="17"/>
        <v>0</v>
      </c>
      <c r="C235" s="26">
        <f t="shared" ca="1" si="18"/>
        <v>0.9598412436098096</v>
      </c>
      <c r="J235">
        <f t="shared" ca="1" si="19"/>
        <v>0</v>
      </c>
      <c r="K235">
        <f t="shared" ca="1" si="20"/>
        <v>1</v>
      </c>
      <c r="L235" s="65">
        <v>229</v>
      </c>
      <c r="M235" s="71">
        <f t="shared" ca="1" si="16"/>
        <v>0</v>
      </c>
      <c r="N235" s="65"/>
    </row>
    <row r="236" spans="1:14" x14ac:dyDescent="0.25">
      <c r="A236" s="2">
        <v>230</v>
      </c>
      <c r="B236" s="11">
        <f t="shared" ca="1" si="17"/>
        <v>0</v>
      </c>
      <c r="C236" s="26">
        <f t="shared" ca="1" si="18"/>
        <v>0.49628515266117867</v>
      </c>
      <c r="J236">
        <f t="shared" ca="1" si="19"/>
        <v>0</v>
      </c>
      <c r="K236">
        <f t="shared" ca="1" si="20"/>
        <v>1</v>
      </c>
      <c r="L236" s="65">
        <v>230</v>
      </c>
      <c r="M236" s="71">
        <f t="shared" ca="1" si="16"/>
        <v>0</v>
      </c>
      <c r="N236" s="65"/>
    </row>
    <row r="237" spans="1:14" x14ac:dyDescent="0.25">
      <c r="A237" s="2">
        <v>231</v>
      </c>
      <c r="B237" s="11">
        <f t="shared" ca="1" si="17"/>
        <v>0</v>
      </c>
      <c r="C237" s="26">
        <f t="shared" ca="1" si="18"/>
        <v>0.44776065249836983</v>
      </c>
      <c r="J237">
        <f t="shared" ca="1" si="19"/>
        <v>0</v>
      </c>
      <c r="K237">
        <f t="shared" ca="1" si="20"/>
        <v>1</v>
      </c>
      <c r="L237" s="65">
        <v>231</v>
      </c>
      <c r="M237" s="71">
        <f t="shared" ca="1" si="16"/>
        <v>0</v>
      </c>
      <c r="N237" s="65"/>
    </row>
    <row r="238" spans="1:14" x14ac:dyDescent="0.25">
      <c r="A238" s="2">
        <v>232</v>
      </c>
      <c r="B238" s="11">
        <f t="shared" ca="1" si="17"/>
        <v>0</v>
      </c>
      <c r="C238" s="26">
        <f t="shared" ca="1" si="18"/>
        <v>0.61961843080377499</v>
      </c>
      <c r="J238">
        <f t="shared" ca="1" si="19"/>
        <v>0</v>
      </c>
      <c r="K238">
        <f t="shared" ca="1" si="20"/>
        <v>1</v>
      </c>
      <c r="L238" s="65">
        <v>232</v>
      </c>
      <c r="M238" s="71">
        <f t="shared" ca="1" si="16"/>
        <v>0</v>
      </c>
      <c r="N238" s="65"/>
    </row>
    <row r="239" spans="1:14" x14ac:dyDescent="0.25">
      <c r="A239" s="2">
        <v>233</v>
      </c>
      <c r="B239" s="11">
        <f t="shared" ca="1" si="17"/>
        <v>0</v>
      </c>
      <c r="C239" s="26">
        <f t="shared" ca="1" si="18"/>
        <v>0.58263888431187272</v>
      </c>
      <c r="J239">
        <f t="shared" ca="1" si="19"/>
        <v>0</v>
      </c>
      <c r="K239">
        <f t="shared" ca="1" si="20"/>
        <v>0</v>
      </c>
      <c r="L239" s="65">
        <v>233</v>
      </c>
      <c r="M239" s="71">
        <f t="shared" ca="1" si="16"/>
        <v>0</v>
      </c>
      <c r="N239" s="65"/>
    </row>
    <row r="240" spans="1:14" x14ac:dyDescent="0.25">
      <c r="A240" s="2">
        <v>234</v>
      </c>
      <c r="B240" s="11">
        <f t="shared" ca="1" si="17"/>
        <v>1</v>
      </c>
      <c r="C240" s="26">
        <f t="shared" ca="1" si="18"/>
        <v>0.2440408176519403</v>
      </c>
      <c r="J240">
        <f t="shared" ca="1" si="19"/>
        <v>1</v>
      </c>
      <c r="K240">
        <f t="shared" ca="1" si="20"/>
        <v>0</v>
      </c>
      <c r="L240" s="65">
        <v>234</v>
      </c>
      <c r="M240" s="71">
        <f t="shared" ca="1" si="16"/>
        <v>1.4085240318611996</v>
      </c>
      <c r="N240" s="65"/>
    </row>
    <row r="241" spans="1:14" x14ac:dyDescent="0.25">
      <c r="A241" s="2">
        <v>235</v>
      </c>
      <c r="B241" s="11">
        <f t="shared" ca="1" si="17"/>
        <v>1</v>
      </c>
      <c r="C241" s="26">
        <f t="shared" ca="1" si="18"/>
        <v>4.9503689636752113E-2</v>
      </c>
      <c r="J241">
        <f t="shared" ca="1" si="19"/>
        <v>1</v>
      </c>
      <c r="K241">
        <f t="shared" ca="1" si="20"/>
        <v>0</v>
      </c>
      <c r="L241" s="65">
        <v>235</v>
      </c>
      <c r="M241" s="71">
        <f t="shared" ca="1" si="16"/>
        <v>2.8248365490651532</v>
      </c>
      <c r="N241" s="65"/>
    </row>
    <row r="242" spans="1:14" x14ac:dyDescent="0.25">
      <c r="A242" s="2">
        <v>236</v>
      </c>
      <c r="B242" s="11">
        <f t="shared" ca="1" si="17"/>
        <v>1</v>
      </c>
      <c r="C242" s="26">
        <f t="shared" ca="1" si="18"/>
        <v>0.38631925698705294</v>
      </c>
      <c r="J242">
        <f t="shared" ca="1" si="19"/>
        <v>1</v>
      </c>
      <c r="K242">
        <f t="shared" ca="1" si="20"/>
        <v>0</v>
      </c>
      <c r="L242" s="65">
        <v>236</v>
      </c>
      <c r="M242" s="71">
        <f t="shared" ca="1" si="16"/>
        <v>0.17978074580685463</v>
      </c>
      <c r="N242" s="65"/>
    </row>
    <row r="243" spans="1:14" x14ac:dyDescent="0.25">
      <c r="A243" s="2">
        <v>237</v>
      </c>
      <c r="B243" s="11">
        <f t="shared" ca="1" si="17"/>
        <v>1</v>
      </c>
      <c r="C243" s="26">
        <f t="shared" ca="1" si="18"/>
        <v>9.4407589216947252E-2</v>
      </c>
      <c r="J243">
        <f t="shared" ca="1" si="19"/>
        <v>1</v>
      </c>
      <c r="K243">
        <f t="shared" ca="1" si="20"/>
        <v>0</v>
      </c>
      <c r="L243" s="65">
        <v>237</v>
      </c>
      <c r="M243" s="71">
        <f t="shared" ca="1" si="16"/>
        <v>2.2954389205154677</v>
      </c>
      <c r="N243" s="65"/>
    </row>
    <row r="244" spans="1:14" x14ac:dyDescent="0.25">
      <c r="A244" s="2">
        <v>238</v>
      </c>
      <c r="B244" s="11">
        <f t="shared" ca="1" si="17"/>
        <v>1</v>
      </c>
      <c r="C244" s="26">
        <f t="shared" ca="1" si="18"/>
        <v>0.58078603621674574</v>
      </c>
      <c r="J244">
        <f t="shared" ca="1" si="19"/>
        <v>1</v>
      </c>
      <c r="K244">
        <f t="shared" ca="1" si="20"/>
        <v>0</v>
      </c>
      <c r="L244" s="65">
        <v>238</v>
      </c>
      <c r="M244" s="71">
        <f t="shared" ca="1" si="16"/>
        <v>7.1465243648692791</v>
      </c>
      <c r="N244" s="65"/>
    </row>
    <row r="245" spans="1:14" x14ac:dyDescent="0.25">
      <c r="A245" s="2">
        <v>239</v>
      </c>
      <c r="B245" s="11">
        <f t="shared" ca="1" si="17"/>
        <v>1</v>
      </c>
      <c r="C245" s="26">
        <f t="shared" ca="1" si="18"/>
        <v>2.4109709198061213E-2</v>
      </c>
      <c r="J245">
        <f t="shared" ca="1" si="19"/>
        <v>1</v>
      </c>
      <c r="K245">
        <f t="shared" ca="1" si="20"/>
        <v>0</v>
      </c>
      <c r="L245" s="65">
        <v>239</v>
      </c>
      <c r="M245" s="71">
        <f t="shared" ca="1" si="16"/>
        <v>4.1414398227907165</v>
      </c>
      <c r="N245" s="65"/>
    </row>
    <row r="246" spans="1:14" x14ac:dyDescent="0.25">
      <c r="A246" s="2">
        <v>240</v>
      </c>
      <c r="B246" s="11">
        <f t="shared" ca="1" si="17"/>
        <v>1</v>
      </c>
      <c r="C246" s="26">
        <f t="shared" ca="1" si="18"/>
        <v>4.3907114905816114E-2</v>
      </c>
      <c r="J246">
        <f t="shared" ca="1" si="19"/>
        <v>1</v>
      </c>
      <c r="K246">
        <f t="shared" ca="1" si="20"/>
        <v>0</v>
      </c>
      <c r="L246" s="65">
        <v>240</v>
      </c>
      <c r="M246" s="71">
        <f t="shared" ca="1" si="16"/>
        <v>0.71335460962692909</v>
      </c>
      <c r="N246" s="65"/>
    </row>
    <row r="247" spans="1:14" x14ac:dyDescent="0.25">
      <c r="A247" s="2">
        <v>241</v>
      </c>
      <c r="B247" s="11">
        <f t="shared" ca="1" si="17"/>
        <v>1</v>
      </c>
      <c r="C247" s="26">
        <f t="shared" ca="1" si="18"/>
        <v>0.59782607910618191</v>
      </c>
      <c r="J247">
        <f t="shared" ca="1" si="19"/>
        <v>0</v>
      </c>
      <c r="K247">
        <f t="shared" ca="1" si="20"/>
        <v>0</v>
      </c>
      <c r="L247" s="65">
        <v>241</v>
      </c>
      <c r="M247" s="71">
        <f t="shared" ca="1" si="16"/>
        <v>0.82403681210919322</v>
      </c>
      <c r="N247" s="65"/>
    </row>
    <row r="248" spans="1:14" x14ac:dyDescent="0.25">
      <c r="A248" s="2">
        <v>242</v>
      </c>
      <c r="B248" s="11">
        <f t="shared" ca="1" si="17"/>
        <v>0</v>
      </c>
      <c r="C248" s="26">
        <f t="shared" ca="1" si="18"/>
        <v>0.86021191174122702</v>
      </c>
      <c r="J248">
        <f t="shared" ca="1" si="19"/>
        <v>0</v>
      </c>
      <c r="K248">
        <f t="shared" ca="1" si="20"/>
        <v>1</v>
      </c>
      <c r="L248" s="65">
        <v>242</v>
      </c>
      <c r="M248" s="71">
        <f t="shared" ca="1" si="16"/>
        <v>0</v>
      </c>
      <c r="N248" s="65"/>
    </row>
    <row r="249" spans="1:14" x14ac:dyDescent="0.25">
      <c r="A249" s="2">
        <v>243</v>
      </c>
      <c r="B249" s="11">
        <f t="shared" ca="1" si="17"/>
        <v>0</v>
      </c>
      <c r="C249" s="26">
        <f t="shared" ca="1" si="18"/>
        <v>0.68208710666633743</v>
      </c>
      <c r="J249">
        <f t="shared" ca="1" si="19"/>
        <v>0</v>
      </c>
      <c r="K249">
        <f t="shared" ca="1" si="20"/>
        <v>0</v>
      </c>
      <c r="L249" s="65">
        <v>243</v>
      </c>
      <c r="M249" s="71">
        <f t="shared" ca="1" si="16"/>
        <v>0</v>
      </c>
      <c r="N249" s="65"/>
    </row>
    <row r="250" spans="1:14" x14ac:dyDescent="0.25">
      <c r="A250" s="2">
        <v>244</v>
      </c>
      <c r="B250" s="11">
        <f t="shared" ca="1" si="17"/>
        <v>1</v>
      </c>
      <c r="C250" s="26">
        <f t="shared" ca="1" si="18"/>
        <v>8.4074408763293973E-2</v>
      </c>
      <c r="J250">
        <f t="shared" ca="1" si="19"/>
        <v>1</v>
      </c>
      <c r="K250">
        <f t="shared" ca="1" si="20"/>
        <v>0</v>
      </c>
      <c r="L250" s="65">
        <v>244</v>
      </c>
      <c r="M250" s="71">
        <f t="shared" ca="1" si="16"/>
        <v>9.2101113806812393E-2</v>
      </c>
      <c r="N250" s="65"/>
    </row>
    <row r="251" spans="1:14" x14ac:dyDescent="0.25">
      <c r="A251" s="2">
        <v>245</v>
      </c>
      <c r="B251" s="11">
        <f t="shared" ca="1" si="17"/>
        <v>1</v>
      </c>
      <c r="C251" s="26">
        <f t="shared" ca="1" si="18"/>
        <v>0.25487534347549734</v>
      </c>
      <c r="J251">
        <f t="shared" ca="1" si="19"/>
        <v>1</v>
      </c>
      <c r="K251">
        <f t="shared" ca="1" si="20"/>
        <v>0</v>
      </c>
      <c r="L251" s="65">
        <v>245</v>
      </c>
      <c r="M251" s="71">
        <f t="shared" ca="1" si="16"/>
        <v>2.7812959902466239</v>
      </c>
      <c r="N251" s="65"/>
    </row>
    <row r="252" spans="1:14" x14ac:dyDescent="0.25">
      <c r="A252" s="2">
        <v>246</v>
      </c>
      <c r="B252" s="11">
        <f t="shared" ca="1" si="17"/>
        <v>1</v>
      </c>
      <c r="C252" s="26">
        <f t="shared" ca="1" si="18"/>
        <v>0.28522802759291688</v>
      </c>
      <c r="J252">
        <f t="shared" ca="1" si="19"/>
        <v>1</v>
      </c>
      <c r="K252">
        <f t="shared" ca="1" si="20"/>
        <v>0</v>
      </c>
      <c r="L252" s="65">
        <v>246</v>
      </c>
      <c r="M252" s="71">
        <f t="shared" ca="1" si="16"/>
        <v>1.5210274465239688</v>
      </c>
      <c r="N252" s="65"/>
    </row>
    <row r="253" spans="1:14" x14ac:dyDescent="0.25">
      <c r="A253" s="2">
        <v>247</v>
      </c>
      <c r="B253" s="11">
        <f t="shared" ca="1" si="17"/>
        <v>1</v>
      </c>
      <c r="C253" s="26">
        <f t="shared" ca="1" si="18"/>
        <v>0.21705687510463267</v>
      </c>
      <c r="J253">
        <f t="shared" ca="1" si="19"/>
        <v>0</v>
      </c>
      <c r="K253">
        <f t="shared" ca="1" si="20"/>
        <v>0</v>
      </c>
      <c r="L253" s="65">
        <v>247</v>
      </c>
      <c r="M253" s="71">
        <f t="shared" ca="1" si="16"/>
        <v>0.37252391376921012</v>
      </c>
      <c r="N253" s="65"/>
    </row>
    <row r="254" spans="1:14" x14ac:dyDescent="0.25">
      <c r="A254" s="2">
        <v>248</v>
      </c>
      <c r="B254" s="11">
        <f t="shared" ca="1" si="17"/>
        <v>0</v>
      </c>
      <c r="C254" s="26">
        <f t="shared" ca="1" si="18"/>
        <v>0.9228614716070116</v>
      </c>
      <c r="J254">
        <f t="shared" ca="1" si="19"/>
        <v>0</v>
      </c>
      <c r="K254">
        <f t="shared" ca="1" si="20"/>
        <v>1</v>
      </c>
      <c r="L254" s="65">
        <v>248</v>
      </c>
      <c r="M254" s="71">
        <f t="shared" ca="1" si="16"/>
        <v>0</v>
      </c>
      <c r="N254" s="65"/>
    </row>
    <row r="255" spans="1:14" x14ac:dyDescent="0.25">
      <c r="A255" s="2">
        <v>249</v>
      </c>
      <c r="B255" s="11">
        <f t="shared" ca="1" si="17"/>
        <v>0</v>
      </c>
      <c r="C255" s="26">
        <f t="shared" ca="1" si="18"/>
        <v>0.72072989421466827</v>
      </c>
      <c r="J255">
        <f t="shared" ca="1" si="19"/>
        <v>0</v>
      </c>
      <c r="K255">
        <f t="shared" ca="1" si="20"/>
        <v>1</v>
      </c>
      <c r="L255" s="65">
        <v>249</v>
      </c>
      <c r="M255" s="71">
        <f t="shared" ca="1" si="16"/>
        <v>0</v>
      </c>
      <c r="N255" s="65"/>
    </row>
    <row r="256" spans="1:14" x14ac:dyDescent="0.25">
      <c r="A256" s="2">
        <v>250</v>
      </c>
      <c r="B256" s="11">
        <f t="shared" ca="1" si="17"/>
        <v>0</v>
      </c>
      <c r="C256" s="26">
        <f t="shared" ca="1" si="18"/>
        <v>0.47828881223923136</v>
      </c>
      <c r="J256">
        <f t="shared" ca="1" si="19"/>
        <v>0</v>
      </c>
      <c r="K256">
        <f t="shared" ca="1" si="20"/>
        <v>1</v>
      </c>
      <c r="L256" s="65">
        <v>250</v>
      </c>
      <c r="M256" s="71">
        <f t="shared" ca="1" si="16"/>
        <v>0</v>
      </c>
      <c r="N256" s="65"/>
    </row>
    <row r="257" spans="1:14" x14ac:dyDescent="0.25">
      <c r="A257" s="2">
        <v>251</v>
      </c>
      <c r="B257" s="11">
        <f t="shared" ca="1" si="17"/>
        <v>0</v>
      </c>
      <c r="C257" s="26">
        <f t="shared" ca="1" si="18"/>
        <v>0.95575840161731829</v>
      </c>
      <c r="J257">
        <f t="shared" ca="1" si="19"/>
        <v>0</v>
      </c>
      <c r="K257">
        <f t="shared" ca="1" si="20"/>
        <v>1</v>
      </c>
      <c r="L257" s="65">
        <v>251</v>
      </c>
      <c r="M257" s="71">
        <f t="shared" ca="1" si="16"/>
        <v>0</v>
      </c>
      <c r="N257" s="65"/>
    </row>
    <row r="258" spans="1:14" x14ac:dyDescent="0.25">
      <c r="A258" s="2">
        <v>252</v>
      </c>
      <c r="B258" s="11">
        <f t="shared" ca="1" si="17"/>
        <v>0</v>
      </c>
      <c r="C258" s="26">
        <f t="shared" ca="1" si="18"/>
        <v>0.95134272091470884</v>
      </c>
      <c r="J258">
        <f t="shared" ca="1" si="19"/>
        <v>0</v>
      </c>
      <c r="K258">
        <f t="shared" ca="1" si="20"/>
        <v>1</v>
      </c>
      <c r="L258" s="65">
        <v>252</v>
      </c>
      <c r="M258" s="71">
        <f t="shared" ca="1" si="16"/>
        <v>0</v>
      </c>
      <c r="N258" s="65"/>
    </row>
    <row r="259" spans="1:14" x14ac:dyDescent="0.25">
      <c r="A259" s="2">
        <v>253</v>
      </c>
      <c r="B259" s="11">
        <f t="shared" ca="1" si="17"/>
        <v>0</v>
      </c>
      <c r="C259" s="26">
        <f t="shared" ca="1" si="18"/>
        <v>0.82202935564668878</v>
      </c>
      <c r="J259">
        <f t="shared" ca="1" si="19"/>
        <v>0</v>
      </c>
      <c r="K259">
        <f t="shared" ca="1" si="20"/>
        <v>1</v>
      </c>
      <c r="L259" s="65">
        <v>253</v>
      </c>
      <c r="M259" s="71">
        <f t="shared" ca="1" si="16"/>
        <v>0</v>
      </c>
      <c r="N259" s="65"/>
    </row>
    <row r="260" spans="1:14" x14ac:dyDescent="0.25">
      <c r="A260" s="2">
        <v>254</v>
      </c>
      <c r="B260" s="11">
        <f t="shared" ca="1" si="17"/>
        <v>0</v>
      </c>
      <c r="C260" s="26">
        <f t="shared" ca="1" si="18"/>
        <v>0.4346601907975387</v>
      </c>
      <c r="J260">
        <f t="shared" ca="1" si="19"/>
        <v>0</v>
      </c>
      <c r="K260">
        <f t="shared" ca="1" si="20"/>
        <v>0</v>
      </c>
      <c r="L260" s="65">
        <v>254</v>
      </c>
      <c r="M260" s="71">
        <f t="shared" ca="1" si="16"/>
        <v>0</v>
      </c>
      <c r="N260" s="65"/>
    </row>
    <row r="261" spans="1:14" x14ac:dyDescent="0.25">
      <c r="A261" s="2">
        <v>255</v>
      </c>
      <c r="B261" s="11">
        <f t="shared" ca="1" si="17"/>
        <v>1</v>
      </c>
      <c r="C261" s="26">
        <f t="shared" ca="1" si="18"/>
        <v>0.28435056200719055</v>
      </c>
      <c r="J261">
        <f t="shared" ca="1" si="19"/>
        <v>1</v>
      </c>
      <c r="K261">
        <f t="shared" ca="1" si="20"/>
        <v>0</v>
      </c>
      <c r="L261" s="65">
        <v>255</v>
      </c>
      <c r="M261" s="71">
        <f t="shared" ca="1" si="16"/>
        <v>3.2819490265663367</v>
      </c>
      <c r="N261" s="65"/>
    </row>
    <row r="262" spans="1:14" x14ac:dyDescent="0.25">
      <c r="A262" s="2">
        <v>256</v>
      </c>
      <c r="B262" s="11">
        <f t="shared" ca="1" si="17"/>
        <v>1</v>
      </c>
      <c r="C262" s="26">
        <f t="shared" ca="1" si="18"/>
        <v>0.10996924287861154</v>
      </c>
      <c r="J262">
        <f t="shared" ca="1" si="19"/>
        <v>1</v>
      </c>
      <c r="K262">
        <f t="shared" ca="1" si="20"/>
        <v>0</v>
      </c>
      <c r="L262" s="65">
        <v>256</v>
      </c>
      <c r="M262" s="71">
        <f t="shared" ca="1" si="16"/>
        <v>0.53004905001545088</v>
      </c>
      <c r="N262" s="65"/>
    </row>
    <row r="263" spans="1:14" x14ac:dyDescent="0.25">
      <c r="A263" s="2">
        <v>257</v>
      </c>
      <c r="B263" s="11">
        <f t="shared" ca="1" si="17"/>
        <v>1</v>
      </c>
      <c r="C263" s="26">
        <f t="shared" ca="1" si="18"/>
        <v>0.68168001693340996</v>
      </c>
      <c r="J263">
        <f t="shared" ca="1" si="19"/>
        <v>1</v>
      </c>
      <c r="K263">
        <f t="shared" ca="1" si="20"/>
        <v>0</v>
      </c>
      <c r="L263" s="65">
        <v>257</v>
      </c>
      <c r="M263" s="71">
        <f t="shared" ref="M263:M326" ca="1" si="21">IF(B263&gt;0,-LN(1-(RAND()))/lambda,0)</f>
        <v>2.1648097561808313</v>
      </c>
      <c r="N263" s="65"/>
    </row>
    <row r="264" spans="1:14" x14ac:dyDescent="0.25">
      <c r="A264" s="2">
        <v>258</v>
      </c>
      <c r="B264" s="11">
        <f t="shared" ref="B264:B327" ca="1" si="22">IF(B263&gt;0,IF(C264&lt;pww,1,0),IF(C264&lt;pdw,1,0))</f>
        <v>1</v>
      </c>
      <c r="C264" s="26">
        <f t="shared" ref="C264:C327" ca="1" si="23">RAND()</f>
        <v>6.6228430708396457E-2</v>
      </c>
      <c r="J264">
        <f t="shared" ref="J264:J327" ca="1" si="24">IF(AND(B264,B265),1,0)</f>
        <v>1</v>
      </c>
      <c r="K264">
        <f t="shared" ref="K264:K327" ca="1" si="25">IF(AND(NOT(B264),NOT(B265)),1,0)</f>
        <v>0</v>
      </c>
      <c r="L264" s="65">
        <v>258</v>
      </c>
      <c r="M264" s="71">
        <f t="shared" ca="1" si="21"/>
        <v>3.5408762293293292</v>
      </c>
      <c r="N264" s="65"/>
    </row>
    <row r="265" spans="1:14" x14ac:dyDescent="0.25">
      <c r="A265" s="2">
        <v>259</v>
      </c>
      <c r="B265" s="11">
        <f t="shared" ca="1" si="22"/>
        <v>1</v>
      </c>
      <c r="C265" s="26">
        <f t="shared" ca="1" si="23"/>
        <v>0.45734178684742</v>
      </c>
      <c r="J265">
        <f t="shared" ca="1" si="24"/>
        <v>1</v>
      </c>
      <c r="K265">
        <f t="shared" ca="1" si="25"/>
        <v>0</v>
      </c>
      <c r="L265" s="65">
        <v>259</v>
      </c>
      <c r="M265" s="71">
        <f t="shared" ca="1" si="21"/>
        <v>8.6733939647219191</v>
      </c>
      <c r="N265" s="65"/>
    </row>
    <row r="266" spans="1:14" x14ac:dyDescent="0.25">
      <c r="A266" s="2">
        <v>260</v>
      </c>
      <c r="B266" s="11">
        <f t="shared" ca="1" si="22"/>
        <v>1</v>
      </c>
      <c r="C266" s="26">
        <f t="shared" ca="1" si="23"/>
        <v>0.48447341733857829</v>
      </c>
      <c r="J266">
        <f t="shared" ca="1" si="24"/>
        <v>1</v>
      </c>
      <c r="K266">
        <f t="shared" ca="1" si="25"/>
        <v>0</v>
      </c>
      <c r="L266" s="65">
        <v>260</v>
      </c>
      <c r="M266" s="71">
        <f t="shared" ca="1" si="21"/>
        <v>2.7070192639748338</v>
      </c>
      <c r="N266" s="65"/>
    </row>
    <row r="267" spans="1:14" x14ac:dyDescent="0.25">
      <c r="A267" s="2">
        <v>261</v>
      </c>
      <c r="B267" s="11">
        <f t="shared" ca="1" si="22"/>
        <v>1</v>
      </c>
      <c r="C267" s="26">
        <f t="shared" ca="1" si="23"/>
        <v>0.31477352865936636</v>
      </c>
      <c r="J267">
        <f t="shared" ca="1" si="24"/>
        <v>1</v>
      </c>
      <c r="K267">
        <f t="shared" ca="1" si="25"/>
        <v>0</v>
      </c>
      <c r="L267" s="65">
        <v>261</v>
      </c>
      <c r="M267" s="71">
        <f t="shared" ca="1" si="21"/>
        <v>2.3935659397221327</v>
      </c>
      <c r="N267" s="65"/>
    </row>
    <row r="268" spans="1:14" x14ac:dyDescent="0.25">
      <c r="A268" s="2">
        <v>262</v>
      </c>
      <c r="B268" s="11">
        <f t="shared" ca="1" si="22"/>
        <v>1</v>
      </c>
      <c r="C268" s="26">
        <f t="shared" ca="1" si="23"/>
        <v>0.22481090470349874</v>
      </c>
      <c r="J268">
        <f t="shared" ca="1" si="24"/>
        <v>1</v>
      </c>
      <c r="K268">
        <f t="shared" ca="1" si="25"/>
        <v>0</v>
      </c>
      <c r="L268" s="65">
        <v>262</v>
      </c>
      <c r="M268" s="71">
        <f t="shared" ca="1" si="21"/>
        <v>2.0949504469534532</v>
      </c>
      <c r="N268" s="65"/>
    </row>
    <row r="269" spans="1:14" x14ac:dyDescent="0.25">
      <c r="A269" s="2">
        <v>263</v>
      </c>
      <c r="B269" s="11">
        <f t="shared" ca="1" si="22"/>
        <v>1</v>
      </c>
      <c r="C269" s="26">
        <f t="shared" ca="1" si="23"/>
        <v>0.71545947178864877</v>
      </c>
      <c r="J269">
        <f t="shared" ca="1" si="24"/>
        <v>1</v>
      </c>
      <c r="K269">
        <f t="shared" ca="1" si="25"/>
        <v>0</v>
      </c>
      <c r="L269" s="65">
        <v>263</v>
      </c>
      <c r="M269" s="71">
        <f t="shared" ca="1" si="21"/>
        <v>1.5698558714402462</v>
      </c>
      <c r="N269" s="65"/>
    </row>
    <row r="270" spans="1:14" x14ac:dyDescent="0.25">
      <c r="A270" s="2">
        <v>264</v>
      </c>
      <c r="B270" s="11">
        <f t="shared" ca="1" si="22"/>
        <v>1</v>
      </c>
      <c r="C270" s="26">
        <f t="shared" ca="1" si="23"/>
        <v>0.58455197577949192</v>
      </c>
      <c r="J270">
        <f t="shared" ca="1" si="24"/>
        <v>1</v>
      </c>
      <c r="K270">
        <f t="shared" ca="1" si="25"/>
        <v>0</v>
      </c>
      <c r="L270" s="65">
        <v>264</v>
      </c>
      <c r="M270" s="71">
        <f t="shared" ca="1" si="21"/>
        <v>5.488127739370694</v>
      </c>
      <c r="N270" s="65"/>
    </row>
    <row r="271" spans="1:14" x14ac:dyDescent="0.25">
      <c r="A271" s="2">
        <v>265</v>
      </c>
      <c r="B271" s="11">
        <f t="shared" ca="1" si="22"/>
        <v>1</v>
      </c>
      <c r="C271" s="26">
        <f t="shared" ca="1" si="23"/>
        <v>9.603210093237613E-2</v>
      </c>
      <c r="J271">
        <f t="shared" ca="1" si="24"/>
        <v>1</v>
      </c>
      <c r="K271">
        <f t="shared" ca="1" si="25"/>
        <v>0</v>
      </c>
      <c r="L271" s="65">
        <v>265</v>
      </c>
      <c r="M271" s="71">
        <f t="shared" ca="1" si="21"/>
        <v>1.2491447406626401</v>
      </c>
      <c r="N271" s="65"/>
    </row>
    <row r="272" spans="1:14" x14ac:dyDescent="0.25">
      <c r="A272" s="2">
        <v>266</v>
      </c>
      <c r="B272" s="11">
        <f t="shared" ca="1" si="22"/>
        <v>1</v>
      </c>
      <c r="C272" s="26">
        <f t="shared" ca="1" si="23"/>
        <v>0.38367933705565216</v>
      </c>
      <c r="J272">
        <f t="shared" ca="1" si="24"/>
        <v>0</v>
      </c>
      <c r="K272">
        <f t="shared" ca="1" si="25"/>
        <v>0</v>
      </c>
      <c r="L272" s="65">
        <v>266</v>
      </c>
      <c r="M272" s="71">
        <f t="shared" ca="1" si="21"/>
        <v>0.36141451518527784</v>
      </c>
      <c r="N272" s="65"/>
    </row>
    <row r="273" spans="1:14" x14ac:dyDescent="0.25">
      <c r="A273" s="2">
        <v>267</v>
      </c>
      <c r="B273" s="11">
        <f t="shared" ca="1" si="22"/>
        <v>0</v>
      </c>
      <c r="C273" s="26">
        <f t="shared" ca="1" si="23"/>
        <v>0.93232685623833234</v>
      </c>
      <c r="J273">
        <f t="shared" ca="1" si="24"/>
        <v>0</v>
      </c>
      <c r="K273">
        <f t="shared" ca="1" si="25"/>
        <v>0</v>
      </c>
      <c r="L273" s="65">
        <v>267</v>
      </c>
      <c r="M273" s="71">
        <f t="shared" ca="1" si="21"/>
        <v>0</v>
      </c>
      <c r="N273" s="65"/>
    </row>
    <row r="274" spans="1:14" x14ac:dyDescent="0.25">
      <c r="A274" s="2">
        <v>268</v>
      </c>
      <c r="B274" s="11">
        <f t="shared" ca="1" si="22"/>
        <v>1</v>
      </c>
      <c r="C274" s="26">
        <f t="shared" ca="1" si="23"/>
        <v>0.12487062188901976</v>
      </c>
      <c r="J274">
        <f t="shared" ca="1" si="24"/>
        <v>1</v>
      </c>
      <c r="K274">
        <f t="shared" ca="1" si="25"/>
        <v>0</v>
      </c>
      <c r="L274" s="65">
        <v>268</v>
      </c>
      <c r="M274" s="71">
        <f t="shared" ca="1" si="21"/>
        <v>0.8587882630784639</v>
      </c>
      <c r="N274" s="65"/>
    </row>
    <row r="275" spans="1:14" x14ac:dyDescent="0.25">
      <c r="A275" s="2">
        <v>269</v>
      </c>
      <c r="B275" s="11">
        <f t="shared" ca="1" si="22"/>
        <v>1</v>
      </c>
      <c r="C275" s="26">
        <f t="shared" ca="1" si="23"/>
        <v>0.46531594560878009</v>
      </c>
      <c r="J275">
        <f t="shared" ca="1" si="24"/>
        <v>1</v>
      </c>
      <c r="K275">
        <f t="shared" ca="1" si="25"/>
        <v>0</v>
      </c>
      <c r="L275" s="65">
        <v>269</v>
      </c>
      <c r="M275" s="71">
        <f t="shared" ca="1" si="21"/>
        <v>1.6421623399175089</v>
      </c>
      <c r="N275" s="65"/>
    </row>
    <row r="276" spans="1:14" x14ac:dyDescent="0.25">
      <c r="A276" s="2">
        <v>270</v>
      </c>
      <c r="B276" s="11">
        <f t="shared" ca="1" si="22"/>
        <v>1</v>
      </c>
      <c r="C276" s="26">
        <f t="shared" ca="1" si="23"/>
        <v>0.15898537175458982</v>
      </c>
      <c r="J276">
        <f t="shared" ca="1" si="24"/>
        <v>1</v>
      </c>
      <c r="K276">
        <f t="shared" ca="1" si="25"/>
        <v>0</v>
      </c>
      <c r="L276" s="65">
        <v>270</v>
      </c>
      <c r="M276" s="71">
        <f t="shared" ca="1" si="21"/>
        <v>1.314068300701833</v>
      </c>
      <c r="N276" s="65"/>
    </row>
    <row r="277" spans="1:14" x14ac:dyDescent="0.25">
      <c r="A277" s="2">
        <v>271</v>
      </c>
      <c r="B277" s="11">
        <f t="shared" ca="1" si="22"/>
        <v>1</v>
      </c>
      <c r="C277" s="26">
        <f t="shared" ca="1" si="23"/>
        <v>0.34633310761218195</v>
      </c>
      <c r="J277">
        <f t="shared" ca="1" si="24"/>
        <v>1</v>
      </c>
      <c r="K277">
        <f t="shared" ca="1" si="25"/>
        <v>0</v>
      </c>
      <c r="L277" s="65">
        <v>271</v>
      </c>
      <c r="M277" s="71">
        <f t="shared" ca="1" si="21"/>
        <v>2.8591954575764209</v>
      </c>
      <c r="N277" s="65"/>
    </row>
    <row r="278" spans="1:14" x14ac:dyDescent="0.25">
      <c r="A278" s="2">
        <v>272</v>
      </c>
      <c r="B278" s="11">
        <f t="shared" ca="1" si="22"/>
        <v>1</v>
      </c>
      <c r="C278" s="26">
        <f t="shared" ca="1" si="23"/>
        <v>0.54364553306984209</v>
      </c>
      <c r="J278">
        <f t="shared" ca="1" si="24"/>
        <v>1</v>
      </c>
      <c r="K278">
        <f t="shared" ca="1" si="25"/>
        <v>0</v>
      </c>
      <c r="L278" s="65">
        <v>272</v>
      </c>
      <c r="M278" s="71">
        <f t="shared" ca="1" si="21"/>
        <v>6.1383680945770444E-2</v>
      </c>
      <c r="N278" s="65"/>
    </row>
    <row r="279" spans="1:14" x14ac:dyDescent="0.25">
      <c r="A279" s="2">
        <v>273</v>
      </c>
      <c r="B279" s="11">
        <f t="shared" ca="1" si="22"/>
        <v>1</v>
      </c>
      <c r="C279" s="26">
        <f t="shared" ca="1" si="23"/>
        <v>2.6396275045335149E-2</v>
      </c>
      <c r="J279">
        <f t="shared" ca="1" si="24"/>
        <v>1</v>
      </c>
      <c r="K279">
        <f t="shared" ca="1" si="25"/>
        <v>0</v>
      </c>
      <c r="L279" s="65">
        <v>273</v>
      </c>
      <c r="M279" s="71">
        <f t="shared" ca="1" si="21"/>
        <v>4.3369742666970286</v>
      </c>
      <c r="N279" s="65"/>
    </row>
    <row r="280" spans="1:14" x14ac:dyDescent="0.25">
      <c r="A280" s="2">
        <v>274</v>
      </c>
      <c r="B280" s="11">
        <f t="shared" ca="1" si="22"/>
        <v>1</v>
      </c>
      <c r="C280" s="26">
        <f t="shared" ca="1" si="23"/>
        <v>8.349059141656423E-2</v>
      </c>
      <c r="J280">
        <f t="shared" ca="1" si="24"/>
        <v>1</v>
      </c>
      <c r="K280">
        <f t="shared" ca="1" si="25"/>
        <v>0</v>
      </c>
      <c r="L280" s="65">
        <v>274</v>
      </c>
      <c r="M280" s="71">
        <f t="shared" ca="1" si="21"/>
        <v>3.5317882108521976</v>
      </c>
      <c r="N280" s="65"/>
    </row>
    <row r="281" spans="1:14" x14ac:dyDescent="0.25">
      <c r="A281" s="2">
        <v>275</v>
      </c>
      <c r="B281" s="11">
        <f t="shared" ca="1" si="22"/>
        <v>1</v>
      </c>
      <c r="C281" s="26">
        <f t="shared" ca="1" si="23"/>
        <v>0.46962088396053348</v>
      </c>
      <c r="J281">
        <f t="shared" ca="1" si="24"/>
        <v>0</v>
      </c>
      <c r="K281">
        <f t="shared" ca="1" si="25"/>
        <v>0</v>
      </c>
      <c r="L281" s="65">
        <v>275</v>
      </c>
      <c r="M281" s="71">
        <f t="shared" ca="1" si="21"/>
        <v>0.74860079660264456</v>
      </c>
      <c r="N281" s="65"/>
    </row>
    <row r="282" spans="1:14" x14ac:dyDescent="0.25">
      <c r="A282" s="2">
        <v>276</v>
      </c>
      <c r="B282" s="11">
        <f t="shared" ca="1" si="22"/>
        <v>0</v>
      </c>
      <c r="C282" s="26">
        <f t="shared" ca="1" si="23"/>
        <v>0.9743625405567452</v>
      </c>
      <c r="J282">
        <f t="shared" ca="1" si="24"/>
        <v>0</v>
      </c>
      <c r="K282">
        <f t="shared" ca="1" si="25"/>
        <v>0</v>
      </c>
      <c r="L282" s="65">
        <v>276</v>
      </c>
      <c r="M282" s="71">
        <f t="shared" ca="1" si="21"/>
        <v>0</v>
      </c>
      <c r="N282" s="65"/>
    </row>
    <row r="283" spans="1:14" x14ac:dyDescent="0.25">
      <c r="A283" s="2">
        <v>277</v>
      </c>
      <c r="B283" s="11">
        <f t="shared" ca="1" si="22"/>
        <v>1</v>
      </c>
      <c r="C283" s="26">
        <f t="shared" ca="1" si="23"/>
        <v>3.7117133038203964E-2</v>
      </c>
      <c r="J283">
        <f t="shared" ca="1" si="24"/>
        <v>0</v>
      </c>
      <c r="K283">
        <f t="shared" ca="1" si="25"/>
        <v>0</v>
      </c>
      <c r="L283" s="65">
        <v>277</v>
      </c>
      <c r="M283" s="71">
        <f t="shared" ca="1" si="21"/>
        <v>3.7397315792751038</v>
      </c>
      <c r="N283" s="65"/>
    </row>
    <row r="284" spans="1:14" x14ac:dyDescent="0.25">
      <c r="A284" s="2">
        <v>278</v>
      </c>
      <c r="B284" s="11">
        <f t="shared" ca="1" si="22"/>
        <v>0</v>
      </c>
      <c r="C284" s="26">
        <f t="shared" ca="1" si="23"/>
        <v>0.82779278088324648</v>
      </c>
      <c r="J284">
        <f t="shared" ca="1" si="24"/>
        <v>0</v>
      </c>
      <c r="K284">
        <f t="shared" ca="1" si="25"/>
        <v>1</v>
      </c>
      <c r="L284" s="65">
        <v>278</v>
      </c>
      <c r="M284" s="71">
        <f t="shared" ca="1" si="21"/>
        <v>0</v>
      </c>
      <c r="N284" s="65"/>
    </row>
    <row r="285" spans="1:14" x14ac:dyDescent="0.25">
      <c r="A285" s="2">
        <v>279</v>
      </c>
      <c r="B285" s="11">
        <f t="shared" ca="1" si="22"/>
        <v>0</v>
      </c>
      <c r="C285" s="26">
        <f t="shared" ca="1" si="23"/>
        <v>0.8682264941772182</v>
      </c>
      <c r="J285">
        <f t="shared" ca="1" si="24"/>
        <v>0</v>
      </c>
      <c r="K285">
        <f t="shared" ca="1" si="25"/>
        <v>1</v>
      </c>
      <c r="L285" s="65">
        <v>279</v>
      </c>
      <c r="M285" s="71">
        <f t="shared" ca="1" si="21"/>
        <v>0</v>
      </c>
      <c r="N285" s="65"/>
    </row>
    <row r="286" spans="1:14" x14ac:dyDescent="0.25">
      <c r="A286" s="2">
        <v>280</v>
      </c>
      <c r="B286" s="11">
        <f t="shared" ca="1" si="22"/>
        <v>0</v>
      </c>
      <c r="C286" s="26">
        <f t="shared" ca="1" si="23"/>
        <v>0.48633441478268957</v>
      </c>
      <c r="J286">
        <f t="shared" ca="1" si="24"/>
        <v>0</v>
      </c>
      <c r="K286">
        <f t="shared" ca="1" si="25"/>
        <v>1</v>
      </c>
      <c r="L286" s="65">
        <v>280</v>
      </c>
      <c r="M286" s="71">
        <f t="shared" ca="1" si="21"/>
        <v>0</v>
      </c>
      <c r="N286" s="65"/>
    </row>
    <row r="287" spans="1:14" x14ac:dyDescent="0.25">
      <c r="A287" s="2">
        <v>281</v>
      </c>
      <c r="B287" s="11">
        <f t="shared" ca="1" si="22"/>
        <v>0</v>
      </c>
      <c r="C287" s="26">
        <f t="shared" ca="1" si="23"/>
        <v>0.71161383384123089</v>
      </c>
      <c r="J287">
        <f t="shared" ca="1" si="24"/>
        <v>0</v>
      </c>
      <c r="K287">
        <f t="shared" ca="1" si="25"/>
        <v>1</v>
      </c>
      <c r="L287" s="65">
        <v>281</v>
      </c>
      <c r="M287" s="71">
        <f t="shared" ca="1" si="21"/>
        <v>0</v>
      </c>
      <c r="N287" s="65"/>
    </row>
    <row r="288" spans="1:14" x14ac:dyDescent="0.25">
      <c r="A288" s="2">
        <v>282</v>
      </c>
      <c r="B288" s="11">
        <f t="shared" ca="1" si="22"/>
        <v>0</v>
      </c>
      <c r="C288" s="26">
        <f t="shared" ca="1" si="23"/>
        <v>0.78147478950194615</v>
      </c>
      <c r="J288">
        <f t="shared" ca="1" si="24"/>
        <v>0</v>
      </c>
      <c r="K288">
        <f t="shared" ca="1" si="25"/>
        <v>0</v>
      </c>
      <c r="L288" s="65">
        <v>282</v>
      </c>
      <c r="M288" s="71">
        <f t="shared" ca="1" si="21"/>
        <v>0</v>
      </c>
      <c r="N288" s="65"/>
    </row>
    <row r="289" spans="1:14" x14ac:dyDescent="0.25">
      <c r="A289" s="2">
        <v>283</v>
      </c>
      <c r="B289" s="11">
        <f t="shared" ca="1" si="22"/>
        <v>1</v>
      </c>
      <c r="C289" s="26">
        <f t="shared" ca="1" si="23"/>
        <v>0.19493434530590559</v>
      </c>
      <c r="J289">
        <f t="shared" ca="1" si="24"/>
        <v>1</v>
      </c>
      <c r="K289">
        <f t="shared" ca="1" si="25"/>
        <v>0</v>
      </c>
      <c r="L289" s="65">
        <v>283</v>
      </c>
      <c r="M289" s="71">
        <f t="shared" ca="1" si="21"/>
        <v>2.4091425667395852</v>
      </c>
      <c r="N289" s="65"/>
    </row>
    <row r="290" spans="1:14" x14ac:dyDescent="0.25">
      <c r="A290" s="2">
        <v>284</v>
      </c>
      <c r="B290" s="11">
        <f t="shared" ca="1" si="22"/>
        <v>1</v>
      </c>
      <c r="C290" s="26">
        <f t="shared" ca="1" si="23"/>
        <v>0.41706040541031664</v>
      </c>
      <c r="J290">
        <f t="shared" ca="1" si="24"/>
        <v>0</v>
      </c>
      <c r="K290">
        <f t="shared" ca="1" si="25"/>
        <v>0</v>
      </c>
      <c r="L290" s="65">
        <v>284</v>
      </c>
      <c r="M290" s="71">
        <f t="shared" ca="1" si="21"/>
        <v>1.3329931537261142</v>
      </c>
      <c r="N290" s="65"/>
    </row>
    <row r="291" spans="1:14" x14ac:dyDescent="0.25">
      <c r="A291" s="2">
        <v>285</v>
      </c>
      <c r="B291" s="11">
        <f t="shared" ca="1" si="22"/>
        <v>0</v>
      </c>
      <c r="C291" s="26">
        <f t="shared" ca="1" si="23"/>
        <v>0.94294929177492426</v>
      </c>
      <c r="J291">
        <f t="shared" ca="1" si="24"/>
        <v>0</v>
      </c>
      <c r="K291">
        <f t="shared" ca="1" si="25"/>
        <v>0</v>
      </c>
      <c r="L291" s="65">
        <v>285</v>
      </c>
      <c r="M291" s="71">
        <f t="shared" ca="1" si="21"/>
        <v>0</v>
      </c>
      <c r="N291" s="65"/>
    </row>
    <row r="292" spans="1:14" x14ac:dyDescent="0.25">
      <c r="A292" s="2">
        <v>286</v>
      </c>
      <c r="B292" s="11">
        <f t="shared" ca="1" si="22"/>
        <v>1</v>
      </c>
      <c r="C292" s="26">
        <f t="shared" ca="1" si="23"/>
        <v>3.8718950781597594E-2</v>
      </c>
      <c r="J292">
        <f t="shared" ca="1" si="24"/>
        <v>0</v>
      </c>
      <c r="K292">
        <f t="shared" ca="1" si="25"/>
        <v>0</v>
      </c>
      <c r="L292" s="65">
        <v>286</v>
      </c>
      <c r="M292" s="71">
        <f t="shared" ca="1" si="21"/>
        <v>3.9415683937995314</v>
      </c>
      <c r="N292" s="65"/>
    </row>
    <row r="293" spans="1:14" x14ac:dyDescent="0.25">
      <c r="A293" s="2">
        <v>287</v>
      </c>
      <c r="B293" s="11">
        <f t="shared" ca="1" si="22"/>
        <v>0</v>
      </c>
      <c r="C293" s="26">
        <f t="shared" ca="1" si="23"/>
        <v>0.77796166537277645</v>
      </c>
      <c r="J293">
        <f t="shared" ca="1" si="24"/>
        <v>0</v>
      </c>
      <c r="K293">
        <f t="shared" ca="1" si="25"/>
        <v>1</v>
      </c>
      <c r="L293" s="65">
        <v>287</v>
      </c>
      <c r="M293" s="71">
        <f t="shared" ca="1" si="21"/>
        <v>0</v>
      </c>
      <c r="N293" s="65"/>
    </row>
    <row r="294" spans="1:14" x14ac:dyDescent="0.25">
      <c r="A294" s="2">
        <v>288</v>
      </c>
      <c r="B294" s="11">
        <f t="shared" ca="1" si="22"/>
        <v>0</v>
      </c>
      <c r="C294" s="26">
        <f t="shared" ca="1" si="23"/>
        <v>0.42264036801338944</v>
      </c>
      <c r="J294">
        <f t="shared" ca="1" si="24"/>
        <v>0</v>
      </c>
      <c r="K294">
        <f t="shared" ca="1" si="25"/>
        <v>1</v>
      </c>
      <c r="L294" s="65">
        <v>288</v>
      </c>
      <c r="M294" s="71">
        <f t="shared" ca="1" si="21"/>
        <v>0</v>
      </c>
      <c r="N294" s="65"/>
    </row>
    <row r="295" spans="1:14" x14ac:dyDescent="0.25">
      <c r="A295" s="2">
        <v>289</v>
      </c>
      <c r="B295" s="11">
        <f t="shared" ca="1" si="22"/>
        <v>0</v>
      </c>
      <c r="C295" s="26">
        <f t="shared" ca="1" si="23"/>
        <v>0.86900657950163362</v>
      </c>
      <c r="J295">
        <f t="shared" ca="1" si="24"/>
        <v>0</v>
      </c>
      <c r="K295">
        <f t="shared" ca="1" si="25"/>
        <v>1</v>
      </c>
      <c r="L295" s="65">
        <v>289</v>
      </c>
      <c r="M295" s="71">
        <f t="shared" ca="1" si="21"/>
        <v>0</v>
      </c>
      <c r="N295" s="65"/>
    </row>
    <row r="296" spans="1:14" x14ac:dyDescent="0.25">
      <c r="A296" s="2">
        <v>290</v>
      </c>
      <c r="B296" s="11">
        <f t="shared" ca="1" si="22"/>
        <v>0</v>
      </c>
      <c r="C296" s="26">
        <f t="shared" ca="1" si="23"/>
        <v>0.83277304858140744</v>
      </c>
      <c r="J296">
        <f t="shared" ca="1" si="24"/>
        <v>0</v>
      </c>
      <c r="K296">
        <f t="shared" ca="1" si="25"/>
        <v>1</v>
      </c>
      <c r="L296" s="65">
        <v>290</v>
      </c>
      <c r="M296" s="71">
        <f t="shared" ca="1" si="21"/>
        <v>0</v>
      </c>
      <c r="N296" s="65"/>
    </row>
    <row r="297" spans="1:14" x14ac:dyDescent="0.25">
      <c r="A297" s="2">
        <v>291</v>
      </c>
      <c r="B297" s="11">
        <f t="shared" ca="1" si="22"/>
        <v>0</v>
      </c>
      <c r="C297" s="26">
        <f t="shared" ca="1" si="23"/>
        <v>0.59549160899940146</v>
      </c>
      <c r="J297">
        <f t="shared" ca="1" si="24"/>
        <v>0</v>
      </c>
      <c r="K297">
        <f t="shared" ca="1" si="25"/>
        <v>1</v>
      </c>
      <c r="L297" s="65">
        <v>291</v>
      </c>
      <c r="M297" s="71">
        <f t="shared" ca="1" si="21"/>
        <v>0</v>
      </c>
      <c r="N297" s="65"/>
    </row>
    <row r="298" spans="1:14" x14ac:dyDescent="0.25">
      <c r="A298" s="2">
        <v>292</v>
      </c>
      <c r="B298" s="11">
        <f t="shared" ca="1" si="22"/>
        <v>0</v>
      </c>
      <c r="C298" s="26">
        <f t="shared" ca="1" si="23"/>
        <v>0.64236855693686024</v>
      </c>
      <c r="J298">
        <f t="shared" ca="1" si="24"/>
        <v>0</v>
      </c>
      <c r="K298">
        <f t="shared" ca="1" si="25"/>
        <v>1</v>
      </c>
      <c r="L298" s="65">
        <v>292</v>
      </c>
      <c r="M298" s="71">
        <f t="shared" ca="1" si="21"/>
        <v>0</v>
      </c>
      <c r="N298" s="65"/>
    </row>
    <row r="299" spans="1:14" x14ac:dyDescent="0.25">
      <c r="A299" s="2">
        <v>293</v>
      </c>
      <c r="B299" s="11">
        <f t="shared" ca="1" si="22"/>
        <v>0</v>
      </c>
      <c r="C299" s="26">
        <f t="shared" ca="1" si="23"/>
        <v>0.44985860272440659</v>
      </c>
      <c r="J299">
        <f t="shared" ca="1" si="24"/>
        <v>0</v>
      </c>
      <c r="K299">
        <f t="shared" ca="1" si="25"/>
        <v>1</v>
      </c>
      <c r="L299" s="65">
        <v>293</v>
      </c>
      <c r="M299" s="71">
        <f t="shared" ca="1" si="21"/>
        <v>0</v>
      </c>
      <c r="N299" s="65"/>
    </row>
    <row r="300" spans="1:14" x14ac:dyDescent="0.25">
      <c r="A300" s="2">
        <v>294</v>
      </c>
      <c r="B300" s="11">
        <f t="shared" ca="1" si="22"/>
        <v>0</v>
      </c>
      <c r="C300" s="26">
        <f t="shared" ca="1" si="23"/>
        <v>0.47858347740889562</v>
      </c>
      <c r="J300">
        <f t="shared" ca="1" si="24"/>
        <v>0</v>
      </c>
      <c r="K300">
        <f t="shared" ca="1" si="25"/>
        <v>0</v>
      </c>
      <c r="L300" s="65">
        <v>294</v>
      </c>
      <c r="M300" s="71">
        <f t="shared" ca="1" si="21"/>
        <v>0</v>
      </c>
      <c r="N300" s="65"/>
    </row>
    <row r="301" spans="1:14" x14ac:dyDescent="0.25">
      <c r="A301" s="2">
        <v>295</v>
      </c>
      <c r="B301" s="11">
        <f t="shared" ca="1" si="22"/>
        <v>1</v>
      </c>
      <c r="C301" s="26">
        <f t="shared" ca="1" si="23"/>
        <v>0.10056725852468884</v>
      </c>
      <c r="J301">
        <f t="shared" ca="1" si="24"/>
        <v>1</v>
      </c>
      <c r="K301">
        <f t="shared" ca="1" si="25"/>
        <v>0</v>
      </c>
      <c r="L301" s="65">
        <v>295</v>
      </c>
      <c r="M301" s="71">
        <f t="shared" ca="1" si="21"/>
        <v>3.3202388827875242</v>
      </c>
      <c r="N301" s="65"/>
    </row>
    <row r="302" spans="1:14" x14ac:dyDescent="0.25">
      <c r="A302" s="2">
        <v>296</v>
      </c>
      <c r="B302" s="11">
        <f t="shared" ca="1" si="22"/>
        <v>1</v>
      </c>
      <c r="C302" s="26">
        <f t="shared" ca="1" si="23"/>
        <v>0.34414260243658423</v>
      </c>
      <c r="J302">
        <f t="shared" ca="1" si="24"/>
        <v>1</v>
      </c>
      <c r="K302">
        <f t="shared" ca="1" si="25"/>
        <v>0</v>
      </c>
      <c r="L302" s="65">
        <v>296</v>
      </c>
      <c r="M302" s="71">
        <f t="shared" ca="1" si="21"/>
        <v>2.6377624908273782</v>
      </c>
      <c r="N302" s="65"/>
    </row>
    <row r="303" spans="1:14" x14ac:dyDescent="0.25">
      <c r="A303" s="2">
        <v>297</v>
      </c>
      <c r="B303" s="11">
        <f t="shared" ca="1" si="22"/>
        <v>1</v>
      </c>
      <c r="C303" s="26">
        <f t="shared" ca="1" si="23"/>
        <v>0.33388727889369074</v>
      </c>
      <c r="J303">
        <f t="shared" ca="1" si="24"/>
        <v>0</v>
      </c>
      <c r="K303">
        <f t="shared" ca="1" si="25"/>
        <v>0</v>
      </c>
      <c r="L303" s="65">
        <v>297</v>
      </c>
      <c r="M303" s="71">
        <f t="shared" ca="1" si="21"/>
        <v>1.4036220943061275</v>
      </c>
      <c r="N303" s="65"/>
    </row>
    <row r="304" spans="1:14" x14ac:dyDescent="0.25">
      <c r="A304" s="2">
        <v>298</v>
      </c>
      <c r="B304" s="11">
        <f t="shared" ca="1" si="22"/>
        <v>0</v>
      </c>
      <c r="C304" s="26">
        <f t="shared" ca="1" si="23"/>
        <v>0.93156167360189035</v>
      </c>
      <c r="J304">
        <f t="shared" ca="1" si="24"/>
        <v>0</v>
      </c>
      <c r="K304">
        <f t="shared" ca="1" si="25"/>
        <v>0</v>
      </c>
      <c r="L304" s="65">
        <v>298</v>
      </c>
      <c r="M304" s="71">
        <f t="shared" ca="1" si="21"/>
        <v>0</v>
      </c>
      <c r="N304" s="65"/>
    </row>
    <row r="305" spans="1:14" x14ac:dyDescent="0.25">
      <c r="A305" s="2">
        <v>299</v>
      </c>
      <c r="B305" s="11">
        <f t="shared" ca="1" si="22"/>
        <v>1</v>
      </c>
      <c r="C305" s="26">
        <f t="shared" ca="1" si="23"/>
        <v>0.17342969190609525</v>
      </c>
      <c r="J305">
        <f t="shared" ca="1" si="24"/>
        <v>1</v>
      </c>
      <c r="K305">
        <f t="shared" ca="1" si="25"/>
        <v>0</v>
      </c>
      <c r="L305" s="65">
        <v>299</v>
      </c>
      <c r="M305" s="71">
        <f t="shared" ca="1" si="21"/>
        <v>1.0564537439580319</v>
      </c>
      <c r="N305" s="65"/>
    </row>
    <row r="306" spans="1:14" x14ac:dyDescent="0.25">
      <c r="A306" s="2">
        <v>300</v>
      </c>
      <c r="B306" s="11">
        <f t="shared" ca="1" si="22"/>
        <v>1</v>
      </c>
      <c r="C306" s="26">
        <f t="shared" ca="1" si="23"/>
        <v>0.22345534972827297</v>
      </c>
      <c r="J306">
        <f t="shared" ca="1" si="24"/>
        <v>1</v>
      </c>
      <c r="K306">
        <f t="shared" ca="1" si="25"/>
        <v>0</v>
      </c>
      <c r="L306" s="65">
        <v>300</v>
      </c>
      <c r="M306" s="71">
        <f t="shared" ca="1" si="21"/>
        <v>2.3414739207232502</v>
      </c>
      <c r="N306" s="65"/>
    </row>
    <row r="307" spans="1:14" x14ac:dyDescent="0.25">
      <c r="A307" s="2">
        <v>301</v>
      </c>
      <c r="B307" s="11">
        <f t="shared" ca="1" si="22"/>
        <v>1</v>
      </c>
      <c r="C307" s="26">
        <f t="shared" ca="1" si="23"/>
        <v>0.33064479401610014</v>
      </c>
      <c r="J307">
        <f t="shared" ca="1" si="24"/>
        <v>1</v>
      </c>
      <c r="K307">
        <f t="shared" ca="1" si="25"/>
        <v>0</v>
      </c>
      <c r="L307" s="65">
        <v>301</v>
      </c>
      <c r="M307" s="71">
        <f t="shared" ca="1" si="21"/>
        <v>0.81603544349865964</v>
      </c>
      <c r="N307" s="65"/>
    </row>
    <row r="308" spans="1:14" x14ac:dyDescent="0.25">
      <c r="A308" s="2">
        <v>302</v>
      </c>
      <c r="B308" s="11">
        <f t="shared" ca="1" si="22"/>
        <v>1</v>
      </c>
      <c r="C308" s="26">
        <f t="shared" ca="1" si="23"/>
        <v>0.29310464060551444</v>
      </c>
      <c r="J308">
        <f t="shared" ca="1" si="24"/>
        <v>1</v>
      </c>
      <c r="K308">
        <f t="shared" ca="1" si="25"/>
        <v>0</v>
      </c>
      <c r="L308" s="65">
        <v>302</v>
      </c>
      <c r="M308" s="71">
        <f t="shared" ca="1" si="21"/>
        <v>4.3292443350630476</v>
      </c>
      <c r="N308" s="65"/>
    </row>
    <row r="309" spans="1:14" x14ac:dyDescent="0.25">
      <c r="A309" s="2">
        <v>303</v>
      </c>
      <c r="B309" s="11">
        <f t="shared" ca="1" si="22"/>
        <v>1</v>
      </c>
      <c r="C309" s="26">
        <f t="shared" ca="1" si="23"/>
        <v>0.64701922256367994</v>
      </c>
      <c r="J309">
        <f t="shared" ca="1" si="24"/>
        <v>0</v>
      </c>
      <c r="K309">
        <f t="shared" ca="1" si="25"/>
        <v>0</v>
      </c>
      <c r="L309" s="65">
        <v>303</v>
      </c>
      <c r="M309" s="71">
        <f t="shared" ca="1" si="21"/>
        <v>0.43804357643655567</v>
      </c>
      <c r="N309" s="65"/>
    </row>
    <row r="310" spans="1:14" x14ac:dyDescent="0.25">
      <c r="A310" s="2">
        <v>304</v>
      </c>
      <c r="B310" s="11">
        <f t="shared" ca="1" si="22"/>
        <v>0</v>
      </c>
      <c r="C310" s="26">
        <f t="shared" ca="1" si="23"/>
        <v>0.79994355510782367</v>
      </c>
      <c r="J310">
        <f t="shared" ca="1" si="24"/>
        <v>0</v>
      </c>
      <c r="K310">
        <f t="shared" ca="1" si="25"/>
        <v>1</v>
      </c>
      <c r="L310" s="65">
        <v>304</v>
      </c>
      <c r="M310" s="71">
        <f t="shared" ca="1" si="21"/>
        <v>0</v>
      </c>
      <c r="N310" s="65"/>
    </row>
    <row r="311" spans="1:14" x14ac:dyDescent="0.25">
      <c r="A311" s="2">
        <v>305</v>
      </c>
      <c r="B311" s="11">
        <f t="shared" ca="1" si="22"/>
        <v>0</v>
      </c>
      <c r="C311" s="26">
        <f t="shared" ca="1" si="23"/>
        <v>0.90948878962745416</v>
      </c>
      <c r="J311">
        <f t="shared" ca="1" si="24"/>
        <v>0</v>
      </c>
      <c r="K311">
        <f t="shared" ca="1" si="25"/>
        <v>0</v>
      </c>
      <c r="L311" s="65">
        <v>305</v>
      </c>
      <c r="M311" s="71">
        <f t="shared" ca="1" si="21"/>
        <v>0</v>
      </c>
      <c r="N311" s="65"/>
    </row>
    <row r="312" spans="1:14" x14ac:dyDescent="0.25">
      <c r="A312" s="2">
        <v>306</v>
      </c>
      <c r="B312" s="11">
        <f t="shared" ca="1" si="22"/>
        <v>1</v>
      </c>
      <c r="C312" s="26">
        <f t="shared" ca="1" si="23"/>
        <v>3.7689253520597932E-2</v>
      </c>
      <c r="J312">
        <f t="shared" ca="1" si="24"/>
        <v>0</v>
      </c>
      <c r="K312">
        <f t="shared" ca="1" si="25"/>
        <v>0</v>
      </c>
      <c r="L312" s="65">
        <v>306</v>
      </c>
      <c r="M312" s="71">
        <f t="shared" ca="1" si="21"/>
        <v>2.7433801637892468</v>
      </c>
      <c r="N312" s="65"/>
    </row>
    <row r="313" spans="1:14" x14ac:dyDescent="0.25">
      <c r="A313" s="2">
        <v>307</v>
      </c>
      <c r="B313" s="11">
        <f t="shared" ca="1" si="22"/>
        <v>0</v>
      </c>
      <c r="C313" s="26">
        <f t="shared" ca="1" si="23"/>
        <v>0.9111598910459584</v>
      </c>
      <c r="J313">
        <f t="shared" ca="1" si="24"/>
        <v>0</v>
      </c>
      <c r="K313">
        <f t="shared" ca="1" si="25"/>
        <v>0</v>
      </c>
      <c r="L313" s="65">
        <v>307</v>
      </c>
      <c r="M313" s="71">
        <f t="shared" ca="1" si="21"/>
        <v>0</v>
      </c>
      <c r="N313" s="65"/>
    </row>
    <row r="314" spans="1:14" x14ac:dyDescent="0.25">
      <c r="A314" s="2">
        <v>308</v>
      </c>
      <c r="B314" s="11">
        <f t="shared" ca="1" si="22"/>
        <v>1</v>
      </c>
      <c r="C314" s="26">
        <f t="shared" ca="1" si="23"/>
        <v>0.22373645445075385</v>
      </c>
      <c r="J314">
        <f t="shared" ca="1" si="24"/>
        <v>0</v>
      </c>
      <c r="K314">
        <f t="shared" ca="1" si="25"/>
        <v>0</v>
      </c>
      <c r="L314" s="65">
        <v>308</v>
      </c>
      <c r="M314" s="71">
        <f t="shared" ca="1" si="21"/>
        <v>0.25797772109484191</v>
      </c>
      <c r="N314" s="65"/>
    </row>
    <row r="315" spans="1:14" x14ac:dyDescent="0.25">
      <c r="A315" s="2">
        <v>309</v>
      </c>
      <c r="B315" s="11">
        <f t="shared" ca="1" si="22"/>
        <v>0</v>
      </c>
      <c r="C315" s="26">
        <f t="shared" ca="1" si="23"/>
        <v>0.81131611532264569</v>
      </c>
      <c r="J315">
        <f t="shared" ca="1" si="24"/>
        <v>0</v>
      </c>
      <c r="K315">
        <f t="shared" ca="1" si="25"/>
        <v>0</v>
      </c>
      <c r="L315" s="65">
        <v>309</v>
      </c>
      <c r="M315" s="71">
        <f t="shared" ca="1" si="21"/>
        <v>0</v>
      </c>
      <c r="N315" s="65"/>
    </row>
    <row r="316" spans="1:14" x14ac:dyDescent="0.25">
      <c r="A316" s="2">
        <v>310</v>
      </c>
      <c r="B316" s="11">
        <f t="shared" ca="1" si="22"/>
        <v>1</v>
      </c>
      <c r="C316" s="26">
        <f t="shared" ca="1" si="23"/>
        <v>0.30510296403688542</v>
      </c>
      <c r="J316">
        <f t="shared" ca="1" si="24"/>
        <v>1</v>
      </c>
      <c r="K316">
        <f t="shared" ca="1" si="25"/>
        <v>0</v>
      </c>
      <c r="L316" s="65">
        <v>310</v>
      </c>
      <c r="M316" s="71">
        <f t="shared" ca="1" si="21"/>
        <v>1.6244479096769913</v>
      </c>
      <c r="N316" s="65"/>
    </row>
    <row r="317" spans="1:14" x14ac:dyDescent="0.25">
      <c r="A317" s="2">
        <v>311</v>
      </c>
      <c r="B317" s="11">
        <f t="shared" ca="1" si="22"/>
        <v>1</v>
      </c>
      <c r="C317" s="26">
        <f t="shared" ca="1" si="23"/>
        <v>4.9612884598126961E-4</v>
      </c>
      <c r="J317">
        <f t="shared" ca="1" si="24"/>
        <v>1</v>
      </c>
      <c r="K317">
        <f t="shared" ca="1" si="25"/>
        <v>0</v>
      </c>
      <c r="L317" s="65">
        <v>311</v>
      </c>
      <c r="M317" s="71">
        <f t="shared" ca="1" si="21"/>
        <v>1.3450302688575391</v>
      </c>
      <c r="N317" s="65"/>
    </row>
    <row r="318" spans="1:14" x14ac:dyDescent="0.25">
      <c r="A318" s="2">
        <v>312</v>
      </c>
      <c r="B318" s="11">
        <f t="shared" ca="1" si="22"/>
        <v>1</v>
      </c>
      <c r="C318" s="26">
        <f t="shared" ca="1" si="23"/>
        <v>0.21660468141415501</v>
      </c>
      <c r="J318">
        <f t="shared" ca="1" si="24"/>
        <v>1</v>
      </c>
      <c r="K318">
        <f t="shared" ca="1" si="25"/>
        <v>0</v>
      </c>
      <c r="L318" s="65">
        <v>312</v>
      </c>
      <c r="M318" s="71">
        <f t="shared" ca="1" si="21"/>
        <v>1.5552773324072244</v>
      </c>
      <c r="N318" s="65"/>
    </row>
    <row r="319" spans="1:14" x14ac:dyDescent="0.25">
      <c r="A319" s="2">
        <v>313</v>
      </c>
      <c r="B319" s="11">
        <f t="shared" ca="1" si="22"/>
        <v>1</v>
      </c>
      <c r="C319" s="26">
        <f t="shared" ca="1" si="23"/>
        <v>0.62386791597043711</v>
      </c>
      <c r="J319">
        <f t="shared" ca="1" si="24"/>
        <v>1</v>
      </c>
      <c r="K319">
        <f t="shared" ca="1" si="25"/>
        <v>0</v>
      </c>
      <c r="L319" s="65">
        <v>313</v>
      </c>
      <c r="M319" s="71">
        <f t="shared" ca="1" si="21"/>
        <v>9.7824785497976059</v>
      </c>
      <c r="N319" s="65"/>
    </row>
    <row r="320" spans="1:14" x14ac:dyDescent="0.25">
      <c r="A320" s="2">
        <v>314</v>
      </c>
      <c r="B320" s="11">
        <f t="shared" ca="1" si="22"/>
        <v>1</v>
      </c>
      <c r="C320" s="26">
        <f t="shared" ca="1" si="23"/>
        <v>3.1403117613753584E-2</v>
      </c>
      <c r="J320">
        <f t="shared" ca="1" si="24"/>
        <v>1</v>
      </c>
      <c r="K320">
        <f t="shared" ca="1" si="25"/>
        <v>0</v>
      </c>
      <c r="L320" s="65">
        <v>314</v>
      </c>
      <c r="M320" s="71">
        <f t="shared" ca="1" si="21"/>
        <v>4.429627657355069</v>
      </c>
      <c r="N320" s="65"/>
    </row>
    <row r="321" spans="1:14" x14ac:dyDescent="0.25">
      <c r="A321" s="2">
        <v>315</v>
      </c>
      <c r="B321" s="11">
        <f t="shared" ca="1" si="22"/>
        <v>1</v>
      </c>
      <c r="C321" s="26">
        <f t="shared" ca="1" si="23"/>
        <v>0.46353590521066002</v>
      </c>
      <c r="J321">
        <f t="shared" ca="1" si="24"/>
        <v>1</v>
      </c>
      <c r="K321">
        <f t="shared" ca="1" si="25"/>
        <v>0</v>
      </c>
      <c r="L321" s="65">
        <v>315</v>
      </c>
      <c r="M321" s="71">
        <f t="shared" ca="1" si="21"/>
        <v>0.34349587286382205</v>
      </c>
      <c r="N321" s="65"/>
    </row>
    <row r="322" spans="1:14" x14ac:dyDescent="0.25">
      <c r="A322" s="2">
        <v>316</v>
      </c>
      <c r="B322" s="11">
        <f t="shared" ca="1" si="22"/>
        <v>1</v>
      </c>
      <c r="C322" s="26">
        <f t="shared" ca="1" si="23"/>
        <v>0.50970121252483791</v>
      </c>
      <c r="J322">
        <f t="shared" ca="1" si="24"/>
        <v>1</v>
      </c>
      <c r="K322">
        <f t="shared" ca="1" si="25"/>
        <v>0</v>
      </c>
      <c r="L322" s="65">
        <v>316</v>
      </c>
      <c r="M322" s="71">
        <f t="shared" ca="1" si="21"/>
        <v>0.9470884790985411</v>
      </c>
      <c r="N322" s="65"/>
    </row>
    <row r="323" spans="1:14" x14ac:dyDescent="0.25">
      <c r="A323" s="2">
        <v>317</v>
      </c>
      <c r="B323" s="11">
        <f t="shared" ca="1" si="22"/>
        <v>1</v>
      </c>
      <c r="C323" s="26">
        <f t="shared" ca="1" si="23"/>
        <v>0.42760280861945665</v>
      </c>
      <c r="J323">
        <f t="shared" ca="1" si="24"/>
        <v>1</v>
      </c>
      <c r="K323">
        <f t="shared" ca="1" si="25"/>
        <v>0</v>
      </c>
      <c r="L323" s="65">
        <v>317</v>
      </c>
      <c r="M323" s="71">
        <f t="shared" ca="1" si="21"/>
        <v>1.1246410084695344</v>
      </c>
      <c r="N323" s="65"/>
    </row>
    <row r="324" spans="1:14" x14ac:dyDescent="0.25">
      <c r="A324" s="2">
        <v>318</v>
      </c>
      <c r="B324" s="11">
        <f t="shared" ca="1" si="22"/>
        <v>1</v>
      </c>
      <c r="C324" s="26">
        <f t="shared" ca="1" si="23"/>
        <v>0.23025228605703263</v>
      </c>
      <c r="J324">
        <f t="shared" ca="1" si="24"/>
        <v>0</v>
      </c>
      <c r="K324">
        <f t="shared" ca="1" si="25"/>
        <v>0</v>
      </c>
      <c r="L324" s="65">
        <v>318</v>
      </c>
      <c r="M324" s="71">
        <f t="shared" ca="1" si="21"/>
        <v>0.99643420740821964</v>
      </c>
      <c r="N324" s="65"/>
    </row>
    <row r="325" spans="1:14" x14ac:dyDescent="0.25">
      <c r="A325" s="2">
        <v>319</v>
      </c>
      <c r="B325" s="11">
        <f t="shared" ca="1" si="22"/>
        <v>0</v>
      </c>
      <c r="C325" s="26">
        <f t="shared" ca="1" si="23"/>
        <v>0.92914585340863054</v>
      </c>
      <c r="J325">
        <f t="shared" ca="1" si="24"/>
        <v>0</v>
      </c>
      <c r="K325">
        <f t="shared" ca="1" si="25"/>
        <v>1</v>
      </c>
      <c r="L325" s="65">
        <v>319</v>
      </c>
      <c r="M325" s="71">
        <f t="shared" ca="1" si="21"/>
        <v>0</v>
      </c>
      <c r="N325" s="65"/>
    </row>
    <row r="326" spans="1:14" x14ac:dyDescent="0.25">
      <c r="A326" s="2">
        <v>320</v>
      </c>
      <c r="B326" s="11">
        <f t="shared" ca="1" si="22"/>
        <v>0</v>
      </c>
      <c r="C326" s="26">
        <f t="shared" ca="1" si="23"/>
        <v>0.77465211579386672</v>
      </c>
      <c r="J326">
        <f t="shared" ca="1" si="24"/>
        <v>0</v>
      </c>
      <c r="K326">
        <f t="shared" ca="1" si="25"/>
        <v>1</v>
      </c>
      <c r="L326" s="65">
        <v>320</v>
      </c>
      <c r="M326" s="71">
        <f t="shared" ca="1" si="21"/>
        <v>0</v>
      </c>
      <c r="N326" s="65"/>
    </row>
    <row r="327" spans="1:14" x14ac:dyDescent="0.25">
      <c r="A327" s="2">
        <v>321</v>
      </c>
      <c r="B327" s="11">
        <f t="shared" ca="1" si="22"/>
        <v>0</v>
      </c>
      <c r="C327" s="26">
        <f t="shared" ca="1" si="23"/>
        <v>0.73202424548325851</v>
      </c>
      <c r="J327">
        <f t="shared" ca="1" si="24"/>
        <v>0</v>
      </c>
      <c r="K327">
        <f t="shared" ca="1" si="25"/>
        <v>0</v>
      </c>
      <c r="L327" s="65">
        <v>321</v>
      </c>
      <c r="M327" s="71">
        <f t="shared" ref="M327:M390" ca="1" si="26">IF(B327&gt;0,-LN(1-(RAND()))/lambda,0)</f>
        <v>0</v>
      </c>
      <c r="N327" s="65"/>
    </row>
    <row r="328" spans="1:14" x14ac:dyDescent="0.25">
      <c r="A328" s="2">
        <v>322</v>
      </c>
      <c r="B328" s="11">
        <f t="shared" ref="B328:B391" ca="1" si="27">IF(B327&gt;0,IF(C328&lt;pww,1,0),IF(C328&lt;pdw,1,0))</f>
        <v>1</v>
      </c>
      <c r="C328" s="26">
        <f t="shared" ref="C328:C391" ca="1" si="28">RAND()</f>
        <v>0.16289939039932166</v>
      </c>
      <c r="J328">
        <f t="shared" ref="J328:J391" ca="1" si="29">IF(AND(B328,B329),1,0)</f>
        <v>1</v>
      </c>
      <c r="K328">
        <f t="shared" ref="K328:K391" ca="1" si="30">IF(AND(NOT(B328),NOT(B329)),1,0)</f>
        <v>0</v>
      </c>
      <c r="L328" s="65">
        <v>322</v>
      </c>
      <c r="M328" s="71">
        <f t="shared" ca="1" si="26"/>
        <v>1.313113375895326</v>
      </c>
      <c r="N328" s="65"/>
    </row>
    <row r="329" spans="1:14" x14ac:dyDescent="0.25">
      <c r="A329" s="2">
        <v>323</v>
      </c>
      <c r="B329" s="11">
        <f t="shared" ca="1" si="27"/>
        <v>1</v>
      </c>
      <c r="C329" s="26">
        <f t="shared" ca="1" si="28"/>
        <v>0.51342342209857628</v>
      </c>
      <c r="J329">
        <f t="shared" ca="1" si="29"/>
        <v>1</v>
      </c>
      <c r="K329">
        <f t="shared" ca="1" si="30"/>
        <v>0</v>
      </c>
      <c r="L329" s="65">
        <v>323</v>
      </c>
      <c r="M329" s="71">
        <f t="shared" ca="1" si="26"/>
        <v>3.0311194504640029</v>
      </c>
      <c r="N329" s="65"/>
    </row>
    <row r="330" spans="1:14" x14ac:dyDescent="0.25">
      <c r="A330" s="2">
        <v>324</v>
      </c>
      <c r="B330" s="11">
        <f t="shared" ca="1" si="27"/>
        <v>1</v>
      </c>
      <c r="C330" s="26">
        <f t="shared" ca="1" si="28"/>
        <v>0.61615943158565534</v>
      </c>
      <c r="J330">
        <f t="shared" ca="1" si="29"/>
        <v>1</v>
      </c>
      <c r="K330">
        <f t="shared" ca="1" si="30"/>
        <v>0</v>
      </c>
      <c r="L330" s="65">
        <v>324</v>
      </c>
      <c r="M330" s="71">
        <f t="shared" ca="1" si="26"/>
        <v>7.3445171302550225</v>
      </c>
      <c r="N330" s="65"/>
    </row>
    <row r="331" spans="1:14" x14ac:dyDescent="0.25">
      <c r="A331" s="2">
        <v>325</v>
      </c>
      <c r="B331" s="11">
        <f t="shared" ca="1" si="27"/>
        <v>1</v>
      </c>
      <c r="C331" s="26">
        <f t="shared" ca="1" si="28"/>
        <v>7.0265832937524753E-2</v>
      </c>
      <c r="J331">
        <f t="shared" ca="1" si="29"/>
        <v>1</v>
      </c>
      <c r="K331">
        <f t="shared" ca="1" si="30"/>
        <v>0</v>
      </c>
      <c r="L331" s="65">
        <v>325</v>
      </c>
      <c r="M331" s="71">
        <f t="shared" ca="1" si="26"/>
        <v>7.1528207584323475E-2</v>
      </c>
      <c r="N331" s="65"/>
    </row>
    <row r="332" spans="1:14" x14ac:dyDescent="0.25">
      <c r="A332" s="2">
        <v>326</v>
      </c>
      <c r="B332" s="11">
        <f t="shared" ca="1" si="27"/>
        <v>1</v>
      </c>
      <c r="C332" s="26">
        <f t="shared" ca="1" si="28"/>
        <v>0.46283307522967665</v>
      </c>
      <c r="J332">
        <f t="shared" ca="1" si="29"/>
        <v>1</v>
      </c>
      <c r="K332">
        <f t="shared" ca="1" si="30"/>
        <v>0</v>
      </c>
      <c r="L332" s="65">
        <v>326</v>
      </c>
      <c r="M332" s="71">
        <f t="shared" ca="1" si="26"/>
        <v>9.1606822969870369E-2</v>
      </c>
      <c r="N332" s="65"/>
    </row>
    <row r="333" spans="1:14" x14ac:dyDescent="0.25">
      <c r="A333" s="2">
        <v>327</v>
      </c>
      <c r="B333" s="11">
        <f t="shared" ca="1" si="27"/>
        <v>1</v>
      </c>
      <c r="C333" s="26">
        <f t="shared" ca="1" si="28"/>
        <v>0.12626426079693953</v>
      </c>
      <c r="J333">
        <f t="shared" ca="1" si="29"/>
        <v>1</v>
      </c>
      <c r="K333">
        <f t="shared" ca="1" si="30"/>
        <v>0</v>
      </c>
      <c r="L333" s="65">
        <v>327</v>
      </c>
      <c r="M333" s="71">
        <f t="shared" ca="1" si="26"/>
        <v>9.8448380760019744E-2</v>
      </c>
      <c r="N333" s="65"/>
    </row>
    <row r="334" spans="1:14" x14ac:dyDescent="0.25">
      <c r="A334" s="2">
        <v>328</v>
      </c>
      <c r="B334" s="11">
        <f t="shared" ca="1" si="27"/>
        <v>1</v>
      </c>
      <c r="C334" s="26">
        <f t="shared" ca="1" si="28"/>
        <v>5.2881699008341387E-2</v>
      </c>
      <c r="J334">
        <f t="shared" ca="1" si="29"/>
        <v>0</v>
      </c>
      <c r="K334">
        <f t="shared" ca="1" si="30"/>
        <v>0</v>
      </c>
      <c r="L334" s="65">
        <v>328</v>
      </c>
      <c r="M334" s="71">
        <f t="shared" ca="1" si="26"/>
        <v>1.7523779516888403</v>
      </c>
      <c r="N334" s="65"/>
    </row>
    <row r="335" spans="1:14" x14ac:dyDescent="0.25">
      <c r="A335" s="2">
        <v>329</v>
      </c>
      <c r="B335" s="11">
        <f t="shared" ca="1" si="27"/>
        <v>0</v>
      </c>
      <c r="C335" s="26">
        <f t="shared" ca="1" si="28"/>
        <v>0.98425599609986458</v>
      </c>
      <c r="J335">
        <f t="shared" ca="1" si="29"/>
        <v>0</v>
      </c>
      <c r="K335">
        <f t="shared" ca="1" si="30"/>
        <v>0</v>
      </c>
      <c r="L335" s="65">
        <v>329</v>
      </c>
      <c r="M335" s="71">
        <f t="shared" ca="1" si="26"/>
        <v>0</v>
      </c>
      <c r="N335" s="65"/>
    </row>
    <row r="336" spans="1:14" x14ac:dyDescent="0.25">
      <c r="A336" s="2">
        <v>330</v>
      </c>
      <c r="B336" s="11">
        <f t="shared" ca="1" si="27"/>
        <v>1</v>
      </c>
      <c r="C336" s="26">
        <f t="shared" ca="1" si="28"/>
        <v>7.8492916540593538E-2</v>
      </c>
      <c r="J336">
        <f t="shared" ca="1" si="29"/>
        <v>1</v>
      </c>
      <c r="K336">
        <f t="shared" ca="1" si="30"/>
        <v>0</v>
      </c>
      <c r="L336" s="65">
        <v>330</v>
      </c>
      <c r="M336" s="71">
        <f t="shared" ca="1" si="26"/>
        <v>1.0568848465700171</v>
      </c>
      <c r="N336" s="65"/>
    </row>
    <row r="337" spans="1:14" x14ac:dyDescent="0.25">
      <c r="A337" s="2">
        <v>331</v>
      </c>
      <c r="B337" s="11">
        <f t="shared" ca="1" si="27"/>
        <v>1</v>
      </c>
      <c r="C337" s="26">
        <f t="shared" ca="1" si="28"/>
        <v>0.68507739350479524</v>
      </c>
      <c r="J337">
        <f t="shared" ca="1" si="29"/>
        <v>1</v>
      </c>
      <c r="K337">
        <f t="shared" ca="1" si="30"/>
        <v>0</v>
      </c>
      <c r="L337" s="65">
        <v>331</v>
      </c>
      <c r="M337" s="71">
        <f t="shared" ca="1" si="26"/>
        <v>3.946447329915503</v>
      </c>
      <c r="N337" s="65"/>
    </row>
    <row r="338" spans="1:14" x14ac:dyDescent="0.25">
      <c r="A338" s="2">
        <v>332</v>
      </c>
      <c r="B338" s="11">
        <f t="shared" ca="1" si="27"/>
        <v>1</v>
      </c>
      <c r="C338" s="26">
        <f t="shared" ca="1" si="28"/>
        <v>0.70631627335051661</v>
      </c>
      <c r="J338">
        <f t="shared" ca="1" si="29"/>
        <v>1</v>
      </c>
      <c r="K338">
        <f t="shared" ca="1" si="30"/>
        <v>0</v>
      </c>
      <c r="L338" s="65">
        <v>332</v>
      </c>
      <c r="M338" s="71">
        <f t="shared" ca="1" si="26"/>
        <v>8.9796540472921755</v>
      </c>
      <c r="N338" s="65"/>
    </row>
    <row r="339" spans="1:14" x14ac:dyDescent="0.25">
      <c r="A339" s="2">
        <v>333</v>
      </c>
      <c r="B339" s="11">
        <f t="shared" ca="1" si="27"/>
        <v>1</v>
      </c>
      <c r="C339" s="26">
        <f t="shared" ca="1" si="28"/>
        <v>0.14409861254447665</v>
      </c>
      <c r="J339">
        <f t="shared" ca="1" si="29"/>
        <v>0</v>
      </c>
      <c r="K339">
        <f t="shared" ca="1" si="30"/>
        <v>0</v>
      </c>
      <c r="L339" s="65">
        <v>333</v>
      </c>
      <c r="M339" s="71">
        <f t="shared" ca="1" si="26"/>
        <v>0.40842570390885696</v>
      </c>
      <c r="N339" s="65"/>
    </row>
    <row r="340" spans="1:14" x14ac:dyDescent="0.25">
      <c r="A340" s="2">
        <v>334</v>
      </c>
      <c r="B340" s="11">
        <f t="shared" ca="1" si="27"/>
        <v>0</v>
      </c>
      <c r="C340" s="26">
        <f t="shared" ca="1" si="28"/>
        <v>0.98964067477344597</v>
      </c>
      <c r="J340">
        <f t="shared" ca="1" si="29"/>
        <v>0</v>
      </c>
      <c r="K340">
        <f t="shared" ca="1" si="30"/>
        <v>1</v>
      </c>
      <c r="L340" s="65">
        <v>334</v>
      </c>
      <c r="M340" s="71">
        <f t="shared" ca="1" si="26"/>
        <v>0</v>
      </c>
      <c r="N340" s="65"/>
    </row>
    <row r="341" spans="1:14" x14ac:dyDescent="0.25">
      <c r="A341" s="2">
        <v>335</v>
      </c>
      <c r="B341" s="11">
        <f t="shared" ca="1" si="27"/>
        <v>0</v>
      </c>
      <c r="C341" s="26">
        <f t="shared" ca="1" si="28"/>
        <v>0.70322237493269812</v>
      </c>
      <c r="J341">
        <f t="shared" ca="1" si="29"/>
        <v>0</v>
      </c>
      <c r="K341">
        <f t="shared" ca="1" si="30"/>
        <v>0</v>
      </c>
      <c r="L341" s="65">
        <v>335</v>
      </c>
      <c r="M341" s="71">
        <f t="shared" ca="1" si="26"/>
        <v>0</v>
      </c>
      <c r="N341" s="65"/>
    </row>
    <row r="342" spans="1:14" x14ac:dyDescent="0.25">
      <c r="A342" s="2">
        <v>336</v>
      </c>
      <c r="B342" s="11">
        <f t="shared" ca="1" si="27"/>
        <v>1</v>
      </c>
      <c r="C342" s="26">
        <f t="shared" ca="1" si="28"/>
        <v>0.31600635229292384</v>
      </c>
      <c r="J342">
        <f t="shared" ca="1" si="29"/>
        <v>1</v>
      </c>
      <c r="K342">
        <f t="shared" ca="1" si="30"/>
        <v>0</v>
      </c>
      <c r="L342" s="65">
        <v>336</v>
      </c>
      <c r="M342" s="71">
        <f t="shared" ca="1" si="26"/>
        <v>0.15413794099166495</v>
      </c>
      <c r="N342" s="65"/>
    </row>
    <row r="343" spans="1:14" x14ac:dyDescent="0.25">
      <c r="A343" s="2">
        <v>337</v>
      </c>
      <c r="B343" s="11">
        <f t="shared" ca="1" si="27"/>
        <v>1</v>
      </c>
      <c r="C343" s="26">
        <f t="shared" ca="1" si="28"/>
        <v>0.54670573516136445</v>
      </c>
      <c r="J343">
        <f t="shared" ca="1" si="29"/>
        <v>0</v>
      </c>
      <c r="K343">
        <f t="shared" ca="1" si="30"/>
        <v>0</v>
      </c>
      <c r="L343" s="65">
        <v>337</v>
      </c>
      <c r="M343" s="71">
        <f t="shared" ca="1" si="26"/>
        <v>3.1035315026760411</v>
      </c>
      <c r="N343" s="65"/>
    </row>
    <row r="344" spans="1:14" x14ac:dyDescent="0.25">
      <c r="A344" s="2">
        <v>338</v>
      </c>
      <c r="B344" s="11">
        <f t="shared" ca="1" si="27"/>
        <v>0</v>
      </c>
      <c r="C344" s="26">
        <f t="shared" ca="1" si="28"/>
        <v>0.78242274844518944</v>
      </c>
      <c r="J344">
        <f t="shared" ca="1" si="29"/>
        <v>0</v>
      </c>
      <c r="K344">
        <f t="shared" ca="1" si="30"/>
        <v>0</v>
      </c>
      <c r="L344" s="65">
        <v>338</v>
      </c>
      <c r="M344" s="71">
        <f t="shared" ca="1" si="26"/>
        <v>0</v>
      </c>
      <c r="N344" s="65"/>
    </row>
    <row r="345" spans="1:14" x14ac:dyDescent="0.25">
      <c r="A345" s="2">
        <v>339</v>
      </c>
      <c r="B345" s="11">
        <f t="shared" ca="1" si="27"/>
        <v>1</v>
      </c>
      <c r="C345" s="26">
        <f t="shared" ca="1" si="28"/>
        <v>0.34726374154306849</v>
      </c>
      <c r="J345">
        <f t="shared" ca="1" si="29"/>
        <v>1</v>
      </c>
      <c r="K345">
        <f t="shared" ca="1" si="30"/>
        <v>0</v>
      </c>
      <c r="L345" s="65">
        <v>339</v>
      </c>
      <c r="M345" s="71">
        <f t="shared" ca="1" si="26"/>
        <v>19.121177349562466</v>
      </c>
      <c r="N345" s="65"/>
    </row>
    <row r="346" spans="1:14" x14ac:dyDescent="0.25">
      <c r="A346" s="2">
        <v>340</v>
      </c>
      <c r="B346" s="11">
        <f t="shared" ca="1" si="27"/>
        <v>1</v>
      </c>
      <c r="C346" s="26">
        <f t="shared" ca="1" si="28"/>
        <v>0.72951317075872246</v>
      </c>
      <c r="J346">
        <f t="shared" ca="1" si="29"/>
        <v>1</v>
      </c>
      <c r="K346">
        <f t="shared" ca="1" si="30"/>
        <v>0</v>
      </c>
      <c r="L346" s="65">
        <v>340</v>
      </c>
      <c r="M346" s="71">
        <f t="shared" ca="1" si="26"/>
        <v>0.57864231591258053</v>
      </c>
      <c r="N346" s="65"/>
    </row>
    <row r="347" spans="1:14" x14ac:dyDescent="0.25">
      <c r="A347" s="2">
        <v>341</v>
      </c>
      <c r="B347" s="11">
        <f t="shared" ca="1" si="27"/>
        <v>1</v>
      </c>
      <c r="C347" s="26">
        <f t="shared" ca="1" si="28"/>
        <v>0.36771586063926398</v>
      </c>
      <c r="J347">
        <f t="shared" ca="1" si="29"/>
        <v>1</v>
      </c>
      <c r="K347">
        <f t="shared" ca="1" si="30"/>
        <v>0</v>
      </c>
      <c r="L347" s="65">
        <v>341</v>
      </c>
      <c r="M347" s="71">
        <f t="shared" ca="1" si="26"/>
        <v>1.0869629154322225</v>
      </c>
      <c r="N347" s="65"/>
    </row>
    <row r="348" spans="1:14" x14ac:dyDescent="0.25">
      <c r="A348" s="2">
        <v>342</v>
      </c>
      <c r="B348" s="11">
        <f t="shared" ca="1" si="27"/>
        <v>1</v>
      </c>
      <c r="C348" s="26">
        <f t="shared" ca="1" si="28"/>
        <v>0.10355869213393876</v>
      </c>
      <c r="J348">
        <f t="shared" ca="1" si="29"/>
        <v>0</v>
      </c>
      <c r="K348">
        <f t="shared" ca="1" si="30"/>
        <v>0</v>
      </c>
      <c r="L348" s="65">
        <v>342</v>
      </c>
      <c r="M348" s="71">
        <f t="shared" ca="1" si="26"/>
        <v>0.99160923499572506</v>
      </c>
      <c r="N348" s="65"/>
    </row>
    <row r="349" spans="1:14" x14ac:dyDescent="0.25">
      <c r="A349" s="2">
        <v>343</v>
      </c>
      <c r="B349" s="11">
        <f t="shared" ca="1" si="27"/>
        <v>0</v>
      </c>
      <c r="C349" s="26">
        <f t="shared" ca="1" si="28"/>
        <v>0.82612216554068241</v>
      </c>
      <c r="J349">
        <f t="shared" ca="1" si="29"/>
        <v>0</v>
      </c>
      <c r="K349">
        <f t="shared" ca="1" si="30"/>
        <v>1</v>
      </c>
      <c r="L349" s="65">
        <v>343</v>
      </c>
      <c r="M349" s="71">
        <f t="shared" ca="1" si="26"/>
        <v>0</v>
      </c>
      <c r="N349" s="65"/>
    </row>
    <row r="350" spans="1:14" x14ac:dyDescent="0.25">
      <c r="A350" s="2">
        <v>344</v>
      </c>
      <c r="B350" s="11">
        <f t="shared" ca="1" si="27"/>
        <v>0</v>
      </c>
      <c r="C350" s="26">
        <f t="shared" ca="1" si="28"/>
        <v>0.79710866275567627</v>
      </c>
      <c r="J350">
        <f t="shared" ca="1" si="29"/>
        <v>0</v>
      </c>
      <c r="K350">
        <f t="shared" ca="1" si="30"/>
        <v>1</v>
      </c>
      <c r="L350" s="65">
        <v>344</v>
      </c>
      <c r="M350" s="71">
        <f t="shared" ca="1" si="26"/>
        <v>0</v>
      </c>
      <c r="N350" s="65"/>
    </row>
    <row r="351" spans="1:14" x14ac:dyDescent="0.25">
      <c r="A351" s="2">
        <v>345</v>
      </c>
      <c r="B351" s="11">
        <f t="shared" ca="1" si="27"/>
        <v>0</v>
      </c>
      <c r="C351" s="26">
        <f t="shared" ca="1" si="28"/>
        <v>0.6901729078941049</v>
      </c>
      <c r="J351">
        <f t="shared" ca="1" si="29"/>
        <v>0</v>
      </c>
      <c r="K351">
        <f t="shared" ca="1" si="30"/>
        <v>1</v>
      </c>
      <c r="L351" s="65">
        <v>345</v>
      </c>
      <c r="M351" s="71">
        <f t="shared" ca="1" si="26"/>
        <v>0</v>
      </c>
      <c r="N351" s="65"/>
    </row>
    <row r="352" spans="1:14" x14ac:dyDescent="0.25">
      <c r="A352" s="2">
        <v>346</v>
      </c>
      <c r="B352" s="11">
        <f t="shared" ca="1" si="27"/>
        <v>0</v>
      </c>
      <c r="C352" s="26">
        <f t="shared" ca="1" si="28"/>
        <v>0.92380150261409455</v>
      </c>
      <c r="J352">
        <f t="shared" ca="1" si="29"/>
        <v>0</v>
      </c>
      <c r="K352">
        <f t="shared" ca="1" si="30"/>
        <v>0</v>
      </c>
      <c r="L352" s="65">
        <v>346</v>
      </c>
      <c r="M352" s="71">
        <f t="shared" ca="1" si="26"/>
        <v>0</v>
      </c>
      <c r="N352" s="65"/>
    </row>
    <row r="353" spans="1:14" x14ac:dyDescent="0.25">
      <c r="A353" s="2">
        <v>347</v>
      </c>
      <c r="B353" s="11">
        <f t="shared" ca="1" si="27"/>
        <v>1</v>
      </c>
      <c r="C353" s="26">
        <f t="shared" ca="1" si="28"/>
        <v>0.10575544296258066</v>
      </c>
      <c r="J353">
        <f t="shared" ca="1" si="29"/>
        <v>1</v>
      </c>
      <c r="K353">
        <f t="shared" ca="1" si="30"/>
        <v>0</v>
      </c>
      <c r="L353" s="65">
        <v>347</v>
      </c>
      <c r="M353" s="71">
        <f t="shared" ca="1" si="26"/>
        <v>0.9270319863238875</v>
      </c>
      <c r="N353" s="65"/>
    </row>
    <row r="354" spans="1:14" x14ac:dyDescent="0.25">
      <c r="A354" s="2">
        <v>348</v>
      </c>
      <c r="B354" s="11">
        <f t="shared" ca="1" si="27"/>
        <v>1</v>
      </c>
      <c r="C354" s="26">
        <f t="shared" ca="1" si="28"/>
        <v>0.66870497325285372</v>
      </c>
      <c r="J354">
        <f t="shared" ca="1" si="29"/>
        <v>1</v>
      </c>
      <c r="K354">
        <f t="shared" ca="1" si="30"/>
        <v>0</v>
      </c>
      <c r="L354" s="65">
        <v>348</v>
      </c>
      <c r="M354" s="71">
        <f t="shared" ca="1" si="26"/>
        <v>4.9176668049952772</v>
      </c>
      <c r="N354" s="65"/>
    </row>
    <row r="355" spans="1:14" x14ac:dyDescent="0.25">
      <c r="A355" s="2">
        <v>349</v>
      </c>
      <c r="B355" s="11">
        <f t="shared" ca="1" si="27"/>
        <v>1</v>
      </c>
      <c r="C355" s="26">
        <f t="shared" ca="1" si="28"/>
        <v>2.8247160995477083E-2</v>
      </c>
      <c r="J355">
        <f t="shared" ca="1" si="29"/>
        <v>1</v>
      </c>
      <c r="K355">
        <f t="shared" ca="1" si="30"/>
        <v>0</v>
      </c>
      <c r="L355" s="65">
        <v>349</v>
      </c>
      <c r="M355" s="71">
        <f t="shared" ca="1" si="26"/>
        <v>1.5364994331239004</v>
      </c>
      <c r="N355" s="65"/>
    </row>
    <row r="356" spans="1:14" x14ac:dyDescent="0.25">
      <c r="A356" s="2">
        <v>350</v>
      </c>
      <c r="B356" s="11">
        <f t="shared" ca="1" si="27"/>
        <v>1</v>
      </c>
      <c r="C356" s="26">
        <f t="shared" ca="1" si="28"/>
        <v>0.59855535036730789</v>
      </c>
      <c r="J356">
        <f t="shared" ca="1" si="29"/>
        <v>1</v>
      </c>
      <c r="K356">
        <f t="shared" ca="1" si="30"/>
        <v>0</v>
      </c>
      <c r="L356" s="65">
        <v>350</v>
      </c>
      <c r="M356" s="71">
        <f t="shared" ca="1" si="26"/>
        <v>0.44002333947475347</v>
      </c>
      <c r="N356" s="65"/>
    </row>
    <row r="357" spans="1:14" x14ac:dyDescent="0.25">
      <c r="A357" s="2">
        <v>351</v>
      </c>
      <c r="B357" s="11">
        <f t="shared" ca="1" si="27"/>
        <v>1</v>
      </c>
      <c r="C357" s="26">
        <f t="shared" ca="1" si="28"/>
        <v>1.6434421947370326E-2</v>
      </c>
      <c r="J357">
        <f t="shared" ca="1" si="29"/>
        <v>1</v>
      </c>
      <c r="K357">
        <f t="shared" ca="1" si="30"/>
        <v>0</v>
      </c>
      <c r="L357" s="65">
        <v>351</v>
      </c>
      <c r="M357" s="71">
        <f t="shared" ca="1" si="26"/>
        <v>3.264102029546037</v>
      </c>
      <c r="N357" s="65"/>
    </row>
    <row r="358" spans="1:14" x14ac:dyDescent="0.25">
      <c r="A358" s="2">
        <v>352</v>
      </c>
      <c r="B358" s="11">
        <f t="shared" ca="1" si="27"/>
        <v>1</v>
      </c>
      <c r="C358" s="26">
        <f t="shared" ca="1" si="28"/>
        <v>0.47766401751727805</v>
      </c>
      <c r="J358">
        <f t="shared" ca="1" si="29"/>
        <v>0</v>
      </c>
      <c r="K358">
        <f t="shared" ca="1" si="30"/>
        <v>0</v>
      </c>
      <c r="L358" s="65">
        <v>352</v>
      </c>
      <c r="M358" s="71">
        <f t="shared" ca="1" si="26"/>
        <v>2.2648491407013904</v>
      </c>
      <c r="N358" s="65"/>
    </row>
    <row r="359" spans="1:14" x14ac:dyDescent="0.25">
      <c r="A359" s="2">
        <v>353</v>
      </c>
      <c r="B359" s="11">
        <f t="shared" ca="1" si="27"/>
        <v>0</v>
      </c>
      <c r="C359" s="26">
        <f t="shared" ca="1" si="28"/>
        <v>0.81361219473567148</v>
      </c>
      <c r="J359">
        <f t="shared" ca="1" si="29"/>
        <v>0</v>
      </c>
      <c r="K359">
        <f t="shared" ca="1" si="30"/>
        <v>1</v>
      </c>
      <c r="L359" s="65">
        <v>353</v>
      </c>
      <c r="M359" s="71">
        <f t="shared" ca="1" si="26"/>
        <v>0</v>
      </c>
      <c r="N359" s="65"/>
    </row>
    <row r="360" spans="1:14" x14ac:dyDescent="0.25">
      <c r="A360" s="2">
        <v>354</v>
      </c>
      <c r="B360" s="11">
        <f t="shared" ca="1" si="27"/>
        <v>0</v>
      </c>
      <c r="C360" s="26">
        <f t="shared" ca="1" si="28"/>
        <v>0.66735679736400455</v>
      </c>
      <c r="J360">
        <f t="shared" ca="1" si="29"/>
        <v>0</v>
      </c>
      <c r="K360">
        <f t="shared" ca="1" si="30"/>
        <v>0</v>
      </c>
      <c r="L360" s="65">
        <v>354</v>
      </c>
      <c r="M360" s="71">
        <f t="shared" ca="1" si="26"/>
        <v>0</v>
      </c>
      <c r="N360" s="65"/>
    </row>
    <row r="361" spans="1:14" x14ac:dyDescent="0.25">
      <c r="A361" s="2">
        <v>355</v>
      </c>
      <c r="B361" s="11">
        <f t="shared" ca="1" si="27"/>
        <v>1</v>
      </c>
      <c r="C361" s="26">
        <f t="shared" ca="1" si="28"/>
        <v>5.3314482215941816E-2</v>
      </c>
      <c r="J361">
        <f t="shared" ca="1" si="29"/>
        <v>1</v>
      </c>
      <c r="K361">
        <f t="shared" ca="1" si="30"/>
        <v>0</v>
      </c>
      <c r="L361" s="65">
        <v>355</v>
      </c>
      <c r="M361" s="71">
        <f t="shared" ca="1" si="26"/>
        <v>4.500131753035264</v>
      </c>
      <c r="N361" s="65"/>
    </row>
    <row r="362" spans="1:14" x14ac:dyDescent="0.25">
      <c r="A362" s="2">
        <v>356</v>
      </c>
      <c r="B362" s="11">
        <f t="shared" ca="1" si="27"/>
        <v>1</v>
      </c>
      <c r="C362" s="26">
        <f t="shared" ca="1" si="28"/>
        <v>7.7326747450524369E-2</v>
      </c>
      <c r="J362">
        <f t="shared" ca="1" si="29"/>
        <v>1</v>
      </c>
      <c r="K362">
        <f t="shared" ca="1" si="30"/>
        <v>0</v>
      </c>
      <c r="L362" s="65">
        <v>356</v>
      </c>
      <c r="M362" s="71">
        <f t="shared" ca="1" si="26"/>
        <v>0.96618095523759351</v>
      </c>
      <c r="N362" s="65"/>
    </row>
    <row r="363" spans="1:14" x14ac:dyDescent="0.25">
      <c r="A363" s="2">
        <v>357</v>
      </c>
      <c r="B363" s="11">
        <f t="shared" ca="1" si="27"/>
        <v>1</v>
      </c>
      <c r="C363" s="26">
        <f t="shared" ca="1" si="28"/>
        <v>0.16848419020820349</v>
      </c>
      <c r="J363">
        <f t="shared" ca="1" si="29"/>
        <v>1</v>
      </c>
      <c r="K363">
        <f t="shared" ca="1" si="30"/>
        <v>0</v>
      </c>
      <c r="L363" s="65">
        <v>357</v>
      </c>
      <c r="M363" s="71">
        <f t="shared" ca="1" si="26"/>
        <v>1.4629293955994098</v>
      </c>
      <c r="N363" s="65"/>
    </row>
    <row r="364" spans="1:14" x14ac:dyDescent="0.25">
      <c r="A364" s="2">
        <v>358</v>
      </c>
      <c r="B364" s="11">
        <f t="shared" ca="1" si="27"/>
        <v>1</v>
      </c>
      <c r="C364" s="26">
        <f t="shared" ca="1" si="28"/>
        <v>0.11590555776987488</v>
      </c>
      <c r="J364">
        <f t="shared" ca="1" si="29"/>
        <v>1</v>
      </c>
      <c r="K364">
        <f t="shared" ca="1" si="30"/>
        <v>0</v>
      </c>
      <c r="L364" s="65">
        <v>358</v>
      </c>
      <c r="M364" s="71">
        <f t="shared" ca="1" si="26"/>
        <v>1.6976368312972903</v>
      </c>
      <c r="N364" s="65"/>
    </row>
    <row r="365" spans="1:14" x14ac:dyDescent="0.25">
      <c r="A365" s="2">
        <v>359</v>
      </c>
      <c r="B365" s="11">
        <f t="shared" ca="1" si="27"/>
        <v>1</v>
      </c>
      <c r="C365" s="26">
        <f t="shared" ca="1" si="28"/>
        <v>0.42506716683721457</v>
      </c>
      <c r="J365">
        <f t="shared" ca="1" si="29"/>
        <v>0</v>
      </c>
      <c r="K365">
        <f t="shared" ca="1" si="30"/>
        <v>0</v>
      </c>
      <c r="L365" s="65">
        <v>359</v>
      </c>
      <c r="M365" s="71">
        <f t="shared" ca="1" si="26"/>
        <v>0.8232099021187802</v>
      </c>
      <c r="N365" s="65"/>
    </row>
    <row r="366" spans="1:14" x14ac:dyDescent="0.25">
      <c r="A366" s="2">
        <v>360</v>
      </c>
      <c r="B366" s="11">
        <f t="shared" ca="1" si="27"/>
        <v>0</v>
      </c>
      <c r="C366" s="26">
        <f t="shared" ca="1" si="28"/>
        <v>0.82489235999043919</v>
      </c>
      <c r="J366">
        <f t="shared" ca="1" si="29"/>
        <v>0</v>
      </c>
      <c r="K366">
        <f t="shared" ca="1" si="30"/>
        <v>1</v>
      </c>
      <c r="L366" s="65">
        <v>360</v>
      </c>
      <c r="M366" s="71">
        <f t="shared" ca="1" si="26"/>
        <v>0</v>
      </c>
      <c r="N366" s="65"/>
    </row>
    <row r="367" spans="1:14" x14ac:dyDescent="0.25">
      <c r="A367" s="2">
        <v>361</v>
      </c>
      <c r="B367" s="11">
        <f t="shared" ca="1" si="27"/>
        <v>0</v>
      </c>
      <c r="C367" s="26">
        <f t="shared" ca="1" si="28"/>
        <v>0.79963981278704377</v>
      </c>
      <c r="J367">
        <f t="shared" ca="1" si="29"/>
        <v>0</v>
      </c>
      <c r="K367">
        <f t="shared" ca="1" si="30"/>
        <v>0</v>
      </c>
      <c r="L367" s="65">
        <v>361</v>
      </c>
      <c r="M367" s="71">
        <f t="shared" ca="1" si="26"/>
        <v>0</v>
      </c>
      <c r="N367" s="65"/>
    </row>
    <row r="368" spans="1:14" x14ac:dyDescent="0.25">
      <c r="A368" s="2">
        <v>362</v>
      </c>
      <c r="B368" s="11">
        <f t="shared" ca="1" si="27"/>
        <v>1</v>
      </c>
      <c r="C368" s="26">
        <f t="shared" ca="1" si="28"/>
        <v>3.2736827284467584E-2</v>
      </c>
      <c r="J368">
        <f t="shared" ca="1" si="29"/>
        <v>1</v>
      </c>
      <c r="K368">
        <f t="shared" ca="1" si="30"/>
        <v>0</v>
      </c>
      <c r="L368" s="65">
        <v>362</v>
      </c>
      <c r="M368" s="71">
        <f t="shared" ca="1" si="26"/>
        <v>2.4690247711883013</v>
      </c>
      <c r="N368" s="65"/>
    </row>
    <row r="369" spans="1:14" x14ac:dyDescent="0.25">
      <c r="A369" s="2">
        <v>363</v>
      </c>
      <c r="B369" s="11">
        <f t="shared" ca="1" si="27"/>
        <v>1</v>
      </c>
      <c r="C369" s="26">
        <f t="shared" ca="1" si="28"/>
        <v>0.10363226451433416</v>
      </c>
      <c r="J369">
        <f t="shared" ca="1" si="29"/>
        <v>0</v>
      </c>
      <c r="K369">
        <f t="shared" ca="1" si="30"/>
        <v>0</v>
      </c>
      <c r="L369" s="65">
        <v>363</v>
      </c>
      <c r="M369" s="71">
        <f t="shared" ca="1" si="26"/>
        <v>1.00002049494189</v>
      </c>
      <c r="N369" s="65"/>
    </row>
    <row r="370" spans="1:14" x14ac:dyDescent="0.25">
      <c r="A370" s="2">
        <v>364</v>
      </c>
      <c r="B370" s="11">
        <f t="shared" ca="1" si="27"/>
        <v>0</v>
      </c>
      <c r="C370" s="26">
        <f t="shared" ca="1" si="28"/>
        <v>0.9945117339410906</v>
      </c>
      <c r="J370">
        <f t="shared" ca="1" si="29"/>
        <v>0</v>
      </c>
      <c r="K370">
        <f t="shared" ca="1" si="30"/>
        <v>1</v>
      </c>
      <c r="L370" s="65">
        <v>364</v>
      </c>
      <c r="M370" s="71">
        <f t="shared" ca="1" si="26"/>
        <v>0</v>
      </c>
      <c r="N370" s="65"/>
    </row>
    <row r="371" spans="1:14" x14ac:dyDescent="0.25">
      <c r="A371" s="2">
        <v>365</v>
      </c>
      <c r="B371" s="11">
        <f t="shared" ca="1" si="27"/>
        <v>0</v>
      </c>
      <c r="C371" s="26">
        <f t="shared" ca="1" si="28"/>
        <v>0.72487157445822847</v>
      </c>
      <c r="J371">
        <f t="shared" ca="1" si="29"/>
        <v>0</v>
      </c>
      <c r="K371">
        <f t="shared" ca="1" si="30"/>
        <v>0</v>
      </c>
      <c r="L371" s="65">
        <v>365</v>
      </c>
      <c r="M371" s="71">
        <f t="shared" ca="1" si="26"/>
        <v>0</v>
      </c>
      <c r="N371" s="65"/>
    </row>
    <row r="372" spans="1:14" x14ac:dyDescent="0.25">
      <c r="A372" s="2">
        <v>366</v>
      </c>
      <c r="B372" s="11">
        <f t="shared" ca="1" si="27"/>
        <v>1</v>
      </c>
      <c r="C372" s="26">
        <f t="shared" ca="1" si="28"/>
        <v>2.7196956235624903E-2</v>
      </c>
      <c r="J372">
        <f t="shared" ca="1" si="29"/>
        <v>0</v>
      </c>
      <c r="K372">
        <f t="shared" ca="1" si="30"/>
        <v>0</v>
      </c>
      <c r="L372" s="65">
        <v>366</v>
      </c>
      <c r="M372" s="71">
        <f t="shared" ca="1" si="26"/>
        <v>0.11257480352245995</v>
      </c>
      <c r="N372" s="65"/>
    </row>
    <row r="373" spans="1:14" x14ac:dyDescent="0.25">
      <c r="A373" s="2">
        <v>367</v>
      </c>
      <c r="B373" s="11">
        <f t="shared" ca="1" si="27"/>
        <v>0</v>
      </c>
      <c r="C373" s="26">
        <f t="shared" ca="1" si="28"/>
        <v>0.89701791531496222</v>
      </c>
      <c r="J373">
        <f t="shared" ca="1" si="29"/>
        <v>0</v>
      </c>
      <c r="K373">
        <f t="shared" ca="1" si="30"/>
        <v>0</v>
      </c>
      <c r="L373" s="65">
        <v>367</v>
      </c>
      <c r="M373" s="71">
        <f t="shared" ca="1" si="26"/>
        <v>0</v>
      </c>
      <c r="N373" s="65"/>
    </row>
    <row r="374" spans="1:14" x14ac:dyDescent="0.25">
      <c r="A374" s="2">
        <v>368</v>
      </c>
      <c r="B374" s="11">
        <f t="shared" ca="1" si="27"/>
        <v>1</v>
      </c>
      <c r="C374" s="26">
        <f t="shared" ca="1" si="28"/>
        <v>7.3073838463934004E-3</v>
      </c>
      <c r="J374">
        <f t="shared" ca="1" si="29"/>
        <v>1</v>
      </c>
      <c r="K374">
        <f t="shared" ca="1" si="30"/>
        <v>0</v>
      </c>
      <c r="L374" s="65">
        <v>368</v>
      </c>
      <c r="M374" s="71">
        <f t="shared" ca="1" si="26"/>
        <v>0.5538001774281085</v>
      </c>
      <c r="N374" s="65"/>
    </row>
    <row r="375" spans="1:14" x14ac:dyDescent="0.25">
      <c r="A375" s="2">
        <v>369</v>
      </c>
      <c r="B375" s="11">
        <f t="shared" ca="1" si="27"/>
        <v>1</v>
      </c>
      <c r="C375" s="26">
        <f t="shared" ca="1" si="28"/>
        <v>0.63222224354268186</v>
      </c>
      <c r="J375">
        <f t="shared" ca="1" si="29"/>
        <v>0</v>
      </c>
      <c r="K375">
        <f t="shared" ca="1" si="30"/>
        <v>0</v>
      </c>
      <c r="L375" s="65">
        <v>369</v>
      </c>
      <c r="M375" s="71">
        <f t="shared" ca="1" si="26"/>
        <v>10.959004861048141</v>
      </c>
      <c r="N375" s="65"/>
    </row>
    <row r="376" spans="1:14" x14ac:dyDescent="0.25">
      <c r="A376" s="2">
        <v>370</v>
      </c>
      <c r="B376" s="11">
        <f t="shared" ca="1" si="27"/>
        <v>0</v>
      </c>
      <c r="C376" s="26">
        <f t="shared" ca="1" si="28"/>
        <v>0.81853946003301481</v>
      </c>
      <c r="J376">
        <f t="shared" ca="1" si="29"/>
        <v>0</v>
      </c>
      <c r="K376">
        <f t="shared" ca="1" si="30"/>
        <v>1</v>
      </c>
      <c r="L376" s="65">
        <v>370</v>
      </c>
      <c r="M376" s="71">
        <f t="shared" ca="1" si="26"/>
        <v>0</v>
      </c>
      <c r="N376" s="65"/>
    </row>
    <row r="377" spans="1:14" x14ac:dyDescent="0.25">
      <c r="A377" s="2">
        <v>371</v>
      </c>
      <c r="B377" s="11">
        <f t="shared" ca="1" si="27"/>
        <v>0</v>
      </c>
      <c r="C377" s="26">
        <f t="shared" ca="1" si="28"/>
        <v>0.77045285508304462</v>
      </c>
      <c r="J377">
        <f t="shared" ca="1" si="29"/>
        <v>0</v>
      </c>
      <c r="K377">
        <f t="shared" ca="1" si="30"/>
        <v>1</v>
      </c>
      <c r="L377" s="65">
        <v>371</v>
      </c>
      <c r="M377" s="71">
        <f t="shared" ca="1" si="26"/>
        <v>0</v>
      </c>
      <c r="N377" s="65"/>
    </row>
    <row r="378" spans="1:14" x14ac:dyDescent="0.25">
      <c r="A378" s="2">
        <v>372</v>
      </c>
      <c r="B378" s="11">
        <f t="shared" ca="1" si="27"/>
        <v>0</v>
      </c>
      <c r="C378" s="26">
        <f t="shared" ca="1" si="28"/>
        <v>0.46934952031768284</v>
      </c>
      <c r="J378">
        <f t="shared" ca="1" si="29"/>
        <v>0</v>
      </c>
      <c r="K378">
        <f t="shared" ca="1" si="30"/>
        <v>0</v>
      </c>
      <c r="L378" s="65">
        <v>372</v>
      </c>
      <c r="M378" s="71">
        <f t="shared" ca="1" si="26"/>
        <v>0</v>
      </c>
      <c r="N378" s="65"/>
    </row>
    <row r="379" spans="1:14" x14ac:dyDescent="0.25">
      <c r="A379" s="2">
        <v>373</v>
      </c>
      <c r="B379" s="11">
        <f t="shared" ca="1" si="27"/>
        <v>1</v>
      </c>
      <c r="C379" s="26">
        <f t="shared" ca="1" si="28"/>
        <v>0.2151660917291609</v>
      </c>
      <c r="J379">
        <f t="shared" ca="1" si="29"/>
        <v>1</v>
      </c>
      <c r="K379">
        <f t="shared" ca="1" si="30"/>
        <v>0</v>
      </c>
      <c r="L379" s="65">
        <v>373</v>
      </c>
      <c r="M379" s="71">
        <f t="shared" ca="1" si="26"/>
        <v>0.45260768969236803</v>
      </c>
      <c r="N379" s="65"/>
    </row>
    <row r="380" spans="1:14" x14ac:dyDescent="0.25">
      <c r="A380" s="2">
        <v>374</v>
      </c>
      <c r="B380" s="11">
        <f t="shared" ca="1" si="27"/>
        <v>1</v>
      </c>
      <c r="C380" s="26">
        <f t="shared" ca="1" si="28"/>
        <v>0.49605513499906828</v>
      </c>
      <c r="J380">
        <f t="shared" ca="1" si="29"/>
        <v>0</v>
      </c>
      <c r="K380">
        <f t="shared" ca="1" si="30"/>
        <v>0</v>
      </c>
      <c r="L380" s="65">
        <v>374</v>
      </c>
      <c r="M380" s="71">
        <f t="shared" ca="1" si="26"/>
        <v>15.580737556603005</v>
      </c>
      <c r="N380" s="65"/>
    </row>
    <row r="381" spans="1:14" x14ac:dyDescent="0.25">
      <c r="A381" s="2">
        <v>375</v>
      </c>
      <c r="B381" s="11">
        <f t="shared" ca="1" si="27"/>
        <v>0</v>
      </c>
      <c r="C381" s="26">
        <f t="shared" ca="1" si="28"/>
        <v>0.77415451905521548</v>
      </c>
      <c r="J381">
        <f t="shared" ca="1" si="29"/>
        <v>0</v>
      </c>
      <c r="K381">
        <f t="shared" ca="1" si="30"/>
        <v>0</v>
      </c>
      <c r="L381" s="65">
        <v>375</v>
      </c>
      <c r="M381" s="71">
        <f t="shared" ca="1" si="26"/>
        <v>0</v>
      </c>
      <c r="N381" s="65"/>
    </row>
    <row r="382" spans="1:14" x14ac:dyDescent="0.25">
      <c r="A382" s="2">
        <v>376</v>
      </c>
      <c r="B382" s="11">
        <f t="shared" ca="1" si="27"/>
        <v>1</v>
      </c>
      <c r="C382" s="26">
        <f t="shared" ca="1" si="28"/>
        <v>0.26217158284352204</v>
      </c>
      <c r="J382">
        <f t="shared" ca="1" si="29"/>
        <v>1</v>
      </c>
      <c r="K382">
        <f t="shared" ca="1" si="30"/>
        <v>0</v>
      </c>
      <c r="L382" s="65">
        <v>376</v>
      </c>
      <c r="M382" s="71">
        <f t="shared" ca="1" si="26"/>
        <v>5.6228082149000116</v>
      </c>
      <c r="N382" s="65"/>
    </row>
    <row r="383" spans="1:14" x14ac:dyDescent="0.25">
      <c r="A383" s="2">
        <v>377</v>
      </c>
      <c r="B383" s="11">
        <f t="shared" ca="1" si="27"/>
        <v>1</v>
      </c>
      <c r="C383" s="26">
        <f t="shared" ca="1" si="28"/>
        <v>0.28342990647894351</v>
      </c>
      <c r="J383">
        <f t="shared" ca="1" si="29"/>
        <v>1</v>
      </c>
      <c r="K383">
        <f t="shared" ca="1" si="30"/>
        <v>0</v>
      </c>
      <c r="L383" s="65">
        <v>377</v>
      </c>
      <c r="M383" s="71">
        <f t="shared" ca="1" si="26"/>
        <v>2.472482065077354</v>
      </c>
      <c r="N383" s="65"/>
    </row>
    <row r="384" spans="1:14" x14ac:dyDescent="0.25">
      <c r="A384" s="2">
        <v>378</v>
      </c>
      <c r="B384" s="11">
        <f t="shared" ca="1" si="27"/>
        <v>1</v>
      </c>
      <c r="C384" s="26">
        <f t="shared" ca="1" si="28"/>
        <v>0.67818415229867424</v>
      </c>
      <c r="J384">
        <f t="shared" ca="1" si="29"/>
        <v>0</v>
      </c>
      <c r="K384">
        <f t="shared" ca="1" si="30"/>
        <v>0</v>
      </c>
      <c r="L384" s="65">
        <v>378</v>
      </c>
      <c r="M384" s="71">
        <f t="shared" ca="1" si="26"/>
        <v>2.4186461444441081</v>
      </c>
      <c r="N384" s="65"/>
    </row>
    <row r="385" spans="1:14" x14ac:dyDescent="0.25">
      <c r="A385" s="2">
        <v>379</v>
      </c>
      <c r="B385" s="11">
        <f t="shared" ca="1" si="27"/>
        <v>0</v>
      </c>
      <c r="C385" s="26">
        <f t="shared" ca="1" si="28"/>
        <v>0.820041070589135</v>
      </c>
      <c r="J385">
        <f t="shared" ca="1" si="29"/>
        <v>0</v>
      </c>
      <c r="K385">
        <f t="shared" ca="1" si="30"/>
        <v>1</v>
      </c>
      <c r="L385" s="65">
        <v>379</v>
      </c>
      <c r="M385" s="71">
        <f t="shared" ca="1" si="26"/>
        <v>0</v>
      </c>
      <c r="N385" s="65"/>
    </row>
    <row r="386" spans="1:14" x14ac:dyDescent="0.25">
      <c r="A386" s="2">
        <v>380</v>
      </c>
      <c r="B386" s="11">
        <f t="shared" ca="1" si="27"/>
        <v>0</v>
      </c>
      <c r="C386" s="26">
        <f t="shared" ca="1" si="28"/>
        <v>0.5746591176136594</v>
      </c>
      <c r="J386">
        <f t="shared" ca="1" si="29"/>
        <v>0</v>
      </c>
      <c r="K386">
        <f t="shared" ca="1" si="30"/>
        <v>1</v>
      </c>
      <c r="L386" s="65">
        <v>380</v>
      </c>
      <c r="M386" s="71">
        <f t="shared" ca="1" si="26"/>
        <v>0</v>
      </c>
      <c r="N386" s="65"/>
    </row>
    <row r="387" spans="1:14" x14ac:dyDescent="0.25">
      <c r="A387" s="2">
        <v>381</v>
      </c>
      <c r="B387" s="11">
        <f t="shared" ca="1" si="27"/>
        <v>0</v>
      </c>
      <c r="C387" s="26">
        <f t="shared" ca="1" si="28"/>
        <v>0.87237821247158742</v>
      </c>
      <c r="J387">
        <f t="shared" ca="1" si="29"/>
        <v>0</v>
      </c>
      <c r="K387">
        <f t="shared" ca="1" si="30"/>
        <v>1</v>
      </c>
      <c r="L387" s="65">
        <v>381</v>
      </c>
      <c r="M387" s="71">
        <f t="shared" ca="1" si="26"/>
        <v>0</v>
      </c>
      <c r="N387" s="65"/>
    </row>
    <row r="388" spans="1:14" x14ac:dyDescent="0.25">
      <c r="A388" s="2">
        <v>382</v>
      </c>
      <c r="B388" s="11">
        <f t="shared" ca="1" si="27"/>
        <v>0</v>
      </c>
      <c r="C388" s="26">
        <f t="shared" ca="1" si="28"/>
        <v>0.8423623891274481</v>
      </c>
      <c r="J388">
        <f t="shared" ca="1" si="29"/>
        <v>0</v>
      </c>
      <c r="K388">
        <f t="shared" ca="1" si="30"/>
        <v>1</v>
      </c>
      <c r="L388" s="65">
        <v>382</v>
      </c>
      <c r="M388" s="71">
        <f t="shared" ca="1" si="26"/>
        <v>0</v>
      </c>
      <c r="N388" s="65"/>
    </row>
    <row r="389" spans="1:14" x14ac:dyDescent="0.25">
      <c r="A389" s="2">
        <v>383</v>
      </c>
      <c r="B389" s="11">
        <f t="shared" ca="1" si="27"/>
        <v>0</v>
      </c>
      <c r="C389" s="26">
        <f t="shared" ca="1" si="28"/>
        <v>0.81829063425814663</v>
      </c>
      <c r="J389">
        <f t="shared" ca="1" si="29"/>
        <v>0</v>
      </c>
      <c r="K389">
        <f t="shared" ca="1" si="30"/>
        <v>1</v>
      </c>
      <c r="L389" s="65">
        <v>383</v>
      </c>
      <c r="M389" s="71">
        <f t="shared" ca="1" si="26"/>
        <v>0</v>
      </c>
      <c r="N389" s="65"/>
    </row>
    <row r="390" spans="1:14" x14ac:dyDescent="0.25">
      <c r="A390" s="2">
        <v>384</v>
      </c>
      <c r="B390" s="11">
        <f t="shared" ca="1" si="27"/>
        <v>0</v>
      </c>
      <c r="C390" s="26">
        <f t="shared" ca="1" si="28"/>
        <v>0.67451909674130961</v>
      </c>
      <c r="J390">
        <f t="shared" ca="1" si="29"/>
        <v>0</v>
      </c>
      <c r="K390">
        <f t="shared" ca="1" si="30"/>
        <v>0</v>
      </c>
      <c r="L390" s="65">
        <v>384</v>
      </c>
      <c r="M390" s="71">
        <f t="shared" ca="1" si="26"/>
        <v>0</v>
      </c>
      <c r="N390" s="65"/>
    </row>
    <row r="391" spans="1:14" x14ac:dyDescent="0.25">
      <c r="A391" s="2">
        <v>385</v>
      </c>
      <c r="B391" s="11">
        <f t="shared" ca="1" si="27"/>
        <v>1</v>
      </c>
      <c r="C391" s="26">
        <f t="shared" ca="1" si="28"/>
        <v>0.17298022132453972</v>
      </c>
      <c r="J391">
        <f t="shared" ca="1" si="29"/>
        <v>1</v>
      </c>
      <c r="K391">
        <f t="shared" ca="1" si="30"/>
        <v>0</v>
      </c>
      <c r="L391" s="65">
        <v>385</v>
      </c>
      <c r="M391" s="71">
        <f t="shared" ref="M391:M454" ca="1" si="31">IF(B391&gt;0,-LN(1-(RAND()))/lambda,0)</f>
        <v>4.1769014944082722E-2</v>
      </c>
      <c r="N391" s="65"/>
    </row>
    <row r="392" spans="1:14" x14ac:dyDescent="0.25">
      <c r="A392" s="2">
        <v>386</v>
      </c>
      <c r="B392" s="11">
        <f t="shared" ref="B392:B455" ca="1" si="32">IF(B391&gt;0,IF(C392&lt;pww,1,0),IF(C392&lt;pdw,1,0))</f>
        <v>1</v>
      </c>
      <c r="C392" s="26">
        <f t="shared" ref="C392:C455" ca="1" si="33">RAND()</f>
        <v>0.13539023858542687</v>
      </c>
      <c r="J392">
        <f t="shared" ref="J392:J455" ca="1" si="34">IF(AND(B392,B393),1,0)</f>
        <v>1</v>
      </c>
      <c r="K392">
        <f t="shared" ref="K392:K455" ca="1" si="35">IF(AND(NOT(B392),NOT(B393)),1,0)</f>
        <v>0</v>
      </c>
      <c r="L392" s="65">
        <v>386</v>
      </c>
      <c r="M392" s="71">
        <f t="shared" ca="1" si="31"/>
        <v>0.43366545341243862</v>
      </c>
      <c r="N392" s="65"/>
    </row>
    <row r="393" spans="1:14" x14ac:dyDescent="0.25">
      <c r="A393" s="2">
        <v>387</v>
      </c>
      <c r="B393" s="11">
        <f t="shared" ca="1" si="32"/>
        <v>1</v>
      </c>
      <c r="C393" s="26">
        <f t="shared" ca="1" si="33"/>
        <v>0.62209042916657997</v>
      </c>
      <c r="J393">
        <f t="shared" ca="1" si="34"/>
        <v>0</v>
      </c>
      <c r="K393">
        <f t="shared" ca="1" si="35"/>
        <v>0</v>
      </c>
      <c r="L393" s="65">
        <v>387</v>
      </c>
      <c r="M393" s="71">
        <f t="shared" ca="1" si="31"/>
        <v>6.397578473078859</v>
      </c>
      <c r="N393" s="65"/>
    </row>
    <row r="394" spans="1:14" x14ac:dyDescent="0.25">
      <c r="A394" s="2">
        <v>388</v>
      </c>
      <c r="B394" s="11">
        <f t="shared" ca="1" si="32"/>
        <v>0</v>
      </c>
      <c r="C394" s="26">
        <f t="shared" ca="1" si="33"/>
        <v>0.78983446108425681</v>
      </c>
      <c r="J394">
        <f t="shared" ca="1" si="34"/>
        <v>0</v>
      </c>
      <c r="K394">
        <f t="shared" ca="1" si="35"/>
        <v>1</v>
      </c>
      <c r="L394" s="65">
        <v>388</v>
      </c>
      <c r="M394" s="71">
        <f t="shared" ca="1" si="31"/>
        <v>0</v>
      </c>
      <c r="N394" s="65"/>
    </row>
    <row r="395" spans="1:14" x14ac:dyDescent="0.25">
      <c r="A395" s="2">
        <v>389</v>
      </c>
      <c r="B395" s="11">
        <f t="shared" ca="1" si="32"/>
        <v>0</v>
      </c>
      <c r="C395" s="26">
        <f t="shared" ca="1" si="33"/>
        <v>0.93808386509442387</v>
      </c>
      <c r="J395">
        <f t="shared" ca="1" si="34"/>
        <v>0</v>
      </c>
      <c r="K395">
        <f t="shared" ca="1" si="35"/>
        <v>1</v>
      </c>
      <c r="L395" s="65">
        <v>389</v>
      </c>
      <c r="M395" s="71">
        <f t="shared" ca="1" si="31"/>
        <v>0</v>
      </c>
      <c r="N395" s="65"/>
    </row>
    <row r="396" spans="1:14" x14ac:dyDescent="0.25">
      <c r="A396" s="2">
        <v>390</v>
      </c>
      <c r="B396" s="11">
        <f t="shared" ca="1" si="32"/>
        <v>0</v>
      </c>
      <c r="C396" s="26">
        <f t="shared" ca="1" si="33"/>
        <v>0.57115427278540942</v>
      </c>
      <c r="J396">
        <f t="shared" ca="1" si="34"/>
        <v>0</v>
      </c>
      <c r="K396">
        <f t="shared" ca="1" si="35"/>
        <v>1</v>
      </c>
      <c r="L396" s="65">
        <v>390</v>
      </c>
      <c r="M396" s="71">
        <f t="shared" ca="1" si="31"/>
        <v>0</v>
      </c>
      <c r="N396" s="65"/>
    </row>
    <row r="397" spans="1:14" x14ac:dyDescent="0.25">
      <c r="A397" s="2">
        <v>391</v>
      </c>
      <c r="B397" s="11">
        <f t="shared" ca="1" si="32"/>
        <v>0</v>
      </c>
      <c r="C397" s="26">
        <f t="shared" ca="1" si="33"/>
        <v>0.56457327654573575</v>
      </c>
      <c r="J397">
        <f t="shared" ca="1" si="34"/>
        <v>0</v>
      </c>
      <c r="K397">
        <f t="shared" ca="1" si="35"/>
        <v>1</v>
      </c>
      <c r="L397" s="65">
        <v>391</v>
      </c>
      <c r="M397" s="71">
        <f t="shared" ca="1" si="31"/>
        <v>0</v>
      </c>
      <c r="N397" s="65"/>
    </row>
    <row r="398" spans="1:14" x14ac:dyDescent="0.25">
      <c r="A398" s="2">
        <v>392</v>
      </c>
      <c r="B398" s="11">
        <f t="shared" ca="1" si="32"/>
        <v>0</v>
      </c>
      <c r="C398" s="26">
        <f t="shared" ca="1" si="33"/>
        <v>0.64812681764691871</v>
      </c>
      <c r="J398">
        <f t="shared" ca="1" si="34"/>
        <v>0</v>
      </c>
      <c r="K398">
        <f t="shared" ca="1" si="35"/>
        <v>0</v>
      </c>
      <c r="L398" s="65">
        <v>392</v>
      </c>
      <c r="M398" s="71">
        <f t="shared" ca="1" si="31"/>
        <v>0</v>
      </c>
      <c r="N398" s="65"/>
    </row>
    <row r="399" spans="1:14" x14ac:dyDescent="0.25">
      <c r="A399" s="2">
        <v>393</v>
      </c>
      <c r="B399" s="11">
        <f t="shared" ca="1" si="32"/>
        <v>1</v>
      </c>
      <c r="C399" s="26">
        <f t="shared" ca="1" si="33"/>
        <v>9.0780388688223246E-2</v>
      </c>
      <c r="J399">
        <f t="shared" ca="1" si="34"/>
        <v>1</v>
      </c>
      <c r="K399">
        <f t="shared" ca="1" si="35"/>
        <v>0</v>
      </c>
      <c r="L399" s="65">
        <v>393</v>
      </c>
      <c r="M399" s="71">
        <f t="shared" ca="1" si="31"/>
        <v>1.059979079684382</v>
      </c>
      <c r="N399" s="65"/>
    </row>
    <row r="400" spans="1:14" x14ac:dyDescent="0.25">
      <c r="A400" s="2">
        <v>394</v>
      </c>
      <c r="B400" s="11">
        <f t="shared" ca="1" si="32"/>
        <v>1</v>
      </c>
      <c r="C400" s="26">
        <f t="shared" ca="1" si="33"/>
        <v>0.69686998639442654</v>
      </c>
      <c r="J400">
        <f t="shared" ca="1" si="34"/>
        <v>1</v>
      </c>
      <c r="K400">
        <f t="shared" ca="1" si="35"/>
        <v>0</v>
      </c>
      <c r="L400" s="65">
        <v>394</v>
      </c>
      <c r="M400" s="71">
        <f t="shared" ca="1" si="31"/>
        <v>1.020933462850343</v>
      </c>
      <c r="N400" s="65"/>
    </row>
    <row r="401" spans="1:14" x14ac:dyDescent="0.25">
      <c r="A401" s="2">
        <v>395</v>
      </c>
      <c r="B401" s="11">
        <f t="shared" ca="1" si="32"/>
        <v>1</v>
      </c>
      <c r="C401" s="26">
        <f t="shared" ca="1" si="33"/>
        <v>0.21108140401927555</v>
      </c>
      <c r="J401">
        <f t="shared" ca="1" si="34"/>
        <v>0</v>
      </c>
      <c r="K401">
        <f t="shared" ca="1" si="35"/>
        <v>0</v>
      </c>
      <c r="L401" s="65">
        <v>395</v>
      </c>
      <c r="M401" s="71">
        <f t="shared" ca="1" si="31"/>
        <v>0.21266671551579852</v>
      </c>
      <c r="N401" s="65"/>
    </row>
    <row r="402" spans="1:14" x14ac:dyDescent="0.25">
      <c r="A402" s="2">
        <v>396</v>
      </c>
      <c r="B402" s="11">
        <f t="shared" ca="1" si="32"/>
        <v>0</v>
      </c>
      <c r="C402" s="26">
        <f t="shared" ca="1" si="33"/>
        <v>0.96465357850890232</v>
      </c>
      <c r="J402">
        <f t="shared" ca="1" si="34"/>
        <v>0</v>
      </c>
      <c r="K402">
        <f t="shared" ca="1" si="35"/>
        <v>1</v>
      </c>
      <c r="L402" s="65">
        <v>396</v>
      </c>
      <c r="M402" s="71">
        <f t="shared" ca="1" si="31"/>
        <v>0</v>
      </c>
      <c r="N402" s="65"/>
    </row>
    <row r="403" spans="1:14" x14ac:dyDescent="0.25">
      <c r="A403" s="2">
        <v>397</v>
      </c>
      <c r="B403" s="11">
        <f t="shared" ca="1" si="32"/>
        <v>0</v>
      </c>
      <c r="C403" s="26">
        <f t="shared" ca="1" si="33"/>
        <v>0.58967368548201649</v>
      </c>
      <c r="J403">
        <f t="shared" ca="1" si="34"/>
        <v>0</v>
      </c>
      <c r="K403">
        <f t="shared" ca="1" si="35"/>
        <v>0</v>
      </c>
      <c r="L403" s="65">
        <v>397</v>
      </c>
      <c r="M403" s="71">
        <f t="shared" ca="1" si="31"/>
        <v>0</v>
      </c>
      <c r="N403" s="65"/>
    </row>
    <row r="404" spans="1:14" x14ac:dyDescent="0.25">
      <c r="A404" s="2">
        <v>398</v>
      </c>
      <c r="B404" s="11">
        <f t="shared" ca="1" si="32"/>
        <v>1</v>
      </c>
      <c r="C404" s="26">
        <f t="shared" ca="1" si="33"/>
        <v>0.28960277544492319</v>
      </c>
      <c r="J404">
        <f t="shared" ca="1" si="34"/>
        <v>1</v>
      </c>
      <c r="K404">
        <f t="shared" ca="1" si="35"/>
        <v>0</v>
      </c>
      <c r="L404" s="65">
        <v>398</v>
      </c>
      <c r="M404" s="71">
        <f t="shared" ca="1" si="31"/>
        <v>1.6483966565739108</v>
      </c>
      <c r="N404" s="65"/>
    </row>
    <row r="405" spans="1:14" x14ac:dyDescent="0.25">
      <c r="A405" s="2">
        <v>399</v>
      </c>
      <c r="B405" s="11">
        <f t="shared" ca="1" si="32"/>
        <v>1</v>
      </c>
      <c r="C405" s="26">
        <f t="shared" ca="1" si="33"/>
        <v>0.26633133713771773</v>
      </c>
      <c r="J405">
        <f t="shared" ca="1" si="34"/>
        <v>1</v>
      </c>
      <c r="K405">
        <f t="shared" ca="1" si="35"/>
        <v>0</v>
      </c>
      <c r="L405" s="65">
        <v>399</v>
      </c>
      <c r="M405" s="71">
        <f t="shared" ca="1" si="31"/>
        <v>0.26019414044617656</v>
      </c>
      <c r="N405" s="65"/>
    </row>
    <row r="406" spans="1:14" x14ac:dyDescent="0.25">
      <c r="A406" s="2">
        <v>400</v>
      </c>
      <c r="B406" s="11">
        <f t="shared" ca="1" si="32"/>
        <v>1</v>
      </c>
      <c r="C406" s="26">
        <f t="shared" ca="1" si="33"/>
        <v>0.47864871474897264</v>
      </c>
      <c r="J406">
        <f t="shared" ca="1" si="34"/>
        <v>1</v>
      </c>
      <c r="K406">
        <f t="shared" ca="1" si="35"/>
        <v>0</v>
      </c>
      <c r="L406" s="65">
        <v>400</v>
      </c>
      <c r="M406" s="71">
        <f t="shared" ca="1" si="31"/>
        <v>0.34285527987615516</v>
      </c>
      <c r="N406" s="65"/>
    </row>
    <row r="407" spans="1:14" x14ac:dyDescent="0.25">
      <c r="A407" s="2">
        <v>401</v>
      </c>
      <c r="B407" s="11">
        <f t="shared" ca="1" si="32"/>
        <v>1</v>
      </c>
      <c r="C407" s="26">
        <f t="shared" ca="1" si="33"/>
        <v>0.3747246764074722</v>
      </c>
      <c r="J407">
        <f t="shared" ca="1" si="34"/>
        <v>0</v>
      </c>
      <c r="K407">
        <f t="shared" ca="1" si="35"/>
        <v>0</v>
      </c>
      <c r="L407" s="65">
        <v>401</v>
      </c>
      <c r="M407" s="71">
        <f t="shared" ca="1" si="31"/>
        <v>1.4092574876041843</v>
      </c>
      <c r="N407" s="65"/>
    </row>
    <row r="408" spans="1:14" x14ac:dyDescent="0.25">
      <c r="A408" s="2">
        <v>402</v>
      </c>
      <c r="B408" s="11">
        <f t="shared" ca="1" si="32"/>
        <v>0</v>
      </c>
      <c r="C408" s="26">
        <f t="shared" ca="1" si="33"/>
        <v>0.75597770518069751</v>
      </c>
      <c r="J408">
        <f t="shared" ca="1" si="34"/>
        <v>0</v>
      </c>
      <c r="K408">
        <f t="shared" ca="1" si="35"/>
        <v>1</v>
      </c>
      <c r="L408" s="65">
        <v>402</v>
      </c>
      <c r="M408" s="71">
        <f t="shared" ca="1" si="31"/>
        <v>0</v>
      </c>
      <c r="N408" s="65"/>
    </row>
    <row r="409" spans="1:14" x14ac:dyDescent="0.25">
      <c r="A409" s="2">
        <v>403</v>
      </c>
      <c r="B409" s="11">
        <f t="shared" ca="1" si="32"/>
        <v>0</v>
      </c>
      <c r="C409" s="26">
        <f t="shared" ca="1" si="33"/>
        <v>0.47812387812998591</v>
      </c>
      <c r="J409">
        <f t="shared" ca="1" si="34"/>
        <v>0</v>
      </c>
      <c r="K409">
        <f t="shared" ca="1" si="35"/>
        <v>1</v>
      </c>
      <c r="L409" s="65">
        <v>403</v>
      </c>
      <c r="M409" s="71">
        <f t="shared" ca="1" si="31"/>
        <v>0</v>
      </c>
      <c r="N409" s="65"/>
    </row>
    <row r="410" spans="1:14" x14ac:dyDescent="0.25">
      <c r="A410" s="2">
        <v>404</v>
      </c>
      <c r="B410" s="11">
        <f t="shared" ca="1" si="32"/>
        <v>0</v>
      </c>
      <c r="C410" s="26">
        <f t="shared" ca="1" si="33"/>
        <v>0.56993252672243944</v>
      </c>
      <c r="J410">
        <f t="shared" ca="1" si="34"/>
        <v>0</v>
      </c>
      <c r="K410">
        <f t="shared" ca="1" si="35"/>
        <v>1</v>
      </c>
      <c r="L410" s="65">
        <v>404</v>
      </c>
      <c r="M410" s="71">
        <f t="shared" ca="1" si="31"/>
        <v>0</v>
      </c>
      <c r="N410" s="65"/>
    </row>
    <row r="411" spans="1:14" x14ac:dyDescent="0.25">
      <c r="A411" s="2">
        <v>405</v>
      </c>
      <c r="B411" s="11">
        <f t="shared" ca="1" si="32"/>
        <v>0</v>
      </c>
      <c r="C411" s="26">
        <f t="shared" ca="1" si="33"/>
        <v>0.78032424535710621</v>
      </c>
      <c r="J411">
        <f t="shared" ca="1" si="34"/>
        <v>0</v>
      </c>
      <c r="K411">
        <f t="shared" ca="1" si="35"/>
        <v>1</v>
      </c>
      <c r="L411" s="65">
        <v>405</v>
      </c>
      <c r="M411" s="71">
        <f t="shared" ca="1" si="31"/>
        <v>0</v>
      </c>
      <c r="N411" s="65"/>
    </row>
    <row r="412" spans="1:14" x14ac:dyDescent="0.25">
      <c r="A412" s="2">
        <v>406</v>
      </c>
      <c r="B412" s="11">
        <f t="shared" ca="1" si="32"/>
        <v>0</v>
      </c>
      <c r="C412" s="26">
        <f t="shared" ca="1" si="33"/>
        <v>0.62567007588540358</v>
      </c>
      <c r="J412">
        <f t="shared" ca="1" si="34"/>
        <v>0</v>
      </c>
      <c r="K412">
        <f t="shared" ca="1" si="35"/>
        <v>1</v>
      </c>
      <c r="L412" s="65">
        <v>406</v>
      </c>
      <c r="M412" s="71">
        <f t="shared" ca="1" si="31"/>
        <v>0</v>
      </c>
      <c r="N412" s="65"/>
    </row>
    <row r="413" spans="1:14" x14ac:dyDescent="0.25">
      <c r="A413" s="2">
        <v>407</v>
      </c>
      <c r="B413" s="11">
        <f t="shared" ca="1" si="32"/>
        <v>0</v>
      </c>
      <c r="C413" s="26">
        <f t="shared" ca="1" si="33"/>
        <v>0.5385941133322748</v>
      </c>
      <c r="J413">
        <f t="shared" ca="1" si="34"/>
        <v>0</v>
      </c>
      <c r="K413">
        <f t="shared" ca="1" si="35"/>
        <v>1</v>
      </c>
      <c r="L413" s="65">
        <v>407</v>
      </c>
      <c r="M413" s="71">
        <f t="shared" ca="1" si="31"/>
        <v>0</v>
      </c>
      <c r="N413" s="65"/>
    </row>
    <row r="414" spans="1:14" x14ac:dyDescent="0.25">
      <c r="A414" s="2">
        <v>408</v>
      </c>
      <c r="B414" s="11">
        <f t="shared" ca="1" si="32"/>
        <v>0</v>
      </c>
      <c r="C414" s="26">
        <f t="shared" ca="1" si="33"/>
        <v>0.99921328337276516</v>
      </c>
      <c r="J414">
        <f t="shared" ca="1" si="34"/>
        <v>0</v>
      </c>
      <c r="K414">
        <f t="shared" ca="1" si="35"/>
        <v>1</v>
      </c>
      <c r="L414" s="65">
        <v>408</v>
      </c>
      <c r="M414" s="71">
        <f t="shared" ca="1" si="31"/>
        <v>0</v>
      </c>
      <c r="N414" s="65"/>
    </row>
    <row r="415" spans="1:14" x14ac:dyDescent="0.25">
      <c r="A415" s="2">
        <v>409</v>
      </c>
      <c r="B415" s="11">
        <f t="shared" ca="1" si="32"/>
        <v>0</v>
      </c>
      <c r="C415" s="26">
        <f t="shared" ca="1" si="33"/>
        <v>0.40775136254250921</v>
      </c>
      <c r="J415">
        <f t="shared" ca="1" si="34"/>
        <v>0</v>
      </c>
      <c r="K415">
        <f t="shared" ca="1" si="35"/>
        <v>1</v>
      </c>
      <c r="L415" s="65">
        <v>409</v>
      </c>
      <c r="M415" s="71">
        <f t="shared" ca="1" si="31"/>
        <v>0</v>
      </c>
      <c r="N415" s="65"/>
    </row>
    <row r="416" spans="1:14" x14ac:dyDescent="0.25">
      <c r="A416" s="2">
        <v>410</v>
      </c>
      <c r="B416" s="11">
        <f t="shared" ca="1" si="32"/>
        <v>0</v>
      </c>
      <c r="C416" s="26">
        <f t="shared" ca="1" si="33"/>
        <v>0.9821072056988398</v>
      </c>
      <c r="J416">
        <f t="shared" ca="1" si="34"/>
        <v>0</v>
      </c>
      <c r="K416">
        <f t="shared" ca="1" si="35"/>
        <v>0</v>
      </c>
      <c r="L416" s="65">
        <v>410</v>
      </c>
      <c r="M416" s="71">
        <f t="shared" ca="1" si="31"/>
        <v>0</v>
      </c>
      <c r="N416" s="65"/>
    </row>
    <row r="417" spans="1:14" x14ac:dyDescent="0.25">
      <c r="A417" s="2">
        <v>411</v>
      </c>
      <c r="B417" s="11">
        <f t="shared" ca="1" si="32"/>
        <v>1</v>
      </c>
      <c r="C417" s="26">
        <f t="shared" ca="1" si="33"/>
        <v>0.25639918212350388</v>
      </c>
      <c r="J417">
        <f t="shared" ca="1" si="34"/>
        <v>1</v>
      </c>
      <c r="K417">
        <f t="shared" ca="1" si="35"/>
        <v>0</v>
      </c>
      <c r="L417" s="65">
        <v>411</v>
      </c>
      <c r="M417" s="71">
        <f t="shared" ca="1" si="31"/>
        <v>10.311908153246833</v>
      </c>
      <c r="N417" s="65"/>
    </row>
    <row r="418" spans="1:14" x14ac:dyDescent="0.25">
      <c r="A418" s="2">
        <v>412</v>
      </c>
      <c r="B418" s="11">
        <f t="shared" ca="1" si="32"/>
        <v>1</v>
      </c>
      <c r="C418" s="26">
        <f t="shared" ca="1" si="33"/>
        <v>0.56739120917184116</v>
      </c>
      <c r="J418">
        <f t="shared" ca="1" si="34"/>
        <v>1</v>
      </c>
      <c r="K418">
        <f t="shared" ca="1" si="35"/>
        <v>0</v>
      </c>
      <c r="L418" s="65">
        <v>412</v>
      </c>
      <c r="M418" s="71">
        <f t="shared" ca="1" si="31"/>
        <v>4.3856543354578612</v>
      </c>
      <c r="N418" s="65"/>
    </row>
    <row r="419" spans="1:14" x14ac:dyDescent="0.25">
      <c r="A419" s="2">
        <v>413</v>
      </c>
      <c r="B419" s="11">
        <f t="shared" ca="1" si="32"/>
        <v>1</v>
      </c>
      <c r="C419" s="26">
        <f t="shared" ca="1" si="33"/>
        <v>0.22616662211395688</v>
      </c>
      <c r="J419">
        <f t="shared" ca="1" si="34"/>
        <v>1</v>
      </c>
      <c r="K419">
        <f t="shared" ca="1" si="35"/>
        <v>0</v>
      </c>
      <c r="L419" s="65">
        <v>413</v>
      </c>
      <c r="M419" s="71">
        <f t="shared" ca="1" si="31"/>
        <v>7.8737548291920119</v>
      </c>
      <c r="N419" s="65"/>
    </row>
    <row r="420" spans="1:14" x14ac:dyDescent="0.25">
      <c r="A420" s="2">
        <v>414</v>
      </c>
      <c r="B420" s="11">
        <f t="shared" ca="1" si="32"/>
        <v>1</v>
      </c>
      <c r="C420" s="26">
        <f t="shared" ca="1" si="33"/>
        <v>9.8830530921424686E-2</v>
      </c>
      <c r="J420">
        <f t="shared" ca="1" si="34"/>
        <v>1</v>
      </c>
      <c r="K420">
        <f t="shared" ca="1" si="35"/>
        <v>0</v>
      </c>
      <c r="L420" s="65">
        <v>414</v>
      </c>
      <c r="M420" s="71">
        <f t="shared" ca="1" si="31"/>
        <v>3.8445055940658284E-3</v>
      </c>
      <c r="N420" s="65"/>
    </row>
    <row r="421" spans="1:14" x14ac:dyDescent="0.25">
      <c r="A421" s="2">
        <v>415</v>
      </c>
      <c r="B421" s="11">
        <f t="shared" ca="1" si="32"/>
        <v>1</v>
      </c>
      <c r="C421" s="26">
        <f t="shared" ca="1" si="33"/>
        <v>0.32515023510414254</v>
      </c>
      <c r="J421">
        <f t="shared" ca="1" si="34"/>
        <v>1</v>
      </c>
      <c r="K421">
        <f t="shared" ca="1" si="35"/>
        <v>0</v>
      </c>
      <c r="L421" s="65">
        <v>415</v>
      </c>
      <c r="M421" s="71">
        <f t="shared" ca="1" si="31"/>
        <v>1.2180998356615396</v>
      </c>
      <c r="N421" s="65"/>
    </row>
    <row r="422" spans="1:14" x14ac:dyDescent="0.25">
      <c r="A422" s="2">
        <v>416</v>
      </c>
      <c r="B422" s="11">
        <f t="shared" ca="1" si="32"/>
        <v>1</v>
      </c>
      <c r="C422" s="26">
        <f t="shared" ca="1" si="33"/>
        <v>0.67379372619442157</v>
      </c>
      <c r="J422">
        <f t="shared" ca="1" si="34"/>
        <v>1</v>
      </c>
      <c r="K422">
        <f t="shared" ca="1" si="35"/>
        <v>0</v>
      </c>
      <c r="L422" s="65">
        <v>416</v>
      </c>
      <c r="M422" s="71">
        <f t="shared" ca="1" si="31"/>
        <v>1.9670006072360859</v>
      </c>
      <c r="N422" s="65"/>
    </row>
    <row r="423" spans="1:14" x14ac:dyDescent="0.25">
      <c r="A423" s="2">
        <v>417</v>
      </c>
      <c r="B423" s="11">
        <f t="shared" ca="1" si="32"/>
        <v>1</v>
      </c>
      <c r="C423" s="26">
        <f t="shared" ca="1" si="33"/>
        <v>0.71114674184480742</v>
      </c>
      <c r="J423">
        <f t="shared" ca="1" si="34"/>
        <v>1</v>
      </c>
      <c r="K423">
        <f t="shared" ca="1" si="35"/>
        <v>0</v>
      </c>
      <c r="L423" s="65">
        <v>417</v>
      </c>
      <c r="M423" s="71">
        <f t="shared" ca="1" si="31"/>
        <v>0.58450206196582222</v>
      </c>
      <c r="N423" s="65"/>
    </row>
    <row r="424" spans="1:14" x14ac:dyDescent="0.25">
      <c r="A424" s="2">
        <v>418</v>
      </c>
      <c r="B424" s="11">
        <f t="shared" ca="1" si="32"/>
        <v>1</v>
      </c>
      <c r="C424" s="26">
        <f t="shared" ca="1" si="33"/>
        <v>0.18975753525491035</v>
      </c>
      <c r="J424">
        <f t="shared" ca="1" si="34"/>
        <v>1</v>
      </c>
      <c r="K424">
        <f t="shared" ca="1" si="35"/>
        <v>0</v>
      </c>
      <c r="L424" s="65">
        <v>418</v>
      </c>
      <c r="M424" s="71">
        <f t="shared" ca="1" si="31"/>
        <v>3.4928473091296772</v>
      </c>
      <c r="N424" s="65"/>
    </row>
    <row r="425" spans="1:14" x14ac:dyDescent="0.25">
      <c r="A425" s="2">
        <v>419</v>
      </c>
      <c r="B425" s="11">
        <f t="shared" ca="1" si="32"/>
        <v>1</v>
      </c>
      <c r="C425" s="26">
        <f t="shared" ca="1" si="33"/>
        <v>0.5306474051540796</v>
      </c>
      <c r="J425">
        <f t="shared" ca="1" si="34"/>
        <v>1</v>
      </c>
      <c r="K425">
        <f t="shared" ca="1" si="35"/>
        <v>0</v>
      </c>
      <c r="L425" s="65">
        <v>419</v>
      </c>
      <c r="M425" s="71">
        <f t="shared" ca="1" si="31"/>
        <v>3.0811560368907185</v>
      </c>
      <c r="N425" s="65"/>
    </row>
    <row r="426" spans="1:14" x14ac:dyDescent="0.25">
      <c r="A426" s="2">
        <v>420</v>
      </c>
      <c r="B426" s="11">
        <f t="shared" ca="1" si="32"/>
        <v>1</v>
      </c>
      <c r="C426" s="26">
        <f t="shared" ca="1" si="33"/>
        <v>0.63287511950742992</v>
      </c>
      <c r="J426">
        <f t="shared" ca="1" si="34"/>
        <v>0</v>
      </c>
      <c r="K426">
        <f t="shared" ca="1" si="35"/>
        <v>0</v>
      </c>
      <c r="L426" s="65">
        <v>420</v>
      </c>
      <c r="M426" s="71">
        <f t="shared" ca="1" si="31"/>
        <v>1.3949995343499682</v>
      </c>
      <c r="N426" s="65"/>
    </row>
    <row r="427" spans="1:14" x14ac:dyDescent="0.25">
      <c r="A427" s="2">
        <v>421</v>
      </c>
      <c r="B427" s="11">
        <f t="shared" ca="1" si="32"/>
        <v>0</v>
      </c>
      <c r="C427" s="26">
        <f t="shared" ca="1" si="33"/>
        <v>0.78282446025297203</v>
      </c>
      <c r="J427">
        <f t="shared" ca="1" si="34"/>
        <v>0</v>
      </c>
      <c r="K427">
        <f t="shared" ca="1" si="35"/>
        <v>0</v>
      </c>
      <c r="L427" s="65">
        <v>421</v>
      </c>
      <c r="M427" s="71">
        <f t="shared" ca="1" si="31"/>
        <v>0</v>
      </c>
      <c r="N427" s="65"/>
    </row>
    <row r="428" spans="1:14" x14ac:dyDescent="0.25">
      <c r="A428" s="2">
        <v>422</v>
      </c>
      <c r="B428" s="11">
        <f t="shared" ca="1" si="32"/>
        <v>1</v>
      </c>
      <c r="C428" s="26">
        <f t="shared" ca="1" si="33"/>
        <v>0.10054843986079454</v>
      </c>
      <c r="J428">
        <f t="shared" ca="1" si="34"/>
        <v>1</v>
      </c>
      <c r="K428">
        <f t="shared" ca="1" si="35"/>
        <v>0</v>
      </c>
      <c r="L428" s="65">
        <v>422</v>
      </c>
      <c r="M428" s="71">
        <f t="shared" ca="1" si="31"/>
        <v>3.9170533964834671</v>
      </c>
      <c r="N428" s="65"/>
    </row>
    <row r="429" spans="1:14" x14ac:dyDescent="0.25">
      <c r="A429" s="2">
        <v>423</v>
      </c>
      <c r="B429" s="11">
        <f t="shared" ca="1" si="32"/>
        <v>1</v>
      </c>
      <c r="C429" s="26">
        <f t="shared" ca="1" si="33"/>
        <v>0.15551334857997789</v>
      </c>
      <c r="J429">
        <f t="shared" ca="1" si="34"/>
        <v>1</v>
      </c>
      <c r="K429">
        <f t="shared" ca="1" si="35"/>
        <v>0</v>
      </c>
      <c r="L429" s="65">
        <v>423</v>
      </c>
      <c r="M429" s="71">
        <f t="shared" ca="1" si="31"/>
        <v>1.3873415020324928</v>
      </c>
      <c r="N429" s="65"/>
    </row>
    <row r="430" spans="1:14" x14ac:dyDescent="0.25">
      <c r="A430" s="2">
        <v>424</v>
      </c>
      <c r="B430" s="11">
        <f t="shared" ca="1" si="32"/>
        <v>1</v>
      </c>
      <c r="C430" s="26">
        <f t="shared" ca="1" si="33"/>
        <v>8.7490730226447266E-2</v>
      </c>
      <c r="J430">
        <f t="shared" ca="1" si="34"/>
        <v>1</v>
      </c>
      <c r="K430">
        <f t="shared" ca="1" si="35"/>
        <v>0</v>
      </c>
      <c r="L430" s="65">
        <v>424</v>
      </c>
      <c r="M430" s="71">
        <f t="shared" ca="1" si="31"/>
        <v>4.9768202370952155</v>
      </c>
      <c r="N430" s="65"/>
    </row>
    <row r="431" spans="1:14" x14ac:dyDescent="0.25">
      <c r="A431" s="2">
        <v>425</v>
      </c>
      <c r="B431" s="11">
        <f t="shared" ca="1" si="32"/>
        <v>1</v>
      </c>
      <c r="C431" s="26">
        <f t="shared" ca="1" si="33"/>
        <v>7.3516243444032847E-3</v>
      </c>
      <c r="J431">
        <f t="shared" ca="1" si="34"/>
        <v>1</v>
      </c>
      <c r="K431">
        <f t="shared" ca="1" si="35"/>
        <v>0</v>
      </c>
      <c r="L431" s="65">
        <v>425</v>
      </c>
      <c r="M431" s="71">
        <f t="shared" ca="1" si="31"/>
        <v>2.0582830427118046</v>
      </c>
      <c r="N431" s="65"/>
    </row>
    <row r="432" spans="1:14" x14ac:dyDescent="0.25">
      <c r="A432" s="2">
        <v>426</v>
      </c>
      <c r="B432" s="11">
        <f t="shared" ca="1" si="32"/>
        <v>1</v>
      </c>
      <c r="C432" s="26">
        <f t="shared" ca="1" si="33"/>
        <v>0.62749951632639867</v>
      </c>
      <c r="J432">
        <f t="shared" ca="1" si="34"/>
        <v>1</v>
      </c>
      <c r="K432">
        <f t="shared" ca="1" si="35"/>
        <v>0</v>
      </c>
      <c r="L432" s="65">
        <v>426</v>
      </c>
      <c r="M432" s="71">
        <f t="shared" ca="1" si="31"/>
        <v>1.8345284986575832</v>
      </c>
      <c r="N432" s="65"/>
    </row>
    <row r="433" spans="1:14" x14ac:dyDescent="0.25">
      <c r="A433" s="2">
        <v>427</v>
      </c>
      <c r="B433" s="11">
        <f t="shared" ca="1" si="32"/>
        <v>1</v>
      </c>
      <c r="C433" s="26">
        <f t="shared" ca="1" si="33"/>
        <v>0.38059243993898451</v>
      </c>
      <c r="J433">
        <f t="shared" ca="1" si="34"/>
        <v>1</v>
      </c>
      <c r="K433">
        <f t="shared" ca="1" si="35"/>
        <v>0</v>
      </c>
      <c r="L433" s="65">
        <v>427</v>
      </c>
      <c r="M433" s="71">
        <f t="shared" ca="1" si="31"/>
        <v>0.39252537454842018</v>
      </c>
      <c r="N433" s="65"/>
    </row>
    <row r="434" spans="1:14" x14ac:dyDescent="0.25">
      <c r="A434" s="2">
        <v>428</v>
      </c>
      <c r="B434" s="11">
        <f t="shared" ca="1" si="32"/>
        <v>1</v>
      </c>
      <c r="C434" s="26">
        <f t="shared" ca="1" si="33"/>
        <v>0.73862138405286215</v>
      </c>
      <c r="J434">
        <f t="shared" ca="1" si="34"/>
        <v>1</v>
      </c>
      <c r="K434">
        <f t="shared" ca="1" si="35"/>
        <v>0</v>
      </c>
      <c r="L434" s="65">
        <v>428</v>
      </c>
      <c r="M434" s="71">
        <f t="shared" ca="1" si="31"/>
        <v>0.3200054312286798</v>
      </c>
      <c r="N434" s="65"/>
    </row>
    <row r="435" spans="1:14" x14ac:dyDescent="0.25">
      <c r="A435" s="2">
        <v>429</v>
      </c>
      <c r="B435" s="11">
        <f t="shared" ca="1" si="32"/>
        <v>1</v>
      </c>
      <c r="C435" s="26">
        <f t="shared" ca="1" si="33"/>
        <v>7.679084422265392E-2</v>
      </c>
      <c r="J435">
        <f t="shared" ca="1" si="34"/>
        <v>0</v>
      </c>
      <c r="K435">
        <f t="shared" ca="1" si="35"/>
        <v>0</v>
      </c>
      <c r="L435" s="65">
        <v>429</v>
      </c>
      <c r="M435" s="71">
        <f t="shared" ca="1" si="31"/>
        <v>1.8828393681576601</v>
      </c>
      <c r="N435" s="65"/>
    </row>
    <row r="436" spans="1:14" x14ac:dyDescent="0.25">
      <c r="A436" s="2">
        <v>430</v>
      </c>
      <c r="B436" s="11">
        <f t="shared" ca="1" si="32"/>
        <v>0</v>
      </c>
      <c r="C436" s="26">
        <f t="shared" ca="1" si="33"/>
        <v>0.90990068866511353</v>
      </c>
      <c r="J436">
        <f t="shared" ca="1" si="34"/>
        <v>0</v>
      </c>
      <c r="K436">
        <f t="shared" ca="1" si="35"/>
        <v>1</v>
      </c>
      <c r="L436" s="65">
        <v>430</v>
      </c>
      <c r="M436" s="71">
        <f t="shared" ca="1" si="31"/>
        <v>0</v>
      </c>
      <c r="N436" s="65"/>
    </row>
    <row r="437" spans="1:14" x14ac:dyDescent="0.25">
      <c r="A437" s="2">
        <v>431</v>
      </c>
      <c r="B437" s="11">
        <f t="shared" ca="1" si="32"/>
        <v>0</v>
      </c>
      <c r="C437" s="26">
        <f t="shared" ca="1" si="33"/>
        <v>0.8603923339423547</v>
      </c>
      <c r="J437">
        <f t="shared" ca="1" si="34"/>
        <v>0</v>
      </c>
      <c r="K437">
        <f t="shared" ca="1" si="35"/>
        <v>1</v>
      </c>
      <c r="L437" s="65">
        <v>431</v>
      </c>
      <c r="M437" s="71">
        <f t="shared" ca="1" si="31"/>
        <v>0</v>
      </c>
      <c r="N437" s="65"/>
    </row>
    <row r="438" spans="1:14" x14ac:dyDescent="0.25">
      <c r="A438" s="2">
        <v>432</v>
      </c>
      <c r="B438" s="11">
        <f t="shared" ca="1" si="32"/>
        <v>0</v>
      </c>
      <c r="C438" s="26">
        <f t="shared" ca="1" si="33"/>
        <v>0.65485057676960823</v>
      </c>
      <c r="J438">
        <f t="shared" ca="1" si="34"/>
        <v>0</v>
      </c>
      <c r="K438">
        <f t="shared" ca="1" si="35"/>
        <v>0</v>
      </c>
      <c r="L438" s="65">
        <v>432</v>
      </c>
      <c r="M438" s="71">
        <f t="shared" ca="1" si="31"/>
        <v>0</v>
      </c>
      <c r="N438" s="65"/>
    </row>
    <row r="439" spans="1:14" x14ac:dyDescent="0.25">
      <c r="A439" s="2">
        <v>433</v>
      </c>
      <c r="B439" s="11">
        <f t="shared" ca="1" si="32"/>
        <v>1</v>
      </c>
      <c r="C439" s="26">
        <f t="shared" ca="1" si="33"/>
        <v>0.30405873172662967</v>
      </c>
      <c r="J439">
        <f t="shared" ca="1" si="34"/>
        <v>1</v>
      </c>
      <c r="K439">
        <f t="shared" ca="1" si="35"/>
        <v>0</v>
      </c>
      <c r="L439" s="65">
        <v>433</v>
      </c>
      <c r="M439" s="71">
        <f t="shared" ca="1" si="31"/>
        <v>8.3814727669319815</v>
      </c>
      <c r="N439" s="65"/>
    </row>
    <row r="440" spans="1:14" x14ac:dyDescent="0.25">
      <c r="A440" s="2">
        <v>434</v>
      </c>
      <c r="B440" s="11">
        <f t="shared" ca="1" si="32"/>
        <v>1</v>
      </c>
      <c r="C440" s="26">
        <f t="shared" ca="1" si="33"/>
        <v>0.25726822738441613</v>
      </c>
      <c r="J440">
        <f t="shared" ca="1" si="34"/>
        <v>1</v>
      </c>
      <c r="K440">
        <f t="shared" ca="1" si="35"/>
        <v>0</v>
      </c>
      <c r="L440" s="65">
        <v>434</v>
      </c>
      <c r="M440" s="71">
        <f t="shared" ca="1" si="31"/>
        <v>1.565227673011018</v>
      </c>
      <c r="N440" s="65"/>
    </row>
    <row r="441" spans="1:14" x14ac:dyDescent="0.25">
      <c r="A441" s="2">
        <v>435</v>
      </c>
      <c r="B441" s="11">
        <f t="shared" ca="1" si="32"/>
        <v>1</v>
      </c>
      <c r="C441" s="26">
        <f t="shared" ca="1" si="33"/>
        <v>0.30991650335799692</v>
      </c>
      <c r="J441">
        <f t="shared" ca="1" si="34"/>
        <v>0</v>
      </c>
      <c r="K441">
        <f t="shared" ca="1" si="35"/>
        <v>0</v>
      </c>
      <c r="L441" s="65">
        <v>435</v>
      </c>
      <c r="M441" s="71">
        <f t="shared" ca="1" si="31"/>
        <v>0.590497524573252</v>
      </c>
      <c r="N441" s="65"/>
    </row>
    <row r="442" spans="1:14" x14ac:dyDescent="0.25">
      <c r="A442" s="2">
        <v>436</v>
      </c>
      <c r="B442" s="11">
        <f t="shared" ca="1" si="32"/>
        <v>0</v>
      </c>
      <c r="C442" s="26">
        <f t="shared" ca="1" si="33"/>
        <v>0.85361097947538933</v>
      </c>
      <c r="J442">
        <f t="shared" ca="1" si="34"/>
        <v>0</v>
      </c>
      <c r="K442">
        <f t="shared" ca="1" si="35"/>
        <v>1</v>
      </c>
      <c r="L442" s="65">
        <v>436</v>
      </c>
      <c r="M442" s="71">
        <f t="shared" ca="1" si="31"/>
        <v>0</v>
      </c>
      <c r="N442" s="65"/>
    </row>
    <row r="443" spans="1:14" x14ac:dyDescent="0.25">
      <c r="A443" s="2">
        <v>437</v>
      </c>
      <c r="B443" s="11">
        <f t="shared" ca="1" si="32"/>
        <v>0</v>
      </c>
      <c r="C443" s="26">
        <f t="shared" ca="1" si="33"/>
        <v>0.40662652477002348</v>
      </c>
      <c r="J443">
        <f t="shared" ca="1" si="34"/>
        <v>0</v>
      </c>
      <c r="K443">
        <f t="shared" ca="1" si="35"/>
        <v>1</v>
      </c>
      <c r="L443" s="65">
        <v>437</v>
      </c>
      <c r="M443" s="71">
        <f t="shared" ca="1" si="31"/>
        <v>0</v>
      </c>
      <c r="N443" s="65"/>
    </row>
    <row r="444" spans="1:14" x14ac:dyDescent="0.25">
      <c r="A444" s="2">
        <v>438</v>
      </c>
      <c r="B444" s="11">
        <f t="shared" ca="1" si="32"/>
        <v>0</v>
      </c>
      <c r="C444" s="26">
        <f t="shared" ca="1" si="33"/>
        <v>0.66302082916929228</v>
      </c>
      <c r="J444">
        <f t="shared" ca="1" si="34"/>
        <v>0</v>
      </c>
      <c r="K444">
        <f t="shared" ca="1" si="35"/>
        <v>1</v>
      </c>
      <c r="L444" s="65">
        <v>438</v>
      </c>
      <c r="M444" s="71">
        <f t="shared" ca="1" si="31"/>
        <v>0</v>
      </c>
      <c r="N444" s="65"/>
    </row>
    <row r="445" spans="1:14" x14ac:dyDescent="0.25">
      <c r="A445" s="2">
        <v>439</v>
      </c>
      <c r="B445" s="11">
        <f t="shared" ca="1" si="32"/>
        <v>0</v>
      </c>
      <c r="C445" s="26">
        <f t="shared" ca="1" si="33"/>
        <v>0.62870918861788005</v>
      </c>
      <c r="J445">
        <f t="shared" ca="1" si="34"/>
        <v>0</v>
      </c>
      <c r="K445">
        <f t="shared" ca="1" si="35"/>
        <v>1</v>
      </c>
      <c r="L445" s="65">
        <v>439</v>
      </c>
      <c r="M445" s="71">
        <f t="shared" ca="1" si="31"/>
        <v>0</v>
      </c>
      <c r="N445" s="65"/>
    </row>
    <row r="446" spans="1:14" x14ac:dyDescent="0.25">
      <c r="A446" s="2">
        <v>440</v>
      </c>
      <c r="B446" s="11">
        <f t="shared" ca="1" si="32"/>
        <v>0</v>
      </c>
      <c r="C446" s="26">
        <f t="shared" ca="1" si="33"/>
        <v>0.46651979267181032</v>
      </c>
      <c r="J446">
        <f t="shared" ca="1" si="34"/>
        <v>0</v>
      </c>
      <c r="K446">
        <f t="shared" ca="1" si="35"/>
        <v>0</v>
      </c>
      <c r="L446" s="65">
        <v>440</v>
      </c>
      <c r="M446" s="71">
        <f t="shared" ca="1" si="31"/>
        <v>0</v>
      </c>
      <c r="N446" s="65"/>
    </row>
    <row r="447" spans="1:14" x14ac:dyDescent="0.25">
      <c r="A447" s="2">
        <v>441</v>
      </c>
      <c r="B447" s="11">
        <f t="shared" ca="1" si="32"/>
        <v>1</v>
      </c>
      <c r="C447" s="26">
        <f t="shared" ca="1" si="33"/>
        <v>0.30051927004196533</v>
      </c>
      <c r="J447">
        <f t="shared" ca="1" si="34"/>
        <v>1</v>
      </c>
      <c r="K447">
        <f t="shared" ca="1" si="35"/>
        <v>0</v>
      </c>
      <c r="L447" s="65">
        <v>441</v>
      </c>
      <c r="M447" s="71">
        <f t="shared" ca="1" si="31"/>
        <v>0.33187334971764443</v>
      </c>
      <c r="N447" s="65"/>
    </row>
    <row r="448" spans="1:14" x14ac:dyDescent="0.25">
      <c r="A448" s="2">
        <v>442</v>
      </c>
      <c r="B448" s="11">
        <f t="shared" ca="1" si="32"/>
        <v>1</v>
      </c>
      <c r="C448" s="26">
        <f t="shared" ca="1" si="33"/>
        <v>4.1375275220303154E-2</v>
      </c>
      <c r="J448">
        <f t="shared" ca="1" si="34"/>
        <v>1</v>
      </c>
      <c r="K448">
        <f t="shared" ca="1" si="35"/>
        <v>0</v>
      </c>
      <c r="L448" s="65">
        <v>442</v>
      </c>
      <c r="M448" s="71">
        <f t="shared" ca="1" si="31"/>
        <v>1.1892877578159715</v>
      </c>
      <c r="N448" s="65"/>
    </row>
    <row r="449" spans="1:14" x14ac:dyDescent="0.25">
      <c r="A449" s="2">
        <v>443</v>
      </c>
      <c r="B449" s="11">
        <f t="shared" ca="1" si="32"/>
        <v>1</v>
      </c>
      <c r="C449" s="26">
        <f t="shared" ca="1" si="33"/>
        <v>0.45696489222455683</v>
      </c>
      <c r="J449">
        <f t="shared" ca="1" si="34"/>
        <v>1</v>
      </c>
      <c r="K449">
        <f t="shared" ca="1" si="35"/>
        <v>0</v>
      </c>
      <c r="L449" s="65">
        <v>443</v>
      </c>
      <c r="M449" s="71">
        <f t="shared" ca="1" si="31"/>
        <v>5.6902524297979831</v>
      </c>
      <c r="N449" s="65"/>
    </row>
    <row r="450" spans="1:14" x14ac:dyDescent="0.25">
      <c r="A450" s="2">
        <v>444</v>
      </c>
      <c r="B450" s="11">
        <f t="shared" ca="1" si="32"/>
        <v>1</v>
      </c>
      <c r="C450" s="26">
        <f t="shared" ca="1" si="33"/>
        <v>0.41263970855424914</v>
      </c>
      <c r="J450">
        <f t="shared" ca="1" si="34"/>
        <v>1</v>
      </c>
      <c r="K450">
        <f t="shared" ca="1" si="35"/>
        <v>0</v>
      </c>
      <c r="L450" s="65">
        <v>444</v>
      </c>
      <c r="M450" s="71">
        <f t="shared" ca="1" si="31"/>
        <v>0.3834910709338471</v>
      </c>
      <c r="N450" s="65"/>
    </row>
    <row r="451" spans="1:14" x14ac:dyDescent="0.25">
      <c r="A451" s="2">
        <v>445</v>
      </c>
      <c r="B451" s="11">
        <f t="shared" ca="1" si="32"/>
        <v>1</v>
      </c>
      <c r="C451" s="26">
        <f t="shared" ca="1" si="33"/>
        <v>0.11577781637247886</v>
      </c>
      <c r="J451">
        <f t="shared" ca="1" si="34"/>
        <v>1</v>
      </c>
      <c r="K451">
        <f t="shared" ca="1" si="35"/>
        <v>0</v>
      </c>
      <c r="L451" s="65">
        <v>445</v>
      </c>
      <c r="M451" s="71">
        <f t="shared" ca="1" si="31"/>
        <v>2.7119859216964155</v>
      </c>
      <c r="N451" s="65"/>
    </row>
    <row r="452" spans="1:14" x14ac:dyDescent="0.25">
      <c r="A452" s="2">
        <v>446</v>
      </c>
      <c r="B452" s="11">
        <f t="shared" ca="1" si="32"/>
        <v>1</v>
      </c>
      <c r="C452" s="26">
        <f t="shared" ca="1" si="33"/>
        <v>1.6373227808258561E-2</v>
      </c>
      <c r="J452">
        <f t="shared" ca="1" si="34"/>
        <v>1</v>
      </c>
      <c r="K452">
        <f t="shared" ca="1" si="35"/>
        <v>0</v>
      </c>
      <c r="L452" s="65">
        <v>446</v>
      </c>
      <c r="M452" s="71">
        <f t="shared" ca="1" si="31"/>
        <v>9.7621033393075791</v>
      </c>
      <c r="N452" s="65"/>
    </row>
    <row r="453" spans="1:14" x14ac:dyDescent="0.25">
      <c r="A453" s="2">
        <v>447</v>
      </c>
      <c r="B453" s="11">
        <f t="shared" ca="1" si="32"/>
        <v>1</v>
      </c>
      <c r="C453" s="26">
        <f t="shared" ca="1" si="33"/>
        <v>0.19395536747567088</v>
      </c>
      <c r="J453">
        <f t="shared" ca="1" si="34"/>
        <v>1</v>
      </c>
      <c r="K453">
        <f t="shared" ca="1" si="35"/>
        <v>0</v>
      </c>
      <c r="L453" s="65">
        <v>447</v>
      </c>
      <c r="M453" s="71">
        <f t="shared" ca="1" si="31"/>
        <v>5.8352671810251122</v>
      </c>
      <c r="N453" s="65"/>
    </row>
    <row r="454" spans="1:14" x14ac:dyDescent="0.25">
      <c r="A454" s="2">
        <v>448</v>
      </c>
      <c r="B454" s="11">
        <f t="shared" ca="1" si="32"/>
        <v>1</v>
      </c>
      <c r="C454" s="26">
        <f t="shared" ca="1" si="33"/>
        <v>0.18403077119293798</v>
      </c>
      <c r="J454">
        <f t="shared" ca="1" si="34"/>
        <v>1</v>
      </c>
      <c r="K454">
        <f t="shared" ca="1" si="35"/>
        <v>0</v>
      </c>
      <c r="L454" s="65">
        <v>448</v>
      </c>
      <c r="M454" s="71">
        <f t="shared" ca="1" si="31"/>
        <v>0.45268864955453625</v>
      </c>
      <c r="N454" s="65"/>
    </row>
    <row r="455" spans="1:14" x14ac:dyDescent="0.25">
      <c r="A455" s="2">
        <v>449</v>
      </c>
      <c r="B455" s="11">
        <f t="shared" ca="1" si="32"/>
        <v>1</v>
      </c>
      <c r="C455" s="26">
        <f t="shared" ca="1" si="33"/>
        <v>0.65872043452285989</v>
      </c>
      <c r="J455">
        <f t="shared" ca="1" si="34"/>
        <v>1</v>
      </c>
      <c r="K455">
        <f t="shared" ca="1" si="35"/>
        <v>0</v>
      </c>
      <c r="L455" s="65">
        <v>449</v>
      </c>
      <c r="M455" s="71">
        <f t="shared" ref="M455:M518" ca="1" si="36">IF(B455&gt;0,-LN(1-(RAND()))/lambda,0)</f>
        <v>0.51491038573896175</v>
      </c>
      <c r="N455" s="65"/>
    </row>
    <row r="456" spans="1:14" x14ac:dyDescent="0.25">
      <c r="A456" s="2">
        <v>450</v>
      </c>
      <c r="B456" s="11">
        <f t="shared" ref="B456:B519" ca="1" si="37">IF(B455&gt;0,IF(C456&lt;pww,1,0),IF(C456&lt;pdw,1,0))</f>
        <v>1</v>
      </c>
      <c r="C456" s="26">
        <f t="shared" ref="C456:C519" ca="1" si="38">RAND()</f>
        <v>0.26121886456128018</v>
      </c>
      <c r="J456">
        <f t="shared" ref="J456:J519" ca="1" si="39">IF(AND(B456,B457),1,0)</f>
        <v>1</v>
      </c>
      <c r="K456">
        <f t="shared" ref="K456:K519" ca="1" si="40">IF(AND(NOT(B456),NOT(B457)),1,0)</f>
        <v>0</v>
      </c>
      <c r="L456" s="65">
        <v>450</v>
      </c>
      <c r="M456" s="71">
        <f t="shared" ca="1" si="36"/>
        <v>6.9773772921665378</v>
      </c>
      <c r="N456" s="65"/>
    </row>
    <row r="457" spans="1:14" x14ac:dyDescent="0.25">
      <c r="A457" s="2">
        <v>451</v>
      </c>
      <c r="B457" s="11">
        <f t="shared" ca="1" si="37"/>
        <v>1</v>
      </c>
      <c r="C457" s="26">
        <f t="shared" ca="1" si="38"/>
        <v>8.0053273107634659E-2</v>
      </c>
      <c r="J457">
        <f t="shared" ca="1" si="39"/>
        <v>0</v>
      </c>
      <c r="K457">
        <f t="shared" ca="1" si="40"/>
        <v>0</v>
      </c>
      <c r="L457" s="65">
        <v>451</v>
      </c>
      <c r="M457" s="71">
        <f t="shared" ca="1" si="36"/>
        <v>5.7075550557446997</v>
      </c>
      <c r="N457" s="65"/>
    </row>
    <row r="458" spans="1:14" x14ac:dyDescent="0.25">
      <c r="A458" s="2">
        <v>452</v>
      </c>
      <c r="B458" s="11">
        <f t="shared" ca="1" si="37"/>
        <v>0</v>
      </c>
      <c r="C458" s="26">
        <f t="shared" ca="1" si="38"/>
        <v>0.82023341998206079</v>
      </c>
      <c r="J458">
        <f t="shared" ca="1" si="39"/>
        <v>0</v>
      </c>
      <c r="K458">
        <f t="shared" ca="1" si="40"/>
        <v>1</v>
      </c>
      <c r="L458" s="65">
        <v>452</v>
      </c>
      <c r="M458" s="71">
        <f t="shared" ca="1" si="36"/>
        <v>0</v>
      </c>
      <c r="N458" s="65"/>
    </row>
    <row r="459" spans="1:14" x14ac:dyDescent="0.25">
      <c r="A459" s="2">
        <v>453</v>
      </c>
      <c r="B459" s="11">
        <f t="shared" ca="1" si="37"/>
        <v>0</v>
      </c>
      <c r="C459" s="26">
        <f t="shared" ca="1" si="38"/>
        <v>0.54812604467445825</v>
      </c>
      <c r="J459">
        <f t="shared" ca="1" si="39"/>
        <v>0</v>
      </c>
      <c r="K459">
        <f t="shared" ca="1" si="40"/>
        <v>1</v>
      </c>
      <c r="L459" s="65">
        <v>453</v>
      </c>
      <c r="M459" s="71">
        <f t="shared" ca="1" si="36"/>
        <v>0</v>
      </c>
      <c r="N459" s="65"/>
    </row>
    <row r="460" spans="1:14" x14ac:dyDescent="0.25">
      <c r="A460" s="2">
        <v>454</v>
      </c>
      <c r="B460" s="11">
        <f t="shared" ca="1" si="37"/>
        <v>0</v>
      </c>
      <c r="C460" s="26">
        <f t="shared" ca="1" si="38"/>
        <v>0.52389028581821162</v>
      </c>
      <c r="J460">
        <f t="shared" ca="1" si="39"/>
        <v>0</v>
      </c>
      <c r="K460">
        <f t="shared" ca="1" si="40"/>
        <v>0</v>
      </c>
      <c r="L460" s="65">
        <v>454</v>
      </c>
      <c r="M460" s="71">
        <f t="shared" ca="1" si="36"/>
        <v>0</v>
      </c>
      <c r="N460" s="65"/>
    </row>
    <row r="461" spans="1:14" x14ac:dyDescent="0.25">
      <c r="A461" s="2">
        <v>455</v>
      </c>
      <c r="B461" s="11">
        <f t="shared" ca="1" si="37"/>
        <v>1</v>
      </c>
      <c r="C461" s="26">
        <f t="shared" ca="1" si="38"/>
        <v>0.15414230320042532</v>
      </c>
      <c r="J461">
        <f t="shared" ca="1" si="39"/>
        <v>1</v>
      </c>
      <c r="K461">
        <f t="shared" ca="1" si="40"/>
        <v>0</v>
      </c>
      <c r="L461" s="65">
        <v>455</v>
      </c>
      <c r="M461" s="71">
        <f t="shared" ca="1" si="36"/>
        <v>0.25372257101343809</v>
      </c>
      <c r="N461" s="65"/>
    </row>
    <row r="462" spans="1:14" x14ac:dyDescent="0.25">
      <c r="A462" s="2">
        <v>456</v>
      </c>
      <c r="B462" s="11">
        <f t="shared" ca="1" si="37"/>
        <v>1</v>
      </c>
      <c r="C462" s="26">
        <f t="shared" ca="1" si="38"/>
        <v>0.10338964688994523</v>
      </c>
      <c r="J462">
        <f t="shared" ca="1" si="39"/>
        <v>0</v>
      </c>
      <c r="K462">
        <f t="shared" ca="1" si="40"/>
        <v>0</v>
      </c>
      <c r="L462" s="65">
        <v>456</v>
      </c>
      <c r="M462" s="71">
        <f t="shared" ca="1" si="36"/>
        <v>0.59600529494466659</v>
      </c>
      <c r="N462" s="65"/>
    </row>
    <row r="463" spans="1:14" x14ac:dyDescent="0.25">
      <c r="A463" s="2">
        <v>457</v>
      </c>
      <c r="B463" s="11">
        <f t="shared" ca="1" si="37"/>
        <v>0</v>
      </c>
      <c r="C463" s="26">
        <f t="shared" ca="1" si="38"/>
        <v>0.95950126346064302</v>
      </c>
      <c r="J463">
        <f t="shared" ca="1" si="39"/>
        <v>0</v>
      </c>
      <c r="K463">
        <f t="shared" ca="1" si="40"/>
        <v>1</v>
      </c>
      <c r="L463" s="65">
        <v>457</v>
      </c>
      <c r="M463" s="71">
        <f t="shared" ca="1" si="36"/>
        <v>0</v>
      </c>
      <c r="N463" s="65"/>
    </row>
    <row r="464" spans="1:14" x14ac:dyDescent="0.25">
      <c r="A464" s="2">
        <v>458</v>
      </c>
      <c r="B464" s="11">
        <f t="shared" ca="1" si="37"/>
        <v>0</v>
      </c>
      <c r="C464" s="26">
        <f t="shared" ca="1" si="38"/>
        <v>0.892593217286902</v>
      </c>
      <c r="J464">
        <f t="shared" ca="1" si="39"/>
        <v>0</v>
      </c>
      <c r="K464">
        <f t="shared" ca="1" si="40"/>
        <v>1</v>
      </c>
      <c r="L464" s="65">
        <v>458</v>
      </c>
      <c r="M464" s="71">
        <f t="shared" ca="1" si="36"/>
        <v>0</v>
      </c>
      <c r="N464" s="65"/>
    </row>
    <row r="465" spans="1:14" x14ac:dyDescent="0.25">
      <c r="A465" s="2">
        <v>459</v>
      </c>
      <c r="B465" s="11">
        <f t="shared" ca="1" si="37"/>
        <v>0</v>
      </c>
      <c r="C465" s="26">
        <f t="shared" ca="1" si="38"/>
        <v>0.99282618164581093</v>
      </c>
      <c r="J465">
        <f t="shared" ca="1" si="39"/>
        <v>0</v>
      </c>
      <c r="K465">
        <f t="shared" ca="1" si="40"/>
        <v>1</v>
      </c>
      <c r="L465" s="65">
        <v>459</v>
      </c>
      <c r="M465" s="71">
        <f t="shared" ca="1" si="36"/>
        <v>0</v>
      </c>
      <c r="N465" s="65"/>
    </row>
    <row r="466" spans="1:14" x14ac:dyDescent="0.25">
      <c r="A466" s="2">
        <v>460</v>
      </c>
      <c r="B466" s="11">
        <f t="shared" ca="1" si="37"/>
        <v>0</v>
      </c>
      <c r="C466" s="26">
        <f t="shared" ca="1" si="38"/>
        <v>0.58026212241475872</v>
      </c>
      <c r="J466">
        <f t="shared" ca="1" si="39"/>
        <v>0</v>
      </c>
      <c r="K466">
        <f t="shared" ca="1" si="40"/>
        <v>1</v>
      </c>
      <c r="L466" s="65">
        <v>460</v>
      </c>
      <c r="M466" s="71">
        <f t="shared" ca="1" si="36"/>
        <v>0</v>
      </c>
      <c r="N466" s="65"/>
    </row>
    <row r="467" spans="1:14" x14ac:dyDescent="0.25">
      <c r="A467" s="2">
        <v>461</v>
      </c>
      <c r="B467" s="11">
        <f t="shared" ca="1" si="37"/>
        <v>0</v>
      </c>
      <c r="C467" s="26">
        <f t="shared" ca="1" si="38"/>
        <v>0.93610259201385093</v>
      </c>
      <c r="J467">
        <f t="shared" ca="1" si="39"/>
        <v>0</v>
      </c>
      <c r="K467">
        <f t="shared" ca="1" si="40"/>
        <v>1</v>
      </c>
      <c r="L467" s="65">
        <v>461</v>
      </c>
      <c r="M467" s="71">
        <f t="shared" ca="1" si="36"/>
        <v>0</v>
      </c>
      <c r="N467" s="65"/>
    </row>
    <row r="468" spans="1:14" x14ac:dyDescent="0.25">
      <c r="A468" s="2">
        <v>462</v>
      </c>
      <c r="B468" s="11">
        <f t="shared" ca="1" si="37"/>
        <v>0</v>
      </c>
      <c r="C468" s="26">
        <f t="shared" ca="1" si="38"/>
        <v>0.98397324650192708</v>
      </c>
      <c r="J468">
        <f t="shared" ca="1" si="39"/>
        <v>0</v>
      </c>
      <c r="K468">
        <f t="shared" ca="1" si="40"/>
        <v>1</v>
      </c>
      <c r="L468" s="65">
        <v>462</v>
      </c>
      <c r="M468" s="71">
        <f t="shared" ca="1" si="36"/>
        <v>0</v>
      </c>
      <c r="N468" s="65"/>
    </row>
    <row r="469" spans="1:14" x14ac:dyDescent="0.25">
      <c r="A469" s="2">
        <v>463</v>
      </c>
      <c r="B469" s="11">
        <f t="shared" ca="1" si="37"/>
        <v>0</v>
      </c>
      <c r="C469" s="26">
        <f t="shared" ca="1" si="38"/>
        <v>0.6863220364452477</v>
      </c>
      <c r="J469">
        <f t="shared" ca="1" si="39"/>
        <v>0</v>
      </c>
      <c r="K469">
        <f t="shared" ca="1" si="40"/>
        <v>0</v>
      </c>
      <c r="L469" s="65">
        <v>463</v>
      </c>
      <c r="M469" s="71">
        <f t="shared" ca="1" si="36"/>
        <v>0</v>
      </c>
      <c r="N469" s="65"/>
    </row>
    <row r="470" spans="1:14" x14ac:dyDescent="0.25">
      <c r="A470" s="2">
        <v>464</v>
      </c>
      <c r="B470" s="11">
        <f t="shared" ca="1" si="37"/>
        <v>1</v>
      </c>
      <c r="C470" s="26">
        <f t="shared" ca="1" si="38"/>
        <v>7.4859903838311648E-2</v>
      </c>
      <c r="J470">
        <f t="shared" ca="1" si="39"/>
        <v>1</v>
      </c>
      <c r="K470">
        <f t="shared" ca="1" si="40"/>
        <v>0</v>
      </c>
      <c r="L470" s="65">
        <v>464</v>
      </c>
      <c r="M470" s="71">
        <f t="shared" ca="1" si="36"/>
        <v>0.23414817971401877</v>
      </c>
      <c r="N470" s="65"/>
    </row>
    <row r="471" spans="1:14" x14ac:dyDescent="0.25">
      <c r="A471" s="2">
        <v>465</v>
      </c>
      <c r="B471" s="11">
        <f t="shared" ca="1" si="37"/>
        <v>1</v>
      </c>
      <c r="C471" s="26">
        <f t="shared" ca="1" si="38"/>
        <v>0.61424275271004203</v>
      </c>
      <c r="J471">
        <f t="shared" ca="1" si="39"/>
        <v>1</v>
      </c>
      <c r="K471">
        <f t="shared" ca="1" si="40"/>
        <v>0</v>
      </c>
      <c r="L471" s="65">
        <v>465</v>
      </c>
      <c r="M471" s="71">
        <f t="shared" ca="1" si="36"/>
        <v>4.6605912615614509</v>
      </c>
      <c r="N471" s="65"/>
    </row>
    <row r="472" spans="1:14" x14ac:dyDescent="0.25">
      <c r="A472" s="2">
        <v>466</v>
      </c>
      <c r="B472" s="11">
        <f t="shared" ca="1" si="37"/>
        <v>1</v>
      </c>
      <c r="C472" s="26">
        <f t="shared" ca="1" si="38"/>
        <v>0.20910688528202881</v>
      </c>
      <c r="J472">
        <f t="shared" ca="1" si="39"/>
        <v>1</v>
      </c>
      <c r="K472">
        <f t="shared" ca="1" si="40"/>
        <v>0</v>
      </c>
      <c r="L472" s="65">
        <v>466</v>
      </c>
      <c r="M472" s="71">
        <f t="shared" ca="1" si="36"/>
        <v>3.0145456659259455</v>
      </c>
      <c r="N472" s="65"/>
    </row>
    <row r="473" spans="1:14" x14ac:dyDescent="0.25">
      <c r="A473" s="2">
        <v>467</v>
      </c>
      <c r="B473" s="11">
        <f t="shared" ca="1" si="37"/>
        <v>1</v>
      </c>
      <c r="C473" s="26">
        <f t="shared" ca="1" si="38"/>
        <v>0.71089025402890826</v>
      </c>
      <c r="J473">
        <f t="shared" ca="1" si="39"/>
        <v>1</v>
      </c>
      <c r="K473">
        <f t="shared" ca="1" si="40"/>
        <v>0</v>
      </c>
      <c r="L473" s="65">
        <v>467</v>
      </c>
      <c r="M473" s="71">
        <f t="shared" ca="1" si="36"/>
        <v>4.0874479536221102</v>
      </c>
      <c r="N473" s="65"/>
    </row>
    <row r="474" spans="1:14" x14ac:dyDescent="0.25">
      <c r="A474" s="2">
        <v>468</v>
      </c>
      <c r="B474" s="11">
        <f t="shared" ca="1" si="37"/>
        <v>1</v>
      </c>
      <c r="C474" s="26">
        <f t="shared" ca="1" si="38"/>
        <v>0.25210396985941264</v>
      </c>
      <c r="J474">
        <f t="shared" ca="1" si="39"/>
        <v>1</v>
      </c>
      <c r="K474">
        <f t="shared" ca="1" si="40"/>
        <v>0</v>
      </c>
      <c r="L474" s="65">
        <v>468</v>
      </c>
      <c r="M474" s="71">
        <f t="shared" ca="1" si="36"/>
        <v>5.8833204325466344</v>
      </c>
      <c r="N474" s="65"/>
    </row>
    <row r="475" spans="1:14" x14ac:dyDescent="0.25">
      <c r="A475" s="2">
        <v>469</v>
      </c>
      <c r="B475" s="11">
        <f t="shared" ca="1" si="37"/>
        <v>1</v>
      </c>
      <c r="C475" s="26">
        <f t="shared" ca="1" si="38"/>
        <v>0.28820648955664763</v>
      </c>
      <c r="J475">
        <f t="shared" ca="1" si="39"/>
        <v>1</v>
      </c>
      <c r="K475">
        <f t="shared" ca="1" si="40"/>
        <v>0</v>
      </c>
      <c r="L475" s="65">
        <v>469</v>
      </c>
      <c r="M475" s="71">
        <f t="shared" ca="1" si="36"/>
        <v>1.0678268153349511</v>
      </c>
      <c r="N475" s="65"/>
    </row>
    <row r="476" spans="1:14" x14ac:dyDescent="0.25">
      <c r="A476" s="2">
        <v>470</v>
      </c>
      <c r="B476" s="11">
        <f t="shared" ca="1" si="37"/>
        <v>1</v>
      </c>
      <c r="C476" s="26">
        <f t="shared" ca="1" si="38"/>
        <v>0.49370839590530002</v>
      </c>
      <c r="J476">
        <f t="shared" ca="1" si="39"/>
        <v>1</v>
      </c>
      <c r="K476">
        <f t="shared" ca="1" si="40"/>
        <v>0</v>
      </c>
      <c r="L476" s="65">
        <v>470</v>
      </c>
      <c r="M476" s="71">
        <f t="shared" ca="1" si="36"/>
        <v>6.6787269397538722</v>
      </c>
      <c r="N476" s="65"/>
    </row>
    <row r="477" spans="1:14" x14ac:dyDescent="0.25">
      <c r="A477" s="2">
        <v>471</v>
      </c>
      <c r="B477" s="11">
        <f t="shared" ca="1" si="37"/>
        <v>1</v>
      </c>
      <c r="C477" s="26">
        <f t="shared" ca="1" si="38"/>
        <v>0.39060275261820898</v>
      </c>
      <c r="J477">
        <f t="shared" ca="1" si="39"/>
        <v>1</v>
      </c>
      <c r="K477">
        <f t="shared" ca="1" si="40"/>
        <v>0</v>
      </c>
      <c r="L477" s="65">
        <v>471</v>
      </c>
      <c r="M477" s="71">
        <f t="shared" ca="1" si="36"/>
        <v>0.55496322766228456</v>
      </c>
      <c r="N477" s="65"/>
    </row>
    <row r="478" spans="1:14" x14ac:dyDescent="0.25">
      <c r="A478" s="2">
        <v>472</v>
      </c>
      <c r="B478" s="11">
        <f t="shared" ca="1" si="37"/>
        <v>1</v>
      </c>
      <c r="C478" s="26">
        <f t="shared" ca="1" si="38"/>
        <v>0.5344224612818067</v>
      </c>
      <c r="J478">
        <f t="shared" ca="1" si="39"/>
        <v>1</v>
      </c>
      <c r="K478">
        <f t="shared" ca="1" si="40"/>
        <v>0</v>
      </c>
      <c r="L478" s="65">
        <v>472</v>
      </c>
      <c r="M478" s="71">
        <f t="shared" ca="1" si="36"/>
        <v>0.31693865271327742</v>
      </c>
      <c r="N478" s="65"/>
    </row>
    <row r="479" spans="1:14" x14ac:dyDescent="0.25">
      <c r="A479" s="2">
        <v>473</v>
      </c>
      <c r="B479" s="11">
        <f t="shared" ca="1" si="37"/>
        <v>1</v>
      </c>
      <c r="C479" s="26">
        <f t="shared" ca="1" si="38"/>
        <v>0.1358385328404903</v>
      </c>
      <c r="J479">
        <f t="shared" ca="1" si="39"/>
        <v>0</v>
      </c>
      <c r="K479">
        <f t="shared" ca="1" si="40"/>
        <v>0</v>
      </c>
      <c r="L479" s="65">
        <v>473</v>
      </c>
      <c r="M479" s="71">
        <f t="shared" ca="1" si="36"/>
        <v>0.92447681911967639</v>
      </c>
      <c r="N479" s="65"/>
    </row>
    <row r="480" spans="1:14" x14ac:dyDescent="0.25">
      <c r="A480" s="2">
        <v>474</v>
      </c>
      <c r="B480" s="11">
        <f t="shared" ca="1" si="37"/>
        <v>0</v>
      </c>
      <c r="C480" s="26">
        <f t="shared" ca="1" si="38"/>
        <v>0.78438576472994481</v>
      </c>
      <c r="J480">
        <f t="shared" ca="1" si="39"/>
        <v>0</v>
      </c>
      <c r="K480">
        <f t="shared" ca="1" si="40"/>
        <v>0</v>
      </c>
      <c r="L480" s="65">
        <v>474</v>
      </c>
      <c r="M480" s="71">
        <f t="shared" ca="1" si="36"/>
        <v>0</v>
      </c>
      <c r="N480" s="65"/>
    </row>
    <row r="481" spans="1:14" x14ac:dyDescent="0.25">
      <c r="A481" s="2">
        <v>475</v>
      </c>
      <c r="B481" s="11">
        <f t="shared" ca="1" si="37"/>
        <v>1</v>
      </c>
      <c r="C481" s="26">
        <f t="shared" ca="1" si="38"/>
        <v>0.23999294483394273</v>
      </c>
      <c r="J481">
        <f t="shared" ca="1" si="39"/>
        <v>1</v>
      </c>
      <c r="K481">
        <f t="shared" ca="1" si="40"/>
        <v>0</v>
      </c>
      <c r="L481" s="65">
        <v>475</v>
      </c>
      <c r="M481" s="71">
        <f t="shared" ca="1" si="36"/>
        <v>2.0249977662380054</v>
      </c>
      <c r="N481" s="65"/>
    </row>
    <row r="482" spans="1:14" x14ac:dyDescent="0.25">
      <c r="A482" s="2">
        <v>476</v>
      </c>
      <c r="B482" s="11">
        <f t="shared" ca="1" si="37"/>
        <v>1</v>
      </c>
      <c r="C482" s="26">
        <f t="shared" ca="1" si="38"/>
        <v>0.12157660218693955</v>
      </c>
      <c r="J482">
        <f t="shared" ca="1" si="39"/>
        <v>0</v>
      </c>
      <c r="K482">
        <f t="shared" ca="1" si="40"/>
        <v>0</v>
      </c>
      <c r="L482" s="65">
        <v>476</v>
      </c>
      <c r="M482" s="71">
        <f t="shared" ca="1" si="36"/>
        <v>0.20312274299280689</v>
      </c>
      <c r="N482" s="65"/>
    </row>
    <row r="483" spans="1:14" x14ac:dyDescent="0.25">
      <c r="A483" s="2">
        <v>477</v>
      </c>
      <c r="B483" s="11">
        <f t="shared" ca="1" si="37"/>
        <v>0</v>
      </c>
      <c r="C483" s="26">
        <f t="shared" ca="1" si="38"/>
        <v>0.82163627818667995</v>
      </c>
      <c r="J483">
        <f t="shared" ca="1" si="39"/>
        <v>0</v>
      </c>
      <c r="K483">
        <f t="shared" ca="1" si="40"/>
        <v>1</v>
      </c>
      <c r="L483" s="65">
        <v>477</v>
      </c>
      <c r="M483" s="71">
        <f t="shared" ca="1" si="36"/>
        <v>0</v>
      </c>
      <c r="N483" s="65"/>
    </row>
    <row r="484" spans="1:14" x14ac:dyDescent="0.25">
      <c r="A484" s="2">
        <v>478</v>
      </c>
      <c r="B484" s="11">
        <f t="shared" ca="1" si="37"/>
        <v>0</v>
      </c>
      <c r="C484" s="26">
        <f t="shared" ca="1" si="38"/>
        <v>0.97112951277954374</v>
      </c>
      <c r="J484">
        <f t="shared" ca="1" si="39"/>
        <v>0</v>
      </c>
      <c r="K484">
        <f t="shared" ca="1" si="40"/>
        <v>0</v>
      </c>
      <c r="L484" s="65">
        <v>478</v>
      </c>
      <c r="M484" s="71">
        <f t="shared" ca="1" si="36"/>
        <v>0</v>
      </c>
      <c r="N484" s="65"/>
    </row>
    <row r="485" spans="1:14" x14ac:dyDescent="0.25">
      <c r="A485" s="2">
        <v>479</v>
      </c>
      <c r="B485" s="11">
        <f t="shared" ca="1" si="37"/>
        <v>1</v>
      </c>
      <c r="C485" s="26">
        <f t="shared" ca="1" si="38"/>
        <v>0.23921675556380584</v>
      </c>
      <c r="J485">
        <f t="shared" ca="1" si="39"/>
        <v>0</v>
      </c>
      <c r="K485">
        <f t="shared" ca="1" si="40"/>
        <v>0</v>
      </c>
      <c r="L485" s="65">
        <v>479</v>
      </c>
      <c r="M485" s="71">
        <f t="shared" ca="1" si="36"/>
        <v>2.3920025799157068</v>
      </c>
      <c r="N485" s="65"/>
    </row>
    <row r="486" spans="1:14" x14ac:dyDescent="0.25">
      <c r="A486" s="2">
        <v>480</v>
      </c>
      <c r="B486" s="11">
        <f t="shared" ca="1" si="37"/>
        <v>0</v>
      </c>
      <c r="C486" s="26">
        <f t="shared" ca="1" si="38"/>
        <v>0.92105266833472987</v>
      </c>
      <c r="J486">
        <f t="shared" ca="1" si="39"/>
        <v>0</v>
      </c>
      <c r="K486">
        <f t="shared" ca="1" si="40"/>
        <v>1</v>
      </c>
      <c r="L486" s="65">
        <v>480</v>
      </c>
      <c r="M486" s="71">
        <f t="shared" ca="1" si="36"/>
        <v>0</v>
      </c>
      <c r="N486" s="65"/>
    </row>
    <row r="487" spans="1:14" x14ac:dyDescent="0.25">
      <c r="A487" s="2">
        <v>481</v>
      </c>
      <c r="B487" s="11">
        <f t="shared" ca="1" si="37"/>
        <v>0</v>
      </c>
      <c r="C487" s="26">
        <f t="shared" ca="1" si="38"/>
        <v>0.714870820637869</v>
      </c>
      <c r="J487">
        <f t="shared" ca="1" si="39"/>
        <v>0</v>
      </c>
      <c r="K487">
        <f t="shared" ca="1" si="40"/>
        <v>1</v>
      </c>
      <c r="L487" s="65">
        <v>481</v>
      </c>
      <c r="M487" s="71">
        <f t="shared" ca="1" si="36"/>
        <v>0</v>
      </c>
      <c r="N487" s="65"/>
    </row>
    <row r="488" spans="1:14" x14ac:dyDescent="0.25">
      <c r="A488" s="2">
        <v>482</v>
      </c>
      <c r="B488" s="11">
        <f t="shared" ca="1" si="37"/>
        <v>0</v>
      </c>
      <c r="C488" s="26">
        <f t="shared" ca="1" si="38"/>
        <v>0.80324919279971885</v>
      </c>
      <c r="J488">
        <f t="shared" ca="1" si="39"/>
        <v>0</v>
      </c>
      <c r="K488">
        <f t="shared" ca="1" si="40"/>
        <v>1</v>
      </c>
      <c r="L488" s="65">
        <v>482</v>
      </c>
      <c r="M488" s="71">
        <f t="shared" ca="1" si="36"/>
        <v>0</v>
      </c>
      <c r="N488" s="65"/>
    </row>
    <row r="489" spans="1:14" x14ac:dyDescent="0.25">
      <c r="A489" s="2">
        <v>483</v>
      </c>
      <c r="B489" s="11">
        <f t="shared" ca="1" si="37"/>
        <v>0</v>
      </c>
      <c r="C489" s="26">
        <f t="shared" ca="1" si="38"/>
        <v>0.43528298548255684</v>
      </c>
      <c r="J489">
        <f t="shared" ca="1" si="39"/>
        <v>0</v>
      </c>
      <c r="K489">
        <f t="shared" ca="1" si="40"/>
        <v>1</v>
      </c>
      <c r="L489" s="65">
        <v>483</v>
      </c>
      <c r="M489" s="71">
        <f t="shared" ca="1" si="36"/>
        <v>0</v>
      </c>
      <c r="N489" s="65"/>
    </row>
    <row r="490" spans="1:14" x14ac:dyDescent="0.25">
      <c r="A490" s="2">
        <v>484</v>
      </c>
      <c r="B490" s="11">
        <f t="shared" ca="1" si="37"/>
        <v>0</v>
      </c>
      <c r="C490" s="26">
        <f t="shared" ca="1" si="38"/>
        <v>0.77841833061726973</v>
      </c>
      <c r="J490">
        <f t="shared" ca="1" si="39"/>
        <v>0</v>
      </c>
      <c r="K490">
        <f t="shared" ca="1" si="40"/>
        <v>1</v>
      </c>
      <c r="L490" s="65">
        <v>484</v>
      </c>
      <c r="M490" s="71">
        <f t="shared" ca="1" si="36"/>
        <v>0</v>
      </c>
      <c r="N490" s="65"/>
    </row>
    <row r="491" spans="1:14" x14ac:dyDescent="0.25">
      <c r="A491" s="2">
        <v>485</v>
      </c>
      <c r="B491" s="11">
        <f t="shared" ca="1" si="37"/>
        <v>0</v>
      </c>
      <c r="C491" s="26">
        <f t="shared" ca="1" si="38"/>
        <v>0.43487039465260457</v>
      </c>
      <c r="J491">
        <f t="shared" ca="1" si="39"/>
        <v>0</v>
      </c>
      <c r="K491">
        <f t="shared" ca="1" si="40"/>
        <v>1</v>
      </c>
      <c r="L491" s="65">
        <v>485</v>
      </c>
      <c r="M491" s="71">
        <f t="shared" ca="1" si="36"/>
        <v>0</v>
      </c>
      <c r="N491" s="65"/>
    </row>
    <row r="492" spans="1:14" x14ac:dyDescent="0.25">
      <c r="A492" s="2">
        <v>486</v>
      </c>
      <c r="B492" s="11">
        <f t="shared" ca="1" si="37"/>
        <v>0</v>
      </c>
      <c r="C492" s="26">
        <f t="shared" ca="1" si="38"/>
        <v>0.40765930771901782</v>
      </c>
      <c r="J492">
        <f t="shared" ca="1" si="39"/>
        <v>0</v>
      </c>
      <c r="K492">
        <f t="shared" ca="1" si="40"/>
        <v>0</v>
      </c>
      <c r="L492" s="65">
        <v>486</v>
      </c>
      <c r="M492" s="71">
        <f t="shared" ca="1" si="36"/>
        <v>0</v>
      </c>
      <c r="N492" s="65"/>
    </row>
    <row r="493" spans="1:14" x14ac:dyDescent="0.25">
      <c r="A493" s="2">
        <v>487</v>
      </c>
      <c r="B493" s="11">
        <f t="shared" ca="1" si="37"/>
        <v>1</v>
      </c>
      <c r="C493" s="26">
        <f t="shared" ca="1" si="38"/>
        <v>0.35089487585820922</v>
      </c>
      <c r="J493">
        <f t="shared" ca="1" si="39"/>
        <v>0</v>
      </c>
      <c r="K493">
        <f t="shared" ca="1" si="40"/>
        <v>0</v>
      </c>
      <c r="L493" s="65">
        <v>487</v>
      </c>
      <c r="M493" s="71">
        <f t="shared" ca="1" si="36"/>
        <v>2.6720391798303313</v>
      </c>
      <c r="N493" s="65"/>
    </row>
    <row r="494" spans="1:14" x14ac:dyDescent="0.25">
      <c r="A494" s="2">
        <v>488</v>
      </c>
      <c r="B494" s="11">
        <f t="shared" ca="1" si="37"/>
        <v>0</v>
      </c>
      <c r="C494" s="26">
        <f t="shared" ca="1" si="38"/>
        <v>0.83545782524087531</v>
      </c>
      <c r="J494">
        <f t="shared" ca="1" si="39"/>
        <v>0</v>
      </c>
      <c r="K494">
        <f t="shared" ca="1" si="40"/>
        <v>1</v>
      </c>
      <c r="L494" s="65">
        <v>488</v>
      </c>
      <c r="M494" s="71">
        <f t="shared" ca="1" si="36"/>
        <v>0</v>
      </c>
      <c r="N494" s="65"/>
    </row>
    <row r="495" spans="1:14" x14ac:dyDescent="0.25">
      <c r="A495" s="2">
        <v>489</v>
      </c>
      <c r="B495" s="11">
        <f t="shared" ca="1" si="37"/>
        <v>0</v>
      </c>
      <c r="C495" s="26">
        <f t="shared" ca="1" si="38"/>
        <v>0.74515523670416428</v>
      </c>
      <c r="J495">
        <f t="shared" ca="1" si="39"/>
        <v>0</v>
      </c>
      <c r="K495">
        <f t="shared" ca="1" si="40"/>
        <v>1</v>
      </c>
      <c r="L495" s="65">
        <v>489</v>
      </c>
      <c r="M495" s="71">
        <f t="shared" ca="1" si="36"/>
        <v>0</v>
      </c>
      <c r="N495" s="65"/>
    </row>
    <row r="496" spans="1:14" x14ac:dyDescent="0.25">
      <c r="A496" s="2">
        <v>490</v>
      </c>
      <c r="B496" s="11">
        <f t="shared" ca="1" si="37"/>
        <v>0</v>
      </c>
      <c r="C496" s="26">
        <f t="shared" ca="1" si="38"/>
        <v>0.99368251860188661</v>
      </c>
      <c r="J496">
        <f t="shared" ca="1" si="39"/>
        <v>0</v>
      </c>
      <c r="K496">
        <f t="shared" ca="1" si="40"/>
        <v>0</v>
      </c>
      <c r="L496" s="65">
        <v>490</v>
      </c>
      <c r="M496" s="71">
        <f t="shared" ca="1" si="36"/>
        <v>0</v>
      </c>
      <c r="N496" s="65"/>
    </row>
    <row r="497" spans="1:14" x14ac:dyDescent="0.25">
      <c r="A497" s="2">
        <v>491</v>
      </c>
      <c r="B497" s="11">
        <f t="shared" ca="1" si="37"/>
        <v>1</v>
      </c>
      <c r="C497" s="26">
        <f t="shared" ca="1" si="38"/>
        <v>7.9681489262277139E-2</v>
      </c>
      <c r="J497">
        <f t="shared" ca="1" si="39"/>
        <v>1</v>
      </c>
      <c r="K497">
        <f t="shared" ca="1" si="40"/>
        <v>0</v>
      </c>
      <c r="L497" s="65">
        <v>491</v>
      </c>
      <c r="M497" s="71">
        <f t="shared" ca="1" si="36"/>
        <v>7.166031788847925E-2</v>
      </c>
      <c r="N497" s="65"/>
    </row>
    <row r="498" spans="1:14" x14ac:dyDescent="0.25">
      <c r="A498" s="2">
        <v>492</v>
      </c>
      <c r="B498" s="11">
        <f t="shared" ca="1" si="37"/>
        <v>1</v>
      </c>
      <c r="C498" s="26">
        <f t="shared" ca="1" si="38"/>
        <v>0.57789510732120808</v>
      </c>
      <c r="J498">
        <f t="shared" ca="1" si="39"/>
        <v>1</v>
      </c>
      <c r="K498">
        <f t="shared" ca="1" si="40"/>
        <v>0</v>
      </c>
      <c r="L498" s="65">
        <v>492</v>
      </c>
      <c r="M498" s="71">
        <f t="shared" ca="1" si="36"/>
        <v>0.16927576240676245</v>
      </c>
      <c r="N498" s="65"/>
    </row>
    <row r="499" spans="1:14" x14ac:dyDescent="0.25">
      <c r="A499" s="2">
        <v>493</v>
      </c>
      <c r="B499" s="11">
        <f t="shared" ca="1" si="37"/>
        <v>1</v>
      </c>
      <c r="C499" s="26">
        <f t="shared" ca="1" si="38"/>
        <v>0.52879074796822034</v>
      </c>
      <c r="J499">
        <f t="shared" ca="1" si="39"/>
        <v>1</v>
      </c>
      <c r="K499">
        <f t="shared" ca="1" si="40"/>
        <v>0</v>
      </c>
      <c r="L499" s="65">
        <v>493</v>
      </c>
      <c r="M499" s="71">
        <f t="shared" ca="1" si="36"/>
        <v>7.5150648811038643</v>
      </c>
      <c r="N499" s="65"/>
    </row>
    <row r="500" spans="1:14" x14ac:dyDescent="0.25">
      <c r="A500" s="2">
        <v>494</v>
      </c>
      <c r="B500" s="11">
        <f t="shared" ca="1" si="37"/>
        <v>1</v>
      </c>
      <c r="C500" s="26">
        <f t="shared" ca="1" si="38"/>
        <v>0.20053743655508671</v>
      </c>
      <c r="J500">
        <f t="shared" ca="1" si="39"/>
        <v>1</v>
      </c>
      <c r="K500">
        <f t="shared" ca="1" si="40"/>
        <v>0</v>
      </c>
      <c r="L500" s="65">
        <v>494</v>
      </c>
      <c r="M500" s="71">
        <f t="shared" ca="1" si="36"/>
        <v>1.7022634126544578</v>
      </c>
      <c r="N500" s="65"/>
    </row>
    <row r="501" spans="1:14" x14ac:dyDescent="0.25">
      <c r="A501" s="2">
        <v>495</v>
      </c>
      <c r="B501" s="11">
        <f t="shared" ca="1" si="37"/>
        <v>1</v>
      </c>
      <c r="C501" s="26">
        <f t="shared" ca="1" si="38"/>
        <v>2.6088733382351403E-2</v>
      </c>
      <c r="J501">
        <f t="shared" ca="1" si="39"/>
        <v>1</v>
      </c>
      <c r="K501">
        <f t="shared" ca="1" si="40"/>
        <v>0</v>
      </c>
      <c r="L501" s="65">
        <v>495</v>
      </c>
      <c r="M501" s="71">
        <f t="shared" ca="1" si="36"/>
        <v>4.7283834643934295</v>
      </c>
      <c r="N501" s="65"/>
    </row>
    <row r="502" spans="1:14" x14ac:dyDescent="0.25">
      <c r="A502" s="2">
        <v>496</v>
      </c>
      <c r="B502" s="11">
        <f t="shared" ca="1" si="37"/>
        <v>1</v>
      </c>
      <c r="C502" s="26">
        <f t="shared" ca="1" si="38"/>
        <v>0.23361079708019838</v>
      </c>
      <c r="J502">
        <f t="shared" ca="1" si="39"/>
        <v>1</v>
      </c>
      <c r="K502">
        <f t="shared" ca="1" si="40"/>
        <v>0</v>
      </c>
      <c r="L502" s="65">
        <v>496</v>
      </c>
      <c r="M502" s="71">
        <f t="shared" ca="1" si="36"/>
        <v>0.50579754062828686</v>
      </c>
      <c r="N502" s="65"/>
    </row>
    <row r="503" spans="1:14" x14ac:dyDescent="0.25">
      <c r="A503" s="2">
        <v>497</v>
      </c>
      <c r="B503" s="11">
        <f t="shared" ca="1" si="37"/>
        <v>1</v>
      </c>
      <c r="C503" s="26">
        <f t="shared" ca="1" si="38"/>
        <v>0.20270767610318696</v>
      </c>
      <c r="J503">
        <f t="shared" ca="1" si="39"/>
        <v>1</v>
      </c>
      <c r="K503">
        <f t="shared" ca="1" si="40"/>
        <v>0</v>
      </c>
      <c r="L503" s="65">
        <v>497</v>
      </c>
      <c r="M503" s="71">
        <f t="shared" ca="1" si="36"/>
        <v>2.9104696208714542</v>
      </c>
      <c r="N503" s="65"/>
    </row>
    <row r="504" spans="1:14" x14ac:dyDescent="0.25">
      <c r="A504" s="2">
        <v>498</v>
      </c>
      <c r="B504" s="11">
        <f t="shared" ca="1" si="37"/>
        <v>1</v>
      </c>
      <c r="C504" s="26">
        <f t="shared" ca="1" si="38"/>
        <v>0.68443724008959139</v>
      </c>
      <c r="J504">
        <f t="shared" ca="1" si="39"/>
        <v>1</v>
      </c>
      <c r="K504">
        <f t="shared" ca="1" si="40"/>
        <v>0</v>
      </c>
      <c r="L504" s="65">
        <v>498</v>
      </c>
      <c r="M504" s="71">
        <f t="shared" ca="1" si="36"/>
        <v>8.5343594344045641</v>
      </c>
      <c r="N504" s="65"/>
    </row>
    <row r="505" spans="1:14" x14ac:dyDescent="0.25">
      <c r="A505" s="2">
        <v>499</v>
      </c>
      <c r="B505" s="11">
        <f t="shared" ca="1" si="37"/>
        <v>1</v>
      </c>
      <c r="C505" s="26">
        <f t="shared" ca="1" si="38"/>
        <v>0.33118607422832891</v>
      </c>
      <c r="J505">
        <f t="shared" ca="1" si="39"/>
        <v>1</v>
      </c>
      <c r="K505">
        <f t="shared" ca="1" si="40"/>
        <v>0</v>
      </c>
      <c r="L505" s="65">
        <v>499</v>
      </c>
      <c r="M505" s="71">
        <f t="shared" ca="1" si="36"/>
        <v>3.216268882725013</v>
      </c>
      <c r="N505" s="65"/>
    </row>
    <row r="506" spans="1:14" x14ac:dyDescent="0.25">
      <c r="A506" s="2">
        <v>500</v>
      </c>
      <c r="B506" s="11">
        <f t="shared" ca="1" si="37"/>
        <v>1</v>
      </c>
      <c r="C506" s="26">
        <f t="shared" ca="1" si="38"/>
        <v>0.41427113965190143</v>
      </c>
      <c r="J506">
        <f t="shared" ca="1" si="39"/>
        <v>1</v>
      </c>
      <c r="K506">
        <f t="shared" ca="1" si="40"/>
        <v>0</v>
      </c>
      <c r="L506" s="65">
        <v>500</v>
      </c>
      <c r="M506" s="71">
        <f t="shared" ca="1" si="36"/>
        <v>0.11369064798640242</v>
      </c>
      <c r="N506" s="65"/>
    </row>
    <row r="507" spans="1:14" x14ac:dyDescent="0.25">
      <c r="A507" s="2">
        <v>501</v>
      </c>
      <c r="B507" s="11">
        <f t="shared" ca="1" si="37"/>
        <v>1</v>
      </c>
      <c r="C507" s="26">
        <f t="shared" ca="1" si="38"/>
        <v>0.39982258158061557</v>
      </c>
      <c r="J507">
        <f t="shared" ca="1" si="39"/>
        <v>1</v>
      </c>
      <c r="K507">
        <f t="shared" ca="1" si="40"/>
        <v>0</v>
      </c>
      <c r="L507" s="65">
        <v>501</v>
      </c>
      <c r="M507" s="71">
        <f t="shared" ca="1" si="36"/>
        <v>3.8611660246580226</v>
      </c>
      <c r="N507" s="65"/>
    </row>
    <row r="508" spans="1:14" x14ac:dyDescent="0.25">
      <c r="A508" s="2">
        <v>502</v>
      </c>
      <c r="B508" s="11">
        <f t="shared" ca="1" si="37"/>
        <v>1</v>
      </c>
      <c r="C508" s="26">
        <f t="shared" ca="1" si="38"/>
        <v>0.48666018665568889</v>
      </c>
      <c r="J508">
        <f t="shared" ca="1" si="39"/>
        <v>1</v>
      </c>
      <c r="K508">
        <f t="shared" ca="1" si="40"/>
        <v>0</v>
      </c>
      <c r="L508" s="65">
        <v>502</v>
      </c>
      <c r="M508" s="71">
        <f t="shared" ca="1" si="36"/>
        <v>1.6972692340391398</v>
      </c>
      <c r="N508" s="65"/>
    </row>
    <row r="509" spans="1:14" x14ac:dyDescent="0.25">
      <c r="A509" s="2">
        <v>503</v>
      </c>
      <c r="B509" s="11">
        <f t="shared" ca="1" si="37"/>
        <v>1</v>
      </c>
      <c r="C509" s="26">
        <f t="shared" ca="1" si="38"/>
        <v>0.49524964092136092</v>
      </c>
      <c r="J509">
        <f t="shared" ca="1" si="39"/>
        <v>0</v>
      </c>
      <c r="K509">
        <f t="shared" ca="1" si="40"/>
        <v>0</v>
      </c>
      <c r="L509" s="65">
        <v>503</v>
      </c>
      <c r="M509" s="71">
        <f t="shared" ca="1" si="36"/>
        <v>8.7676452043713855</v>
      </c>
      <c r="N509" s="65"/>
    </row>
    <row r="510" spans="1:14" x14ac:dyDescent="0.25">
      <c r="A510" s="2">
        <v>504</v>
      </c>
      <c r="B510" s="11">
        <f t="shared" ca="1" si="37"/>
        <v>0</v>
      </c>
      <c r="C510" s="26">
        <f t="shared" ca="1" si="38"/>
        <v>0.86143097041876771</v>
      </c>
      <c r="J510">
        <f t="shared" ca="1" si="39"/>
        <v>0</v>
      </c>
      <c r="K510">
        <f t="shared" ca="1" si="40"/>
        <v>1</v>
      </c>
      <c r="L510" s="65">
        <v>504</v>
      </c>
      <c r="M510" s="71">
        <f t="shared" ca="1" si="36"/>
        <v>0</v>
      </c>
      <c r="N510" s="65"/>
    </row>
    <row r="511" spans="1:14" x14ac:dyDescent="0.25">
      <c r="A511" s="2">
        <v>505</v>
      </c>
      <c r="B511" s="11">
        <f t="shared" ca="1" si="37"/>
        <v>0</v>
      </c>
      <c r="C511" s="26">
        <f t="shared" ca="1" si="38"/>
        <v>0.7549334193496845</v>
      </c>
      <c r="J511">
        <f t="shared" ca="1" si="39"/>
        <v>0</v>
      </c>
      <c r="K511">
        <f t="shared" ca="1" si="40"/>
        <v>1</v>
      </c>
      <c r="L511" s="65">
        <v>505</v>
      </c>
      <c r="M511" s="71">
        <f t="shared" ca="1" si="36"/>
        <v>0</v>
      </c>
      <c r="N511" s="65"/>
    </row>
    <row r="512" spans="1:14" x14ac:dyDescent="0.25">
      <c r="A512" s="2">
        <v>506</v>
      </c>
      <c r="B512" s="11">
        <f t="shared" ca="1" si="37"/>
        <v>0</v>
      </c>
      <c r="C512" s="26">
        <f t="shared" ca="1" si="38"/>
        <v>0.57807999795413478</v>
      </c>
      <c r="J512">
        <f t="shared" ca="1" si="39"/>
        <v>0</v>
      </c>
      <c r="K512">
        <f t="shared" ca="1" si="40"/>
        <v>1</v>
      </c>
      <c r="L512" s="65">
        <v>506</v>
      </c>
      <c r="M512" s="71">
        <f t="shared" ca="1" si="36"/>
        <v>0</v>
      </c>
      <c r="N512" s="65"/>
    </row>
    <row r="513" spans="1:14" x14ac:dyDescent="0.25">
      <c r="A513" s="2">
        <v>507</v>
      </c>
      <c r="B513" s="11">
        <f t="shared" ca="1" si="37"/>
        <v>0</v>
      </c>
      <c r="C513" s="26">
        <f t="shared" ca="1" si="38"/>
        <v>0.5799739903556107</v>
      </c>
      <c r="J513">
        <f t="shared" ca="1" si="39"/>
        <v>0</v>
      </c>
      <c r="K513">
        <f t="shared" ca="1" si="40"/>
        <v>1</v>
      </c>
      <c r="L513" s="65">
        <v>507</v>
      </c>
      <c r="M513" s="71">
        <f t="shared" ca="1" si="36"/>
        <v>0</v>
      </c>
      <c r="N513" s="65"/>
    </row>
    <row r="514" spans="1:14" x14ac:dyDescent="0.25">
      <c r="A514" s="2">
        <v>508</v>
      </c>
      <c r="B514" s="11">
        <f t="shared" ca="1" si="37"/>
        <v>0</v>
      </c>
      <c r="C514" s="26">
        <f t="shared" ca="1" si="38"/>
        <v>0.66763522768829231</v>
      </c>
      <c r="J514">
        <f t="shared" ca="1" si="39"/>
        <v>0</v>
      </c>
      <c r="K514">
        <f t="shared" ca="1" si="40"/>
        <v>1</v>
      </c>
      <c r="L514" s="65">
        <v>508</v>
      </c>
      <c r="M514" s="71">
        <f t="shared" ca="1" si="36"/>
        <v>0</v>
      </c>
      <c r="N514" s="65"/>
    </row>
    <row r="515" spans="1:14" x14ac:dyDescent="0.25">
      <c r="A515" s="2">
        <v>509</v>
      </c>
      <c r="B515" s="11">
        <f t="shared" ca="1" si="37"/>
        <v>0</v>
      </c>
      <c r="C515" s="26">
        <f t="shared" ca="1" si="38"/>
        <v>0.95556181805946594</v>
      </c>
      <c r="J515">
        <f t="shared" ca="1" si="39"/>
        <v>0</v>
      </c>
      <c r="K515">
        <f t="shared" ca="1" si="40"/>
        <v>1</v>
      </c>
      <c r="L515" s="65">
        <v>509</v>
      </c>
      <c r="M515" s="71">
        <f t="shared" ca="1" si="36"/>
        <v>0</v>
      </c>
      <c r="N515" s="65"/>
    </row>
    <row r="516" spans="1:14" x14ac:dyDescent="0.25">
      <c r="A516" s="2">
        <v>510</v>
      </c>
      <c r="B516" s="11">
        <f t="shared" ca="1" si="37"/>
        <v>0</v>
      </c>
      <c r="C516" s="26">
        <f t="shared" ca="1" si="38"/>
        <v>0.50491505396948277</v>
      </c>
      <c r="J516">
        <f t="shared" ca="1" si="39"/>
        <v>0</v>
      </c>
      <c r="K516">
        <f t="shared" ca="1" si="40"/>
        <v>1</v>
      </c>
      <c r="L516" s="65">
        <v>510</v>
      </c>
      <c r="M516" s="71">
        <f t="shared" ca="1" si="36"/>
        <v>0</v>
      </c>
      <c r="N516" s="65"/>
    </row>
    <row r="517" spans="1:14" x14ac:dyDescent="0.25">
      <c r="A517" s="2">
        <v>511</v>
      </c>
      <c r="B517" s="11">
        <f t="shared" ca="1" si="37"/>
        <v>0</v>
      </c>
      <c r="C517" s="26">
        <f t="shared" ca="1" si="38"/>
        <v>0.76134188787957124</v>
      </c>
      <c r="J517">
        <f t="shared" ca="1" si="39"/>
        <v>0</v>
      </c>
      <c r="K517">
        <f t="shared" ca="1" si="40"/>
        <v>1</v>
      </c>
      <c r="L517" s="65">
        <v>511</v>
      </c>
      <c r="M517" s="71">
        <f t="shared" ca="1" si="36"/>
        <v>0</v>
      </c>
      <c r="N517" s="65"/>
    </row>
    <row r="518" spans="1:14" x14ac:dyDescent="0.25">
      <c r="A518" s="2">
        <v>512</v>
      </c>
      <c r="B518" s="11">
        <f t="shared" ca="1" si="37"/>
        <v>0</v>
      </c>
      <c r="C518" s="26">
        <f t="shared" ca="1" si="38"/>
        <v>0.65590699909448136</v>
      </c>
      <c r="J518">
        <f t="shared" ca="1" si="39"/>
        <v>0</v>
      </c>
      <c r="K518">
        <f t="shared" ca="1" si="40"/>
        <v>0</v>
      </c>
      <c r="L518" s="65">
        <v>512</v>
      </c>
      <c r="M518" s="71">
        <f t="shared" ca="1" si="36"/>
        <v>0</v>
      </c>
      <c r="N518" s="65"/>
    </row>
    <row r="519" spans="1:14" x14ac:dyDescent="0.25">
      <c r="A519" s="2">
        <v>513</v>
      </c>
      <c r="B519" s="11">
        <f t="shared" ca="1" si="37"/>
        <v>1</v>
      </c>
      <c r="C519" s="26">
        <f t="shared" ca="1" si="38"/>
        <v>0.30558560179235006</v>
      </c>
      <c r="J519">
        <f t="shared" ca="1" si="39"/>
        <v>1</v>
      </c>
      <c r="K519">
        <f t="shared" ca="1" si="40"/>
        <v>0</v>
      </c>
      <c r="L519" s="65">
        <v>513</v>
      </c>
      <c r="M519" s="71">
        <f t="shared" ref="M519:M582" ca="1" si="41">IF(B519&gt;0,-LN(1-(RAND()))/lambda,0)</f>
        <v>1.1899624517023004</v>
      </c>
      <c r="N519" s="65"/>
    </row>
    <row r="520" spans="1:14" x14ac:dyDescent="0.25">
      <c r="A520" s="2">
        <v>514</v>
      </c>
      <c r="B520" s="11">
        <f t="shared" ref="B520:B583" ca="1" si="42">IF(B519&gt;0,IF(C520&lt;pww,1,0),IF(C520&lt;pdw,1,0))</f>
        <v>1</v>
      </c>
      <c r="C520" s="26">
        <f t="shared" ref="C520:C583" ca="1" si="43">RAND()</f>
        <v>0.18428625458400694</v>
      </c>
      <c r="J520">
        <f t="shared" ref="J520:J583" ca="1" si="44">IF(AND(B520,B521),1,0)</f>
        <v>0</v>
      </c>
      <c r="K520">
        <f t="shared" ref="K520:K583" ca="1" si="45">IF(AND(NOT(B520),NOT(B521)),1,0)</f>
        <v>0</v>
      </c>
      <c r="L520" s="65">
        <v>514</v>
      </c>
      <c r="M520" s="71">
        <f t="shared" ca="1" si="41"/>
        <v>8.7267662047011463</v>
      </c>
      <c r="N520" s="65"/>
    </row>
    <row r="521" spans="1:14" x14ac:dyDescent="0.25">
      <c r="A521" s="2">
        <v>515</v>
      </c>
      <c r="B521" s="11">
        <f t="shared" ca="1" si="42"/>
        <v>0</v>
      </c>
      <c r="C521" s="26">
        <f t="shared" ca="1" si="43"/>
        <v>0.98797694301495476</v>
      </c>
      <c r="J521">
        <f t="shared" ca="1" si="44"/>
        <v>0</v>
      </c>
      <c r="K521">
        <f t="shared" ca="1" si="45"/>
        <v>1</v>
      </c>
      <c r="L521" s="65">
        <v>515</v>
      </c>
      <c r="M521" s="71">
        <f t="shared" ca="1" si="41"/>
        <v>0</v>
      </c>
      <c r="N521" s="65"/>
    </row>
    <row r="522" spans="1:14" x14ac:dyDescent="0.25">
      <c r="A522" s="2">
        <v>516</v>
      </c>
      <c r="B522" s="11">
        <f t="shared" ca="1" si="42"/>
        <v>0</v>
      </c>
      <c r="C522" s="26">
        <f t="shared" ca="1" si="43"/>
        <v>0.65867533583288174</v>
      </c>
      <c r="J522">
        <f t="shared" ca="1" si="44"/>
        <v>0</v>
      </c>
      <c r="K522">
        <f t="shared" ca="1" si="45"/>
        <v>1</v>
      </c>
      <c r="L522" s="65">
        <v>516</v>
      </c>
      <c r="M522" s="71">
        <f t="shared" ca="1" si="41"/>
        <v>0</v>
      </c>
      <c r="N522" s="65"/>
    </row>
    <row r="523" spans="1:14" x14ac:dyDescent="0.25">
      <c r="A523" s="2">
        <v>517</v>
      </c>
      <c r="B523" s="11">
        <f t="shared" ca="1" si="42"/>
        <v>0</v>
      </c>
      <c r="C523" s="26">
        <f t="shared" ca="1" si="43"/>
        <v>0.66234540228664152</v>
      </c>
      <c r="J523">
        <f t="shared" ca="1" si="44"/>
        <v>0</v>
      </c>
      <c r="K523">
        <f t="shared" ca="1" si="45"/>
        <v>1</v>
      </c>
      <c r="L523" s="65">
        <v>517</v>
      </c>
      <c r="M523" s="71">
        <f t="shared" ca="1" si="41"/>
        <v>0</v>
      </c>
      <c r="N523" s="65"/>
    </row>
    <row r="524" spans="1:14" x14ac:dyDescent="0.25">
      <c r="A524" s="2">
        <v>518</v>
      </c>
      <c r="B524" s="11">
        <f t="shared" ca="1" si="42"/>
        <v>0</v>
      </c>
      <c r="C524" s="26">
        <f t="shared" ca="1" si="43"/>
        <v>0.56994521979470159</v>
      </c>
      <c r="J524">
        <f t="shared" ca="1" si="44"/>
        <v>0</v>
      </c>
      <c r="K524">
        <f t="shared" ca="1" si="45"/>
        <v>1</v>
      </c>
      <c r="L524" s="65">
        <v>518</v>
      </c>
      <c r="M524" s="71">
        <f t="shared" ca="1" si="41"/>
        <v>0</v>
      </c>
      <c r="N524" s="65"/>
    </row>
    <row r="525" spans="1:14" x14ac:dyDescent="0.25">
      <c r="A525" s="2">
        <v>519</v>
      </c>
      <c r="B525" s="11">
        <f t="shared" ca="1" si="42"/>
        <v>0</v>
      </c>
      <c r="C525" s="26">
        <f t="shared" ca="1" si="43"/>
        <v>0.88936244374489515</v>
      </c>
      <c r="J525">
        <f t="shared" ca="1" si="44"/>
        <v>0</v>
      </c>
      <c r="K525">
        <f t="shared" ca="1" si="45"/>
        <v>0</v>
      </c>
      <c r="L525" s="65">
        <v>519</v>
      </c>
      <c r="M525" s="71">
        <f t="shared" ca="1" si="41"/>
        <v>0</v>
      </c>
      <c r="N525" s="65"/>
    </row>
    <row r="526" spans="1:14" x14ac:dyDescent="0.25">
      <c r="A526" s="2">
        <v>520</v>
      </c>
      <c r="B526" s="11">
        <f t="shared" ca="1" si="42"/>
        <v>1</v>
      </c>
      <c r="C526" s="26">
        <f t="shared" ca="1" si="43"/>
        <v>0.37582145097523134</v>
      </c>
      <c r="J526">
        <f t="shared" ca="1" si="44"/>
        <v>1</v>
      </c>
      <c r="K526">
        <f t="shared" ca="1" si="45"/>
        <v>0</v>
      </c>
      <c r="L526" s="65">
        <v>520</v>
      </c>
      <c r="M526" s="71">
        <f t="shared" ca="1" si="41"/>
        <v>8.0642861848803999</v>
      </c>
      <c r="N526" s="65"/>
    </row>
    <row r="527" spans="1:14" x14ac:dyDescent="0.25">
      <c r="A527" s="2">
        <v>521</v>
      </c>
      <c r="B527" s="11">
        <f t="shared" ca="1" si="42"/>
        <v>1</v>
      </c>
      <c r="C527" s="26">
        <f t="shared" ca="1" si="43"/>
        <v>0.74702747141503434</v>
      </c>
      <c r="J527">
        <f t="shared" ca="1" si="44"/>
        <v>1</v>
      </c>
      <c r="K527">
        <f t="shared" ca="1" si="45"/>
        <v>0</v>
      </c>
      <c r="L527" s="65">
        <v>521</v>
      </c>
      <c r="M527" s="71">
        <f t="shared" ca="1" si="41"/>
        <v>9.1499910972386154</v>
      </c>
      <c r="N527" s="65"/>
    </row>
    <row r="528" spans="1:14" x14ac:dyDescent="0.25">
      <c r="A528" s="2">
        <v>522</v>
      </c>
      <c r="B528" s="11">
        <f t="shared" ca="1" si="42"/>
        <v>1</v>
      </c>
      <c r="C528" s="26">
        <f t="shared" ca="1" si="43"/>
        <v>0.56410270050975031</v>
      </c>
      <c r="J528">
        <f t="shared" ca="1" si="44"/>
        <v>1</v>
      </c>
      <c r="K528">
        <f t="shared" ca="1" si="45"/>
        <v>0</v>
      </c>
      <c r="L528" s="65">
        <v>522</v>
      </c>
      <c r="M528" s="71">
        <f t="shared" ca="1" si="41"/>
        <v>2.6824053668790473</v>
      </c>
      <c r="N528" s="65"/>
    </row>
    <row r="529" spans="1:14" x14ac:dyDescent="0.25">
      <c r="A529" s="2">
        <v>523</v>
      </c>
      <c r="B529" s="11">
        <f t="shared" ca="1" si="42"/>
        <v>1</v>
      </c>
      <c r="C529" s="26">
        <f t="shared" ca="1" si="43"/>
        <v>0.33923389137206761</v>
      </c>
      <c r="J529">
        <f t="shared" ca="1" si="44"/>
        <v>0</v>
      </c>
      <c r="K529">
        <f t="shared" ca="1" si="45"/>
        <v>0</v>
      </c>
      <c r="L529" s="65">
        <v>523</v>
      </c>
      <c r="M529" s="71">
        <f t="shared" ca="1" si="41"/>
        <v>5.4419033056641943</v>
      </c>
      <c r="N529" s="65"/>
    </row>
    <row r="530" spans="1:14" x14ac:dyDescent="0.25">
      <c r="A530" s="2">
        <v>524</v>
      </c>
      <c r="B530" s="11">
        <f t="shared" ca="1" si="42"/>
        <v>0</v>
      </c>
      <c r="C530" s="26">
        <f t="shared" ca="1" si="43"/>
        <v>0.95252167554770006</v>
      </c>
      <c r="J530">
        <f t="shared" ca="1" si="44"/>
        <v>0</v>
      </c>
      <c r="K530">
        <f t="shared" ca="1" si="45"/>
        <v>0</v>
      </c>
      <c r="L530" s="65">
        <v>524</v>
      </c>
      <c r="M530" s="71">
        <f t="shared" ca="1" si="41"/>
        <v>0</v>
      </c>
      <c r="N530" s="65"/>
    </row>
    <row r="531" spans="1:14" x14ac:dyDescent="0.25">
      <c r="A531" s="2">
        <v>525</v>
      </c>
      <c r="B531" s="11">
        <f t="shared" ca="1" si="42"/>
        <v>1</v>
      </c>
      <c r="C531" s="26">
        <f t="shared" ca="1" si="43"/>
        <v>8.0453383757573826E-3</v>
      </c>
      <c r="J531">
        <f t="shared" ca="1" si="44"/>
        <v>0</v>
      </c>
      <c r="K531">
        <f t="shared" ca="1" si="45"/>
        <v>0</v>
      </c>
      <c r="L531" s="65">
        <v>525</v>
      </c>
      <c r="M531" s="71">
        <f t="shared" ca="1" si="41"/>
        <v>1.2004048686888318</v>
      </c>
      <c r="N531" s="65"/>
    </row>
    <row r="532" spans="1:14" x14ac:dyDescent="0.25">
      <c r="A532" s="2">
        <v>526</v>
      </c>
      <c r="B532" s="11">
        <f t="shared" ca="1" si="42"/>
        <v>0</v>
      </c>
      <c r="C532" s="26">
        <f t="shared" ca="1" si="43"/>
        <v>0.81619008746179311</v>
      </c>
      <c r="J532">
        <f t="shared" ca="1" si="44"/>
        <v>0</v>
      </c>
      <c r="K532">
        <f t="shared" ca="1" si="45"/>
        <v>1</v>
      </c>
      <c r="L532" s="65">
        <v>526</v>
      </c>
      <c r="M532" s="71">
        <f t="shared" ca="1" si="41"/>
        <v>0</v>
      </c>
      <c r="N532" s="65"/>
    </row>
    <row r="533" spans="1:14" x14ac:dyDescent="0.25">
      <c r="A533" s="2">
        <v>527</v>
      </c>
      <c r="B533" s="11">
        <f t="shared" ca="1" si="42"/>
        <v>0</v>
      </c>
      <c r="C533" s="26">
        <f t="shared" ca="1" si="43"/>
        <v>0.41528503405006101</v>
      </c>
      <c r="J533">
        <f t="shared" ca="1" si="44"/>
        <v>0</v>
      </c>
      <c r="K533">
        <f t="shared" ca="1" si="45"/>
        <v>0</v>
      </c>
      <c r="L533" s="65">
        <v>527</v>
      </c>
      <c r="M533" s="71">
        <f t="shared" ca="1" si="41"/>
        <v>0</v>
      </c>
      <c r="N533" s="65"/>
    </row>
    <row r="534" spans="1:14" x14ac:dyDescent="0.25">
      <c r="A534" s="2">
        <v>528</v>
      </c>
      <c r="B534" s="11">
        <f t="shared" ca="1" si="42"/>
        <v>1</v>
      </c>
      <c r="C534" s="26">
        <f t="shared" ca="1" si="43"/>
        <v>5.550030540200257E-2</v>
      </c>
      <c r="J534">
        <f t="shared" ca="1" si="44"/>
        <v>1</v>
      </c>
      <c r="K534">
        <f t="shared" ca="1" si="45"/>
        <v>0</v>
      </c>
      <c r="L534" s="65">
        <v>528</v>
      </c>
      <c r="M534" s="71">
        <f t="shared" ca="1" si="41"/>
        <v>1.1603910065685414</v>
      </c>
      <c r="N534" s="65"/>
    </row>
    <row r="535" spans="1:14" x14ac:dyDescent="0.25">
      <c r="A535" s="2">
        <v>529</v>
      </c>
      <c r="B535" s="11">
        <f t="shared" ca="1" si="42"/>
        <v>1</v>
      </c>
      <c r="C535" s="26">
        <f t="shared" ca="1" si="43"/>
        <v>0.26723634011105535</v>
      </c>
      <c r="J535">
        <f t="shared" ca="1" si="44"/>
        <v>0</v>
      </c>
      <c r="K535">
        <f t="shared" ca="1" si="45"/>
        <v>0</v>
      </c>
      <c r="L535" s="65">
        <v>529</v>
      </c>
      <c r="M535" s="71">
        <f t="shared" ca="1" si="41"/>
        <v>6.8301947801550584</v>
      </c>
      <c r="N535" s="65"/>
    </row>
    <row r="536" spans="1:14" x14ac:dyDescent="0.25">
      <c r="A536" s="2">
        <v>530</v>
      </c>
      <c r="B536" s="11">
        <f t="shared" ca="1" si="42"/>
        <v>0</v>
      </c>
      <c r="C536" s="26">
        <f t="shared" ca="1" si="43"/>
        <v>0.77265409374643701</v>
      </c>
      <c r="J536">
        <f t="shared" ca="1" si="44"/>
        <v>0</v>
      </c>
      <c r="K536">
        <f t="shared" ca="1" si="45"/>
        <v>1</v>
      </c>
      <c r="L536" s="65">
        <v>530</v>
      </c>
      <c r="M536" s="71">
        <f t="shared" ca="1" si="41"/>
        <v>0</v>
      </c>
      <c r="N536" s="65"/>
    </row>
    <row r="537" spans="1:14" x14ac:dyDescent="0.25">
      <c r="A537" s="2">
        <v>531</v>
      </c>
      <c r="B537" s="11">
        <f t="shared" ca="1" si="42"/>
        <v>0</v>
      </c>
      <c r="C537" s="26">
        <f t="shared" ca="1" si="43"/>
        <v>0.5652645474423158</v>
      </c>
      <c r="J537">
        <f t="shared" ca="1" si="44"/>
        <v>0</v>
      </c>
      <c r="K537">
        <f t="shared" ca="1" si="45"/>
        <v>1</v>
      </c>
      <c r="L537" s="65">
        <v>531</v>
      </c>
      <c r="M537" s="71">
        <f t="shared" ca="1" si="41"/>
        <v>0</v>
      </c>
      <c r="N537" s="65"/>
    </row>
    <row r="538" spans="1:14" x14ac:dyDescent="0.25">
      <c r="A538" s="2">
        <v>532</v>
      </c>
      <c r="B538" s="11">
        <f t="shared" ca="1" si="42"/>
        <v>0</v>
      </c>
      <c r="C538" s="26">
        <f t="shared" ca="1" si="43"/>
        <v>0.82292213632674605</v>
      </c>
      <c r="J538">
        <f t="shared" ca="1" si="44"/>
        <v>0</v>
      </c>
      <c r="K538">
        <f t="shared" ca="1" si="45"/>
        <v>0</v>
      </c>
      <c r="L538" s="65">
        <v>532</v>
      </c>
      <c r="M538" s="71">
        <f t="shared" ca="1" si="41"/>
        <v>0</v>
      </c>
      <c r="N538" s="65"/>
    </row>
    <row r="539" spans="1:14" x14ac:dyDescent="0.25">
      <c r="A539" s="2">
        <v>533</v>
      </c>
      <c r="B539" s="11">
        <f t="shared" ca="1" si="42"/>
        <v>1</v>
      </c>
      <c r="C539" s="26">
        <f t="shared" ca="1" si="43"/>
        <v>0.15174168615800243</v>
      </c>
      <c r="J539">
        <f t="shared" ca="1" si="44"/>
        <v>1</v>
      </c>
      <c r="K539">
        <f t="shared" ca="1" si="45"/>
        <v>0</v>
      </c>
      <c r="L539" s="65">
        <v>533</v>
      </c>
      <c r="M539" s="71">
        <f t="shared" ca="1" si="41"/>
        <v>1.1749320693063048</v>
      </c>
      <c r="N539" s="65"/>
    </row>
    <row r="540" spans="1:14" x14ac:dyDescent="0.25">
      <c r="A540" s="2">
        <v>534</v>
      </c>
      <c r="B540" s="11">
        <f t="shared" ca="1" si="42"/>
        <v>1</v>
      </c>
      <c r="C540" s="26">
        <f t="shared" ca="1" si="43"/>
        <v>0.55771852413039646</v>
      </c>
      <c r="J540">
        <f t="shared" ca="1" si="44"/>
        <v>1</v>
      </c>
      <c r="K540">
        <f t="shared" ca="1" si="45"/>
        <v>0</v>
      </c>
      <c r="L540" s="65">
        <v>534</v>
      </c>
      <c r="M540" s="71">
        <f t="shared" ca="1" si="41"/>
        <v>4.5777898410896967</v>
      </c>
      <c r="N540" s="65"/>
    </row>
    <row r="541" spans="1:14" x14ac:dyDescent="0.25">
      <c r="A541" s="2">
        <v>535</v>
      </c>
      <c r="B541" s="11">
        <f t="shared" ca="1" si="42"/>
        <v>1</v>
      </c>
      <c r="C541" s="26">
        <f t="shared" ca="1" si="43"/>
        <v>0.2947716743761023</v>
      </c>
      <c r="J541">
        <f t="shared" ca="1" si="44"/>
        <v>0</v>
      </c>
      <c r="K541">
        <f t="shared" ca="1" si="45"/>
        <v>0</v>
      </c>
      <c r="L541" s="65">
        <v>535</v>
      </c>
      <c r="M541" s="71">
        <f t="shared" ca="1" si="41"/>
        <v>1.0112435932932056</v>
      </c>
      <c r="N541" s="65"/>
    </row>
    <row r="542" spans="1:14" x14ac:dyDescent="0.25">
      <c r="A542" s="2">
        <v>536</v>
      </c>
      <c r="B542" s="11">
        <f t="shared" ca="1" si="42"/>
        <v>0</v>
      </c>
      <c r="C542" s="26">
        <f t="shared" ca="1" si="43"/>
        <v>0.98981977231737028</v>
      </c>
      <c r="J542">
        <f t="shared" ca="1" si="44"/>
        <v>0</v>
      </c>
      <c r="K542">
        <f t="shared" ca="1" si="45"/>
        <v>1</v>
      </c>
      <c r="L542" s="65">
        <v>536</v>
      </c>
      <c r="M542" s="71">
        <f t="shared" ca="1" si="41"/>
        <v>0</v>
      </c>
      <c r="N542" s="65"/>
    </row>
    <row r="543" spans="1:14" x14ac:dyDescent="0.25">
      <c r="A543" s="2">
        <v>537</v>
      </c>
      <c r="B543" s="11">
        <f t="shared" ca="1" si="42"/>
        <v>0</v>
      </c>
      <c r="C543" s="26">
        <f t="shared" ca="1" si="43"/>
        <v>0.52089364633959134</v>
      </c>
      <c r="J543">
        <f t="shared" ca="1" si="44"/>
        <v>0</v>
      </c>
      <c r="K543">
        <f t="shared" ca="1" si="45"/>
        <v>0</v>
      </c>
      <c r="L543" s="65">
        <v>537</v>
      </c>
      <c r="M543" s="71">
        <f t="shared" ca="1" si="41"/>
        <v>0</v>
      </c>
      <c r="N543" s="65"/>
    </row>
    <row r="544" spans="1:14" x14ac:dyDescent="0.25">
      <c r="A544" s="2">
        <v>538</v>
      </c>
      <c r="B544" s="11">
        <f t="shared" ca="1" si="42"/>
        <v>1</v>
      </c>
      <c r="C544" s="26">
        <f t="shared" ca="1" si="43"/>
        <v>0.37691860424093226</v>
      </c>
      <c r="J544">
        <f t="shared" ca="1" si="44"/>
        <v>0</v>
      </c>
      <c r="K544">
        <f t="shared" ca="1" si="45"/>
        <v>0</v>
      </c>
      <c r="L544" s="65">
        <v>538</v>
      </c>
      <c r="M544" s="71">
        <f t="shared" ca="1" si="41"/>
        <v>0.98651718470082828</v>
      </c>
      <c r="N544" s="65"/>
    </row>
    <row r="545" spans="1:14" x14ac:dyDescent="0.25">
      <c r="A545" s="2">
        <v>539</v>
      </c>
      <c r="B545" s="11">
        <f t="shared" ca="1" si="42"/>
        <v>0</v>
      </c>
      <c r="C545" s="26">
        <f t="shared" ca="1" si="43"/>
        <v>0.92724122268308073</v>
      </c>
      <c r="J545">
        <f t="shared" ca="1" si="44"/>
        <v>0</v>
      </c>
      <c r="K545">
        <f t="shared" ca="1" si="45"/>
        <v>1</v>
      </c>
      <c r="L545" s="65">
        <v>539</v>
      </c>
      <c r="M545" s="71">
        <f t="shared" ca="1" si="41"/>
        <v>0</v>
      </c>
      <c r="N545" s="65"/>
    </row>
    <row r="546" spans="1:14" x14ac:dyDescent="0.25">
      <c r="A546" s="2">
        <v>540</v>
      </c>
      <c r="B546" s="11">
        <f t="shared" ca="1" si="42"/>
        <v>0</v>
      </c>
      <c r="C546" s="26">
        <f t="shared" ca="1" si="43"/>
        <v>0.85861463744193822</v>
      </c>
      <c r="J546">
        <f t="shared" ca="1" si="44"/>
        <v>0</v>
      </c>
      <c r="K546">
        <f t="shared" ca="1" si="45"/>
        <v>1</v>
      </c>
      <c r="L546" s="65">
        <v>540</v>
      </c>
      <c r="M546" s="71">
        <f t="shared" ca="1" si="41"/>
        <v>0</v>
      </c>
      <c r="N546" s="65"/>
    </row>
    <row r="547" spans="1:14" x14ac:dyDescent="0.25">
      <c r="A547" s="2">
        <v>541</v>
      </c>
      <c r="B547" s="11">
        <f t="shared" ca="1" si="42"/>
        <v>0</v>
      </c>
      <c r="C547" s="26">
        <f t="shared" ca="1" si="43"/>
        <v>0.72610565172264263</v>
      </c>
      <c r="J547">
        <f t="shared" ca="1" si="44"/>
        <v>0</v>
      </c>
      <c r="K547">
        <f t="shared" ca="1" si="45"/>
        <v>1</v>
      </c>
      <c r="L547" s="65">
        <v>541</v>
      </c>
      <c r="M547" s="71">
        <f t="shared" ca="1" si="41"/>
        <v>0</v>
      </c>
      <c r="N547" s="65"/>
    </row>
    <row r="548" spans="1:14" x14ac:dyDescent="0.25">
      <c r="A548" s="2">
        <v>542</v>
      </c>
      <c r="B548" s="11">
        <f t="shared" ca="1" si="42"/>
        <v>0</v>
      </c>
      <c r="C548" s="26">
        <f t="shared" ca="1" si="43"/>
        <v>0.72894694807003946</v>
      </c>
      <c r="J548">
        <f t="shared" ca="1" si="44"/>
        <v>0</v>
      </c>
      <c r="K548">
        <f t="shared" ca="1" si="45"/>
        <v>1</v>
      </c>
      <c r="L548" s="65">
        <v>542</v>
      </c>
      <c r="M548" s="71">
        <f t="shared" ca="1" si="41"/>
        <v>0</v>
      </c>
      <c r="N548" s="65"/>
    </row>
    <row r="549" spans="1:14" x14ac:dyDescent="0.25">
      <c r="A549" s="2">
        <v>543</v>
      </c>
      <c r="B549" s="11">
        <f t="shared" ca="1" si="42"/>
        <v>0</v>
      </c>
      <c r="C549" s="26">
        <f t="shared" ca="1" si="43"/>
        <v>0.44907908510736805</v>
      </c>
      <c r="J549">
        <f t="shared" ca="1" si="44"/>
        <v>0</v>
      </c>
      <c r="K549">
        <f t="shared" ca="1" si="45"/>
        <v>0</v>
      </c>
      <c r="L549" s="65">
        <v>543</v>
      </c>
      <c r="M549" s="71">
        <f t="shared" ca="1" si="41"/>
        <v>0</v>
      </c>
      <c r="N549" s="65"/>
    </row>
    <row r="550" spans="1:14" x14ac:dyDescent="0.25">
      <c r="A550" s="2">
        <v>544</v>
      </c>
      <c r="B550" s="11">
        <f t="shared" ca="1" si="42"/>
        <v>1</v>
      </c>
      <c r="C550" s="26">
        <f t="shared" ca="1" si="43"/>
        <v>0.16146313250624178</v>
      </c>
      <c r="J550">
        <f t="shared" ca="1" si="44"/>
        <v>0</v>
      </c>
      <c r="K550">
        <f t="shared" ca="1" si="45"/>
        <v>0</v>
      </c>
      <c r="L550" s="65">
        <v>544</v>
      </c>
      <c r="M550" s="71">
        <f t="shared" ca="1" si="41"/>
        <v>2.8878063776197669</v>
      </c>
      <c r="N550" s="65"/>
    </row>
    <row r="551" spans="1:14" x14ac:dyDescent="0.25">
      <c r="A551" s="2">
        <v>545</v>
      </c>
      <c r="B551" s="11">
        <f t="shared" ca="1" si="42"/>
        <v>0</v>
      </c>
      <c r="C551" s="26">
        <f t="shared" ca="1" si="43"/>
        <v>0.86331096261731377</v>
      </c>
      <c r="J551">
        <f t="shared" ca="1" si="44"/>
        <v>0</v>
      </c>
      <c r="K551">
        <f t="shared" ca="1" si="45"/>
        <v>1</v>
      </c>
      <c r="L551" s="65">
        <v>545</v>
      </c>
      <c r="M551" s="71">
        <f t="shared" ca="1" si="41"/>
        <v>0</v>
      </c>
      <c r="N551" s="65"/>
    </row>
    <row r="552" spans="1:14" x14ac:dyDescent="0.25">
      <c r="A552" s="2">
        <v>546</v>
      </c>
      <c r="B552" s="11">
        <f t="shared" ca="1" si="42"/>
        <v>0</v>
      </c>
      <c r="C552" s="26">
        <f t="shared" ca="1" si="43"/>
        <v>0.41706925870634515</v>
      </c>
      <c r="J552">
        <f t="shared" ca="1" si="44"/>
        <v>0</v>
      </c>
      <c r="K552">
        <f t="shared" ca="1" si="45"/>
        <v>1</v>
      </c>
      <c r="L552" s="65">
        <v>546</v>
      </c>
      <c r="M552" s="71">
        <f t="shared" ca="1" si="41"/>
        <v>0</v>
      </c>
      <c r="N552" s="65"/>
    </row>
    <row r="553" spans="1:14" x14ac:dyDescent="0.25">
      <c r="A553" s="2">
        <v>547</v>
      </c>
      <c r="B553" s="11">
        <f t="shared" ca="1" si="42"/>
        <v>0</v>
      </c>
      <c r="C553" s="26">
        <f t="shared" ca="1" si="43"/>
        <v>0.65705483357920424</v>
      </c>
      <c r="J553">
        <f t="shared" ca="1" si="44"/>
        <v>0</v>
      </c>
      <c r="K553">
        <f t="shared" ca="1" si="45"/>
        <v>0</v>
      </c>
      <c r="L553" s="65">
        <v>547</v>
      </c>
      <c r="M553" s="71">
        <f t="shared" ca="1" si="41"/>
        <v>0</v>
      </c>
      <c r="N553" s="65"/>
    </row>
    <row r="554" spans="1:14" x14ac:dyDescent="0.25">
      <c r="A554" s="2">
        <v>548</v>
      </c>
      <c r="B554" s="11">
        <f t="shared" ca="1" si="42"/>
        <v>1</v>
      </c>
      <c r="C554" s="26">
        <f t="shared" ca="1" si="43"/>
        <v>0.22937034999783434</v>
      </c>
      <c r="J554">
        <f t="shared" ca="1" si="44"/>
        <v>1</v>
      </c>
      <c r="K554">
        <f t="shared" ca="1" si="45"/>
        <v>0</v>
      </c>
      <c r="L554" s="65">
        <v>548</v>
      </c>
      <c r="M554" s="71">
        <f t="shared" ca="1" si="41"/>
        <v>3.6847688322545293</v>
      </c>
      <c r="N554" s="65"/>
    </row>
    <row r="555" spans="1:14" x14ac:dyDescent="0.25">
      <c r="A555" s="2">
        <v>549</v>
      </c>
      <c r="B555" s="11">
        <f t="shared" ca="1" si="42"/>
        <v>1</v>
      </c>
      <c r="C555" s="26">
        <f t="shared" ca="1" si="43"/>
        <v>1.512004846088788E-2</v>
      </c>
      <c r="J555">
        <f t="shared" ca="1" si="44"/>
        <v>1</v>
      </c>
      <c r="K555">
        <f t="shared" ca="1" si="45"/>
        <v>0</v>
      </c>
      <c r="L555" s="65">
        <v>549</v>
      </c>
      <c r="M555" s="71">
        <f t="shared" ca="1" si="41"/>
        <v>1.0485933942248329</v>
      </c>
      <c r="N555" s="65"/>
    </row>
    <row r="556" spans="1:14" x14ac:dyDescent="0.25">
      <c r="A556" s="2">
        <v>550</v>
      </c>
      <c r="B556" s="11">
        <f t="shared" ca="1" si="42"/>
        <v>1</v>
      </c>
      <c r="C556" s="26">
        <f t="shared" ca="1" si="43"/>
        <v>0.5162895244974246</v>
      </c>
      <c r="J556">
        <f t="shared" ca="1" si="44"/>
        <v>1</v>
      </c>
      <c r="K556">
        <f t="shared" ca="1" si="45"/>
        <v>0</v>
      </c>
      <c r="L556" s="65">
        <v>550</v>
      </c>
      <c r="M556" s="71">
        <f t="shared" ca="1" si="41"/>
        <v>3.3011440281457518</v>
      </c>
      <c r="N556" s="65"/>
    </row>
    <row r="557" spans="1:14" x14ac:dyDescent="0.25">
      <c r="A557" s="2">
        <v>551</v>
      </c>
      <c r="B557" s="11">
        <f t="shared" ca="1" si="42"/>
        <v>1</v>
      </c>
      <c r="C557" s="26">
        <f t="shared" ca="1" si="43"/>
        <v>7.7138362112416203E-2</v>
      </c>
      <c r="J557">
        <f t="shared" ca="1" si="44"/>
        <v>0</v>
      </c>
      <c r="K557">
        <f t="shared" ca="1" si="45"/>
        <v>0</v>
      </c>
      <c r="L557" s="65">
        <v>551</v>
      </c>
      <c r="M557" s="71">
        <f t="shared" ca="1" si="41"/>
        <v>0.77175812922709397</v>
      </c>
      <c r="N557" s="65"/>
    </row>
    <row r="558" spans="1:14" x14ac:dyDescent="0.25">
      <c r="A558" s="2">
        <v>552</v>
      </c>
      <c r="B558" s="11">
        <f t="shared" ca="1" si="42"/>
        <v>0</v>
      </c>
      <c r="C558" s="26">
        <f t="shared" ca="1" si="43"/>
        <v>0.76228865850604033</v>
      </c>
      <c r="J558">
        <f t="shared" ca="1" si="44"/>
        <v>0</v>
      </c>
      <c r="K558">
        <f t="shared" ca="1" si="45"/>
        <v>1</v>
      </c>
      <c r="L558" s="65">
        <v>552</v>
      </c>
      <c r="M558" s="71">
        <f t="shared" ca="1" si="41"/>
        <v>0</v>
      </c>
      <c r="N558" s="65"/>
    </row>
    <row r="559" spans="1:14" x14ac:dyDescent="0.25">
      <c r="A559" s="2">
        <v>553</v>
      </c>
      <c r="B559" s="11">
        <f t="shared" ca="1" si="42"/>
        <v>0</v>
      </c>
      <c r="C559" s="26">
        <f t="shared" ca="1" si="43"/>
        <v>0.8724512694060611</v>
      </c>
      <c r="J559">
        <f t="shared" ca="1" si="44"/>
        <v>0</v>
      </c>
      <c r="K559">
        <f t="shared" ca="1" si="45"/>
        <v>1</v>
      </c>
      <c r="L559" s="65">
        <v>553</v>
      </c>
      <c r="M559" s="71">
        <f t="shared" ca="1" si="41"/>
        <v>0</v>
      </c>
      <c r="N559" s="65"/>
    </row>
    <row r="560" spans="1:14" x14ac:dyDescent="0.25">
      <c r="A560" s="2">
        <v>554</v>
      </c>
      <c r="B560" s="11">
        <f t="shared" ca="1" si="42"/>
        <v>0</v>
      </c>
      <c r="C560" s="26">
        <f t="shared" ca="1" si="43"/>
        <v>0.93623524362717392</v>
      </c>
      <c r="J560">
        <f t="shared" ca="1" si="44"/>
        <v>0</v>
      </c>
      <c r="K560">
        <f t="shared" ca="1" si="45"/>
        <v>1</v>
      </c>
      <c r="L560" s="65">
        <v>554</v>
      </c>
      <c r="M560" s="71">
        <f t="shared" ca="1" si="41"/>
        <v>0</v>
      </c>
      <c r="N560" s="65"/>
    </row>
    <row r="561" spans="1:14" x14ac:dyDescent="0.25">
      <c r="A561" s="2">
        <v>555</v>
      </c>
      <c r="B561" s="11">
        <f t="shared" ca="1" si="42"/>
        <v>0</v>
      </c>
      <c r="C561" s="26">
        <f t="shared" ca="1" si="43"/>
        <v>0.96672290409382644</v>
      </c>
      <c r="J561">
        <f t="shared" ca="1" si="44"/>
        <v>0</v>
      </c>
      <c r="K561">
        <f t="shared" ca="1" si="45"/>
        <v>1</v>
      </c>
      <c r="L561" s="65">
        <v>555</v>
      </c>
      <c r="M561" s="71">
        <f t="shared" ca="1" si="41"/>
        <v>0</v>
      </c>
      <c r="N561" s="65"/>
    </row>
    <row r="562" spans="1:14" x14ac:dyDescent="0.25">
      <c r="A562" s="2">
        <v>556</v>
      </c>
      <c r="B562" s="11">
        <f t="shared" ca="1" si="42"/>
        <v>0</v>
      </c>
      <c r="C562" s="26">
        <f t="shared" ca="1" si="43"/>
        <v>0.39916304043910655</v>
      </c>
      <c r="J562">
        <f t="shared" ca="1" si="44"/>
        <v>0</v>
      </c>
      <c r="K562">
        <f t="shared" ca="1" si="45"/>
        <v>1</v>
      </c>
      <c r="L562" s="65">
        <v>556</v>
      </c>
      <c r="M562" s="71">
        <f t="shared" ca="1" si="41"/>
        <v>0</v>
      </c>
      <c r="N562" s="65"/>
    </row>
    <row r="563" spans="1:14" x14ac:dyDescent="0.25">
      <c r="A563" s="2">
        <v>557</v>
      </c>
      <c r="B563" s="11">
        <f t="shared" ca="1" si="42"/>
        <v>0</v>
      </c>
      <c r="C563" s="26">
        <f t="shared" ca="1" si="43"/>
        <v>0.46475343522364465</v>
      </c>
      <c r="J563">
        <f t="shared" ca="1" si="44"/>
        <v>0</v>
      </c>
      <c r="K563">
        <f t="shared" ca="1" si="45"/>
        <v>1</v>
      </c>
      <c r="L563" s="65">
        <v>557</v>
      </c>
      <c r="M563" s="71">
        <f t="shared" ca="1" si="41"/>
        <v>0</v>
      </c>
      <c r="N563" s="65"/>
    </row>
    <row r="564" spans="1:14" x14ac:dyDescent="0.25">
      <c r="A564" s="2">
        <v>558</v>
      </c>
      <c r="B564" s="11">
        <f t="shared" ca="1" si="42"/>
        <v>0</v>
      </c>
      <c r="C564" s="26">
        <f t="shared" ca="1" si="43"/>
        <v>0.81829328158250092</v>
      </c>
      <c r="J564">
        <f t="shared" ca="1" si="44"/>
        <v>0</v>
      </c>
      <c r="K564">
        <f t="shared" ca="1" si="45"/>
        <v>0</v>
      </c>
      <c r="L564" s="65">
        <v>558</v>
      </c>
      <c r="M564" s="71">
        <f t="shared" ca="1" si="41"/>
        <v>0</v>
      </c>
      <c r="N564" s="65"/>
    </row>
    <row r="565" spans="1:14" x14ac:dyDescent="0.25">
      <c r="A565" s="2">
        <v>559</v>
      </c>
      <c r="B565" s="11">
        <f t="shared" ca="1" si="42"/>
        <v>1</v>
      </c>
      <c r="C565" s="26">
        <f t="shared" ca="1" si="43"/>
        <v>9.8485144787076151E-2</v>
      </c>
      <c r="J565">
        <f t="shared" ca="1" si="44"/>
        <v>1</v>
      </c>
      <c r="K565">
        <f t="shared" ca="1" si="45"/>
        <v>0</v>
      </c>
      <c r="L565" s="65">
        <v>559</v>
      </c>
      <c r="M565" s="71">
        <f t="shared" ca="1" si="41"/>
        <v>3.7358110445804216</v>
      </c>
      <c r="N565" s="65"/>
    </row>
    <row r="566" spans="1:14" x14ac:dyDescent="0.25">
      <c r="A566" s="2">
        <v>560</v>
      </c>
      <c r="B566" s="11">
        <f t="shared" ca="1" si="42"/>
        <v>1</v>
      </c>
      <c r="C566" s="26">
        <f t="shared" ca="1" si="43"/>
        <v>0.25238392308788959</v>
      </c>
      <c r="J566">
        <f t="shared" ca="1" si="44"/>
        <v>0</v>
      </c>
      <c r="K566">
        <f t="shared" ca="1" si="45"/>
        <v>0</v>
      </c>
      <c r="L566" s="65">
        <v>560</v>
      </c>
      <c r="M566" s="71">
        <f t="shared" ca="1" si="41"/>
        <v>0.30537130788159994</v>
      </c>
      <c r="N566" s="65"/>
    </row>
    <row r="567" spans="1:14" x14ac:dyDescent="0.25">
      <c r="A567" s="2">
        <v>561</v>
      </c>
      <c r="B567" s="11">
        <f t="shared" ca="1" si="42"/>
        <v>0</v>
      </c>
      <c r="C567" s="26">
        <f t="shared" ca="1" si="43"/>
        <v>0.78878947589135617</v>
      </c>
      <c r="J567">
        <f t="shared" ca="1" si="44"/>
        <v>0</v>
      </c>
      <c r="K567">
        <f t="shared" ca="1" si="45"/>
        <v>1</v>
      </c>
      <c r="L567" s="65">
        <v>561</v>
      </c>
      <c r="M567" s="71">
        <f t="shared" ca="1" si="41"/>
        <v>0</v>
      </c>
      <c r="N567" s="65"/>
    </row>
    <row r="568" spans="1:14" x14ac:dyDescent="0.25">
      <c r="A568" s="2">
        <v>562</v>
      </c>
      <c r="B568" s="11">
        <f t="shared" ca="1" si="42"/>
        <v>0</v>
      </c>
      <c r="C568" s="26">
        <f t="shared" ca="1" si="43"/>
        <v>0.7203552206920153</v>
      </c>
      <c r="J568">
        <f t="shared" ca="1" si="44"/>
        <v>0</v>
      </c>
      <c r="K568">
        <f t="shared" ca="1" si="45"/>
        <v>0</v>
      </c>
      <c r="L568" s="65">
        <v>562</v>
      </c>
      <c r="M568" s="71">
        <f t="shared" ca="1" si="41"/>
        <v>0</v>
      </c>
      <c r="N568" s="65"/>
    </row>
    <row r="569" spans="1:14" x14ac:dyDescent="0.25">
      <c r="A569" s="2">
        <v>563</v>
      </c>
      <c r="B569" s="11">
        <f t="shared" ca="1" si="42"/>
        <v>1</v>
      </c>
      <c r="C569" s="26">
        <f t="shared" ca="1" si="43"/>
        <v>0.27762984306991478</v>
      </c>
      <c r="J569">
        <f t="shared" ca="1" si="44"/>
        <v>0</v>
      </c>
      <c r="K569">
        <f t="shared" ca="1" si="45"/>
        <v>0</v>
      </c>
      <c r="L569" s="65">
        <v>563</v>
      </c>
      <c r="M569" s="71">
        <f t="shared" ca="1" si="41"/>
        <v>10.265755817189925</v>
      </c>
      <c r="N569" s="65"/>
    </row>
    <row r="570" spans="1:14" x14ac:dyDescent="0.25">
      <c r="A570" s="2">
        <v>564</v>
      </c>
      <c r="B570" s="11">
        <f t="shared" ca="1" si="42"/>
        <v>0</v>
      </c>
      <c r="C570" s="26">
        <f t="shared" ca="1" si="43"/>
        <v>0.80252138074309842</v>
      </c>
      <c r="J570">
        <f t="shared" ca="1" si="44"/>
        <v>0</v>
      </c>
      <c r="K570">
        <f t="shared" ca="1" si="45"/>
        <v>0</v>
      </c>
      <c r="L570" s="65">
        <v>564</v>
      </c>
      <c r="M570" s="71">
        <f t="shared" ca="1" si="41"/>
        <v>0</v>
      </c>
      <c r="N570" s="65"/>
    </row>
    <row r="571" spans="1:14" x14ac:dyDescent="0.25">
      <c r="A571" s="2">
        <v>565</v>
      </c>
      <c r="B571" s="11">
        <f t="shared" ca="1" si="42"/>
        <v>1</v>
      </c>
      <c r="C571" s="26">
        <f t="shared" ca="1" si="43"/>
        <v>0.20563848237590454</v>
      </c>
      <c r="J571">
        <f t="shared" ca="1" si="44"/>
        <v>0</v>
      </c>
      <c r="K571">
        <f t="shared" ca="1" si="45"/>
        <v>0</v>
      </c>
      <c r="L571" s="65">
        <v>565</v>
      </c>
      <c r="M571" s="71">
        <f t="shared" ca="1" si="41"/>
        <v>0.40760897600535351</v>
      </c>
      <c r="N571" s="65"/>
    </row>
    <row r="572" spans="1:14" x14ac:dyDescent="0.25">
      <c r="A572" s="2">
        <v>566</v>
      </c>
      <c r="B572" s="11">
        <f t="shared" ca="1" si="42"/>
        <v>0</v>
      </c>
      <c r="C572" s="26">
        <f t="shared" ca="1" si="43"/>
        <v>0.88285304720554147</v>
      </c>
      <c r="J572">
        <f t="shared" ca="1" si="44"/>
        <v>0</v>
      </c>
      <c r="K572">
        <f t="shared" ca="1" si="45"/>
        <v>0</v>
      </c>
      <c r="L572" s="65">
        <v>566</v>
      </c>
      <c r="M572" s="71">
        <f t="shared" ca="1" si="41"/>
        <v>0</v>
      </c>
      <c r="N572" s="65"/>
    </row>
    <row r="573" spans="1:14" x14ac:dyDescent="0.25">
      <c r="A573" s="2">
        <v>567</v>
      </c>
      <c r="B573" s="11">
        <f t="shared" ca="1" si="42"/>
        <v>1</v>
      </c>
      <c r="C573" s="26">
        <f t="shared" ca="1" si="43"/>
        <v>0.25445613254321342</v>
      </c>
      <c r="J573">
        <f t="shared" ca="1" si="44"/>
        <v>1</v>
      </c>
      <c r="K573">
        <f t="shared" ca="1" si="45"/>
        <v>0</v>
      </c>
      <c r="L573" s="65">
        <v>567</v>
      </c>
      <c r="M573" s="71">
        <f t="shared" ca="1" si="41"/>
        <v>2.5861577392537973</v>
      </c>
      <c r="N573" s="65"/>
    </row>
    <row r="574" spans="1:14" x14ac:dyDescent="0.25">
      <c r="A574" s="2">
        <v>568</v>
      </c>
      <c r="B574" s="11">
        <f t="shared" ca="1" si="42"/>
        <v>1</v>
      </c>
      <c r="C574" s="26">
        <f t="shared" ca="1" si="43"/>
        <v>0.58298571904332341</v>
      </c>
      <c r="J574">
        <f t="shared" ca="1" si="44"/>
        <v>1</v>
      </c>
      <c r="K574">
        <f t="shared" ca="1" si="45"/>
        <v>0</v>
      </c>
      <c r="L574" s="65">
        <v>568</v>
      </c>
      <c r="M574" s="71">
        <f t="shared" ca="1" si="41"/>
        <v>8.8368353211797199</v>
      </c>
      <c r="N574" s="65"/>
    </row>
    <row r="575" spans="1:14" x14ac:dyDescent="0.25">
      <c r="A575" s="2">
        <v>569</v>
      </c>
      <c r="B575" s="11">
        <f t="shared" ca="1" si="42"/>
        <v>1</v>
      </c>
      <c r="C575" s="26">
        <f t="shared" ca="1" si="43"/>
        <v>0.61490595016735494</v>
      </c>
      <c r="J575">
        <f t="shared" ca="1" si="44"/>
        <v>1</v>
      </c>
      <c r="K575">
        <f t="shared" ca="1" si="45"/>
        <v>0</v>
      </c>
      <c r="L575" s="65">
        <v>569</v>
      </c>
      <c r="M575" s="71">
        <f t="shared" ca="1" si="41"/>
        <v>1.7513268957488564</v>
      </c>
      <c r="N575" s="65"/>
    </row>
    <row r="576" spans="1:14" x14ac:dyDescent="0.25">
      <c r="A576" s="2">
        <v>570</v>
      </c>
      <c r="B576" s="11">
        <f t="shared" ca="1" si="42"/>
        <v>1</v>
      </c>
      <c r="C576" s="26">
        <f t="shared" ca="1" si="43"/>
        <v>3.1031698397153695E-3</v>
      </c>
      <c r="J576">
        <f t="shared" ca="1" si="44"/>
        <v>1</v>
      </c>
      <c r="K576">
        <f t="shared" ca="1" si="45"/>
        <v>0</v>
      </c>
      <c r="L576" s="65">
        <v>570</v>
      </c>
      <c r="M576" s="71">
        <f t="shared" ca="1" si="41"/>
        <v>2.6792073668869905</v>
      </c>
      <c r="N576" s="65"/>
    </row>
    <row r="577" spans="1:14" x14ac:dyDescent="0.25">
      <c r="A577" s="2">
        <v>571</v>
      </c>
      <c r="B577" s="11">
        <f t="shared" ca="1" si="42"/>
        <v>1</v>
      </c>
      <c r="C577" s="26">
        <f t="shared" ca="1" si="43"/>
        <v>0.63654212164233082</v>
      </c>
      <c r="J577">
        <f t="shared" ca="1" si="44"/>
        <v>0</v>
      </c>
      <c r="K577">
        <f t="shared" ca="1" si="45"/>
        <v>0</v>
      </c>
      <c r="L577" s="65">
        <v>571</v>
      </c>
      <c r="M577" s="71">
        <f t="shared" ca="1" si="41"/>
        <v>2.7855907377833615</v>
      </c>
      <c r="N577" s="65"/>
    </row>
    <row r="578" spans="1:14" x14ac:dyDescent="0.25">
      <c r="A578" s="2">
        <v>572</v>
      </c>
      <c r="B578" s="11">
        <f t="shared" ca="1" si="42"/>
        <v>0</v>
      </c>
      <c r="C578" s="26">
        <f t="shared" ca="1" si="43"/>
        <v>0.96789364255253885</v>
      </c>
      <c r="J578">
        <f t="shared" ca="1" si="44"/>
        <v>0</v>
      </c>
      <c r="K578">
        <f t="shared" ca="1" si="45"/>
        <v>1</v>
      </c>
      <c r="L578" s="65">
        <v>572</v>
      </c>
      <c r="M578" s="71">
        <f t="shared" ca="1" si="41"/>
        <v>0</v>
      </c>
      <c r="N578" s="65"/>
    </row>
    <row r="579" spans="1:14" x14ac:dyDescent="0.25">
      <c r="A579" s="2">
        <v>573</v>
      </c>
      <c r="B579" s="11">
        <f t="shared" ca="1" si="42"/>
        <v>0</v>
      </c>
      <c r="C579" s="26">
        <f t="shared" ca="1" si="43"/>
        <v>0.87500449987294748</v>
      </c>
      <c r="J579">
        <f t="shared" ca="1" si="44"/>
        <v>0</v>
      </c>
      <c r="K579">
        <f t="shared" ca="1" si="45"/>
        <v>1</v>
      </c>
      <c r="L579" s="65">
        <v>573</v>
      </c>
      <c r="M579" s="71">
        <f t="shared" ca="1" si="41"/>
        <v>0</v>
      </c>
      <c r="N579" s="65"/>
    </row>
    <row r="580" spans="1:14" x14ac:dyDescent="0.25">
      <c r="A580" s="2">
        <v>574</v>
      </c>
      <c r="B580" s="11">
        <f t="shared" ca="1" si="42"/>
        <v>0</v>
      </c>
      <c r="C580" s="26">
        <f t="shared" ca="1" si="43"/>
        <v>0.9688911323281858</v>
      </c>
      <c r="J580">
        <f t="shared" ca="1" si="44"/>
        <v>0</v>
      </c>
      <c r="K580">
        <f t="shared" ca="1" si="45"/>
        <v>1</v>
      </c>
      <c r="L580" s="65">
        <v>574</v>
      </c>
      <c r="M580" s="71">
        <f t="shared" ca="1" si="41"/>
        <v>0</v>
      </c>
      <c r="N580" s="65"/>
    </row>
    <row r="581" spans="1:14" x14ac:dyDescent="0.25">
      <c r="A581" s="2">
        <v>575</v>
      </c>
      <c r="B581" s="11">
        <f t="shared" ca="1" si="42"/>
        <v>0</v>
      </c>
      <c r="C581" s="26">
        <f t="shared" ca="1" si="43"/>
        <v>0.77010068058750192</v>
      </c>
      <c r="J581">
        <f t="shared" ca="1" si="44"/>
        <v>0</v>
      </c>
      <c r="K581">
        <f t="shared" ca="1" si="45"/>
        <v>1</v>
      </c>
      <c r="L581" s="65">
        <v>575</v>
      </c>
      <c r="M581" s="71">
        <f t="shared" ca="1" si="41"/>
        <v>0</v>
      </c>
      <c r="N581" s="65"/>
    </row>
    <row r="582" spans="1:14" x14ac:dyDescent="0.25">
      <c r="A582" s="2">
        <v>576</v>
      </c>
      <c r="B582" s="11">
        <f t="shared" ca="1" si="42"/>
        <v>0</v>
      </c>
      <c r="C582" s="26">
        <f t="shared" ca="1" si="43"/>
        <v>0.42866085675604326</v>
      </c>
      <c r="J582">
        <f t="shared" ca="1" si="44"/>
        <v>0</v>
      </c>
      <c r="K582">
        <f t="shared" ca="1" si="45"/>
        <v>1</v>
      </c>
      <c r="L582" s="65">
        <v>576</v>
      </c>
      <c r="M582" s="71">
        <f t="shared" ca="1" si="41"/>
        <v>0</v>
      </c>
      <c r="N582" s="65"/>
    </row>
    <row r="583" spans="1:14" x14ac:dyDescent="0.25">
      <c r="A583" s="2">
        <v>577</v>
      </c>
      <c r="B583" s="11">
        <f t="shared" ca="1" si="42"/>
        <v>0</v>
      </c>
      <c r="C583" s="26">
        <f t="shared" ca="1" si="43"/>
        <v>0.73929322146906595</v>
      </c>
      <c r="J583">
        <f t="shared" ca="1" si="44"/>
        <v>0</v>
      </c>
      <c r="K583">
        <f t="shared" ca="1" si="45"/>
        <v>0</v>
      </c>
      <c r="L583" s="65">
        <v>577</v>
      </c>
      <c r="M583" s="71">
        <f t="shared" ref="M583:M646" ca="1" si="46">IF(B583&gt;0,-LN(1-(RAND()))/lambda,0)</f>
        <v>0</v>
      </c>
      <c r="N583" s="65"/>
    </row>
    <row r="584" spans="1:14" x14ac:dyDescent="0.25">
      <c r="A584" s="2">
        <v>578</v>
      </c>
      <c r="B584" s="11">
        <f t="shared" ref="B584:B647" ca="1" si="47">IF(B583&gt;0,IF(C584&lt;pww,1,0),IF(C584&lt;pdw,1,0))</f>
        <v>1</v>
      </c>
      <c r="C584" s="26">
        <f t="shared" ref="C584:C647" ca="1" si="48">RAND()</f>
        <v>0.28746924547993558</v>
      </c>
      <c r="J584">
        <f t="shared" ref="J584:J647" ca="1" si="49">IF(AND(B584,B585),1,0)</f>
        <v>1</v>
      </c>
      <c r="K584">
        <f t="shared" ref="K584:K647" ca="1" si="50">IF(AND(NOT(B584),NOT(B585)),1,0)</f>
        <v>0</v>
      </c>
      <c r="L584" s="65">
        <v>578</v>
      </c>
      <c r="M584" s="71">
        <f t="shared" ca="1" si="46"/>
        <v>0.43155669701998589</v>
      </c>
      <c r="N584" s="65"/>
    </row>
    <row r="585" spans="1:14" x14ac:dyDescent="0.25">
      <c r="A585" s="2">
        <v>579</v>
      </c>
      <c r="B585" s="11">
        <f t="shared" ca="1" si="47"/>
        <v>1</v>
      </c>
      <c r="C585" s="26">
        <f t="shared" ca="1" si="48"/>
        <v>0.34477474584700774</v>
      </c>
      <c r="J585">
        <f t="shared" ca="1" si="49"/>
        <v>1</v>
      </c>
      <c r="K585">
        <f t="shared" ca="1" si="50"/>
        <v>0</v>
      </c>
      <c r="L585" s="65">
        <v>579</v>
      </c>
      <c r="M585" s="71">
        <f t="shared" ca="1" si="46"/>
        <v>2.6671159811535747</v>
      </c>
      <c r="N585" s="65"/>
    </row>
    <row r="586" spans="1:14" x14ac:dyDescent="0.25">
      <c r="A586" s="2">
        <v>580</v>
      </c>
      <c r="B586" s="11">
        <f t="shared" ca="1" si="47"/>
        <v>1</v>
      </c>
      <c r="C586" s="26">
        <f t="shared" ca="1" si="48"/>
        <v>0.62981108697898347</v>
      </c>
      <c r="J586">
        <f t="shared" ca="1" si="49"/>
        <v>1</v>
      </c>
      <c r="K586">
        <f t="shared" ca="1" si="50"/>
        <v>0</v>
      </c>
      <c r="L586" s="65">
        <v>580</v>
      </c>
      <c r="M586" s="71">
        <f t="shared" ca="1" si="46"/>
        <v>0.11790904418050364</v>
      </c>
      <c r="N586" s="65"/>
    </row>
    <row r="587" spans="1:14" x14ac:dyDescent="0.25">
      <c r="A587" s="2">
        <v>581</v>
      </c>
      <c r="B587" s="11">
        <f t="shared" ca="1" si="47"/>
        <v>1</v>
      </c>
      <c r="C587" s="26">
        <f t="shared" ca="1" si="48"/>
        <v>0.16853907079537989</v>
      </c>
      <c r="J587">
        <f t="shared" ca="1" si="49"/>
        <v>0</v>
      </c>
      <c r="K587">
        <f t="shared" ca="1" si="50"/>
        <v>0</v>
      </c>
      <c r="L587" s="65">
        <v>581</v>
      </c>
      <c r="M587" s="71">
        <f t="shared" ca="1" si="46"/>
        <v>0.24635550722010829</v>
      </c>
      <c r="N587" s="65"/>
    </row>
    <row r="588" spans="1:14" x14ac:dyDescent="0.25">
      <c r="A588" s="2">
        <v>582</v>
      </c>
      <c r="B588" s="11">
        <f t="shared" ca="1" si="47"/>
        <v>0</v>
      </c>
      <c r="C588" s="26">
        <f t="shared" ca="1" si="48"/>
        <v>0.76029973693524433</v>
      </c>
      <c r="J588">
        <f t="shared" ca="1" si="49"/>
        <v>0</v>
      </c>
      <c r="K588">
        <f t="shared" ca="1" si="50"/>
        <v>0</v>
      </c>
      <c r="L588" s="65">
        <v>582</v>
      </c>
      <c r="M588" s="71">
        <f t="shared" ca="1" si="46"/>
        <v>0</v>
      </c>
      <c r="N588" s="65"/>
    </row>
    <row r="589" spans="1:14" x14ac:dyDescent="0.25">
      <c r="A589" s="2">
        <v>583</v>
      </c>
      <c r="B589" s="11">
        <f t="shared" ca="1" si="47"/>
        <v>1</v>
      </c>
      <c r="C589" s="26">
        <f t="shared" ca="1" si="48"/>
        <v>0.23075359808036866</v>
      </c>
      <c r="J589">
        <f t="shared" ca="1" si="49"/>
        <v>1</v>
      </c>
      <c r="K589">
        <f t="shared" ca="1" si="50"/>
        <v>0</v>
      </c>
      <c r="L589" s="65">
        <v>583</v>
      </c>
      <c r="M589" s="71">
        <f t="shared" ca="1" si="46"/>
        <v>0.70911204479247369</v>
      </c>
      <c r="N589" s="65"/>
    </row>
    <row r="590" spans="1:14" x14ac:dyDescent="0.25">
      <c r="A590" s="2">
        <v>584</v>
      </c>
      <c r="B590" s="11">
        <f t="shared" ca="1" si="47"/>
        <v>1</v>
      </c>
      <c r="C590" s="26">
        <f t="shared" ca="1" si="48"/>
        <v>7.9437844808216695E-4</v>
      </c>
      <c r="J590">
        <f t="shared" ca="1" si="49"/>
        <v>1</v>
      </c>
      <c r="K590">
        <f t="shared" ca="1" si="50"/>
        <v>0</v>
      </c>
      <c r="L590" s="65">
        <v>584</v>
      </c>
      <c r="M590" s="71">
        <f t="shared" ca="1" si="46"/>
        <v>3.546880157123641</v>
      </c>
      <c r="N590" s="65"/>
    </row>
    <row r="591" spans="1:14" x14ac:dyDescent="0.25">
      <c r="A591" s="2">
        <v>585</v>
      </c>
      <c r="B591" s="11">
        <f t="shared" ca="1" si="47"/>
        <v>1</v>
      </c>
      <c r="C591" s="26">
        <f t="shared" ca="1" si="48"/>
        <v>0.3132720812556038</v>
      </c>
      <c r="J591">
        <f t="shared" ca="1" si="49"/>
        <v>1</v>
      </c>
      <c r="K591">
        <f t="shared" ca="1" si="50"/>
        <v>0</v>
      </c>
      <c r="L591" s="65">
        <v>585</v>
      </c>
      <c r="M591" s="71">
        <f t="shared" ca="1" si="46"/>
        <v>1.8946717538486428</v>
      </c>
      <c r="N591" s="65"/>
    </row>
    <row r="592" spans="1:14" x14ac:dyDescent="0.25">
      <c r="A592" s="2">
        <v>586</v>
      </c>
      <c r="B592" s="11">
        <f t="shared" ca="1" si="47"/>
        <v>1</v>
      </c>
      <c r="C592" s="26">
        <f t="shared" ca="1" si="48"/>
        <v>9.4877287922023879E-2</v>
      </c>
      <c r="J592">
        <f t="shared" ca="1" si="49"/>
        <v>1</v>
      </c>
      <c r="K592">
        <f t="shared" ca="1" si="50"/>
        <v>0</v>
      </c>
      <c r="L592" s="65">
        <v>586</v>
      </c>
      <c r="M592" s="71">
        <f t="shared" ca="1" si="46"/>
        <v>6.1525019057208752</v>
      </c>
      <c r="N592" s="65"/>
    </row>
    <row r="593" spans="1:14" x14ac:dyDescent="0.25">
      <c r="A593" s="2">
        <v>587</v>
      </c>
      <c r="B593" s="11">
        <f t="shared" ca="1" si="47"/>
        <v>1</v>
      </c>
      <c r="C593" s="26">
        <f t="shared" ca="1" si="48"/>
        <v>0.63387113639345261</v>
      </c>
      <c r="J593">
        <f t="shared" ca="1" si="49"/>
        <v>1</v>
      </c>
      <c r="K593">
        <f t="shared" ca="1" si="50"/>
        <v>0</v>
      </c>
      <c r="L593" s="65">
        <v>587</v>
      </c>
      <c r="M593" s="71">
        <f t="shared" ca="1" si="46"/>
        <v>0.71161107203256546</v>
      </c>
      <c r="N593" s="65"/>
    </row>
    <row r="594" spans="1:14" x14ac:dyDescent="0.25">
      <c r="A594" s="2">
        <v>588</v>
      </c>
      <c r="B594" s="11">
        <f t="shared" ca="1" si="47"/>
        <v>1</v>
      </c>
      <c r="C594" s="26">
        <f t="shared" ca="1" si="48"/>
        <v>0.70621642595700174</v>
      </c>
      <c r="J594">
        <f t="shared" ca="1" si="49"/>
        <v>0</v>
      </c>
      <c r="K594">
        <f t="shared" ca="1" si="50"/>
        <v>0</v>
      </c>
      <c r="L594" s="65">
        <v>588</v>
      </c>
      <c r="M594" s="71">
        <f t="shared" ca="1" si="46"/>
        <v>3.6840161707127623</v>
      </c>
      <c r="N594" s="65"/>
    </row>
    <row r="595" spans="1:14" x14ac:dyDescent="0.25">
      <c r="A595" s="2">
        <v>589</v>
      </c>
      <c r="B595" s="11">
        <f t="shared" ca="1" si="47"/>
        <v>0</v>
      </c>
      <c r="C595" s="26">
        <f t="shared" ca="1" si="48"/>
        <v>0.79921146156196243</v>
      </c>
      <c r="J595">
        <f t="shared" ca="1" si="49"/>
        <v>0</v>
      </c>
      <c r="K595">
        <f t="shared" ca="1" si="50"/>
        <v>1</v>
      </c>
      <c r="L595" s="65">
        <v>589</v>
      </c>
      <c r="M595" s="71">
        <f t="shared" ca="1" si="46"/>
        <v>0</v>
      </c>
      <c r="N595" s="65"/>
    </row>
    <row r="596" spans="1:14" x14ac:dyDescent="0.25">
      <c r="A596" s="2">
        <v>590</v>
      </c>
      <c r="B596" s="11">
        <f t="shared" ca="1" si="47"/>
        <v>0</v>
      </c>
      <c r="C596" s="26">
        <f t="shared" ca="1" si="48"/>
        <v>0.64587395443043349</v>
      </c>
      <c r="J596">
        <f t="shared" ca="1" si="49"/>
        <v>0</v>
      </c>
      <c r="K596">
        <f t="shared" ca="1" si="50"/>
        <v>1</v>
      </c>
      <c r="L596" s="65">
        <v>590</v>
      </c>
      <c r="M596" s="71">
        <f t="shared" ca="1" si="46"/>
        <v>0</v>
      </c>
      <c r="N596" s="65"/>
    </row>
    <row r="597" spans="1:14" x14ac:dyDescent="0.25">
      <c r="A597" s="2">
        <v>591</v>
      </c>
      <c r="B597" s="11">
        <f t="shared" ca="1" si="47"/>
        <v>0</v>
      </c>
      <c r="C597" s="26">
        <f t="shared" ca="1" si="48"/>
        <v>0.39227141859204906</v>
      </c>
      <c r="J597">
        <f t="shared" ca="1" si="49"/>
        <v>0</v>
      </c>
      <c r="K597">
        <f t="shared" ca="1" si="50"/>
        <v>0</v>
      </c>
      <c r="L597" s="65">
        <v>591</v>
      </c>
      <c r="M597" s="71">
        <f t="shared" ca="1" si="46"/>
        <v>0</v>
      </c>
      <c r="N597" s="65"/>
    </row>
    <row r="598" spans="1:14" x14ac:dyDescent="0.25">
      <c r="A598" s="2">
        <v>592</v>
      </c>
      <c r="B598" s="11">
        <f t="shared" ca="1" si="47"/>
        <v>1</v>
      </c>
      <c r="C598" s="26">
        <f t="shared" ca="1" si="48"/>
        <v>0.36292641760308775</v>
      </c>
      <c r="J598">
        <f t="shared" ca="1" si="49"/>
        <v>1</v>
      </c>
      <c r="K598">
        <f t="shared" ca="1" si="50"/>
        <v>0</v>
      </c>
      <c r="L598" s="65">
        <v>592</v>
      </c>
      <c r="M598" s="71">
        <f t="shared" ca="1" si="46"/>
        <v>2.9450482638287374</v>
      </c>
      <c r="N598" s="65"/>
    </row>
    <row r="599" spans="1:14" x14ac:dyDescent="0.25">
      <c r="A599" s="2">
        <v>593</v>
      </c>
      <c r="B599" s="11">
        <f t="shared" ca="1" si="47"/>
        <v>1</v>
      </c>
      <c r="C599" s="26">
        <f t="shared" ca="1" si="48"/>
        <v>0.22773320997086255</v>
      </c>
      <c r="J599">
        <f t="shared" ca="1" si="49"/>
        <v>1</v>
      </c>
      <c r="K599">
        <f t="shared" ca="1" si="50"/>
        <v>0</v>
      </c>
      <c r="L599" s="65">
        <v>593</v>
      </c>
      <c r="M599" s="71">
        <f t="shared" ca="1" si="46"/>
        <v>1.4332322539466356</v>
      </c>
      <c r="N599" s="65"/>
    </row>
    <row r="600" spans="1:14" x14ac:dyDescent="0.25">
      <c r="A600" s="2">
        <v>594</v>
      </c>
      <c r="B600" s="11">
        <f t="shared" ca="1" si="47"/>
        <v>1</v>
      </c>
      <c r="C600" s="26">
        <f t="shared" ca="1" si="48"/>
        <v>0.49442853509492524</v>
      </c>
      <c r="J600">
        <f t="shared" ca="1" si="49"/>
        <v>0</v>
      </c>
      <c r="K600">
        <f t="shared" ca="1" si="50"/>
        <v>0</v>
      </c>
      <c r="L600" s="65">
        <v>594</v>
      </c>
      <c r="M600" s="71">
        <f t="shared" ca="1" si="46"/>
        <v>1.0944869079682931</v>
      </c>
      <c r="N600" s="65"/>
    </row>
    <row r="601" spans="1:14" x14ac:dyDescent="0.25">
      <c r="A601" s="2">
        <v>595</v>
      </c>
      <c r="B601" s="11">
        <f t="shared" ca="1" si="47"/>
        <v>0</v>
      </c>
      <c r="C601" s="26">
        <f t="shared" ca="1" si="48"/>
        <v>0.94597940401211689</v>
      </c>
      <c r="J601">
        <f t="shared" ca="1" si="49"/>
        <v>0</v>
      </c>
      <c r="K601">
        <f t="shared" ca="1" si="50"/>
        <v>1</v>
      </c>
      <c r="L601" s="65">
        <v>595</v>
      </c>
      <c r="M601" s="71">
        <f t="shared" ca="1" si="46"/>
        <v>0</v>
      </c>
      <c r="N601" s="65"/>
    </row>
    <row r="602" spans="1:14" x14ac:dyDescent="0.25">
      <c r="A602" s="2">
        <v>596</v>
      </c>
      <c r="B602" s="11">
        <f t="shared" ca="1" si="47"/>
        <v>0</v>
      </c>
      <c r="C602" s="26">
        <f t="shared" ca="1" si="48"/>
        <v>0.54346202331518156</v>
      </c>
      <c r="J602">
        <f t="shared" ca="1" si="49"/>
        <v>0</v>
      </c>
      <c r="K602">
        <f t="shared" ca="1" si="50"/>
        <v>1</v>
      </c>
      <c r="L602" s="65">
        <v>596</v>
      </c>
      <c r="M602" s="71">
        <f t="shared" ca="1" si="46"/>
        <v>0</v>
      </c>
      <c r="N602" s="65"/>
    </row>
    <row r="603" spans="1:14" x14ac:dyDescent="0.25">
      <c r="A603" s="2">
        <v>597</v>
      </c>
      <c r="B603" s="11">
        <f t="shared" ca="1" si="47"/>
        <v>0</v>
      </c>
      <c r="C603" s="26">
        <f t="shared" ca="1" si="48"/>
        <v>0.6044770656716637</v>
      </c>
      <c r="J603">
        <f t="shared" ca="1" si="49"/>
        <v>0</v>
      </c>
      <c r="K603">
        <f t="shared" ca="1" si="50"/>
        <v>0</v>
      </c>
      <c r="L603" s="65">
        <v>597</v>
      </c>
      <c r="M603" s="71">
        <f t="shared" ca="1" si="46"/>
        <v>0</v>
      </c>
      <c r="N603" s="65"/>
    </row>
    <row r="604" spans="1:14" x14ac:dyDescent="0.25">
      <c r="A604" s="2">
        <v>598</v>
      </c>
      <c r="B604" s="11">
        <f t="shared" ca="1" si="47"/>
        <v>1</v>
      </c>
      <c r="C604" s="26">
        <f t="shared" ca="1" si="48"/>
        <v>0.17535131297606654</v>
      </c>
      <c r="J604">
        <f t="shared" ca="1" si="49"/>
        <v>1</v>
      </c>
      <c r="K604">
        <f t="shared" ca="1" si="50"/>
        <v>0</v>
      </c>
      <c r="L604" s="65">
        <v>598</v>
      </c>
      <c r="M604" s="71">
        <f t="shared" ca="1" si="46"/>
        <v>4.8309181865829904</v>
      </c>
      <c r="N604" s="65"/>
    </row>
    <row r="605" spans="1:14" x14ac:dyDescent="0.25">
      <c r="A605" s="2">
        <v>599</v>
      </c>
      <c r="B605" s="11">
        <f t="shared" ca="1" si="47"/>
        <v>1</v>
      </c>
      <c r="C605" s="26">
        <f t="shared" ca="1" si="48"/>
        <v>8.8974437349518265E-2</v>
      </c>
      <c r="J605">
        <f t="shared" ca="1" si="49"/>
        <v>0</v>
      </c>
      <c r="K605">
        <f t="shared" ca="1" si="50"/>
        <v>0</v>
      </c>
      <c r="L605" s="65">
        <v>599</v>
      </c>
      <c r="M605" s="71">
        <f t="shared" ca="1" si="46"/>
        <v>3.200229886444081</v>
      </c>
      <c r="N605" s="65"/>
    </row>
    <row r="606" spans="1:14" x14ac:dyDescent="0.25">
      <c r="A606" s="2">
        <v>600</v>
      </c>
      <c r="B606" s="11">
        <f t="shared" ca="1" si="47"/>
        <v>0</v>
      </c>
      <c r="C606" s="26">
        <f t="shared" ca="1" si="48"/>
        <v>0.78314533340632719</v>
      </c>
      <c r="J606">
        <f t="shared" ca="1" si="49"/>
        <v>0</v>
      </c>
      <c r="K606">
        <f t="shared" ca="1" si="50"/>
        <v>1</v>
      </c>
      <c r="L606" s="65">
        <v>600</v>
      </c>
      <c r="M606" s="71">
        <f t="shared" ca="1" si="46"/>
        <v>0</v>
      </c>
      <c r="N606" s="65"/>
    </row>
    <row r="607" spans="1:14" x14ac:dyDescent="0.25">
      <c r="A607" s="2">
        <v>601</v>
      </c>
      <c r="B607" s="11">
        <f t="shared" ca="1" si="47"/>
        <v>0</v>
      </c>
      <c r="C607" s="26">
        <f t="shared" ca="1" si="48"/>
        <v>0.48174930485074374</v>
      </c>
      <c r="J607">
        <f t="shared" ca="1" si="49"/>
        <v>0</v>
      </c>
      <c r="K607">
        <f t="shared" ca="1" si="50"/>
        <v>1</v>
      </c>
      <c r="L607" s="65">
        <v>601</v>
      </c>
      <c r="M607" s="71">
        <f t="shared" ca="1" si="46"/>
        <v>0</v>
      </c>
      <c r="N607" s="65"/>
    </row>
    <row r="608" spans="1:14" x14ac:dyDescent="0.25">
      <c r="A608" s="2">
        <v>602</v>
      </c>
      <c r="B608" s="11">
        <f t="shared" ca="1" si="47"/>
        <v>0</v>
      </c>
      <c r="C608" s="26">
        <f t="shared" ca="1" si="48"/>
        <v>0.55776515301092267</v>
      </c>
      <c r="J608">
        <f t="shared" ca="1" si="49"/>
        <v>0</v>
      </c>
      <c r="K608">
        <f t="shared" ca="1" si="50"/>
        <v>1</v>
      </c>
      <c r="L608" s="65">
        <v>602</v>
      </c>
      <c r="M608" s="71">
        <f t="shared" ca="1" si="46"/>
        <v>0</v>
      </c>
      <c r="N608" s="65"/>
    </row>
    <row r="609" spans="1:14" x14ac:dyDescent="0.25">
      <c r="A609" s="2">
        <v>603</v>
      </c>
      <c r="B609" s="11">
        <f t="shared" ca="1" si="47"/>
        <v>0</v>
      </c>
      <c r="C609" s="26">
        <f t="shared" ca="1" si="48"/>
        <v>0.45288964823678457</v>
      </c>
      <c r="J609">
        <f t="shared" ca="1" si="49"/>
        <v>0</v>
      </c>
      <c r="K609">
        <f t="shared" ca="1" si="50"/>
        <v>1</v>
      </c>
      <c r="L609" s="65">
        <v>603</v>
      </c>
      <c r="M609" s="71">
        <f t="shared" ca="1" si="46"/>
        <v>0</v>
      </c>
      <c r="N609" s="65"/>
    </row>
    <row r="610" spans="1:14" x14ac:dyDescent="0.25">
      <c r="A610" s="2">
        <v>604</v>
      </c>
      <c r="B610" s="11">
        <f t="shared" ca="1" si="47"/>
        <v>0</v>
      </c>
      <c r="C610" s="26">
        <f t="shared" ca="1" si="48"/>
        <v>0.48723793649851133</v>
      </c>
      <c r="J610">
        <f t="shared" ca="1" si="49"/>
        <v>0</v>
      </c>
      <c r="K610">
        <f t="shared" ca="1" si="50"/>
        <v>1</v>
      </c>
      <c r="L610" s="65">
        <v>604</v>
      </c>
      <c r="M610" s="71">
        <f t="shared" ca="1" si="46"/>
        <v>0</v>
      </c>
      <c r="N610" s="65"/>
    </row>
    <row r="611" spans="1:14" x14ac:dyDescent="0.25">
      <c r="A611" s="2">
        <v>605</v>
      </c>
      <c r="B611" s="11">
        <f t="shared" ca="1" si="47"/>
        <v>0</v>
      </c>
      <c r="C611" s="26">
        <f t="shared" ca="1" si="48"/>
        <v>0.82809094261213101</v>
      </c>
      <c r="J611">
        <f t="shared" ca="1" si="49"/>
        <v>0</v>
      </c>
      <c r="K611">
        <f t="shared" ca="1" si="50"/>
        <v>1</v>
      </c>
      <c r="L611" s="65">
        <v>605</v>
      </c>
      <c r="M611" s="71">
        <f t="shared" ca="1" si="46"/>
        <v>0</v>
      </c>
      <c r="N611" s="65"/>
    </row>
    <row r="612" spans="1:14" x14ac:dyDescent="0.25">
      <c r="A612" s="2">
        <v>606</v>
      </c>
      <c r="B612" s="11">
        <f t="shared" ca="1" si="47"/>
        <v>0</v>
      </c>
      <c r="C612" s="26">
        <f t="shared" ca="1" si="48"/>
        <v>0.94262369341353613</v>
      </c>
      <c r="J612">
        <f t="shared" ca="1" si="49"/>
        <v>0</v>
      </c>
      <c r="K612">
        <f t="shared" ca="1" si="50"/>
        <v>1</v>
      </c>
      <c r="L612" s="65">
        <v>606</v>
      </c>
      <c r="M612" s="71">
        <f t="shared" ca="1" si="46"/>
        <v>0</v>
      </c>
      <c r="N612" s="65"/>
    </row>
    <row r="613" spans="1:14" x14ac:dyDescent="0.25">
      <c r="A613" s="2">
        <v>607</v>
      </c>
      <c r="B613" s="11">
        <f t="shared" ca="1" si="47"/>
        <v>0</v>
      </c>
      <c r="C613" s="26">
        <f t="shared" ca="1" si="48"/>
        <v>0.48098549799291423</v>
      </c>
      <c r="J613">
        <f t="shared" ca="1" si="49"/>
        <v>0</v>
      </c>
      <c r="K613">
        <f t="shared" ca="1" si="50"/>
        <v>0</v>
      </c>
      <c r="L613" s="65">
        <v>607</v>
      </c>
      <c r="M613" s="71">
        <f t="shared" ca="1" si="46"/>
        <v>0</v>
      </c>
      <c r="N613" s="65"/>
    </row>
    <row r="614" spans="1:14" x14ac:dyDescent="0.25">
      <c r="A614" s="2">
        <v>608</v>
      </c>
      <c r="B614" s="11">
        <f t="shared" ca="1" si="47"/>
        <v>1</v>
      </c>
      <c r="C614" s="26">
        <f t="shared" ca="1" si="48"/>
        <v>9.0032675405571916E-2</v>
      </c>
      <c r="J614">
        <f t="shared" ca="1" si="49"/>
        <v>1</v>
      </c>
      <c r="K614">
        <f t="shared" ca="1" si="50"/>
        <v>0</v>
      </c>
      <c r="L614" s="65">
        <v>608</v>
      </c>
      <c r="M614" s="71">
        <f t="shared" ca="1" si="46"/>
        <v>1.5085667768633622</v>
      </c>
      <c r="N614" s="65"/>
    </row>
    <row r="615" spans="1:14" x14ac:dyDescent="0.25">
      <c r="A615" s="2">
        <v>609</v>
      </c>
      <c r="B615" s="11">
        <f t="shared" ca="1" si="47"/>
        <v>1</v>
      </c>
      <c r="C615" s="26">
        <f t="shared" ca="1" si="48"/>
        <v>0.34187283507975519</v>
      </c>
      <c r="J615">
        <f t="shared" ca="1" si="49"/>
        <v>1</v>
      </c>
      <c r="K615">
        <f t="shared" ca="1" si="50"/>
        <v>0</v>
      </c>
      <c r="L615" s="65">
        <v>609</v>
      </c>
      <c r="M615" s="71">
        <f t="shared" ca="1" si="46"/>
        <v>0.26769164906918708</v>
      </c>
      <c r="N615" s="65"/>
    </row>
    <row r="616" spans="1:14" x14ac:dyDescent="0.25">
      <c r="A616" s="2">
        <v>610</v>
      </c>
      <c r="B616" s="11">
        <f t="shared" ca="1" si="47"/>
        <v>1</v>
      </c>
      <c r="C616" s="26">
        <f t="shared" ca="1" si="48"/>
        <v>0.63295762035056347</v>
      </c>
      <c r="J616">
        <f t="shared" ca="1" si="49"/>
        <v>1</v>
      </c>
      <c r="K616">
        <f t="shared" ca="1" si="50"/>
        <v>0</v>
      </c>
      <c r="L616" s="65">
        <v>610</v>
      </c>
      <c r="M616" s="71">
        <f t="shared" ca="1" si="46"/>
        <v>2.5216815163698869</v>
      </c>
      <c r="N616" s="65"/>
    </row>
    <row r="617" spans="1:14" x14ac:dyDescent="0.25">
      <c r="A617" s="2">
        <v>611</v>
      </c>
      <c r="B617" s="11">
        <f t="shared" ca="1" si="47"/>
        <v>1</v>
      </c>
      <c r="C617" s="26">
        <f t="shared" ca="1" si="48"/>
        <v>0.398224862273725</v>
      </c>
      <c r="J617">
        <f t="shared" ca="1" si="49"/>
        <v>1</v>
      </c>
      <c r="K617">
        <f t="shared" ca="1" si="50"/>
        <v>0</v>
      </c>
      <c r="L617" s="65">
        <v>611</v>
      </c>
      <c r="M617" s="71">
        <f t="shared" ca="1" si="46"/>
        <v>0.66282409186572022</v>
      </c>
      <c r="N617" s="65"/>
    </row>
    <row r="618" spans="1:14" x14ac:dyDescent="0.25">
      <c r="A618" s="2">
        <v>612</v>
      </c>
      <c r="B618" s="11">
        <f t="shared" ca="1" si="47"/>
        <v>1</v>
      </c>
      <c r="C618" s="26">
        <f t="shared" ca="1" si="48"/>
        <v>0.11262775703408323</v>
      </c>
      <c r="J618">
        <f t="shared" ca="1" si="49"/>
        <v>1</v>
      </c>
      <c r="K618">
        <f t="shared" ca="1" si="50"/>
        <v>0</v>
      </c>
      <c r="L618" s="65">
        <v>612</v>
      </c>
      <c r="M618" s="71">
        <f t="shared" ca="1" si="46"/>
        <v>1.8783554435370819</v>
      </c>
      <c r="N618" s="65"/>
    </row>
    <row r="619" spans="1:14" x14ac:dyDescent="0.25">
      <c r="A619" s="2">
        <v>613</v>
      </c>
      <c r="B619" s="11">
        <f t="shared" ca="1" si="47"/>
        <v>1</v>
      </c>
      <c r="C619" s="26">
        <f t="shared" ca="1" si="48"/>
        <v>0.2009666834418562</v>
      </c>
      <c r="J619">
        <f t="shared" ca="1" si="49"/>
        <v>1</v>
      </c>
      <c r="K619">
        <f t="shared" ca="1" si="50"/>
        <v>0</v>
      </c>
      <c r="L619" s="65">
        <v>613</v>
      </c>
      <c r="M619" s="71">
        <f t="shared" ca="1" si="46"/>
        <v>0.23039939578090854</v>
      </c>
      <c r="N619" s="65"/>
    </row>
    <row r="620" spans="1:14" x14ac:dyDescent="0.25">
      <c r="A620" s="2">
        <v>614</v>
      </c>
      <c r="B620" s="11">
        <f t="shared" ca="1" si="47"/>
        <v>1</v>
      </c>
      <c r="C620" s="26">
        <f t="shared" ca="1" si="48"/>
        <v>0.2007297656035526</v>
      </c>
      <c r="J620">
        <f t="shared" ca="1" si="49"/>
        <v>0</v>
      </c>
      <c r="K620">
        <f t="shared" ca="1" si="50"/>
        <v>0</v>
      </c>
      <c r="L620" s="65">
        <v>614</v>
      </c>
      <c r="M620" s="71">
        <f t="shared" ca="1" si="46"/>
        <v>3.7668703687368312</v>
      </c>
      <c r="N620" s="65"/>
    </row>
    <row r="621" spans="1:14" x14ac:dyDescent="0.25">
      <c r="A621" s="2">
        <v>615</v>
      </c>
      <c r="B621" s="11">
        <f t="shared" ca="1" si="47"/>
        <v>0</v>
      </c>
      <c r="C621" s="26">
        <f t="shared" ca="1" si="48"/>
        <v>0.9266223233364258</v>
      </c>
      <c r="J621">
        <f t="shared" ca="1" si="49"/>
        <v>0</v>
      </c>
      <c r="K621">
        <f t="shared" ca="1" si="50"/>
        <v>1</v>
      </c>
      <c r="L621" s="65">
        <v>615</v>
      </c>
      <c r="M621" s="71">
        <f t="shared" ca="1" si="46"/>
        <v>0</v>
      </c>
      <c r="N621" s="65"/>
    </row>
    <row r="622" spans="1:14" x14ac:dyDescent="0.25">
      <c r="A622" s="2">
        <v>616</v>
      </c>
      <c r="B622" s="11">
        <f t="shared" ca="1" si="47"/>
        <v>0</v>
      </c>
      <c r="C622" s="26">
        <f t="shared" ca="1" si="48"/>
        <v>0.8061206790004749</v>
      </c>
      <c r="J622">
        <f t="shared" ca="1" si="49"/>
        <v>0</v>
      </c>
      <c r="K622">
        <f t="shared" ca="1" si="50"/>
        <v>0</v>
      </c>
      <c r="L622" s="65">
        <v>616</v>
      </c>
      <c r="M622" s="71">
        <f t="shared" ca="1" si="46"/>
        <v>0</v>
      </c>
      <c r="N622" s="65"/>
    </row>
    <row r="623" spans="1:14" x14ac:dyDescent="0.25">
      <c r="A623" s="2">
        <v>617</v>
      </c>
      <c r="B623" s="11">
        <f t="shared" ca="1" si="47"/>
        <v>1</v>
      </c>
      <c r="C623" s="26">
        <f t="shared" ca="1" si="48"/>
        <v>4.7918996351228094E-2</v>
      </c>
      <c r="J623">
        <f t="shared" ca="1" si="49"/>
        <v>0</v>
      </c>
      <c r="K623">
        <f t="shared" ca="1" si="50"/>
        <v>0</v>
      </c>
      <c r="L623" s="65">
        <v>617</v>
      </c>
      <c r="M623" s="71">
        <f t="shared" ca="1" si="46"/>
        <v>8.6628102099461951E-2</v>
      </c>
      <c r="N623" s="65"/>
    </row>
    <row r="624" spans="1:14" x14ac:dyDescent="0.25">
      <c r="A624" s="2">
        <v>618</v>
      </c>
      <c r="B624" s="11">
        <f t="shared" ca="1" si="47"/>
        <v>0</v>
      </c>
      <c r="C624" s="26">
        <f t="shared" ca="1" si="48"/>
        <v>0.79087637205751493</v>
      </c>
      <c r="J624">
        <f t="shared" ca="1" si="49"/>
        <v>0</v>
      </c>
      <c r="K624">
        <f t="shared" ca="1" si="50"/>
        <v>1</v>
      </c>
      <c r="L624" s="65">
        <v>618</v>
      </c>
      <c r="M624" s="71">
        <f t="shared" ca="1" si="46"/>
        <v>0</v>
      </c>
      <c r="N624" s="65"/>
    </row>
    <row r="625" spans="1:14" x14ac:dyDescent="0.25">
      <c r="A625" s="2">
        <v>619</v>
      </c>
      <c r="B625" s="11">
        <f t="shared" ca="1" si="47"/>
        <v>0</v>
      </c>
      <c r="C625" s="26">
        <f t="shared" ca="1" si="48"/>
        <v>0.60005447862255379</v>
      </c>
      <c r="J625">
        <f t="shared" ca="1" si="49"/>
        <v>0</v>
      </c>
      <c r="K625">
        <f t="shared" ca="1" si="50"/>
        <v>0</v>
      </c>
      <c r="L625" s="65">
        <v>619</v>
      </c>
      <c r="M625" s="71">
        <f t="shared" ca="1" si="46"/>
        <v>0</v>
      </c>
      <c r="N625" s="65"/>
    </row>
    <row r="626" spans="1:14" x14ac:dyDescent="0.25">
      <c r="A626" s="2">
        <v>620</v>
      </c>
      <c r="B626" s="11">
        <f t="shared" ca="1" si="47"/>
        <v>1</v>
      </c>
      <c r="C626" s="26">
        <f t="shared" ca="1" si="48"/>
        <v>0.10612144666893375</v>
      </c>
      <c r="J626">
        <f t="shared" ca="1" si="49"/>
        <v>1</v>
      </c>
      <c r="K626">
        <f t="shared" ca="1" si="50"/>
        <v>0</v>
      </c>
      <c r="L626" s="65">
        <v>620</v>
      </c>
      <c r="M626" s="71">
        <f t="shared" ca="1" si="46"/>
        <v>5.1532533072711706</v>
      </c>
      <c r="N626" s="65"/>
    </row>
    <row r="627" spans="1:14" x14ac:dyDescent="0.25">
      <c r="A627" s="2">
        <v>621</v>
      </c>
      <c r="B627" s="11">
        <f t="shared" ca="1" si="47"/>
        <v>1</v>
      </c>
      <c r="C627" s="26">
        <f t="shared" ca="1" si="48"/>
        <v>7.6480283344903977E-2</v>
      </c>
      <c r="J627">
        <f t="shared" ca="1" si="49"/>
        <v>1</v>
      </c>
      <c r="K627">
        <f t="shared" ca="1" si="50"/>
        <v>0</v>
      </c>
      <c r="L627" s="65">
        <v>621</v>
      </c>
      <c r="M627" s="71">
        <f t="shared" ca="1" si="46"/>
        <v>0.55305457412222114</v>
      </c>
      <c r="N627" s="65"/>
    </row>
    <row r="628" spans="1:14" x14ac:dyDescent="0.25">
      <c r="A628" s="2">
        <v>622</v>
      </c>
      <c r="B628" s="11">
        <f t="shared" ca="1" si="47"/>
        <v>1</v>
      </c>
      <c r="C628" s="26">
        <f t="shared" ca="1" si="48"/>
        <v>0.13637397319474576</v>
      </c>
      <c r="J628">
        <f t="shared" ca="1" si="49"/>
        <v>1</v>
      </c>
      <c r="K628">
        <f t="shared" ca="1" si="50"/>
        <v>0</v>
      </c>
      <c r="L628" s="65">
        <v>622</v>
      </c>
      <c r="M628" s="71">
        <f t="shared" ca="1" si="46"/>
        <v>3.3134767396008784</v>
      </c>
      <c r="N628" s="65"/>
    </row>
    <row r="629" spans="1:14" x14ac:dyDescent="0.25">
      <c r="A629" s="2">
        <v>623</v>
      </c>
      <c r="B629" s="11">
        <f t="shared" ca="1" si="47"/>
        <v>1</v>
      </c>
      <c r="C629" s="26">
        <f t="shared" ca="1" si="48"/>
        <v>8.5910754830559877E-2</v>
      </c>
      <c r="J629">
        <f t="shared" ca="1" si="49"/>
        <v>0</v>
      </c>
      <c r="K629">
        <f t="shared" ca="1" si="50"/>
        <v>0</v>
      </c>
      <c r="L629" s="65">
        <v>623</v>
      </c>
      <c r="M629" s="71">
        <f t="shared" ca="1" si="46"/>
        <v>4.0108349040579583</v>
      </c>
      <c r="N629" s="65"/>
    </row>
    <row r="630" spans="1:14" x14ac:dyDescent="0.25">
      <c r="A630" s="2">
        <v>624</v>
      </c>
      <c r="B630" s="11">
        <f t="shared" ca="1" si="47"/>
        <v>0</v>
      </c>
      <c r="C630" s="26">
        <f t="shared" ca="1" si="48"/>
        <v>0.96837447957325573</v>
      </c>
      <c r="J630">
        <f t="shared" ca="1" si="49"/>
        <v>0</v>
      </c>
      <c r="K630">
        <f t="shared" ca="1" si="50"/>
        <v>0</v>
      </c>
      <c r="L630" s="65">
        <v>624</v>
      </c>
      <c r="M630" s="71">
        <f t="shared" ca="1" si="46"/>
        <v>0</v>
      </c>
      <c r="N630" s="65"/>
    </row>
    <row r="631" spans="1:14" x14ac:dyDescent="0.25">
      <c r="A631" s="2">
        <v>625</v>
      </c>
      <c r="B631" s="11">
        <f t="shared" ca="1" si="47"/>
        <v>1</v>
      </c>
      <c r="C631" s="26">
        <f t="shared" ca="1" si="48"/>
        <v>0.24870592095945732</v>
      </c>
      <c r="J631">
        <f t="shared" ca="1" si="49"/>
        <v>0</v>
      </c>
      <c r="K631">
        <f t="shared" ca="1" si="50"/>
        <v>0</v>
      </c>
      <c r="L631" s="65">
        <v>625</v>
      </c>
      <c r="M631" s="71">
        <f t="shared" ca="1" si="46"/>
        <v>0.96715978819551085</v>
      </c>
      <c r="N631" s="65"/>
    </row>
    <row r="632" spans="1:14" x14ac:dyDescent="0.25">
      <c r="A632" s="2">
        <v>626</v>
      </c>
      <c r="B632" s="11">
        <f t="shared" ca="1" si="47"/>
        <v>0</v>
      </c>
      <c r="C632" s="26">
        <f t="shared" ca="1" si="48"/>
        <v>0.89450087675212897</v>
      </c>
      <c r="J632">
        <f t="shared" ca="1" si="49"/>
        <v>0</v>
      </c>
      <c r="K632">
        <f t="shared" ca="1" si="50"/>
        <v>0</v>
      </c>
      <c r="L632" s="65">
        <v>626</v>
      </c>
      <c r="M632" s="71">
        <f t="shared" ca="1" si="46"/>
        <v>0</v>
      </c>
      <c r="N632" s="65"/>
    </row>
    <row r="633" spans="1:14" x14ac:dyDescent="0.25">
      <c r="A633" s="2">
        <v>627</v>
      </c>
      <c r="B633" s="11">
        <f t="shared" ca="1" si="47"/>
        <v>1</v>
      </c>
      <c r="C633" s="26">
        <f t="shared" ca="1" si="48"/>
        <v>0.18993777034294945</v>
      </c>
      <c r="J633">
        <f t="shared" ca="1" si="49"/>
        <v>1</v>
      </c>
      <c r="K633">
        <f t="shared" ca="1" si="50"/>
        <v>0</v>
      </c>
      <c r="L633" s="65">
        <v>627</v>
      </c>
      <c r="M633" s="71">
        <f t="shared" ca="1" si="46"/>
        <v>11.499152874089129</v>
      </c>
      <c r="N633" s="65"/>
    </row>
    <row r="634" spans="1:14" x14ac:dyDescent="0.25">
      <c r="A634" s="2">
        <v>628</v>
      </c>
      <c r="B634" s="11">
        <f t="shared" ca="1" si="47"/>
        <v>1</v>
      </c>
      <c r="C634" s="26">
        <f t="shared" ca="1" si="48"/>
        <v>1.1188119725382029E-2</v>
      </c>
      <c r="J634">
        <f t="shared" ca="1" si="49"/>
        <v>1</v>
      </c>
      <c r="K634">
        <f t="shared" ca="1" si="50"/>
        <v>0</v>
      </c>
      <c r="L634" s="65">
        <v>628</v>
      </c>
      <c r="M634" s="71">
        <f t="shared" ca="1" si="46"/>
        <v>4.4386428200149961</v>
      </c>
      <c r="N634" s="65"/>
    </row>
    <row r="635" spans="1:14" x14ac:dyDescent="0.25">
      <c r="A635" s="2">
        <v>629</v>
      </c>
      <c r="B635" s="11">
        <f t="shared" ca="1" si="47"/>
        <v>1</v>
      </c>
      <c r="C635" s="26">
        <f t="shared" ca="1" si="48"/>
        <v>0.56516076946549976</v>
      </c>
      <c r="J635">
        <f t="shared" ca="1" si="49"/>
        <v>1</v>
      </c>
      <c r="K635">
        <f t="shared" ca="1" si="50"/>
        <v>0</v>
      </c>
      <c r="L635" s="65">
        <v>629</v>
      </c>
      <c r="M635" s="71">
        <f t="shared" ca="1" si="46"/>
        <v>2.3497642621417669</v>
      </c>
      <c r="N635" s="65"/>
    </row>
    <row r="636" spans="1:14" x14ac:dyDescent="0.25">
      <c r="A636" s="2">
        <v>630</v>
      </c>
      <c r="B636" s="11">
        <f t="shared" ca="1" si="47"/>
        <v>1</v>
      </c>
      <c r="C636" s="26">
        <f t="shared" ca="1" si="48"/>
        <v>0.33193953492156325</v>
      </c>
      <c r="J636">
        <f t="shared" ca="1" si="49"/>
        <v>1</v>
      </c>
      <c r="K636">
        <f t="shared" ca="1" si="50"/>
        <v>0</v>
      </c>
      <c r="L636" s="65">
        <v>630</v>
      </c>
      <c r="M636" s="71">
        <f t="shared" ca="1" si="46"/>
        <v>0.83613821310239533</v>
      </c>
      <c r="N636" s="65"/>
    </row>
    <row r="637" spans="1:14" x14ac:dyDescent="0.25">
      <c r="A637" s="2">
        <v>631</v>
      </c>
      <c r="B637" s="11">
        <f t="shared" ca="1" si="47"/>
        <v>1</v>
      </c>
      <c r="C637" s="26">
        <f t="shared" ca="1" si="48"/>
        <v>0.29381891593864951</v>
      </c>
      <c r="J637">
        <f t="shared" ca="1" si="49"/>
        <v>1</v>
      </c>
      <c r="K637">
        <f t="shared" ca="1" si="50"/>
        <v>0</v>
      </c>
      <c r="L637" s="65">
        <v>631</v>
      </c>
      <c r="M637" s="71">
        <f t="shared" ca="1" si="46"/>
        <v>1.6983979526008854</v>
      </c>
      <c r="N637" s="65"/>
    </row>
    <row r="638" spans="1:14" x14ac:dyDescent="0.25">
      <c r="A638" s="2">
        <v>632</v>
      </c>
      <c r="B638" s="11">
        <f t="shared" ca="1" si="47"/>
        <v>1</v>
      </c>
      <c r="C638" s="26">
        <f t="shared" ca="1" si="48"/>
        <v>0.26499074935606182</v>
      </c>
      <c r="J638">
        <f t="shared" ca="1" si="49"/>
        <v>1</v>
      </c>
      <c r="K638">
        <f t="shared" ca="1" si="50"/>
        <v>0</v>
      </c>
      <c r="L638" s="65">
        <v>632</v>
      </c>
      <c r="M638" s="71">
        <f t="shared" ca="1" si="46"/>
        <v>1.4382674208810859</v>
      </c>
      <c r="N638" s="65"/>
    </row>
    <row r="639" spans="1:14" x14ac:dyDescent="0.25">
      <c r="A639" s="2">
        <v>633</v>
      </c>
      <c r="B639" s="11">
        <f t="shared" ca="1" si="47"/>
        <v>1</v>
      </c>
      <c r="C639" s="26">
        <f t="shared" ca="1" si="48"/>
        <v>0.60504918302516963</v>
      </c>
      <c r="J639">
        <f t="shared" ca="1" si="49"/>
        <v>1</v>
      </c>
      <c r="K639">
        <f t="shared" ca="1" si="50"/>
        <v>0</v>
      </c>
      <c r="L639" s="65">
        <v>633</v>
      </c>
      <c r="M639" s="71">
        <f t="shared" ca="1" si="46"/>
        <v>4.9259855879252328</v>
      </c>
      <c r="N639" s="65"/>
    </row>
    <row r="640" spans="1:14" x14ac:dyDescent="0.25">
      <c r="A640" s="2">
        <v>634</v>
      </c>
      <c r="B640" s="11">
        <f t="shared" ca="1" si="47"/>
        <v>1</v>
      </c>
      <c r="C640" s="26">
        <f t="shared" ca="1" si="48"/>
        <v>0.33561916373752598</v>
      </c>
      <c r="J640">
        <f t="shared" ca="1" si="49"/>
        <v>0</v>
      </c>
      <c r="K640">
        <f t="shared" ca="1" si="50"/>
        <v>0</v>
      </c>
      <c r="L640" s="65">
        <v>634</v>
      </c>
      <c r="M640" s="71">
        <f t="shared" ca="1" si="46"/>
        <v>3.6845183708383837</v>
      </c>
      <c r="N640" s="65"/>
    </row>
    <row r="641" spans="1:14" x14ac:dyDescent="0.25">
      <c r="A641" s="2">
        <v>635</v>
      </c>
      <c r="B641" s="11">
        <f t="shared" ca="1" si="47"/>
        <v>0</v>
      </c>
      <c r="C641" s="26">
        <f t="shared" ca="1" si="48"/>
        <v>0.99891655720577088</v>
      </c>
      <c r="J641">
        <f t="shared" ca="1" si="49"/>
        <v>0</v>
      </c>
      <c r="K641">
        <f t="shared" ca="1" si="50"/>
        <v>0</v>
      </c>
      <c r="L641" s="65">
        <v>635</v>
      </c>
      <c r="M641" s="71">
        <f t="shared" ca="1" si="46"/>
        <v>0</v>
      </c>
      <c r="N641" s="65"/>
    </row>
    <row r="642" spans="1:14" x14ac:dyDescent="0.25">
      <c r="A642" s="2">
        <v>636</v>
      </c>
      <c r="B642" s="11">
        <f t="shared" ca="1" si="47"/>
        <v>1</v>
      </c>
      <c r="C642" s="26">
        <f t="shared" ca="1" si="48"/>
        <v>5.1291368331148446E-2</v>
      </c>
      <c r="J642">
        <f t="shared" ca="1" si="49"/>
        <v>1</v>
      </c>
      <c r="K642">
        <f t="shared" ca="1" si="50"/>
        <v>0</v>
      </c>
      <c r="L642" s="65">
        <v>636</v>
      </c>
      <c r="M642" s="71">
        <f t="shared" ca="1" si="46"/>
        <v>0.10810072374075914</v>
      </c>
      <c r="N642" s="65"/>
    </row>
    <row r="643" spans="1:14" x14ac:dyDescent="0.25">
      <c r="A643" s="2">
        <v>637</v>
      </c>
      <c r="B643" s="11">
        <f t="shared" ca="1" si="47"/>
        <v>1</v>
      </c>
      <c r="C643" s="26">
        <f t="shared" ca="1" si="48"/>
        <v>0.12833428083507903</v>
      </c>
      <c r="J643">
        <f t="shared" ca="1" si="49"/>
        <v>0</v>
      </c>
      <c r="K643">
        <f t="shared" ca="1" si="50"/>
        <v>0</v>
      </c>
      <c r="L643" s="65">
        <v>637</v>
      </c>
      <c r="M643" s="71">
        <f t="shared" ca="1" si="46"/>
        <v>1.9980226663245109</v>
      </c>
      <c r="N643" s="65"/>
    </row>
    <row r="644" spans="1:14" x14ac:dyDescent="0.25">
      <c r="A644" s="2">
        <v>638</v>
      </c>
      <c r="B644" s="11">
        <f t="shared" ca="1" si="47"/>
        <v>0</v>
      </c>
      <c r="C644" s="26">
        <f t="shared" ca="1" si="48"/>
        <v>0.8337708683203201</v>
      </c>
      <c r="J644">
        <f t="shared" ca="1" si="49"/>
        <v>0</v>
      </c>
      <c r="K644">
        <f t="shared" ca="1" si="50"/>
        <v>1</v>
      </c>
      <c r="L644" s="65">
        <v>638</v>
      </c>
      <c r="M644" s="71">
        <f t="shared" ca="1" si="46"/>
        <v>0</v>
      </c>
      <c r="N644" s="65"/>
    </row>
    <row r="645" spans="1:14" x14ac:dyDescent="0.25">
      <c r="A645" s="2">
        <v>639</v>
      </c>
      <c r="B645" s="11">
        <f t="shared" ca="1" si="47"/>
        <v>0</v>
      </c>
      <c r="C645" s="26">
        <f t="shared" ca="1" si="48"/>
        <v>0.80125137222023246</v>
      </c>
      <c r="J645">
        <f t="shared" ca="1" si="49"/>
        <v>0</v>
      </c>
      <c r="K645">
        <f t="shared" ca="1" si="50"/>
        <v>0</v>
      </c>
      <c r="L645" s="65">
        <v>639</v>
      </c>
      <c r="M645" s="71">
        <f t="shared" ca="1" si="46"/>
        <v>0</v>
      </c>
      <c r="N645" s="65"/>
    </row>
    <row r="646" spans="1:14" x14ac:dyDescent="0.25">
      <c r="A646" s="2">
        <v>640</v>
      </c>
      <c r="B646" s="11">
        <f t="shared" ca="1" si="47"/>
        <v>1</v>
      </c>
      <c r="C646" s="26">
        <f t="shared" ca="1" si="48"/>
        <v>4.346096870291416E-2</v>
      </c>
      <c r="J646">
        <f t="shared" ca="1" si="49"/>
        <v>1</v>
      </c>
      <c r="K646">
        <f t="shared" ca="1" si="50"/>
        <v>0</v>
      </c>
      <c r="L646" s="65">
        <v>640</v>
      </c>
      <c r="M646" s="71">
        <f t="shared" ca="1" si="46"/>
        <v>4.9403967199336174</v>
      </c>
      <c r="N646" s="65"/>
    </row>
    <row r="647" spans="1:14" x14ac:dyDescent="0.25">
      <c r="A647" s="2">
        <v>641</v>
      </c>
      <c r="B647" s="11">
        <f t="shared" ca="1" si="47"/>
        <v>1</v>
      </c>
      <c r="C647" s="26">
        <f t="shared" ca="1" si="48"/>
        <v>0.21841464170004865</v>
      </c>
      <c r="J647">
        <f t="shared" ca="1" si="49"/>
        <v>1</v>
      </c>
      <c r="K647">
        <f t="shared" ca="1" si="50"/>
        <v>0</v>
      </c>
      <c r="L647" s="65">
        <v>641</v>
      </c>
      <c r="M647" s="71">
        <f t="shared" ref="M647:M710" ca="1" si="51">IF(B647&gt;0,-LN(1-(RAND()))/lambda,0)</f>
        <v>1.2631869146239496</v>
      </c>
      <c r="N647" s="65"/>
    </row>
    <row r="648" spans="1:14" x14ac:dyDescent="0.25">
      <c r="A648" s="2">
        <v>642</v>
      </c>
      <c r="B648" s="11">
        <f t="shared" ref="B648:B711" ca="1" si="52">IF(B647&gt;0,IF(C648&lt;pww,1,0),IF(C648&lt;pdw,1,0))</f>
        <v>1</v>
      </c>
      <c r="C648" s="26">
        <f t="shared" ref="C648:C711" ca="1" si="53">RAND()</f>
        <v>0.22402029320832639</v>
      </c>
      <c r="J648">
        <f t="shared" ref="J648:J711" ca="1" si="54">IF(AND(B648,B649),1,0)</f>
        <v>1</v>
      </c>
      <c r="K648">
        <f t="shared" ref="K648:K711" ca="1" si="55">IF(AND(NOT(B648),NOT(B649)),1,0)</f>
        <v>0</v>
      </c>
      <c r="L648" s="65">
        <v>642</v>
      </c>
      <c r="M648" s="71">
        <f t="shared" ca="1" si="51"/>
        <v>0.70194612457065453</v>
      </c>
      <c r="N648" s="65"/>
    </row>
    <row r="649" spans="1:14" x14ac:dyDescent="0.25">
      <c r="A649" s="2">
        <v>643</v>
      </c>
      <c r="B649" s="11">
        <f t="shared" ca="1" si="52"/>
        <v>1</v>
      </c>
      <c r="C649" s="26">
        <f t="shared" ca="1" si="53"/>
        <v>0.37477452447620641</v>
      </c>
      <c r="J649">
        <f t="shared" ca="1" si="54"/>
        <v>0</v>
      </c>
      <c r="K649">
        <f t="shared" ca="1" si="55"/>
        <v>0</v>
      </c>
      <c r="L649" s="65">
        <v>643</v>
      </c>
      <c r="M649" s="71">
        <f t="shared" ca="1" si="51"/>
        <v>2.8764289530035567</v>
      </c>
      <c r="N649" s="65"/>
    </row>
    <row r="650" spans="1:14" x14ac:dyDescent="0.25">
      <c r="A650" s="2">
        <v>644</v>
      </c>
      <c r="B650" s="11">
        <f t="shared" ca="1" si="52"/>
        <v>0</v>
      </c>
      <c r="C650" s="26">
        <f t="shared" ca="1" si="53"/>
        <v>0.98331400914624167</v>
      </c>
      <c r="J650">
        <f t="shared" ca="1" si="54"/>
        <v>0</v>
      </c>
      <c r="K650">
        <f t="shared" ca="1" si="55"/>
        <v>1</v>
      </c>
      <c r="L650" s="65">
        <v>644</v>
      </c>
      <c r="M650" s="71">
        <f t="shared" ca="1" si="51"/>
        <v>0</v>
      </c>
      <c r="N650" s="65"/>
    </row>
    <row r="651" spans="1:14" x14ac:dyDescent="0.25">
      <c r="A651" s="2">
        <v>645</v>
      </c>
      <c r="B651" s="11">
        <f t="shared" ca="1" si="52"/>
        <v>0</v>
      </c>
      <c r="C651" s="26">
        <f t="shared" ca="1" si="53"/>
        <v>0.57894134052938906</v>
      </c>
      <c r="J651">
        <f t="shared" ca="1" si="54"/>
        <v>0</v>
      </c>
      <c r="K651">
        <f t="shared" ca="1" si="55"/>
        <v>0</v>
      </c>
      <c r="L651" s="65">
        <v>645</v>
      </c>
      <c r="M651" s="71">
        <f t="shared" ca="1" si="51"/>
        <v>0</v>
      </c>
      <c r="N651" s="65"/>
    </row>
    <row r="652" spans="1:14" x14ac:dyDescent="0.25">
      <c r="A652" s="2">
        <v>646</v>
      </c>
      <c r="B652" s="11">
        <f t="shared" ca="1" si="52"/>
        <v>1</v>
      </c>
      <c r="C652" s="26">
        <f t="shared" ca="1" si="53"/>
        <v>0.16196649010290365</v>
      </c>
      <c r="J652">
        <f t="shared" ca="1" si="54"/>
        <v>0</v>
      </c>
      <c r="K652">
        <f t="shared" ca="1" si="55"/>
        <v>0</v>
      </c>
      <c r="L652" s="65">
        <v>646</v>
      </c>
      <c r="M652" s="71">
        <f t="shared" ca="1" si="51"/>
        <v>16.606703358124737</v>
      </c>
      <c r="N652" s="65"/>
    </row>
    <row r="653" spans="1:14" x14ac:dyDescent="0.25">
      <c r="A653" s="2">
        <v>647</v>
      </c>
      <c r="B653" s="11">
        <f t="shared" ca="1" si="52"/>
        <v>0</v>
      </c>
      <c r="C653" s="26">
        <f t="shared" ca="1" si="53"/>
        <v>0.76061867564284824</v>
      </c>
      <c r="J653">
        <f t="shared" ca="1" si="54"/>
        <v>0</v>
      </c>
      <c r="K653">
        <f t="shared" ca="1" si="55"/>
        <v>0</v>
      </c>
      <c r="L653" s="65">
        <v>647</v>
      </c>
      <c r="M653" s="71">
        <f t="shared" ca="1" si="51"/>
        <v>0</v>
      </c>
      <c r="N653" s="65"/>
    </row>
    <row r="654" spans="1:14" x14ac:dyDescent="0.25">
      <c r="A654" s="2">
        <v>648</v>
      </c>
      <c r="B654" s="11">
        <f t="shared" ca="1" si="52"/>
        <v>1</v>
      </c>
      <c r="C654" s="26">
        <f t="shared" ca="1" si="53"/>
        <v>0.3257625565149902</v>
      </c>
      <c r="J654">
        <f t="shared" ca="1" si="54"/>
        <v>1</v>
      </c>
      <c r="K654">
        <f t="shared" ca="1" si="55"/>
        <v>0</v>
      </c>
      <c r="L654" s="65">
        <v>648</v>
      </c>
      <c r="M654" s="71">
        <f t="shared" ca="1" si="51"/>
        <v>3.4572142962025039</v>
      </c>
      <c r="N654" s="65"/>
    </row>
    <row r="655" spans="1:14" x14ac:dyDescent="0.25">
      <c r="A655" s="2">
        <v>649</v>
      </c>
      <c r="B655" s="11">
        <f t="shared" ca="1" si="52"/>
        <v>1</v>
      </c>
      <c r="C655" s="26">
        <f t="shared" ca="1" si="53"/>
        <v>0.35670234831077186</v>
      </c>
      <c r="J655">
        <f t="shared" ca="1" si="54"/>
        <v>1</v>
      </c>
      <c r="K655">
        <f t="shared" ca="1" si="55"/>
        <v>0</v>
      </c>
      <c r="L655" s="65">
        <v>649</v>
      </c>
      <c r="M655" s="71">
        <f t="shared" ca="1" si="51"/>
        <v>0.12667501880299981</v>
      </c>
      <c r="N655" s="65"/>
    </row>
    <row r="656" spans="1:14" x14ac:dyDescent="0.25">
      <c r="A656" s="2">
        <v>650</v>
      </c>
      <c r="B656" s="11">
        <f t="shared" ca="1" si="52"/>
        <v>1</v>
      </c>
      <c r="C656" s="26">
        <f t="shared" ca="1" si="53"/>
        <v>7.118786560278012E-2</v>
      </c>
      <c r="J656">
        <f t="shared" ca="1" si="54"/>
        <v>0</v>
      </c>
      <c r="K656">
        <f t="shared" ca="1" si="55"/>
        <v>0</v>
      </c>
      <c r="L656" s="65">
        <v>650</v>
      </c>
      <c r="M656" s="71">
        <f t="shared" ca="1" si="51"/>
        <v>0.43932045096015165</v>
      </c>
      <c r="N656" s="65"/>
    </row>
    <row r="657" spans="1:14" x14ac:dyDescent="0.25">
      <c r="A657" s="2">
        <v>651</v>
      </c>
      <c r="B657" s="11">
        <f t="shared" ca="1" si="52"/>
        <v>0</v>
      </c>
      <c r="C657" s="26">
        <f t="shared" ca="1" si="53"/>
        <v>0.92722810881571271</v>
      </c>
      <c r="J657">
        <f t="shared" ca="1" si="54"/>
        <v>0</v>
      </c>
      <c r="K657">
        <f t="shared" ca="1" si="55"/>
        <v>1</v>
      </c>
      <c r="L657" s="65">
        <v>651</v>
      </c>
      <c r="M657" s="71">
        <f t="shared" ca="1" si="51"/>
        <v>0</v>
      </c>
      <c r="N657" s="65"/>
    </row>
    <row r="658" spans="1:14" x14ac:dyDescent="0.25">
      <c r="A658" s="2">
        <v>652</v>
      </c>
      <c r="B658" s="11">
        <f t="shared" ca="1" si="52"/>
        <v>0</v>
      </c>
      <c r="C658" s="26">
        <f t="shared" ca="1" si="53"/>
        <v>0.54812843393626598</v>
      </c>
      <c r="J658">
        <f t="shared" ca="1" si="54"/>
        <v>0</v>
      </c>
      <c r="K658">
        <f t="shared" ca="1" si="55"/>
        <v>1</v>
      </c>
      <c r="L658" s="65">
        <v>652</v>
      </c>
      <c r="M658" s="71">
        <f t="shared" ca="1" si="51"/>
        <v>0</v>
      </c>
      <c r="N658" s="65"/>
    </row>
    <row r="659" spans="1:14" x14ac:dyDescent="0.25">
      <c r="A659" s="2">
        <v>653</v>
      </c>
      <c r="B659" s="11">
        <f t="shared" ca="1" si="52"/>
        <v>0</v>
      </c>
      <c r="C659" s="26">
        <f t="shared" ca="1" si="53"/>
        <v>0.55363533735338755</v>
      </c>
      <c r="J659">
        <f t="shared" ca="1" si="54"/>
        <v>0</v>
      </c>
      <c r="K659">
        <f t="shared" ca="1" si="55"/>
        <v>1</v>
      </c>
      <c r="L659" s="65">
        <v>653</v>
      </c>
      <c r="M659" s="71">
        <f t="shared" ca="1" si="51"/>
        <v>0</v>
      </c>
      <c r="N659" s="65"/>
    </row>
    <row r="660" spans="1:14" x14ac:dyDescent="0.25">
      <c r="A660" s="2">
        <v>654</v>
      </c>
      <c r="B660" s="11">
        <f t="shared" ca="1" si="52"/>
        <v>0</v>
      </c>
      <c r="C660" s="26">
        <f t="shared" ca="1" si="53"/>
        <v>0.77537290427739269</v>
      </c>
      <c r="J660">
        <f t="shared" ca="1" si="54"/>
        <v>0</v>
      </c>
      <c r="K660">
        <f t="shared" ca="1" si="55"/>
        <v>0</v>
      </c>
      <c r="L660" s="65">
        <v>654</v>
      </c>
      <c r="M660" s="71">
        <f t="shared" ca="1" si="51"/>
        <v>0</v>
      </c>
      <c r="N660" s="65"/>
    </row>
    <row r="661" spans="1:14" x14ac:dyDescent="0.25">
      <c r="A661" s="2">
        <v>655</v>
      </c>
      <c r="B661" s="11">
        <f t="shared" ca="1" si="52"/>
        <v>1</v>
      </c>
      <c r="C661" s="26">
        <f t="shared" ca="1" si="53"/>
        <v>0.24907784658792331</v>
      </c>
      <c r="J661">
        <f t="shared" ca="1" si="54"/>
        <v>1</v>
      </c>
      <c r="K661">
        <f t="shared" ca="1" si="55"/>
        <v>0</v>
      </c>
      <c r="L661" s="65">
        <v>655</v>
      </c>
      <c r="M661" s="71">
        <f t="shared" ca="1" si="51"/>
        <v>4.4048809519822107</v>
      </c>
      <c r="N661" s="65"/>
    </row>
    <row r="662" spans="1:14" x14ac:dyDescent="0.25">
      <c r="A662" s="2">
        <v>656</v>
      </c>
      <c r="B662" s="11">
        <f t="shared" ca="1" si="52"/>
        <v>1</v>
      </c>
      <c r="C662" s="26">
        <f t="shared" ca="1" si="53"/>
        <v>0.33846870268101426</v>
      </c>
      <c r="J662">
        <f t="shared" ca="1" si="54"/>
        <v>1</v>
      </c>
      <c r="K662">
        <f t="shared" ca="1" si="55"/>
        <v>0</v>
      </c>
      <c r="L662" s="65">
        <v>656</v>
      </c>
      <c r="M662" s="71">
        <f t="shared" ca="1" si="51"/>
        <v>2.467654024207091</v>
      </c>
      <c r="N662" s="65"/>
    </row>
    <row r="663" spans="1:14" x14ac:dyDescent="0.25">
      <c r="A663" s="2">
        <v>657</v>
      </c>
      <c r="B663" s="11">
        <f t="shared" ca="1" si="52"/>
        <v>1</v>
      </c>
      <c r="C663" s="26">
        <f t="shared" ca="1" si="53"/>
        <v>0.53784602101575585</v>
      </c>
      <c r="J663">
        <f t="shared" ca="1" si="54"/>
        <v>1</v>
      </c>
      <c r="K663">
        <f t="shared" ca="1" si="55"/>
        <v>0</v>
      </c>
      <c r="L663" s="65">
        <v>657</v>
      </c>
      <c r="M663" s="71">
        <f t="shared" ca="1" si="51"/>
        <v>1.3835891396090998</v>
      </c>
      <c r="N663" s="65"/>
    </row>
    <row r="664" spans="1:14" x14ac:dyDescent="0.25">
      <c r="A664" s="2">
        <v>658</v>
      </c>
      <c r="B664" s="11">
        <f t="shared" ca="1" si="52"/>
        <v>1</v>
      </c>
      <c r="C664" s="26">
        <f t="shared" ca="1" si="53"/>
        <v>0.23617623619080874</v>
      </c>
      <c r="J664">
        <f t="shared" ca="1" si="54"/>
        <v>1</v>
      </c>
      <c r="K664">
        <f t="shared" ca="1" si="55"/>
        <v>0</v>
      </c>
      <c r="L664" s="65">
        <v>658</v>
      </c>
      <c r="M664" s="71">
        <f t="shared" ca="1" si="51"/>
        <v>0.81376318547574567</v>
      </c>
      <c r="N664" s="65"/>
    </row>
    <row r="665" spans="1:14" x14ac:dyDescent="0.25">
      <c r="A665" s="2">
        <v>659</v>
      </c>
      <c r="B665" s="11">
        <f t="shared" ca="1" si="52"/>
        <v>1</v>
      </c>
      <c r="C665" s="26">
        <f t="shared" ca="1" si="53"/>
        <v>0.37493215958605641</v>
      </c>
      <c r="J665">
        <f t="shared" ca="1" si="54"/>
        <v>1</v>
      </c>
      <c r="K665">
        <f t="shared" ca="1" si="55"/>
        <v>0</v>
      </c>
      <c r="L665" s="65">
        <v>659</v>
      </c>
      <c r="M665" s="71">
        <f t="shared" ca="1" si="51"/>
        <v>3.1967479073855865</v>
      </c>
      <c r="N665" s="65"/>
    </row>
    <row r="666" spans="1:14" x14ac:dyDescent="0.25">
      <c r="A666" s="2">
        <v>660</v>
      </c>
      <c r="B666" s="11">
        <f t="shared" ca="1" si="52"/>
        <v>1</v>
      </c>
      <c r="C666" s="26">
        <f t="shared" ca="1" si="53"/>
        <v>0.45939809639359042</v>
      </c>
      <c r="J666">
        <f t="shared" ca="1" si="54"/>
        <v>1</v>
      </c>
      <c r="K666">
        <f t="shared" ca="1" si="55"/>
        <v>0</v>
      </c>
      <c r="L666" s="65">
        <v>660</v>
      </c>
      <c r="M666" s="71">
        <f t="shared" ca="1" si="51"/>
        <v>0.96281496686511225</v>
      </c>
      <c r="N666" s="65"/>
    </row>
    <row r="667" spans="1:14" x14ac:dyDescent="0.25">
      <c r="A667" s="2">
        <v>661</v>
      </c>
      <c r="B667" s="11">
        <f t="shared" ca="1" si="52"/>
        <v>1</v>
      </c>
      <c r="C667" s="26">
        <f t="shared" ca="1" si="53"/>
        <v>0.12398557837689383</v>
      </c>
      <c r="J667">
        <f t="shared" ca="1" si="54"/>
        <v>1</v>
      </c>
      <c r="K667">
        <f t="shared" ca="1" si="55"/>
        <v>0</v>
      </c>
      <c r="L667" s="65">
        <v>661</v>
      </c>
      <c r="M667" s="71">
        <f t="shared" ca="1" si="51"/>
        <v>0.96802675908821878</v>
      </c>
      <c r="N667" s="65"/>
    </row>
    <row r="668" spans="1:14" x14ac:dyDescent="0.25">
      <c r="A668" s="2">
        <v>662</v>
      </c>
      <c r="B668" s="11">
        <f t="shared" ca="1" si="52"/>
        <v>1</v>
      </c>
      <c r="C668" s="26">
        <f t="shared" ca="1" si="53"/>
        <v>0.53440352310610872</v>
      </c>
      <c r="J668">
        <f t="shared" ca="1" si="54"/>
        <v>1</v>
      </c>
      <c r="K668">
        <f t="shared" ca="1" si="55"/>
        <v>0</v>
      </c>
      <c r="L668" s="65">
        <v>662</v>
      </c>
      <c r="M668" s="71">
        <f t="shared" ca="1" si="51"/>
        <v>5.9083030855881187E-2</v>
      </c>
      <c r="N668" s="65"/>
    </row>
    <row r="669" spans="1:14" x14ac:dyDescent="0.25">
      <c r="A669" s="2">
        <v>663</v>
      </c>
      <c r="B669" s="11">
        <f t="shared" ca="1" si="52"/>
        <v>1</v>
      </c>
      <c r="C669" s="26">
        <f t="shared" ca="1" si="53"/>
        <v>0.30684103300447074</v>
      </c>
      <c r="J669">
        <f t="shared" ca="1" si="54"/>
        <v>1</v>
      </c>
      <c r="K669">
        <f t="shared" ca="1" si="55"/>
        <v>0</v>
      </c>
      <c r="L669" s="65">
        <v>663</v>
      </c>
      <c r="M669" s="71">
        <f t="shared" ca="1" si="51"/>
        <v>7.3119482345434061</v>
      </c>
      <c r="N669" s="65"/>
    </row>
    <row r="670" spans="1:14" x14ac:dyDescent="0.25">
      <c r="A670" s="2">
        <v>664</v>
      </c>
      <c r="B670" s="11">
        <f t="shared" ca="1" si="52"/>
        <v>1</v>
      </c>
      <c r="C670" s="26">
        <f t="shared" ca="1" si="53"/>
        <v>0.34271547886570297</v>
      </c>
      <c r="J670">
        <f t="shared" ca="1" si="54"/>
        <v>1</v>
      </c>
      <c r="K670">
        <f t="shared" ca="1" si="55"/>
        <v>0</v>
      </c>
      <c r="L670" s="65">
        <v>664</v>
      </c>
      <c r="M670" s="71">
        <f t="shared" ca="1" si="51"/>
        <v>1.1928121219433077</v>
      </c>
      <c r="N670" s="65"/>
    </row>
    <row r="671" spans="1:14" x14ac:dyDescent="0.25">
      <c r="A671" s="2">
        <v>665</v>
      </c>
      <c r="B671" s="11">
        <f t="shared" ca="1" si="52"/>
        <v>1</v>
      </c>
      <c r="C671" s="26">
        <f t="shared" ca="1" si="53"/>
        <v>0.44193142124332963</v>
      </c>
      <c r="J671">
        <f t="shared" ca="1" si="54"/>
        <v>1</v>
      </c>
      <c r="K671">
        <f t="shared" ca="1" si="55"/>
        <v>0</v>
      </c>
      <c r="L671" s="65">
        <v>665</v>
      </c>
      <c r="M671" s="71">
        <f t="shared" ca="1" si="51"/>
        <v>2.8291786196403246</v>
      </c>
      <c r="N671" s="65"/>
    </row>
    <row r="672" spans="1:14" x14ac:dyDescent="0.25">
      <c r="A672" s="2">
        <v>666</v>
      </c>
      <c r="B672" s="11">
        <f t="shared" ca="1" si="52"/>
        <v>1</v>
      </c>
      <c r="C672" s="26">
        <f t="shared" ca="1" si="53"/>
        <v>0.37432638877153002</v>
      </c>
      <c r="J672">
        <f t="shared" ca="1" si="54"/>
        <v>1</v>
      </c>
      <c r="K672">
        <f t="shared" ca="1" si="55"/>
        <v>0</v>
      </c>
      <c r="L672" s="65">
        <v>666</v>
      </c>
      <c r="M672" s="71">
        <f t="shared" ca="1" si="51"/>
        <v>1.1233438820396324E-2</v>
      </c>
      <c r="N672" s="65"/>
    </row>
    <row r="673" spans="1:14" x14ac:dyDescent="0.25">
      <c r="A673" s="2">
        <v>667</v>
      </c>
      <c r="B673" s="11">
        <f t="shared" ca="1" si="52"/>
        <v>1</v>
      </c>
      <c r="C673" s="26">
        <f t="shared" ca="1" si="53"/>
        <v>0.31464364510320397</v>
      </c>
      <c r="J673">
        <f t="shared" ca="1" si="54"/>
        <v>1</v>
      </c>
      <c r="K673">
        <f t="shared" ca="1" si="55"/>
        <v>0</v>
      </c>
      <c r="L673" s="65">
        <v>667</v>
      </c>
      <c r="M673" s="71">
        <f t="shared" ca="1" si="51"/>
        <v>0.24816425414642371</v>
      </c>
      <c r="N673" s="65"/>
    </row>
    <row r="674" spans="1:14" x14ac:dyDescent="0.25">
      <c r="A674" s="2">
        <v>668</v>
      </c>
      <c r="B674" s="11">
        <f t="shared" ca="1" si="52"/>
        <v>1</v>
      </c>
      <c r="C674" s="26">
        <f t="shared" ca="1" si="53"/>
        <v>0.5505357607365271</v>
      </c>
      <c r="J674">
        <f t="shared" ca="1" si="54"/>
        <v>0</v>
      </c>
      <c r="K674">
        <f t="shared" ca="1" si="55"/>
        <v>0</v>
      </c>
      <c r="L674" s="65">
        <v>668</v>
      </c>
      <c r="M674" s="71">
        <f t="shared" ca="1" si="51"/>
        <v>0.18517540206065877</v>
      </c>
      <c r="N674" s="65"/>
    </row>
    <row r="675" spans="1:14" x14ac:dyDescent="0.25">
      <c r="A675" s="2">
        <v>669</v>
      </c>
      <c r="B675" s="11">
        <f t="shared" ca="1" si="52"/>
        <v>0</v>
      </c>
      <c r="C675" s="26">
        <f t="shared" ca="1" si="53"/>
        <v>0.77213157699544865</v>
      </c>
      <c r="J675">
        <f t="shared" ca="1" si="54"/>
        <v>0</v>
      </c>
      <c r="K675">
        <f t="shared" ca="1" si="55"/>
        <v>1</v>
      </c>
      <c r="L675" s="65">
        <v>669</v>
      </c>
      <c r="M675" s="71">
        <f t="shared" ca="1" si="51"/>
        <v>0</v>
      </c>
      <c r="N675" s="65"/>
    </row>
    <row r="676" spans="1:14" x14ac:dyDescent="0.25">
      <c r="A676" s="2">
        <v>670</v>
      </c>
      <c r="B676" s="11">
        <f t="shared" ca="1" si="52"/>
        <v>0</v>
      </c>
      <c r="C676" s="26">
        <f t="shared" ca="1" si="53"/>
        <v>0.55238592142803156</v>
      </c>
      <c r="J676">
        <f t="shared" ca="1" si="54"/>
        <v>0</v>
      </c>
      <c r="K676">
        <f t="shared" ca="1" si="55"/>
        <v>0</v>
      </c>
      <c r="L676" s="65">
        <v>670</v>
      </c>
      <c r="M676" s="71">
        <f t="shared" ca="1" si="51"/>
        <v>0</v>
      </c>
      <c r="N676" s="65"/>
    </row>
    <row r="677" spans="1:14" x14ac:dyDescent="0.25">
      <c r="A677" s="2">
        <v>671</v>
      </c>
      <c r="B677" s="11">
        <f t="shared" ca="1" si="52"/>
        <v>1</v>
      </c>
      <c r="C677" s="26">
        <f t="shared" ca="1" si="53"/>
        <v>0.15819477232632084</v>
      </c>
      <c r="J677">
        <f t="shared" ca="1" si="54"/>
        <v>1</v>
      </c>
      <c r="K677">
        <f t="shared" ca="1" si="55"/>
        <v>0</v>
      </c>
      <c r="L677" s="65">
        <v>671</v>
      </c>
      <c r="M677" s="71">
        <f t="shared" ca="1" si="51"/>
        <v>3.5427350827405522</v>
      </c>
      <c r="N677" s="65"/>
    </row>
    <row r="678" spans="1:14" x14ac:dyDescent="0.25">
      <c r="A678" s="2">
        <v>672</v>
      </c>
      <c r="B678" s="11">
        <f t="shared" ca="1" si="52"/>
        <v>1</v>
      </c>
      <c r="C678" s="26">
        <f t="shared" ca="1" si="53"/>
        <v>0.67378083617634488</v>
      </c>
      <c r="J678">
        <f t="shared" ca="1" si="54"/>
        <v>1</v>
      </c>
      <c r="K678">
        <f t="shared" ca="1" si="55"/>
        <v>0</v>
      </c>
      <c r="L678" s="65">
        <v>672</v>
      </c>
      <c r="M678" s="71">
        <f t="shared" ca="1" si="51"/>
        <v>1.2325102294268195</v>
      </c>
      <c r="N678" s="65"/>
    </row>
    <row r="679" spans="1:14" x14ac:dyDescent="0.25">
      <c r="A679" s="2">
        <v>673</v>
      </c>
      <c r="B679" s="11">
        <f t="shared" ca="1" si="52"/>
        <v>1</v>
      </c>
      <c r="C679" s="26">
        <f t="shared" ca="1" si="53"/>
        <v>8.1559066591783136E-3</v>
      </c>
      <c r="J679">
        <f t="shared" ca="1" si="54"/>
        <v>1</v>
      </c>
      <c r="K679">
        <f t="shared" ca="1" si="55"/>
        <v>0</v>
      </c>
      <c r="L679" s="65">
        <v>673</v>
      </c>
      <c r="M679" s="71">
        <f t="shared" ca="1" si="51"/>
        <v>1.8044773315168328</v>
      </c>
      <c r="N679" s="65"/>
    </row>
    <row r="680" spans="1:14" x14ac:dyDescent="0.25">
      <c r="A680" s="2">
        <v>674</v>
      </c>
      <c r="B680" s="11">
        <f t="shared" ca="1" si="52"/>
        <v>1</v>
      </c>
      <c r="C680" s="26">
        <f t="shared" ca="1" si="53"/>
        <v>0.5509526253472502</v>
      </c>
      <c r="J680">
        <f t="shared" ca="1" si="54"/>
        <v>1</v>
      </c>
      <c r="K680">
        <f t="shared" ca="1" si="55"/>
        <v>0</v>
      </c>
      <c r="L680" s="65">
        <v>674</v>
      </c>
      <c r="M680" s="71">
        <f t="shared" ca="1" si="51"/>
        <v>0.20124008596439311</v>
      </c>
      <c r="N680" s="65"/>
    </row>
    <row r="681" spans="1:14" x14ac:dyDescent="0.25">
      <c r="A681" s="2">
        <v>675</v>
      </c>
      <c r="B681" s="11">
        <f t="shared" ca="1" si="52"/>
        <v>1</v>
      </c>
      <c r="C681" s="26">
        <f t="shared" ca="1" si="53"/>
        <v>2.2710892654035364E-2</v>
      </c>
      <c r="J681">
        <f t="shared" ca="1" si="54"/>
        <v>1</v>
      </c>
      <c r="K681">
        <f t="shared" ca="1" si="55"/>
        <v>0</v>
      </c>
      <c r="L681" s="65">
        <v>675</v>
      </c>
      <c r="M681" s="71">
        <f t="shared" ca="1" si="51"/>
        <v>1.0252616288390093</v>
      </c>
      <c r="N681" s="65"/>
    </row>
    <row r="682" spans="1:14" x14ac:dyDescent="0.25">
      <c r="A682" s="2">
        <v>676</v>
      </c>
      <c r="B682" s="11">
        <f t="shared" ca="1" si="52"/>
        <v>1</v>
      </c>
      <c r="C682" s="26">
        <f t="shared" ca="1" si="53"/>
        <v>0.7118193631120916</v>
      </c>
      <c r="J682">
        <f t="shared" ca="1" si="54"/>
        <v>1</v>
      </c>
      <c r="K682">
        <f t="shared" ca="1" si="55"/>
        <v>0</v>
      </c>
      <c r="L682" s="65">
        <v>676</v>
      </c>
      <c r="M682" s="71">
        <f t="shared" ca="1" si="51"/>
        <v>0.56155478557126393</v>
      </c>
      <c r="N682" s="65"/>
    </row>
    <row r="683" spans="1:14" x14ac:dyDescent="0.25">
      <c r="A683" s="2">
        <v>677</v>
      </c>
      <c r="B683" s="11">
        <f t="shared" ca="1" si="52"/>
        <v>1</v>
      </c>
      <c r="C683" s="26">
        <f t="shared" ca="1" si="53"/>
        <v>2.8272162919317223E-2</v>
      </c>
      <c r="J683">
        <f t="shared" ca="1" si="54"/>
        <v>0</v>
      </c>
      <c r="K683">
        <f t="shared" ca="1" si="55"/>
        <v>0</v>
      </c>
      <c r="L683" s="65">
        <v>677</v>
      </c>
      <c r="M683" s="71">
        <f t="shared" ca="1" si="51"/>
        <v>1.8881956649418379</v>
      </c>
      <c r="N683" s="65"/>
    </row>
    <row r="684" spans="1:14" x14ac:dyDescent="0.25">
      <c r="A684" s="2">
        <v>678</v>
      </c>
      <c r="B684" s="11">
        <f t="shared" ca="1" si="52"/>
        <v>0</v>
      </c>
      <c r="C684" s="26">
        <f t="shared" ca="1" si="53"/>
        <v>0.96469421437596103</v>
      </c>
      <c r="J684">
        <f t="shared" ca="1" si="54"/>
        <v>0</v>
      </c>
      <c r="K684">
        <f t="shared" ca="1" si="55"/>
        <v>1</v>
      </c>
      <c r="L684" s="65">
        <v>678</v>
      </c>
      <c r="M684" s="71">
        <f t="shared" ca="1" si="51"/>
        <v>0</v>
      </c>
      <c r="N684" s="65"/>
    </row>
    <row r="685" spans="1:14" x14ac:dyDescent="0.25">
      <c r="A685" s="2">
        <v>679</v>
      </c>
      <c r="B685" s="11">
        <f t="shared" ca="1" si="52"/>
        <v>0</v>
      </c>
      <c r="C685" s="26">
        <f t="shared" ca="1" si="53"/>
        <v>0.8889305914081691</v>
      </c>
      <c r="J685">
        <f t="shared" ca="1" si="54"/>
        <v>0</v>
      </c>
      <c r="K685">
        <f t="shared" ca="1" si="55"/>
        <v>1</v>
      </c>
      <c r="L685" s="65">
        <v>679</v>
      </c>
      <c r="M685" s="71">
        <f t="shared" ca="1" si="51"/>
        <v>0</v>
      </c>
      <c r="N685" s="65"/>
    </row>
    <row r="686" spans="1:14" x14ac:dyDescent="0.25">
      <c r="A686" s="2">
        <v>680</v>
      </c>
      <c r="B686" s="11">
        <f t="shared" ca="1" si="52"/>
        <v>0</v>
      </c>
      <c r="C686" s="26">
        <f t="shared" ca="1" si="53"/>
        <v>0.71739331585064525</v>
      </c>
      <c r="J686">
        <f t="shared" ca="1" si="54"/>
        <v>0</v>
      </c>
      <c r="K686">
        <f t="shared" ca="1" si="55"/>
        <v>0</v>
      </c>
      <c r="L686" s="65">
        <v>680</v>
      </c>
      <c r="M686" s="71">
        <f t="shared" ca="1" si="51"/>
        <v>0</v>
      </c>
      <c r="N686" s="65"/>
    </row>
    <row r="687" spans="1:14" x14ac:dyDescent="0.25">
      <c r="A687" s="2">
        <v>681</v>
      </c>
      <c r="B687" s="11">
        <f t="shared" ca="1" si="52"/>
        <v>1</v>
      </c>
      <c r="C687" s="26">
        <f t="shared" ca="1" si="53"/>
        <v>5.0787336074971545E-2</v>
      </c>
      <c r="J687">
        <f t="shared" ca="1" si="54"/>
        <v>1</v>
      </c>
      <c r="K687">
        <f t="shared" ca="1" si="55"/>
        <v>0</v>
      </c>
      <c r="L687" s="65">
        <v>681</v>
      </c>
      <c r="M687" s="71">
        <f t="shared" ca="1" si="51"/>
        <v>1.7111810473653326</v>
      </c>
      <c r="N687" s="65"/>
    </row>
    <row r="688" spans="1:14" x14ac:dyDescent="0.25">
      <c r="A688" s="2">
        <v>682</v>
      </c>
      <c r="B688" s="11">
        <f t="shared" ca="1" si="52"/>
        <v>1</v>
      </c>
      <c r="C688" s="26">
        <f t="shared" ca="1" si="53"/>
        <v>4.9296425967567781E-2</v>
      </c>
      <c r="J688">
        <f t="shared" ca="1" si="54"/>
        <v>0</v>
      </c>
      <c r="K688">
        <f t="shared" ca="1" si="55"/>
        <v>0</v>
      </c>
      <c r="L688" s="65">
        <v>682</v>
      </c>
      <c r="M688" s="71">
        <f t="shared" ca="1" si="51"/>
        <v>0.51702349047953622</v>
      </c>
      <c r="N688" s="65"/>
    </row>
    <row r="689" spans="1:14" x14ac:dyDescent="0.25">
      <c r="A689" s="2">
        <v>683</v>
      </c>
      <c r="B689" s="11">
        <f t="shared" ca="1" si="52"/>
        <v>0</v>
      </c>
      <c r="C689" s="26">
        <f t="shared" ca="1" si="53"/>
        <v>0.87640613712017179</v>
      </c>
      <c r="J689">
        <f t="shared" ca="1" si="54"/>
        <v>0</v>
      </c>
      <c r="K689">
        <f t="shared" ca="1" si="55"/>
        <v>1</v>
      </c>
      <c r="L689" s="65">
        <v>683</v>
      </c>
      <c r="M689" s="71">
        <f t="shared" ca="1" si="51"/>
        <v>0</v>
      </c>
      <c r="N689" s="65"/>
    </row>
    <row r="690" spans="1:14" x14ac:dyDescent="0.25">
      <c r="A690" s="2">
        <v>684</v>
      </c>
      <c r="B690" s="11">
        <f t="shared" ca="1" si="52"/>
        <v>0</v>
      </c>
      <c r="C690" s="26">
        <f t="shared" ca="1" si="53"/>
        <v>0.7104356942619986</v>
      </c>
      <c r="J690">
        <f t="shared" ca="1" si="54"/>
        <v>0</v>
      </c>
      <c r="K690">
        <f t="shared" ca="1" si="55"/>
        <v>1</v>
      </c>
      <c r="L690" s="65">
        <v>684</v>
      </c>
      <c r="M690" s="71">
        <f t="shared" ca="1" si="51"/>
        <v>0</v>
      </c>
      <c r="N690" s="65"/>
    </row>
    <row r="691" spans="1:14" x14ac:dyDescent="0.25">
      <c r="A691" s="2">
        <v>685</v>
      </c>
      <c r="B691" s="11">
        <f t="shared" ca="1" si="52"/>
        <v>0</v>
      </c>
      <c r="C691" s="26">
        <f t="shared" ca="1" si="53"/>
        <v>0.70774838738538171</v>
      </c>
      <c r="J691">
        <f t="shared" ca="1" si="54"/>
        <v>0</v>
      </c>
      <c r="K691">
        <f t="shared" ca="1" si="55"/>
        <v>1</v>
      </c>
      <c r="L691" s="65">
        <v>685</v>
      </c>
      <c r="M691" s="71">
        <f t="shared" ca="1" si="51"/>
        <v>0</v>
      </c>
      <c r="N691" s="65"/>
    </row>
    <row r="692" spans="1:14" x14ac:dyDescent="0.25">
      <c r="A692" s="2">
        <v>686</v>
      </c>
      <c r="B692" s="11">
        <f t="shared" ca="1" si="52"/>
        <v>0</v>
      </c>
      <c r="C692" s="26">
        <f t="shared" ca="1" si="53"/>
        <v>0.39018649649374149</v>
      </c>
      <c r="J692">
        <f t="shared" ca="1" si="54"/>
        <v>0</v>
      </c>
      <c r="K692">
        <f t="shared" ca="1" si="55"/>
        <v>0</v>
      </c>
      <c r="L692" s="65">
        <v>686</v>
      </c>
      <c r="M692" s="71">
        <f t="shared" ca="1" si="51"/>
        <v>0</v>
      </c>
      <c r="N692" s="65"/>
    </row>
    <row r="693" spans="1:14" x14ac:dyDescent="0.25">
      <c r="A693" s="2">
        <v>687</v>
      </c>
      <c r="B693" s="11">
        <f t="shared" ca="1" si="52"/>
        <v>1</v>
      </c>
      <c r="C693" s="26">
        <f t="shared" ca="1" si="53"/>
        <v>0.35796715233706577</v>
      </c>
      <c r="J693">
        <f t="shared" ca="1" si="54"/>
        <v>0</v>
      </c>
      <c r="K693">
        <f t="shared" ca="1" si="55"/>
        <v>0</v>
      </c>
      <c r="L693" s="65">
        <v>687</v>
      </c>
      <c r="M693" s="71">
        <f t="shared" ca="1" si="51"/>
        <v>0.11940900557432141</v>
      </c>
      <c r="N693" s="65"/>
    </row>
    <row r="694" spans="1:14" x14ac:dyDescent="0.25">
      <c r="A694" s="2">
        <v>688</v>
      </c>
      <c r="B694" s="11">
        <f t="shared" ca="1" si="52"/>
        <v>0</v>
      </c>
      <c r="C694" s="26">
        <f t="shared" ca="1" si="53"/>
        <v>0.82571711106639234</v>
      </c>
      <c r="J694">
        <f t="shared" ca="1" si="54"/>
        <v>0</v>
      </c>
      <c r="K694">
        <f t="shared" ca="1" si="55"/>
        <v>0</v>
      </c>
      <c r="L694" s="65">
        <v>688</v>
      </c>
      <c r="M694" s="71">
        <f t="shared" ca="1" si="51"/>
        <v>0</v>
      </c>
      <c r="N694" s="65"/>
    </row>
    <row r="695" spans="1:14" x14ac:dyDescent="0.25">
      <c r="A695" s="2">
        <v>689</v>
      </c>
      <c r="B695" s="11">
        <f t="shared" ca="1" si="52"/>
        <v>1</v>
      </c>
      <c r="C695" s="26">
        <f t="shared" ca="1" si="53"/>
        <v>5.9156096372782074E-2</v>
      </c>
      <c r="J695">
        <f t="shared" ca="1" si="54"/>
        <v>1</v>
      </c>
      <c r="K695">
        <f t="shared" ca="1" si="55"/>
        <v>0</v>
      </c>
      <c r="L695" s="65">
        <v>689</v>
      </c>
      <c r="M695" s="71">
        <f t="shared" ca="1" si="51"/>
        <v>3.3606175317702154</v>
      </c>
      <c r="N695" s="65"/>
    </row>
    <row r="696" spans="1:14" x14ac:dyDescent="0.25">
      <c r="A696" s="2">
        <v>690</v>
      </c>
      <c r="B696" s="11">
        <f t="shared" ca="1" si="52"/>
        <v>1</v>
      </c>
      <c r="C696" s="26">
        <f t="shared" ca="1" si="53"/>
        <v>0.72603162607653782</v>
      </c>
      <c r="J696">
        <f t="shared" ca="1" si="54"/>
        <v>1</v>
      </c>
      <c r="K696">
        <f t="shared" ca="1" si="55"/>
        <v>0</v>
      </c>
      <c r="L696" s="65">
        <v>690</v>
      </c>
      <c r="M696" s="71">
        <f t="shared" ca="1" si="51"/>
        <v>4.1545153570285986</v>
      </c>
      <c r="N696" s="65"/>
    </row>
    <row r="697" spans="1:14" x14ac:dyDescent="0.25">
      <c r="A697" s="2">
        <v>691</v>
      </c>
      <c r="B697" s="11">
        <f t="shared" ca="1" si="52"/>
        <v>1</v>
      </c>
      <c r="C697" s="26">
        <f t="shared" ca="1" si="53"/>
        <v>0.74547190117756712</v>
      </c>
      <c r="J697">
        <f t="shared" ca="1" si="54"/>
        <v>1</v>
      </c>
      <c r="K697">
        <f t="shared" ca="1" si="55"/>
        <v>0</v>
      </c>
      <c r="L697" s="65">
        <v>691</v>
      </c>
      <c r="M697" s="71">
        <f t="shared" ca="1" si="51"/>
        <v>10.006781644522263</v>
      </c>
      <c r="N697" s="65"/>
    </row>
    <row r="698" spans="1:14" x14ac:dyDescent="0.25">
      <c r="A698" s="2">
        <v>692</v>
      </c>
      <c r="B698" s="11">
        <f t="shared" ca="1" si="52"/>
        <v>1</v>
      </c>
      <c r="C698" s="26">
        <f t="shared" ca="1" si="53"/>
        <v>4.6764193246816355E-2</v>
      </c>
      <c r="J698">
        <f t="shared" ca="1" si="54"/>
        <v>1</v>
      </c>
      <c r="K698">
        <f t="shared" ca="1" si="55"/>
        <v>0</v>
      </c>
      <c r="L698" s="65">
        <v>692</v>
      </c>
      <c r="M698" s="71">
        <f t="shared" ca="1" si="51"/>
        <v>0.90591679135935355</v>
      </c>
      <c r="N698" s="65"/>
    </row>
    <row r="699" spans="1:14" x14ac:dyDescent="0.25">
      <c r="A699" s="2">
        <v>693</v>
      </c>
      <c r="B699" s="11">
        <f t="shared" ca="1" si="52"/>
        <v>1</v>
      </c>
      <c r="C699" s="26">
        <f t="shared" ca="1" si="53"/>
        <v>0.3366162488071256</v>
      </c>
      <c r="J699">
        <f t="shared" ca="1" si="54"/>
        <v>1</v>
      </c>
      <c r="K699">
        <f t="shared" ca="1" si="55"/>
        <v>0</v>
      </c>
      <c r="L699" s="65">
        <v>693</v>
      </c>
      <c r="M699" s="71">
        <f t="shared" ca="1" si="51"/>
        <v>8.4529506117879478</v>
      </c>
      <c r="N699" s="65"/>
    </row>
    <row r="700" spans="1:14" x14ac:dyDescent="0.25">
      <c r="A700" s="2">
        <v>694</v>
      </c>
      <c r="B700" s="11">
        <f t="shared" ca="1" si="52"/>
        <v>1</v>
      </c>
      <c r="C700" s="26">
        <f t="shared" ca="1" si="53"/>
        <v>0.511346489725509</v>
      </c>
      <c r="J700">
        <f t="shared" ca="1" si="54"/>
        <v>0</v>
      </c>
      <c r="K700">
        <f t="shared" ca="1" si="55"/>
        <v>0</v>
      </c>
      <c r="L700" s="65">
        <v>694</v>
      </c>
      <c r="M700" s="71">
        <f t="shared" ca="1" si="51"/>
        <v>0.93614590874984294</v>
      </c>
      <c r="N700" s="65"/>
    </row>
    <row r="701" spans="1:14" x14ac:dyDescent="0.25">
      <c r="A701" s="2">
        <v>695</v>
      </c>
      <c r="B701" s="11">
        <f t="shared" ca="1" si="52"/>
        <v>0</v>
      </c>
      <c r="C701" s="26">
        <f t="shared" ca="1" si="53"/>
        <v>0.89033741784987597</v>
      </c>
      <c r="J701">
        <f t="shared" ca="1" si="54"/>
        <v>0</v>
      </c>
      <c r="K701">
        <f t="shared" ca="1" si="55"/>
        <v>1</v>
      </c>
      <c r="L701" s="65">
        <v>695</v>
      </c>
      <c r="M701" s="71">
        <f t="shared" ca="1" si="51"/>
        <v>0</v>
      </c>
      <c r="N701" s="65"/>
    </row>
    <row r="702" spans="1:14" x14ac:dyDescent="0.25">
      <c r="A702" s="2">
        <v>696</v>
      </c>
      <c r="B702" s="11">
        <f t="shared" ca="1" si="52"/>
        <v>0</v>
      </c>
      <c r="C702" s="26">
        <f t="shared" ca="1" si="53"/>
        <v>0.80565290714987747</v>
      </c>
      <c r="J702">
        <f t="shared" ca="1" si="54"/>
        <v>0</v>
      </c>
      <c r="K702">
        <f t="shared" ca="1" si="55"/>
        <v>1</v>
      </c>
      <c r="L702" s="65">
        <v>696</v>
      </c>
      <c r="M702" s="71">
        <f t="shared" ca="1" si="51"/>
        <v>0</v>
      </c>
      <c r="N702" s="65"/>
    </row>
    <row r="703" spans="1:14" x14ac:dyDescent="0.25">
      <c r="A703" s="2">
        <v>697</v>
      </c>
      <c r="B703" s="11">
        <f t="shared" ca="1" si="52"/>
        <v>0</v>
      </c>
      <c r="C703" s="26">
        <f t="shared" ca="1" si="53"/>
        <v>0.73758162277402484</v>
      </c>
      <c r="J703">
        <f t="shared" ca="1" si="54"/>
        <v>0</v>
      </c>
      <c r="K703">
        <f t="shared" ca="1" si="55"/>
        <v>0</v>
      </c>
      <c r="L703" s="65">
        <v>697</v>
      </c>
      <c r="M703" s="71">
        <f t="shared" ca="1" si="51"/>
        <v>0</v>
      </c>
      <c r="N703" s="65"/>
    </row>
    <row r="704" spans="1:14" x14ac:dyDescent="0.25">
      <c r="A704" s="2">
        <v>698</v>
      </c>
      <c r="B704" s="11">
        <f t="shared" ca="1" si="52"/>
        <v>1</v>
      </c>
      <c r="C704" s="26">
        <f t="shared" ca="1" si="53"/>
        <v>0.28007659255629069</v>
      </c>
      <c r="J704">
        <f t="shared" ca="1" si="54"/>
        <v>0</v>
      </c>
      <c r="K704">
        <f t="shared" ca="1" si="55"/>
        <v>0</v>
      </c>
      <c r="L704" s="65">
        <v>698</v>
      </c>
      <c r="M704" s="71">
        <f t="shared" ca="1" si="51"/>
        <v>5.2996924990212451</v>
      </c>
      <c r="N704" s="65"/>
    </row>
    <row r="705" spans="1:14" x14ac:dyDescent="0.25">
      <c r="A705" s="2">
        <v>699</v>
      </c>
      <c r="B705" s="11">
        <f t="shared" ca="1" si="52"/>
        <v>0</v>
      </c>
      <c r="C705" s="26">
        <f t="shared" ca="1" si="53"/>
        <v>0.75628243465696376</v>
      </c>
      <c r="J705">
        <f t="shared" ca="1" si="54"/>
        <v>0</v>
      </c>
      <c r="K705">
        <f t="shared" ca="1" si="55"/>
        <v>0</v>
      </c>
      <c r="L705" s="65">
        <v>699</v>
      </c>
      <c r="M705" s="71">
        <f t="shared" ca="1" si="51"/>
        <v>0</v>
      </c>
      <c r="N705" s="65"/>
    </row>
    <row r="706" spans="1:14" x14ac:dyDescent="0.25">
      <c r="A706" s="2">
        <v>700</v>
      </c>
      <c r="B706" s="11">
        <f t="shared" ca="1" si="52"/>
        <v>1</v>
      </c>
      <c r="C706" s="26">
        <f t="shared" ca="1" si="53"/>
        <v>5.7212961500274773E-2</v>
      </c>
      <c r="J706">
        <f t="shared" ca="1" si="54"/>
        <v>0</v>
      </c>
      <c r="K706">
        <f t="shared" ca="1" si="55"/>
        <v>0</v>
      </c>
      <c r="L706" s="65">
        <v>700</v>
      </c>
      <c r="M706" s="71">
        <f t="shared" ca="1" si="51"/>
        <v>2.9715512576075924</v>
      </c>
      <c r="N706" s="65"/>
    </row>
    <row r="707" spans="1:14" x14ac:dyDescent="0.25">
      <c r="A707" s="2">
        <v>701</v>
      </c>
      <c r="B707" s="11">
        <f t="shared" ca="1" si="52"/>
        <v>0</v>
      </c>
      <c r="C707" s="26">
        <f t="shared" ca="1" si="53"/>
        <v>0.97374758493069946</v>
      </c>
      <c r="J707">
        <f t="shared" ca="1" si="54"/>
        <v>0</v>
      </c>
      <c r="K707">
        <f t="shared" ca="1" si="55"/>
        <v>1</v>
      </c>
      <c r="L707" s="65">
        <v>701</v>
      </c>
      <c r="M707" s="71">
        <f t="shared" ca="1" si="51"/>
        <v>0</v>
      </c>
      <c r="N707" s="65"/>
    </row>
    <row r="708" spans="1:14" x14ac:dyDescent="0.25">
      <c r="A708" s="2">
        <v>702</v>
      </c>
      <c r="B708" s="11">
        <f t="shared" ca="1" si="52"/>
        <v>0</v>
      </c>
      <c r="C708" s="26">
        <f t="shared" ca="1" si="53"/>
        <v>0.73933843799977728</v>
      </c>
      <c r="J708">
        <f t="shared" ca="1" si="54"/>
        <v>0</v>
      </c>
      <c r="K708">
        <f t="shared" ca="1" si="55"/>
        <v>0</v>
      </c>
      <c r="L708" s="65">
        <v>702</v>
      </c>
      <c r="M708" s="71">
        <f t="shared" ca="1" si="51"/>
        <v>0</v>
      </c>
      <c r="N708" s="65"/>
    </row>
    <row r="709" spans="1:14" x14ac:dyDescent="0.25">
      <c r="A709" s="2">
        <v>703</v>
      </c>
      <c r="B709" s="11">
        <f t="shared" ca="1" si="52"/>
        <v>1</v>
      </c>
      <c r="C709" s="26">
        <f t="shared" ca="1" si="53"/>
        <v>7.5317085109319559E-2</v>
      </c>
      <c r="J709">
        <f t="shared" ca="1" si="54"/>
        <v>0</v>
      </c>
      <c r="K709">
        <f t="shared" ca="1" si="55"/>
        <v>0</v>
      </c>
      <c r="L709" s="65">
        <v>703</v>
      </c>
      <c r="M709" s="71">
        <f t="shared" ca="1" si="51"/>
        <v>3.0494863098325578</v>
      </c>
      <c r="N709" s="65"/>
    </row>
    <row r="710" spans="1:14" x14ac:dyDescent="0.25">
      <c r="A710" s="2">
        <v>704</v>
      </c>
      <c r="B710" s="11">
        <f t="shared" ca="1" si="52"/>
        <v>0</v>
      </c>
      <c r="C710" s="26">
        <f t="shared" ca="1" si="53"/>
        <v>0.87589297371245733</v>
      </c>
      <c r="J710">
        <f t="shared" ca="1" si="54"/>
        <v>0</v>
      </c>
      <c r="K710">
        <f t="shared" ca="1" si="55"/>
        <v>0</v>
      </c>
      <c r="L710" s="65">
        <v>704</v>
      </c>
      <c r="M710" s="71">
        <f t="shared" ca="1" si="51"/>
        <v>0</v>
      </c>
      <c r="N710" s="65"/>
    </row>
    <row r="711" spans="1:14" x14ac:dyDescent="0.25">
      <c r="A711" s="2">
        <v>705</v>
      </c>
      <c r="B711" s="11">
        <f t="shared" ca="1" si="52"/>
        <v>1</v>
      </c>
      <c r="C711" s="26">
        <f t="shared" ca="1" si="53"/>
        <v>0.25171538301793583</v>
      </c>
      <c r="J711">
        <f t="shared" ca="1" si="54"/>
        <v>1</v>
      </c>
      <c r="K711">
        <f t="shared" ca="1" si="55"/>
        <v>0</v>
      </c>
      <c r="L711" s="65">
        <v>705</v>
      </c>
      <c r="M711" s="71">
        <f t="shared" ref="M711:M774" ca="1" si="56">IF(B711&gt;0,-LN(1-(RAND()))/lambda,0)</f>
        <v>0.31145721293710199</v>
      </c>
      <c r="N711" s="65"/>
    </row>
    <row r="712" spans="1:14" x14ac:dyDescent="0.25">
      <c r="A712" s="2">
        <v>706</v>
      </c>
      <c r="B712" s="11">
        <f t="shared" ref="B712:B775" ca="1" si="57">IF(B711&gt;0,IF(C712&lt;pww,1,0),IF(C712&lt;pdw,1,0))</f>
        <v>1</v>
      </c>
      <c r="C712" s="26">
        <f t="shared" ref="C712:C775" ca="1" si="58">RAND()</f>
        <v>0.36917592587852244</v>
      </c>
      <c r="J712">
        <f t="shared" ref="J712:J775" ca="1" si="59">IF(AND(B712,B713),1,0)</f>
        <v>1</v>
      </c>
      <c r="K712">
        <f t="shared" ref="K712:K775" ca="1" si="60">IF(AND(NOT(B712),NOT(B713)),1,0)</f>
        <v>0</v>
      </c>
      <c r="L712" s="65">
        <v>706</v>
      </c>
      <c r="M712" s="71">
        <f t="shared" ca="1" si="56"/>
        <v>0.42339145699651021</v>
      </c>
      <c r="N712" s="65"/>
    </row>
    <row r="713" spans="1:14" x14ac:dyDescent="0.25">
      <c r="A713" s="2">
        <v>707</v>
      </c>
      <c r="B713" s="11">
        <f t="shared" ca="1" si="57"/>
        <v>1</v>
      </c>
      <c r="C713" s="26">
        <f t="shared" ca="1" si="58"/>
        <v>0.70254041588868454</v>
      </c>
      <c r="J713">
        <f t="shared" ca="1" si="59"/>
        <v>0</v>
      </c>
      <c r="K713">
        <f t="shared" ca="1" si="60"/>
        <v>0</v>
      </c>
      <c r="L713" s="65">
        <v>707</v>
      </c>
      <c r="M713" s="71">
        <f t="shared" ca="1" si="56"/>
        <v>4.9155889818467848</v>
      </c>
      <c r="N713" s="65"/>
    </row>
    <row r="714" spans="1:14" x14ac:dyDescent="0.25">
      <c r="A714" s="2">
        <v>708</v>
      </c>
      <c r="B714" s="11">
        <f t="shared" ca="1" si="57"/>
        <v>0</v>
      </c>
      <c r="C714" s="26">
        <f t="shared" ca="1" si="58"/>
        <v>0.81751106323759526</v>
      </c>
      <c r="J714">
        <f t="shared" ca="1" si="59"/>
        <v>0</v>
      </c>
      <c r="K714">
        <f t="shared" ca="1" si="60"/>
        <v>1</v>
      </c>
      <c r="L714" s="65">
        <v>708</v>
      </c>
      <c r="M714" s="71">
        <f t="shared" ca="1" si="56"/>
        <v>0</v>
      </c>
      <c r="N714" s="65"/>
    </row>
    <row r="715" spans="1:14" x14ac:dyDescent="0.25">
      <c r="A715" s="2">
        <v>709</v>
      </c>
      <c r="B715" s="11">
        <f t="shared" ca="1" si="57"/>
        <v>0</v>
      </c>
      <c r="C715" s="26">
        <f t="shared" ca="1" si="58"/>
        <v>0.53859916589155421</v>
      </c>
      <c r="J715">
        <f t="shared" ca="1" si="59"/>
        <v>0</v>
      </c>
      <c r="K715">
        <f t="shared" ca="1" si="60"/>
        <v>1</v>
      </c>
      <c r="L715" s="65">
        <v>709</v>
      </c>
      <c r="M715" s="71">
        <f t="shared" ca="1" si="56"/>
        <v>0</v>
      </c>
      <c r="N715" s="65"/>
    </row>
    <row r="716" spans="1:14" x14ac:dyDescent="0.25">
      <c r="A716" s="2">
        <v>710</v>
      </c>
      <c r="B716" s="11">
        <f t="shared" ca="1" si="57"/>
        <v>0</v>
      </c>
      <c r="C716" s="26">
        <f t="shared" ca="1" si="58"/>
        <v>0.64406174696463325</v>
      </c>
      <c r="J716">
        <f t="shared" ca="1" si="59"/>
        <v>0</v>
      </c>
      <c r="K716">
        <f t="shared" ca="1" si="60"/>
        <v>0</v>
      </c>
      <c r="L716" s="65">
        <v>710</v>
      </c>
      <c r="M716" s="71">
        <f t="shared" ca="1" si="56"/>
        <v>0</v>
      </c>
      <c r="N716" s="65"/>
    </row>
    <row r="717" spans="1:14" x14ac:dyDescent="0.25">
      <c r="A717" s="2">
        <v>711</v>
      </c>
      <c r="B717" s="11">
        <f t="shared" ca="1" si="57"/>
        <v>1</v>
      </c>
      <c r="C717" s="26">
        <f t="shared" ca="1" si="58"/>
        <v>0.18418560994635957</v>
      </c>
      <c r="J717">
        <f t="shared" ca="1" si="59"/>
        <v>1</v>
      </c>
      <c r="K717">
        <f t="shared" ca="1" si="60"/>
        <v>0</v>
      </c>
      <c r="L717" s="65">
        <v>711</v>
      </c>
      <c r="M717" s="71">
        <f t="shared" ca="1" si="56"/>
        <v>0.82453417798395079</v>
      </c>
      <c r="N717" s="65"/>
    </row>
    <row r="718" spans="1:14" x14ac:dyDescent="0.25">
      <c r="A718" s="2">
        <v>712</v>
      </c>
      <c r="B718" s="11">
        <f t="shared" ca="1" si="57"/>
        <v>1</v>
      </c>
      <c r="C718" s="26">
        <f t="shared" ca="1" si="58"/>
        <v>0.72494263172418494</v>
      </c>
      <c r="J718">
        <f t="shared" ca="1" si="59"/>
        <v>1</v>
      </c>
      <c r="K718">
        <f t="shared" ca="1" si="60"/>
        <v>0</v>
      </c>
      <c r="L718" s="65">
        <v>712</v>
      </c>
      <c r="M718" s="71">
        <f t="shared" ca="1" si="56"/>
        <v>1.1010211118356148</v>
      </c>
      <c r="N718" s="65"/>
    </row>
    <row r="719" spans="1:14" x14ac:dyDescent="0.25">
      <c r="A719" s="2">
        <v>713</v>
      </c>
      <c r="B719" s="11">
        <f t="shared" ca="1" si="57"/>
        <v>1</v>
      </c>
      <c r="C719" s="26">
        <f t="shared" ca="1" si="58"/>
        <v>0.13386253425654759</v>
      </c>
      <c r="J719">
        <f t="shared" ca="1" si="59"/>
        <v>0</v>
      </c>
      <c r="K719">
        <f t="shared" ca="1" si="60"/>
        <v>0</v>
      </c>
      <c r="L719" s="65">
        <v>713</v>
      </c>
      <c r="M719" s="71">
        <f t="shared" ca="1" si="56"/>
        <v>0.99098822674735298</v>
      </c>
      <c r="N719" s="65"/>
    </row>
    <row r="720" spans="1:14" x14ac:dyDescent="0.25">
      <c r="A720" s="2">
        <v>714</v>
      </c>
      <c r="B720" s="11">
        <f t="shared" ca="1" si="57"/>
        <v>0</v>
      </c>
      <c r="C720" s="26">
        <f t="shared" ca="1" si="58"/>
        <v>0.89211104982447387</v>
      </c>
      <c r="J720">
        <f t="shared" ca="1" si="59"/>
        <v>0</v>
      </c>
      <c r="K720">
        <f t="shared" ca="1" si="60"/>
        <v>1</v>
      </c>
      <c r="L720" s="65">
        <v>714</v>
      </c>
      <c r="M720" s="71">
        <f t="shared" ca="1" si="56"/>
        <v>0</v>
      </c>
      <c r="N720" s="65"/>
    </row>
    <row r="721" spans="1:14" x14ac:dyDescent="0.25">
      <c r="A721" s="2">
        <v>715</v>
      </c>
      <c r="B721" s="11">
        <f t="shared" ca="1" si="57"/>
        <v>0</v>
      </c>
      <c r="C721" s="26">
        <f t="shared" ca="1" si="58"/>
        <v>0.77993536122120766</v>
      </c>
      <c r="J721">
        <f t="shared" ca="1" si="59"/>
        <v>0</v>
      </c>
      <c r="K721">
        <f t="shared" ca="1" si="60"/>
        <v>1</v>
      </c>
      <c r="L721" s="65">
        <v>715</v>
      </c>
      <c r="M721" s="71">
        <f t="shared" ca="1" si="56"/>
        <v>0</v>
      </c>
      <c r="N721" s="65"/>
    </row>
    <row r="722" spans="1:14" x14ac:dyDescent="0.25">
      <c r="A722" s="2">
        <v>716</v>
      </c>
      <c r="B722" s="11">
        <f t="shared" ca="1" si="57"/>
        <v>0</v>
      </c>
      <c r="C722" s="26">
        <f t="shared" ca="1" si="58"/>
        <v>0.85357619249743788</v>
      </c>
      <c r="J722">
        <f t="shared" ca="1" si="59"/>
        <v>0</v>
      </c>
      <c r="K722">
        <f t="shared" ca="1" si="60"/>
        <v>1</v>
      </c>
      <c r="L722" s="65">
        <v>716</v>
      </c>
      <c r="M722" s="71">
        <f t="shared" ca="1" si="56"/>
        <v>0</v>
      </c>
      <c r="N722" s="65"/>
    </row>
    <row r="723" spans="1:14" x14ac:dyDescent="0.25">
      <c r="A723" s="2">
        <v>717</v>
      </c>
      <c r="B723" s="11">
        <f t="shared" ca="1" si="57"/>
        <v>0</v>
      </c>
      <c r="C723" s="26">
        <f t="shared" ca="1" si="58"/>
        <v>0.76814911285856879</v>
      </c>
      <c r="J723">
        <f t="shared" ca="1" si="59"/>
        <v>0</v>
      </c>
      <c r="K723">
        <f t="shared" ca="1" si="60"/>
        <v>1</v>
      </c>
      <c r="L723" s="65">
        <v>717</v>
      </c>
      <c r="M723" s="71">
        <f t="shared" ca="1" si="56"/>
        <v>0</v>
      </c>
      <c r="N723" s="65"/>
    </row>
    <row r="724" spans="1:14" x14ac:dyDescent="0.25">
      <c r="A724" s="2">
        <v>718</v>
      </c>
      <c r="B724" s="11">
        <f t="shared" ca="1" si="57"/>
        <v>0</v>
      </c>
      <c r="C724" s="26">
        <f t="shared" ca="1" si="58"/>
        <v>0.83607898777887868</v>
      </c>
      <c r="J724">
        <f t="shared" ca="1" si="59"/>
        <v>0</v>
      </c>
      <c r="K724">
        <f t="shared" ca="1" si="60"/>
        <v>1</v>
      </c>
      <c r="L724" s="65">
        <v>718</v>
      </c>
      <c r="M724" s="71">
        <f t="shared" ca="1" si="56"/>
        <v>0</v>
      </c>
      <c r="N724" s="65"/>
    </row>
    <row r="725" spans="1:14" x14ac:dyDescent="0.25">
      <c r="A725" s="2">
        <v>719</v>
      </c>
      <c r="B725" s="11">
        <f t="shared" ca="1" si="57"/>
        <v>0</v>
      </c>
      <c r="C725" s="26">
        <f t="shared" ca="1" si="58"/>
        <v>0.65893347888809051</v>
      </c>
      <c r="J725">
        <f t="shared" ca="1" si="59"/>
        <v>0</v>
      </c>
      <c r="K725">
        <f t="shared" ca="1" si="60"/>
        <v>1</v>
      </c>
      <c r="L725" s="65">
        <v>719</v>
      </c>
      <c r="M725" s="71">
        <f t="shared" ca="1" si="56"/>
        <v>0</v>
      </c>
      <c r="N725" s="65"/>
    </row>
    <row r="726" spans="1:14" x14ac:dyDescent="0.25">
      <c r="A726" s="2">
        <v>720</v>
      </c>
      <c r="B726" s="11">
        <f t="shared" ca="1" si="57"/>
        <v>0</v>
      </c>
      <c r="C726" s="26">
        <f t="shared" ca="1" si="58"/>
        <v>0.90226235728548032</v>
      </c>
      <c r="J726">
        <f t="shared" ca="1" si="59"/>
        <v>0</v>
      </c>
      <c r="K726">
        <f t="shared" ca="1" si="60"/>
        <v>1</v>
      </c>
      <c r="L726" s="65">
        <v>720</v>
      </c>
      <c r="M726" s="71">
        <f t="shared" ca="1" si="56"/>
        <v>0</v>
      </c>
      <c r="N726" s="65"/>
    </row>
    <row r="727" spans="1:14" x14ac:dyDescent="0.25">
      <c r="A727" s="2">
        <v>721</v>
      </c>
      <c r="B727" s="11">
        <f t="shared" ca="1" si="57"/>
        <v>0</v>
      </c>
      <c r="C727" s="26">
        <f t="shared" ca="1" si="58"/>
        <v>0.89542870100954375</v>
      </c>
      <c r="J727">
        <f t="shared" ca="1" si="59"/>
        <v>0</v>
      </c>
      <c r="K727">
        <f t="shared" ca="1" si="60"/>
        <v>1</v>
      </c>
      <c r="L727" s="65">
        <v>721</v>
      </c>
      <c r="M727" s="71">
        <f t="shared" ca="1" si="56"/>
        <v>0</v>
      </c>
      <c r="N727" s="65"/>
    </row>
    <row r="728" spans="1:14" x14ac:dyDescent="0.25">
      <c r="A728" s="2">
        <v>722</v>
      </c>
      <c r="B728" s="11">
        <f t="shared" ca="1" si="57"/>
        <v>0</v>
      </c>
      <c r="C728" s="26">
        <f t="shared" ca="1" si="58"/>
        <v>0.5046807794884437</v>
      </c>
      <c r="J728">
        <f t="shared" ca="1" si="59"/>
        <v>0</v>
      </c>
      <c r="K728">
        <f t="shared" ca="1" si="60"/>
        <v>0</v>
      </c>
      <c r="L728" s="65">
        <v>722</v>
      </c>
      <c r="M728" s="71">
        <f t="shared" ca="1" si="56"/>
        <v>0</v>
      </c>
      <c r="N728" s="65"/>
    </row>
    <row r="729" spans="1:14" x14ac:dyDescent="0.25">
      <c r="A729" s="2">
        <v>723</v>
      </c>
      <c r="B729" s="11">
        <f t="shared" ca="1" si="57"/>
        <v>1</v>
      </c>
      <c r="C729" s="26">
        <f t="shared" ca="1" si="58"/>
        <v>0.27650834765597221</v>
      </c>
      <c r="J729">
        <f t="shared" ca="1" si="59"/>
        <v>1</v>
      </c>
      <c r="K729">
        <f t="shared" ca="1" si="60"/>
        <v>0</v>
      </c>
      <c r="L729" s="65">
        <v>723</v>
      </c>
      <c r="M729" s="71">
        <f t="shared" ca="1" si="56"/>
        <v>2.0380968083875883</v>
      </c>
      <c r="N729" s="65"/>
    </row>
    <row r="730" spans="1:14" x14ac:dyDescent="0.25">
      <c r="A730" s="2">
        <v>724</v>
      </c>
      <c r="B730" s="11">
        <f t="shared" ca="1" si="57"/>
        <v>1</v>
      </c>
      <c r="C730" s="26">
        <f t="shared" ca="1" si="58"/>
        <v>0.26183470153961697</v>
      </c>
      <c r="J730">
        <f t="shared" ca="1" si="59"/>
        <v>0</v>
      </c>
      <c r="K730">
        <f t="shared" ca="1" si="60"/>
        <v>0</v>
      </c>
      <c r="L730" s="65">
        <v>724</v>
      </c>
      <c r="M730" s="71">
        <f t="shared" ca="1" si="56"/>
        <v>1.7323231160035126</v>
      </c>
      <c r="N730" s="65"/>
    </row>
    <row r="731" spans="1:14" x14ac:dyDescent="0.25">
      <c r="A731" s="2">
        <v>725</v>
      </c>
      <c r="B731" s="11">
        <f t="shared" ca="1" si="57"/>
        <v>0</v>
      </c>
      <c r="C731" s="26">
        <f t="shared" ca="1" si="58"/>
        <v>0.98627057204291124</v>
      </c>
      <c r="J731">
        <f t="shared" ca="1" si="59"/>
        <v>0</v>
      </c>
      <c r="K731">
        <f t="shared" ca="1" si="60"/>
        <v>0</v>
      </c>
      <c r="L731" s="65">
        <v>725</v>
      </c>
      <c r="M731" s="71">
        <f t="shared" ca="1" si="56"/>
        <v>0</v>
      </c>
      <c r="N731" s="65"/>
    </row>
    <row r="732" spans="1:14" x14ac:dyDescent="0.25">
      <c r="A732" s="2">
        <v>726</v>
      </c>
      <c r="B732" s="11">
        <f t="shared" ca="1" si="57"/>
        <v>1</v>
      </c>
      <c r="C732" s="26">
        <f t="shared" ca="1" si="58"/>
        <v>0.11704832667681242</v>
      </c>
      <c r="J732">
        <f t="shared" ca="1" si="59"/>
        <v>1</v>
      </c>
      <c r="K732">
        <f t="shared" ca="1" si="60"/>
        <v>0</v>
      </c>
      <c r="L732" s="65">
        <v>726</v>
      </c>
      <c r="M732" s="71">
        <f t="shared" ca="1" si="56"/>
        <v>2.7127670154651904</v>
      </c>
      <c r="N732" s="65"/>
    </row>
    <row r="733" spans="1:14" x14ac:dyDescent="0.25">
      <c r="A733" s="2">
        <v>727</v>
      </c>
      <c r="B733" s="11">
        <f t="shared" ca="1" si="57"/>
        <v>1</v>
      </c>
      <c r="C733" s="26">
        <f t="shared" ca="1" si="58"/>
        <v>0.74992258210804286</v>
      </c>
      <c r="J733">
        <f t="shared" ca="1" si="59"/>
        <v>1</v>
      </c>
      <c r="K733">
        <f t="shared" ca="1" si="60"/>
        <v>0</v>
      </c>
      <c r="L733" s="65">
        <v>727</v>
      </c>
      <c r="M733" s="71">
        <f t="shared" ca="1" si="56"/>
        <v>6.083012613713791E-2</v>
      </c>
      <c r="N733" s="65"/>
    </row>
    <row r="734" spans="1:14" x14ac:dyDescent="0.25">
      <c r="A734" s="2">
        <v>728</v>
      </c>
      <c r="B734" s="11">
        <f t="shared" ca="1" si="57"/>
        <v>1</v>
      </c>
      <c r="C734" s="26">
        <f t="shared" ca="1" si="58"/>
        <v>0.5606807191632116</v>
      </c>
      <c r="J734">
        <f t="shared" ca="1" si="59"/>
        <v>1</v>
      </c>
      <c r="K734">
        <f t="shared" ca="1" si="60"/>
        <v>0</v>
      </c>
      <c r="L734" s="65">
        <v>728</v>
      </c>
      <c r="M734" s="71">
        <f t="shared" ca="1" si="56"/>
        <v>4.5193575605740266</v>
      </c>
      <c r="N734" s="65"/>
    </row>
    <row r="735" spans="1:14" x14ac:dyDescent="0.25">
      <c r="A735" s="2">
        <v>729</v>
      </c>
      <c r="B735" s="11">
        <f t="shared" ca="1" si="57"/>
        <v>1</v>
      </c>
      <c r="C735" s="26">
        <f t="shared" ca="1" si="58"/>
        <v>0.74002634714857551</v>
      </c>
      <c r="J735">
        <f t="shared" ca="1" si="59"/>
        <v>1</v>
      </c>
      <c r="K735">
        <f t="shared" ca="1" si="60"/>
        <v>0</v>
      </c>
      <c r="L735" s="65">
        <v>729</v>
      </c>
      <c r="M735" s="71">
        <f t="shared" ca="1" si="56"/>
        <v>1.31790705538145</v>
      </c>
      <c r="N735" s="65"/>
    </row>
    <row r="736" spans="1:14" x14ac:dyDescent="0.25">
      <c r="A736" s="2">
        <v>730</v>
      </c>
      <c r="B736" s="11">
        <f t="shared" ca="1" si="57"/>
        <v>1</v>
      </c>
      <c r="C736" s="26">
        <f t="shared" ca="1" si="58"/>
        <v>0.19279885289349152</v>
      </c>
      <c r="J736">
        <f t="shared" ca="1" si="59"/>
        <v>1</v>
      </c>
      <c r="K736">
        <f t="shared" ca="1" si="60"/>
        <v>0</v>
      </c>
      <c r="L736" s="65">
        <v>730</v>
      </c>
      <c r="M736" s="71">
        <f t="shared" ca="1" si="56"/>
        <v>0.58962924709415243</v>
      </c>
      <c r="N736" s="65"/>
    </row>
    <row r="737" spans="1:14" x14ac:dyDescent="0.25">
      <c r="A737" s="2">
        <v>731</v>
      </c>
      <c r="B737" s="11">
        <f t="shared" ca="1" si="57"/>
        <v>1</v>
      </c>
      <c r="C737" s="26">
        <f t="shared" ca="1" si="58"/>
        <v>9.3965977945759671E-2</v>
      </c>
      <c r="J737">
        <f t="shared" ca="1" si="59"/>
        <v>0</v>
      </c>
      <c r="K737">
        <f t="shared" ca="1" si="60"/>
        <v>0</v>
      </c>
      <c r="L737" s="65">
        <v>731</v>
      </c>
      <c r="M737" s="71">
        <f t="shared" ca="1" si="56"/>
        <v>1.9225539212623577</v>
      </c>
      <c r="N737" s="65"/>
    </row>
    <row r="738" spans="1:14" x14ac:dyDescent="0.25">
      <c r="A738" s="2">
        <v>732</v>
      </c>
      <c r="B738" s="11">
        <f t="shared" ca="1" si="57"/>
        <v>0</v>
      </c>
      <c r="C738" s="26">
        <f t="shared" ca="1" si="58"/>
        <v>0.96614079268109787</v>
      </c>
      <c r="J738">
        <f t="shared" ca="1" si="59"/>
        <v>0</v>
      </c>
      <c r="K738">
        <f t="shared" ca="1" si="60"/>
        <v>0</v>
      </c>
      <c r="L738" s="65">
        <v>732</v>
      </c>
      <c r="M738" s="71">
        <f t="shared" ca="1" si="56"/>
        <v>0</v>
      </c>
      <c r="N738" s="65"/>
    </row>
    <row r="739" spans="1:14" x14ac:dyDescent="0.25">
      <c r="A739" s="2">
        <v>733</v>
      </c>
      <c r="B739" s="11">
        <f t="shared" ca="1" si="57"/>
        <v>1</v>
      </c>
      <c r="C739" s="26">
        <f t="shared" ca="1" si="58"/>
        <v>0.22359703772226092</v>
      </c>
      <c r="J739">
        <f t="shared" ca="1" si="59"/>
        <v>1</v>
      </c>
      <c r="K739">
        <f t="shared" ca="1" si="60"/>
        <v>0</v>
      </c>
      <c r="L739" s="65">
        <v>733</v>
      </c>
      <c r="M739" s="71">
        <f t="shared" ca="1" si="56"/>
        <v>9.9807689695439255</v>
      </c>
      <c r="N739" s="65"/>
    </row>
    <row r="740" spans="1:14" x14ac:dyDescent="0.25">
      <c r="A740" s="2">
        <v>734</v>
      </c>
      <c r="B740" s="11">
        <f t="shared" ca="1" si="57"/>
        <v>1</v>
      </c>
      <c r="C740" s="26">
        <f t="shared" ca="1" si="58"/>
        <v>0.52924425332033764</v>
      </c>
      <c r="J740">
        <f t="shared" ca="1" si="59"/>
        <v>1</v>
      </c>
      <c r="K740">
        <f t="shared" ca="1" si="60"/>
        <v>0</v>
      </c>
      <c r="L740" s="65">
        <v>734</v>
      </c>
      <c r="M740" s="71">
        <f t="shared" ca="1" si="56"/>
        <v>4.7863420073904202</v>
      </c>
      <c r="N740" s="65"/>
    </row>
    <row r="741" spans="1:14" x14ac:dyDescent="0.25">
      <c r="A741" s="2">
        <v>735</v>
      </c>
      <c r="B741" s="11">
        <f t="shared" ca="1" si="57"/>
        <v>1</v>
      </c>
      <c r="C741" s="26">
        <f t="shared" ca="1" si="58"/>
        <v>0.66266370419569054</v>
      </c>
      <c r="J741">
        <f t="shared" ca="1" si="59"/>
        <v>0</v>
      </c>
      <c r="K741">
        <f t="shared" ca="1" si="60"/>
        <v>0</v>
      </c>
      <c r="L741" s="65">
        <v>735</v>
      </c>
      <c r="M741" s="71">
        <f t="shared" ca="1" si="56"/>
        <v>6.5061452563854845</v>
      </c>
      <c r="N741" s="65"/>
    </row>
    <row r="742" spans="1:14" x14ac:dyDescent="0.25">
      <c r="A742" s="2">
        <v>736</v>
      </c>
      <c r="B742" s="11">
        <f t="shared" ca="1" si="57"/>
        <v>0</v>
      </c>
      <c r="C742" s="26">
        <f t="shared" ca="1" si="58"/>
        <v>0.8403824604945298</v>
      </c>
      <c r="J742">
        <f t="shared" ca="1" si="59"/>
        <v>0</v>
      </c>
      <c r="K742">
        <f t="shared" ca="1" si="60"/>
        <v>0</v>
      </c>
      <c r="L742" s="65">
        <v>736</v>
      </c>
      <c r="M742" s="71">
        <f t="shared" ca="1" si="56"/>
        <v>0</v>
      </c>
      <c r="N742" s="65"/>
    </row>
    <row r="743" spans="1:14" x14ac:dyDescent="0.25">
      <c r="A743" s="2">
        <v>737</v>
      </c>
      <c r="B743" s="11">
        <f t="shared" ca="1" si="57"/>
        <v>1</v>
      </c>
      <c r="C743" s="26">
        <f t="shared" ca="1" si="58"/>
        <v>0.13806040783853324</v>
      </c>
      <c r="J743">
        <f t="shared" ca="1" si="59"/>
        <v>1</v>
      </c>
      <c r="K743">
        <f t="shared" ca="1" si="60"/>
        <v>0</v>
      </c>
      <c r="L743" s="65">
        <v>737</v>
      </c>
      <c r="M743" s="71">
        <f t="shared" ca="1" si="56"/>
        <v>1.1225366625062403</v>
      </c>
      <c r="N743" s="65"/>
    </row>
    <row r="744" spans="1:14" x14ac:dyDescent="0.25">
      <c r="A744" s="2">
        <v>738</v>
      </c>
      <c r="B744" s="11">
        <f t="shared" ca="1" si="57"/>
        <v>1</v>
      </c>
      <c r="C744" s="26">
        <f t="shared" ca="1" si="58"/>
        <v>3.7150472365678699E-2</v>
      </c>
      <c r="J744">
        <f t="shared" ca="1" si="59"/>
        <v>1</v>
      </c>
      <c r="K744">
        <f t="shared" ca="1" si="60"/>
        <v>0</v>
      </c>
      <c r="L744" s="65">
        <v>738</v>
      </c>
      <c r="M744" s="71">
        <f t="shared" ca="1" si="56"/>
        <v>0.75302537195403585</v>
      </c>
      <c r="N744" s="65"/>
    </row>
    <row r="745" spans="1:14" x14ac:dyDescent="0.25">
      <c r="A745" s="2">
        <v>739</v>
      </c>
      <c r="B745" s="11">
        <f t="shared" ca="1" si="57"/>
        <v>1</v>
      </c>
      <c r="C745" s="26">
        <f t="shared" ca="1" si="58"/>
        <v>0.33909155455536366</v>
      </c>
      <c r="J745">
        <f t="shared" ca="1" si="59"/>
        <v>1</v>
      </c>
      <c r="K745">
        <f t="shared" ca="1" si="60"/>
        <v>0</v>
      </c>
      <c r="L745" s="65">
        <v>739</v>
      </c>
      <c r="M745" s="71">
        <f t="shared" ca="1" si="56"/>
        <v>3.0140442357670292</v>
      </c>
      <c r="N745" s="65"/>
    </row>
    <row r="746" spans="1:14" x14ac:dyDescent="0.25">
      <c r="A746" s="2">
        <v>740</v>
      </c>
      <c r="B746" s="11">
        <f t="shared" ca="1" si="57"/>
        <v>1</v>
      </c>
      <c r="C746" s="26">
        <f t="shared" ca="1" si="58"/>
        <v>0.65065291188022789</v>
      </c>
      <c r="J746">
        <f t="shared" ca="1" si="59"/>
        <v>1</v>
      </c>
      <c r="K746">
        <f t="shared" ca="1" si="60"/>
        <v>0</v>
      </c>
      <c r="L746" s="65">
        <v>740</v>
      </c>
      <c r="M746" s="71">
        <f t="shared" ca="1" si="56"/>
        <v>2.057327573963041</v>
      </c>
      <c r="N746" s="65"/>
    </row>
    <row r="747" spans="1:14" x14ac:dyDescent="0.25">
      <c r="A747" s="2">
        <v>741</v>
      </c>
      <c r="B747" s="11">
        <f t="shared" ca="1" si="57"/>
        <v>1</v>
      </c>
      <c r="C747" s="26">
        <f t="shared" ca="1" si="58"/>
        <v>0.52051153369120473</v>
      </c>
      <c r="J747">
        <f t="shared" ca="1" si="59"/>
        <v>1</v>
      </c>
      <c r="K747">
        <f t="shared" ca="1" si="60"/>
        <v>0</v>
      </c>
      <c r="L747" s="65">
        <v>741</v>
      </c>
      <c r="M747" s="71">
        <f t="shared" ca="1" si="56"/>
        <v>5.096482747105691</v>
      </c>
      <c r="N747" s="65"/>
    </row>
    <row r="748" spans="1:14" x14ac:dyDescent="0.25">
      <c r="A748" s="2">
        <v>742</v>
      </c>
      <c r="B748" s="11">
        <f t="shared" ca="1" si="57"/>
        <v>1</v>
      </c>
      <c r="C748" s="26">
        <f t="shared" ca="1" si="58"/>
        <v>0.11405152865567392</v>
      </c>
      <c r="J748">
        <f t="shared" ca="1" si="59"/>
        <v>1</v>
      </c>
      <c r="K748">
        <f t="shared" ca="1" si="60"/>
        <v>0</v>
      </c>
      <c r="L748" s="65">
        <v>742</v>
      </c>
      <c r="M748" s="71">
        <f t="shared" ca="1" si="56"/>
        <v>1.54421740080176</v>
      </c>
      <c r="N748" s="65"/>
    </row>
    <row r="749" spans="1:14" x14ac:dyDescent="0.25">
      <c r="A749" s="2">
        <v>743</v>
      </c>
      <c r="B749" s="11">
        <f t="shared" ca="1" si="57"/>
        <v>1</v>
      </c>
      <c r="C749" s="26">
        <f t="shared" ca="1" si="58"/>
        <v>0.30626040776890928</v>
      </c>
      <c r="J749">
        <f t="shared" ca="1" si="59"/>
        <v>1</v>
      </c>
      <c r="K749">
        <f t="shared" ca="1" si="60"/>
        <v>0</v>
      </c>
      <c r="L749" s="65">
        <v>743</v>
      </c>
      <c r="M749" s="71">
        <f t="shared" ca="1" si="56"/>
        <v>1.2860021321138901</v>
      </c>
      <c r="N749" s="65"/>
    </row>
    <row r="750" spans="1:14" x14ac:dyDescent="0.25">
      <c r="A750" s="2">
        <v>744</v>
      </c>
      <c r="B750" s="11">
        <f t="shared" ca="1" si="57"/>
        <v>1</v>
      </c>
      <c r="C750" s="26">
        <f t="shared" ca="1" si="58"/>
        <v>0.63043633020937595</v>
      </c>
      <c r="J750">
        <f t="shared" ca="1" si="59"/>
        <v>1</v>
      </c>
      <c r="K750">
        <f t="shared" ca="1" si="60"/>
        <v>0</v>
      </c>
      <c r="L750" s="65">
        <v>744</v>
      </c>
      <c r="M750" s="71">
        <f t="shared" ca="1" si="56"/>
        <v>1.9064475218732757</v>
      </c>
      <c r="N750" s="65"/>
    </row>
    <row r="751" spans="1:14" x14ac:dyDescent="0.25">
      <c r="A751" s="2">
        <v>745</v>
      </c>
      <c r="B751" s="11">
        <f t="shared" ca="1" si="57"/>
        <v>1</v>
      </c>
      <c r="C751" s="26">
        <f t="shared" ca="1" si="58"/>
        <v>0.40708363552466631</v>
      </c>
      <c r="J751">
        <f t="shared" ca="1" si="59"/>
        <v>1</v>
      </c>
      <c r="K751">
        <f t="shared" ca="1" si="60"/>
        <v>0</v>
      </c>
      <c r="L751" s="65">
        <v>745</v>
      </c>
      <c r="M751" s="71">
        <f t="shared" ca="1" si="56"/>
        <v>3.9241465437793592</v>
      </c>
      <c r="N751" s="65"/>
    </row>
    <row r="752" spans="1:14" x14ac:dyDescent="0.25">
      <c r="A752" s="2">
        <v>746</v>
      </c>
      <c r="B752" s="11">
        <f t="shared" ca="1" si="57"/>
        <v>1</v>
      </c>
      <c r="C752" s="26">
        <f t="shared" ca="1" si="58"/>
        <v>0.37153113312357233</v>
      </c>
      <c r="J752">
        <f t="shared" ca="1" si="59"/>
        <v>0</v>
      </c>
      <c r="K752">
        <f t="shared" ca="1" si="60"/>
        <v>0</v>
      </c>
      <c r="L752" s="65">
        <v>746</v>
      </c>
      <c r="M752" s="71">
        <f t="shared" ca="1" si="56"/>
        <v>0.81587534921761129</v>
      </c>
      <c r="N752" s="65"/>
    </row>
    <row r="753" spans="1:14" x14ac:dyDescent="0.25">
      <c r="A753" s="2">
        <v>747</v>
      </c>
      <c r="B753" s="11">
        <f t="shared" ca="1" si="57"/>
        <v>0</v>
      </c>
      <c r="C753" s="26">
        <f t="shared" ca="1" si="58"/>
        <v>0.91067185887915658</v>
      </c>
      <c r="J753">
        <f t="shared" ca="1" si="59"/>
        <v>0</v>
      </c>
      <c r="K753">
        <f t="shared" ca="1" si="60"/>
        <v>1</v>
      </c>
      <c r="L753" s="65">
        <v>747</v>
      </c>
      <c r="M753" s="71">
        <f t="shared" ca="1" si="56"/>
        <v>0</v>
      </c>
      <c r="N753" s="65"/>
    </row>
    <row r="754" spans="1:14" x14ac:dyDescent="0.25">
      <c r="A754" s="2">
        <v>748</v>
      </c>
      <c r="B754" s="11">
        <f t="shared" ca="1" si="57"/>
        <v>0</v>
      </c>
      <c r="C754" s="26">
        <f t="shared" ca="1" si="58"/>
        <v>0.96240626287722919</v>
      </c>
      <c r="J754">
        <f t="shared" ca="1" si="59"/>
        <v>0</v>
      </c>
      <c r="K754">
        <f t="shared" ca="1" si="60"/>
        <v>1</v>
      </c>
      <c r="L754" s="65">
        <v>748</v>
      </c>
      <c r="M754" s="71">
        <f t="shared" ca="1" si="56"/>
        <v>0</v>
      </c>
      <c r="N754" s="65"/>
    </row>
    <row r="755" spans="1:14" x14ac:dyDescent="0.25">
      <c r="A755" s="2">
        <v>749</v>
      </c>
      <c r="B755" s="11">
        <f t="shared" ca="1" si="57"/>
        <v>0</v>
      </c>
      <c r="C755" s="26">
        <f t="shared" ca="1" si="58"/>
        <v>0.51512086688834358</v>
      </c>
      <c r="J755">
        <f t="shared" ca="1" si="59"/>
        <v>0</v>
      </c>
      <c r="K755">
        <f t="shared" ca="1" si="60"/>
        <v>1</v>
      </c>
      <c r="L755" s="65">
        <v>749</v>
      </c>
      <c r="M755" s="71">
        <f t="shared" ca="1" si="56"/>
        <v>0</v>
      </c>
      <c r="N755" s="65"/>
    </row>
    <row r="756" spans="1:14" x14ac:dyDescent="0.25">
      <c r="A756" s="2">
        <v>750</v>
      </c>
      <c r="B756" s="11">
        <f t="shared" ca="1" si="57"/>
        <v>0</v>
      </c>
      <c r="C756" s="26">
        <f t="shared" ca="1" si="58"/>
        <v>0.5644168715377289</v>
      </c>
      <c r="J756">
        <f t="shared" ca="1" si="59"/>
        <v>0</v>
      </c>
      <c r="K756">
        <f t="shared" ca="1" si="60"/>
        <v>0</v>
      </c>
      <c r="L756" s="65">
        <v>750</v>
      </c>
      <c r="M756" s="71">
        <f t="shared" ca="1" si="56"/>
        <v>0</v>
      </c>
      <c r="N756" s="65"/>
    </row>
    <row r="757" spans="1:14" x14ac:dyDescent="0.25">
      <c r="A757" s="2">
        <v>751</v>
      </c>
      <c r="B757" s="11">
        <f t="shared" ca="1" si="57"/>
        <v>1</v>
      </c>
      <c r="C757" s="26">
        <f t="shared" ca="1" si="58"/>
        <v>0.36451408136518748</v>
      </c>
      <c r="J757">
        <f t="shared" ca="1" si="59"/>
        <v>1</v>
      </c>
      <c r="K757">
        <f t="shared" ca="1" si="60"/>
        <v>0</v>
      </c>
      <c r="L757" s="65">
        <v>751</v>
      </c>
      <c r="M757" s="71">
        <f t="shared" ca="1" si="56"/>
        <v>0.99694270745226787</v>
      </c>
      <c r="N757" s="65"/>
    </row>
    <row r="758" spans="1:14" x14ac:dyDescent="0.25">
      <c r="A758" s="2">
        <v>752</v>
      </c>
      <c r="B758" s="11">
        <f t="shared" ca="1" si="57"/>
        <v>1</v>
      </c>
      <c r="C758" s="26">
        <f t="shared" ca="1" si="58"/>
        <v>0.71498747948601649</v>
      </c>
      <c r="J758">
        <f t="shared" ca="1" si="59"/>
        <v>1</v>
      </c>
      <c r="K758">
        <f t="shared" ca="1" si="60"/>
        <v>0</v>
      </c>
      <c r="L758" s="65">
        <v>752</v>
      </c>
      <c r="M758" s="71">
        <f t="shared" ca="1" si="56"/>
        <v>0.21325917495952038</v>
      </c>
      <c r="N758" s="65"/>
    </row>
    <row r="759" spans="1:14" x14ac:dyDescent="0.25">
      <c r="A759" s="2">
        <v>753</v>
      </c>
      <c r="B759" s="11">
        <f t="shared" ca="1" si="57"/>
        <v>1</v>
      </c>
      <c r="C759" s="26">
        <f t="shared" ca="1" si="58"/>
        <v>0.2330901759606302</v>
      </c>
      <c r="J759">
        <f t="shared" ca="1" si="59"/>
        <v>1</v>
      </c>
      <c r="K759">
        <f t="shared" ca="1" si="60"/>
        <v>0</v>
      </c>
      <c r="L759" s="65">
        <v>753</v>
      </c>
      <c r="M759" s="71">
        <f t="shared" ca="1" si="56"/>
        <v>3.3083230763513742</v>
      </c>
      <c r="N759" s="65"/>
    </row>
    <row r="760" spans="1:14" x14ac:dyDescent="0.25">
      <c r="A760" s="2">
        <v>754</v>
      </c>
      <c r="B760" s="11">
        <f t="shared" ca="1" si="57"/>
        <v>1</v>
      </c>
      <c r="C760" s="26">
        <f t="shared" ca="1" si="58"/>
        <v>0.65733999608596005</v>
      </c>
      <c r="J760">
        <f t="shared" ca="1" si="59"/>
        <v>1</v>
      </c>
      <c r="K760">
        <f t="shared" ca="1" si="60"/>
        <v>0</v>
      </c>
      <c r="L760" s="65">
        <v>754</v>
      </c>
      <c r="M760" s="71">
        <f t="shared" ca="1" si="56"/>
        <v>1.9212802091226786</v>
      </c>
      <c r="N760" s="65"/>
    </row>
    <row r="761" spans="1:14" x14ac:dyDescent="0.25">
      <c r="A761" s="2">
        <v>755</v>
      </c>
      <c r="B761" s="11">
        <f t="shared" ca="1" si="57"/>
        <v>1</v>
      </c>
      <c r="C761" s="26">
        <f t="shared" ca="1" si="58"/>
        <v>0.56017289014864191</v>
      </c>
      <c r="J761">
        <f t="shared" ca="1" si="59"/>
        <v>1</v>
      </c>
      <c r="K761">
        <f t="shared" ca="1" si="60"/>
        <v>0</v>
      </c>
      <c r="L761" s="65">
        <v>755</v>
      </c>
      <c r="M761" s="71">
        <f t="shared" ca="1" si="56"/>
        <v>1.5126439291578202</v>
      </c>
      <c r="N761" s="65"/>
    </row>
    <row r="762" spans="1:14" x14ac:dyDescent="0.25">
      <c r="A762" s="2">
        <v>756</v>
      </c>
      <c r="B762" s="11">
        <f t="shared" ca="1" si="57"/>
        <v>1</v>
      </c>
      <c r="C762" s="26">
        <f t="shared" ca="1" si="58"/>
        <v>8.0145486191300574E-2</v>
      </c>
      <c r="J762">
        <f t="shared" ca="1" si="59"/>
        <v>1</v>
      </c>
      <c r="K762">
        <f t="shared" ca="1" si="60"/>
        <v>0</v>
      </c>
      <c r="L762" s="65">
        <v>756</v>
      </c>
      <c r="M762" s="71">
        <f t="shared" ca="1" si="56"/>
        <v>4.3643665015505011</v>
      </c>
      <c r="N762" s="65"/>
    </row>
    <row r="763" spans="1:14" x14ac:dyDescent="0.25">
      <c r="A763" s="2">
        <v>757</v>
      </c>
      <c r="B763" s="11">
        <f t="shared" ca="1" si="57"/>
        <v>1</v>
      </c>
      <c r="C763" s="26">
        <f t="shared" ca="1" si="58"/>
        <v>0.74212271863563417</v>
      </c>
      <c r="J763">
        <f t="shared" ca="1" si="59"/>
        <v>1</v>
      </c>
      <c r="K763">
        <f t="shared" ca="1" si="60"/>
        <v>0</v>
      </c>
      <c r="L763" s="65">
        <v>757</v>
      </c>
      <c r="M763" s="71">
        <f t="shared" ca="1" si="56"/>
        <v>2.8386727099609299</v>
      </c>
      <c r="N763" s="65"/>
    </row>
    <row r="764" spans="1:14" x14ac:dyDescent="0.25">
      <c r="A764" s="2">
        <v>758</v>
      </c>
      <c r="B764" s="11">
        <f t="shared" ca="1" si="57"/>
        <v>1</v>
      </c>
      <c r="C764" s="26">
        <f t="shared" ca="1" si="58"/>
        <v>0.64245448188040311</v>
      </c>
      <c r="J764">
        <f t="shared" ca="1" si="59"/>
        <v>1</v>
      </c>
      <c r="K764">
        <f t="shared" ca="1" si="60"/>
        <v>0</v>
      </c>
      <c r="L764" s="65">
        <v>758</v>
      </c>
      <c r="M764" s="71">
        <f t="shared" ca="1" si="56"/>
        <v>1.254717298930655</v>
      </c>
      <c r="N764" s="65"/>
    </row>
    <row r="765" spans="1:14" x14ac:dyDescent="0.25">
      <c r="A765" s="2">
        <v>759</v>
      </c>
      <c r="B765" s="11">
        <f t="shared" ca="1" si="57"/>
        <v>1</v>
      </c>
      <c r="C765" s="26">
        <f t="shared" ca="1" si="58"/>
        <v>0.71929574552580067</v>
      </c>
      <c r="J765">
        <f t="shared" ca="1" si="59"/>
        <v>1</v>
      </c>
      <c r="K765">
        <f t="shared" ca="1" si="60"/>
        <v>0</v>
      </c>
      <c r="L765" s="65">
        <v>759</v>
      </c>
      <c r="M765" s="71">
        <f t="shared" ca="1" si="56"/>
        <v>4.0368337224117266</v>
      </c>
      <c r="N765" s="65"/>
    </row>
    <row r="766" spans="1:14" x14ac:dyDescent="0.25">
      <c r="A766" s="2">
        <v>760</v>
      </c>
      <c r="B766" s="11">
        <f t="shared" ca="1" si="57"/>
        <v>1</v>
      </c>
      <c r="C766" s="26">
        <f t="shared" ca="1" si="58"/>
        <v>0.52749325144626513</v>
      </c>
      <c r="J766">
        <f t="shared" ca="1" si="59"/>
        <v>1</v>
      </c>
      <c r="K766">
        <f t="shared" ca="1" si="60"/>
        <v>0</v>
      </c>
      <c r="L766" s="65">
        <v>760</v>
      </c>
      <c r="M766" s="71">
        <f t="shared" ca="1" si="56"/>
        <v>2.560833755337796</v>
      </c>
      <c r="N766" s="65"/>
    </row>
    <row r="767" spans="1:14" x14ac:dyDescent="0.25">
      <c r="A767" s="2">
        <v>761</v>
      </c>
      <c r="B767" s="11">
        <f t="shared" ca="1" si="57"/>
        <v>1</v>
      </c>
      <c r="C767" s="26">
        <f t="shared" ca="1" si="58"/>
        <v>0.23426932747357299</v>
      </c>
      <c r="J767">
        <f t="shared" ca="1" si="59"/>
        <v>1</v>
      </c>
      <c r="K767">
        <f t="shared" ca="1" si="60"/>
        <v>0</v>
      </c>
      <c r="L767" s="65">
        <v>761</v>
      </c>
      <c r="M767" s="71">
        <f t="shared" ca="1" si="56"/>
        <v>2.3130832701826023</v>
      </c>
      <c r="N767" s="65"/>
    </row>
    <row r="768" spans="1:14" x14ac:dyDescent="0.25">
      <c r="A768" s="2">
        <v>762</v>
      </c>
      <c r="B768" s="11">
        <f t="shared" ca="1" si="57"/>
        <v>1</v>
      </c>
      <c r="C768" s="26">
        <f t="shared" ca="1" si="58"/>
        <v>0.45734159723684098</v>
      </c>
      <c r="J768">
        <f t="shared" ca="1" si="59"/>
        <v>1</v>
      </c>
      <c r="K768">
        <f t="shared" ca="1" si="60"/>
        <v>0</v>
      </c>
      <c r="L768" s="65">
        <v>762</v>
      </c>
      <c r="M768" s="71">
        <f t="shared" ca="1" si="56"/>
        <v>4.2700035710048683</v>
      </c>
      <c r="N768" s="65"/>
    </row>
    <row r="769" spans="1:14" x14ac:dyDescent="0.25">
      <c r="A769" s="2">
        <v>763</v>
      </c>
      <c r="B769" s="11">
        <f t="shared" ca="1" si="57"/>
        <v>1</v>
      </c>
      <c r="C769" s="26">
        <f t="shared" ca="1" si="58"/>
        <v>0.62514553673256978</v>
      </c>
      <c r="J769">
        <f t="shared" ca="1" si="59"/>
        <v>1</v>
      </c>
      <c r="K769">
        <f t="shared" ca="1" si="60"/>
        <v>0</v>
      </c>
      <c r="L769" s="65">
        <v>763</v>
      </c>
      <c r="M769" s="71">
        <f t="shared" ca="1" si="56"/>
        <v>3.5020356633087606</v>
      </c>
      <c r="N769" s="65"/>
    </row>
    <row r="770" spans="1:14" x14ac:dyDescent="0.25">
      <c r="A770" s="2">
        <v>764</v>
      </c>
      <c r="B770" s="11">
        <f t="shared" ca="1" si="57"/>
        <v>1</v>
      </c>
      <c r="C770" s="26">
        <f t="shared" ca="1" si="58"/>
        <v>0.1880462631951606</v>
      </c>
      <c r="J770">
        <f t="shared" ca="1" si="59"/>
        <v>1</v>
      </c>
      <c r="K770">
        <f t="shared" ca="1" si="60"/>
        <v>0</v>
      </c>
      <c r="L770" s="65">
        <v>764</v>
      </c>
      <c r="M770" s="71">
        <f t="shared" ca="1" si="56"/>
        <v>4.5921216022520328</v>
      </c>
      <c r="N770" s="65"/>
    </row>
    <row r="771" spans="1:14" x14ac:dyDescent="0.25">
      <c r="A771" s="2">
        <v>765</v>
      </c>
      <c r="B771" s="11">
        <f t="shared" ca="1" si="57"/>
        <v>1</v>
      </c>
      <c r="C771" s="26">
        <f t="shared" ca="1" si="58"/>
        <v>0.45604886257617772</v>
      </c>
      <c r="J771">
        <f t="shared" ca="1" si="59"/>
        <v>0</v>
      </c>
      <c r="K771">
        <f t="shared" ca="1" si="60"/>
        <v>0</v>
      </c>
      <c r="L771" s="65">
        <v>765</v>
      </c>
      <c r="M771" s="71">
        <f t="shared" ca="1" si="56"/>
        <v>5.9024240606404179</v>
      </c>
      <c r="N771" s="65"/>
    </row>
    <row r="772" spans="1:14" x14ac:dyDescent="0.25">
      <c r="A772" s="2">
        <v>766</v>
      </c>
      <c r="B772" s="11">
        <f t="shared" ca="1" si="57"/>
        <v>0</v>
      </c>
      <c r="C772" s="26">
        <f t="shared" ca="1" si="58"/>
        <v>0.96824740746697446</v>
      </c>
      <c r="J772">
        <f t="shared" ca="1" si="59"/>
        <v>0</v>
      </c>
      <c r="K772">
        <f t="shared" ca="1" si="60"/>
        <v>1</v>
      </c>
      <c r="L772" s="65">
        <v>766</v>
      </c>
      <c r="M772" s="71">
        <f t="shared" ca="1" si="56"/>
        <v>0</v>
      </c>
      <c r="N772" s="65"/>
    </row>
    <row r="773" spans="1:14" x14ac:dyDescent="0.25">
      <c r="A773" s="2">
        <v>767</v>
      </c>
      <c r="B773" s="11">
        <f t="shared" ca="1" si="57"/>
        <v>0</v>
      </c>
      <c r="C773" s="26">
        <f t="shared" ca="1" si="58"/>
        <v>0.52371732945848126</v>
      </c>
      <c r="J773">
        <f t="shared" ca="1" si="59"/>
        <v>0</v>
      </c>
      <c r="K773">
        <f t="shared" ca="1" si="60"/>
        <v>1</v>
      </c>
      <c r="L773" s="65">
        <v>767</v>
      </c>
      <c r="M773" s="71">
        <f t="shared" ca="1" si="56"/>
        <v>0</v>
      </c>
      <c r="N773" s="65"/>
    </row>
    <row r="774" spans="1:14" x14ac:dyDescent="0.25">
      <c r="A774" s="2">
        <v>768</v>
      </c>
      <c r="B774" s="11">
        <f t="shared" ca="1" si="57"/>
        <v>0</v>
      </c>
      <c r="C774" s="26">
        <f t="shared" ca="1" si="58"/>
        <v>0.57253576204253254</v>
      </c>
      <c r="J774">
        <f t="shared" ca="1" si="59"/>
        <v>0</v>
      </c>
      <c r="K774">
        <f t="shared" ca="1" si="60"/>
        <v>1</v>
      </c>
      <c r="L774" s="65">
        <v>768</v>
      </c>
      <c r="M774" s="71">
        <f t="shared" ca="1" si="56"/>
        <v>0</v>
      </c>
      <c r="N774" s="65"/>
    </row>
    <row r="775" spans="1:14" x14ac:dyDescent="0.25">
      <c r="A775" s="2">
        <v>769</v>
      </c>
      <c r="B775" s="11">
        <f t="shared" ca="1" si="57"/>
        <v>0</v>
      </c>
      <c r="C775" s="26">
        <f t="shared" ca="1" si="58"/>
        <v>0.85437356506143491</v>
      </c>
      <c r="J775">
        <f t="shared" ca="1" si="59"/>
        <v>0</v>
      </c>
      <c r="K775">
        <f t="shared" ca="1" si="60"/>
        <v>1</v>
      </c>
      <c r="L775" s="65">
        <v>769</v>
      </c>
      <c r="M775" s="71">
        <f t="shared" ref="M775:M838" ca="1" si="61">IF(B775&gt;0,-LN(1-(RAND()))/lambda,0)</f>
        <v>0</v>
      </c>
      <c r="N775" s="65"/>
    </row>
    <row r="776" spans="1:14" x14ac:dyDescent="0.25">
      <c r="A776" s="2">
        <v>770</v>
      </c>
      <c r="B776" s="11">
        <f t="shared" ref="B776:B839" ca="1" si="62">IF(B775&gt;0,IF(C776&lt;pww,1,0),IF(C776&lt;pdw,1,0))</f>
        <v>0</v>
      </c>
      <c r="C776" s="26">
        <f t="shared" ref="C776:C839" ca="1" si="63">RAND()</f>
        <v>0.47370357767532945</v>
      </c>
      <c r="J776">
        <f t="shared" ref="J776:J839" ca="1" si="64">IF(AND(B776,B777),1,0)</f>
        <v>0</v>
      </c>
      <c r="K776">
        <f t="shared" ref="K776:K839" ca="1" si="65">IF(AND(NOT(B776),NOT(B777)),1,0)</f>
        <v>1</v>
      </c>
      <c r="L776" s="65">
        <v>770</v>
      </c>
      <c r="M776" s="71">
        <f t="shared" ca="1" si="61"/>
        <v>0</v>
      </c>
      <c r="N776" s="65"/>
    </row>
    <row r="777" spans="1:14" x14ac:dyDescent="0.25">
      <c r="A777" s="2">
        <v>771</v>
      </c>
      <c r="B777" s="11">
        <f t="shared" ca="1" si="62"/>
        <v>0</v>
      </c>
      <c r="C777" s="26">
        <f t="shared" ca="1" si="63"/>
        <v>0.46184209211769311</v>
      </c>
      <c r="J777">
        <f t="shared" ca="1" si="64"/>
        <v>0</v>
      </c>
      <c r="K777">
        <f t="shared" ca="1" si="65"/>
        <v>1</v>
      </c>
      <c r="L777" s="65">
        <v>771</v>
      </c>
      <c r="M777" s="71">
        <f t="shared" ca="1" si="61"/>
        <v>0</v>
      </c>
      <c r="N777" s="65"/>
    </row>
    <row r="778" spans="1:14" x14ac:dyDescent="0.25">
      <c r="A778" s="2">
        <v>772</v>
      </c>
      <c r="B778" s="11">
        <f t="shared" ca="1" si="62"/>
        <v>0</v>
      </c>
      <c r="C778" s="26">
        <f t="shared" ca="1" si="63"/>
        <v>0.821093805402201</v>
      </c>
      <c r="J778">
        <f t="shared" ca="1" si="64"/>
        <v>0</v>
      </c>
      <c r="K778">
        <f t="shared" ca="1" si="65"/>
        <v>0</v>
      </c>
      <c r="L778" s="65">
        <v>772</v>
      </c>
      <c r="M778" s="71">
        <f t="shared" ca="1" si="61"/>
        <v>0</v>
      </c>
      <c r="N778" s="65"/>
    </row>
    <row r="779" spans="1:14" x14ac:dyDescent="0.25">
      <c r="A779" s="2">
        <v>773</v>
      </c>
      <c r="B779" s="11">
        <f t="shared" ca="1" si="62"/>
        <v>1</v>
      </c>
      <c r="C779" s="26">
        <f t="shared" ca="1" si="63"/>
        <v>1.5263136461475035E-2</v>
      </c>
      <c r="J779">
        <f t="shared" ca="1" si="64"/>
        <v>1</v>
      </c>
      <c r="K779">
        <f t="shared" ca="1" si="65"/>
        <v>0</v>
      </c>
      <c r="L779" s="65">
        <v>773</v>
      </c>
      <c r="M779" s="71">
        <f t="shared" ca="1" si="61"/>
        <v>3.7460353876377539</v>
      </c>
      <c r="N779" s="65"/>
    </row>
    <row r="780" spans="1:14" x14ac:dyDescent="0.25">
      <c r="A780" s="2">
        <v>774</v>
      </c>
      <c r="B780" s="11">
        <f t="shared" ca="1" si="62"/>
        <v>1</v>
      </c>
      <c r="C780" s="26">
        <f t="shared" ca="1" si="63"/>
        <v>0.34690713782466254</v>
      </c>
      <c r="J780">
        <f t="shared" ca="1" si="64"/>
        <v>1</v>
      </c>
      <c r="K780">
        <f t="shared" ca="1" si="65"/>
        <v>0</v>
      </c>
      <c r="L780" s="65">
        <v>774</v>
      </c>
      <c r="M780" s="71">
        <f t="shared" ca="1" si="61"/>
        <v>2.2307177560941662</v>
      </c>
      <c r="N780" s="65"/>
    </row>
    <row r="781" spans="1:14" x14ac:dyDescent="0.25">
      <c r="A781" s="2">
        <v>775</v>
      </c>
      <c r="B781" s="11">
        <f t="shared" ca="1" si="62"/>
        <v>1</v>
      </c>
      <c r="C781" s="26">
        <f t="shared" ca="1" si="63"/>
        <v>0.23683827619126496</v>
      </c>
      <c r="J781">
        <f t="shared" ca="1" si="64"/>
        <v>1</v>
      </c>
      <c r="K781">
        <f t="shared" ca="1" si="65"/>
        <v>0</v>
      </c>
      <c r="L781" s="65">
        <v>775</v>
      </c>
      <c r="M781" s="71">
        <f t="shared" ca="1" si="61"/>
        <v>11.509862418144399</v>
      </c>
      <c r="N781" s="65"/>
    </row>
    <row r="782" spans="1:14" x14ac:dyDescent="0.25">
      <c r="A782" s="2">
        <v>776</v>
      </c>
      <c r="B782" s="11">
        <f t="shared" ca="1" si="62"/>
        <v>1</v>
      </c>
      <c r="C782" s="26">
        <f t="shared" ca="1" si="63"/>
        <v>0.61903197453282177</v>
      </c>
      <c r="J782">
        <f t="shared" ca="1" si="64"/>
        <v>1</v>
      </c>
      <c r="K782">
        <f t="shared" ca="1" si="65"/>
        <v>0</v>
      </c>
      <c r="L782" s="65">
        <v>776</v>
      </c>
      <c r="M782" s="71">
        <f t="shared" ca="1" si="61"/>
        <v>0.81382998532374284</v>
      </c>
      <c r="N782" s="65"/>
    </row>
    <row r="783" spans="1:14" x14ac:dyDescent="0.25">
      <c r="A783" s="2">
        <v>777</v>
      </c>
      <c r="B783" s="11">
        <f t="shared" ca="1" si="62"/>
        <v>1</v>
      </c>
      <c r="C783" s="26">
        <f t="shared" ca="1" si="63"/>
        <v>0.51258316528683601</v>
      </c>
      <c r="J783">
        <f t="shared" ca="1" si="64"/>
        <v>1</v>
      </c>
      <c r="K783">
        <f t="shared" ca="1" si="65"/>
        <v>0</v>
      </c>
      <c r="L783" s="65">
        <v>777</v>
      </c>
      <c r="M783" s="71">
        <f t="shared" ca="1" si="61"/>
        <v>1.097429262031391</v>
      </c>
      <c r="N783" s="65"/>
    </row>
    <row r="784" spans="1:14" x14ac:dyDescent="0.25">
      <c r="A784" s="2">
        <v>778</v>
      </c>
      <c r="B784" s="11">
        <f t="shared" ca="1" si="62"/>
        <v>1</v>
      </c>
      <c r="C784" s="26">
        <f t="shared" ca="1" si="63"/>
        <v>0.48074682741860553</v>
      </c>
      <c r="J784">
        <f t="shared" ca="1" si="64"/>
        <v>1</v>
      </c>
      <c r="K784">
        <f t="shared" ca="1" si="65"/>
        <v>0</v>
      </c>
      <c r="L784" s="65">
        <v>778</v>
      </c>
      <c r="M784" s="71">
        <f t="shared" ca="1" si="61"/>
        <v>0.51017976249093866</v>
      </c>
      <c r="N784" s="65"/>
    </row>
    <row r="785" spans="1:14" x14ac:dyDescent="0.25">
      <c r="A785" s="2">
        <v>779</v>
      </c>
      <c r="B785" s="11">
        <f t="shared" ca="1" si="62"/>
        <v>1</v>
      </c>
      <c r="C785" s="26">
        <f t="shared" ca="1" si="63"/>
        <v>8.9733016058812343E-2</v>
      </c>
      <c r="J785">
        <f t="shared" ca="1" si="64"/>
        <v>1</v>
      </c>
      <c r="K785">
        <f t="shared" ca="1" si="65"/>
        <v>0</v>
      </c>
      <c r="L785" s="65">
        <v>779</v>
      </c>
      <c r="M785" s="71">
        <f t="shared" ca="1" si="61"/>
        <v>7.2722605053798191</v>
      </c>
      <c r="N785" s="65"/>
    </row>
    <row r="786" spans="1:14" x14ac:dyDescent="0.25">
      <c r="A786" s="2">
        <v>780</v>
      </c>
      <c r="B786" s="11">
        <f t="shared" ca="1" si="62"/>
        <v>1</v>
      </c>
      <c r="C786" s="26">
        <f t="shared" ca="1" si="63"/>
        <v>0.72739400823218481</v>
      </c>
      <c r="J786">
        <f t="shared" ca="1" si="64"/>
        <v>1</v>
      </c>
      <c r="K786">
        <f t="shared" ca="1" si="65"/>
        <v>0</v>
      </c>
      <c r="L786" s="65">
        <v>780</v>
      </c>
      <c r="M786" s="71">
        <f t="shared" ca="1" si="61"/>
        <v>2.9928227572258725</v>
      </c>
      <c r="N786" s="65"/>
    </row>
    <row r="787" spans="1:14" x14ac:dyDescent="0.25">
      <c r="A787" s="2">
        <v>781</v>
      </c>
      <c r="B787" s="11">
        <f t="shared" ca="1" si="62"/>
        <v>1</v>
      </c>
      <c r="C787" s="26">
        <f t="shared" ca="1" si="63"/>
        <v>0.38782498569411694</v>
      </c>
      <c r="J787">
        <f t="shared" ca="1" si="64"/>
        <v>1</v>
      </c>
      <c r="K787">
        <f t="shared" ca="1" si="65"/>
        <v>0</v>
      </c>
      <c r="L787" s="65">
        <v>781</v>
      </c>
      <c r="M787" s="71">
        <f t="shared" ca="1" si="61"/>
        <v>2.165514189983627</v>
      </c>
      <c r="N787" s="65"/>
    </row>
    <row r="788" spans="1:14" x14ac:dyDescent="0.25">
      <c r="A788" s="2">
        <v>782</v>
      </c>
      <c r="B788" s="11">
        <f t="shared" ca="1" si="62"/>
        <v>1</v>
      </c>
      <c r="C788" s="26">
        <f t="shared" ca="1" si="63"/>
        <v>0.50436848994703742</v>
      </c>
      <c r="J788">
        <f t="shared" ca="1" si="64"/>
        <v>1</v>
      </c>
      <c r="K788">
        <f t="shared" ca="1" si="65"/>
        <v>0</v>
      </c>
      <c r="L788" s="65">
        <v>782</v>
      </c>
      <c r="M788" s="71">
        <f t="shared" ca="1" si="61"/>
        <v>1.3419673163594223</v>
      </c>
      <c r="N788" s="65"/>
    </row>
    <row r="789" spans="1:14" x14ac:dyDescent="0.25">
      <c r="A789" s="2">
        <v>783</v>
      </c>
      <c r="B789" s="11">
        <f t="shared" ca="1" si="62"/>
        <v>1</v>
      </c>
      <c r="C789" s="26">
        <f t="shared" ca="1" si="63"/>
        <v>0.32686005298338139</v>
      </c>
      <c r="J789">
        <f t="shared" ca="1" si="64"/>
        <v>0</v>
      </c>
      <c r="K789">
        <f t="shared" ca="1" si="65"/>
        <v>0</v>
      </c>
      <c r="L789" s="65">
        <v>783</v>
      </c>
      <c r="M789" s="71">
        <f t="shared" ca="1" si="61"/>
        <v>5.8222914481754495</v>
      </c>
      <c r="N789" s="65"/>
    </row>
    <row r="790" spans="1:14" x14ac:dyDescent="0.25">
      <c r="A790" s="2">
        <v>784</v>
      </c>
      <c r="B790" s="11">
        <f t="shared" ca="1" si="62"/>
        <v>0</v>
      </c>
      <c r="C790" s="26">
        <f t="shared" ca="1" si="63"/>
        <v>0.86471749459078895</v>
      </c>
      <c r="J790">
        <f t="shared" ca="1" si="64"/>
        <v>0</v>
      </c>
      <c r="K790">
        <f t="shared" ca="1" si="65"/>
        <v>0</v>
      </c>
      <c r="L790" s="65">
        <v>784</v>
      </c>
      <c r="M790" s="71">
        <f t="shared" ca="1" si="61"/>
        <v>0</v>
      </c>
      <c r="N790" s="65"/>
    </row>
    <row r="791" spans="1:14" x14ac:dyDescent="0.25">
      <c r="A791" s="2">
        <v>785</v>
      </c>
      <c r="B791" s="11">
        <f t="shared" ca="1" si="62"/>
        <v>1</v>
      </c>
      <c r="C791" s="26">
        <f t="shared" ca="1" si="63"/>
        <v>0.14617490685374934</v>
      </c>
      <c r="J791">
        <f t="shared" ca="1" si="64"/>
        <v>1</v>
      </c>
      <c r="K791">
        <f t="shared" ca="1" si="65"/>
        <v>0</v>
      </c>
      <c r="L791" s="65">
        <v>785</v>
      </c>
      <c r="M791" s="71">
        <f t="shared" ca="1" si="61"/>
        <v>2.0752430819114851</v>
      </c>
      <c r="N791" s="65"/>
    </row>
    <row r="792" spans="1:14" x14ac:dyDescent="0.25">
      <c r="A792" s="2">
        <v>786</v>
      </c>
      <c r="B792" s="11">
        <f t="shared" ca="1" si="62"/>
        <v>1</v>
      </c>
      <c r="C792" s="26">
        <f t="shared" ca="1" si="63"/>
        <v>0.30119625362993308</v>
      </c>
      <c r="J792">
        <f t="shared" ca="1" si="64"/>
        <v>1</v>
      </c>
      <c r="K792">
        <f t="shared" ca="1" si="65"/>
        <v>0</v>
      </c>
      <c r="L792" s="65">
        <v>786</v>
      </c>
      <c r="M792" s="71">
        <f t="shared" ca="1" si="61"/>
        <v>7.2463762536441187</v>
      </c>
      <c r="N792" s="65"/>
    </row>
    <row r="793" spans="1:14" x14ac:dyDescent="0.25">
      <c r="A793" s="2">
        <v>787</v>
      </c>
      <c r="B793" s="11">
        <f t="shared" ca="1" si="62"/>
        <v>1</v>
      </c>
      <c r="C793" s="26">
        <f t="shared" ca="1" si="63"/>
        <v>0.45937060510748418</v>
      </c>
      <c r="J793">
        <f t="shared" ca="1" si="64"/>
        <v>0</v>
      </c>
      <c r="K793">
        <f t="shared" ca="1" si="65"/>
        <v>0</v>
      </c>
      <c r="L793" s="65">
        <v>787</v>
      </c>
      <c r="M793" s="71">
        <f t="shared" ca="1" si="61"/>
        <v>1.4398158927044176</v>
      </c>
      <c r="N793" s="65"/>
    </row>
    <row r="794" spans="1:14" x14ac:dyDescent="0.25">
      <c r="A794" s="2">
        <v>788</v>
      </c>
      <c r="B794" s="11">
        <f t="shared" ca="1" si="62"/>
        <v>0</v>
      </c>
      <c r="C794" s="26">
        <f t="shared" ca="1" si="63"/>
        <v>0.94229451378143414</v>
      </c>
      <c r="J794">
        <f t="shared" ca="1" si="64"/>
        <v>0</v>
      </c>
      <c r="K794">
        <f t="shared" ca="1" si="65"/>
        <v>1</v>
      </c>
      <c r="L794" s="65">
        <v>788</v>
      </c>
      <c r="M794" s="71">
        <f t="shared" ca="1" si="61"/>
        <v>0</v>
      </c>
      <c r="N794" s="65"/>
    </row>
    <row r="795" spans="1:14" x14ac:dyDescent="0.25">
      <c r="A795" s="2">
        <v>789</v>
      </c>
      <c r="B795" s="11">
        <f t="shared" ca="1" si="62"/>
        <v>0</v>
      </c>
      <c r="C795" s="26">
        <f t="shared" ca="1" si="63"/>
        <v>0.95542602810251354</v>
      </c>
      <c r="J795">
        <f t="shared" ca="1" si="64"/>
        <v>0</v>
      </c>
      <c r="K795">
        <f t="shared" ca="1" si="65"/>
        <v>0</v>
      </c>
      <c r="L795" s="65">
        <v>789</v>
      </c>
      <c r="M795" s="71">
        <f t="shared" ca="1" si="61"/>
        <v>0</v>
      </c>
      <c r="N795" s="65"/>
    </row>
    <row r="796" spans="1:14" x14ac:dyDescent="0.25">
      <c r="A796" s="2">
        <v>790</v>
      </c>
      <c r="B796" s="11">
        <f t="shared" ca="1" si="62"/>
        <v>1</v>
      </c>
      <c r="C796" s="26">
        <f t="shared" ca="1" si="63"/>
        <v>0.19638914289411002</v>
      </c>
      <c r="J796">
        <f t="shared" ca="1" si="64"/>
        <v>1</v>
      </c>
      <c r="K796">
        <f t="shared" ca="1" si="65"/>
        <v>0</v>
      </c>
      <c r="L796" s="65">
        <v>790</v>
      </c>
      <c r="M796" s="71">
        <f t="shared" ca="1" si="61"/>
        <v>8.6691619120996695</v>
      </c>
      <c r="N796" s="65"/>
    </row>
    <row r="797" spans="1:14" x14ac:dyDescent="0.25">
      <c r="A797" s="2">
        <v>791</v>
      </c>
      <c r="B797" s="11">
        <f t="shared" ca="1" si="62"/>
        <v>1</v>
      </c>
      <c r="C797" s="26">
        <f t="shared" ca="1" si="63"/>
        <v>0.53048050240646261</v>
      </c>
      <c r="J797">
        <f t="shared" ca="1" si="64"/>
        <v>0</v>
      </c>
      <c r="K797">
        <f t="shared" ca="1" si="65"/>
        <v>0</v>
      </c>
      <c r="L797" s="65">
        <v>791</v>
      </c>
      <c r="M797" s="71">
        <f t="shared" ca="1" si="61"/>
        <v>0.67748731141215346</v>
      </c>
      <c r="N797" s="65"/>
    </row>
    <row r="798" spans="1:14" x14ac:dyDescent="0.25">
      <c r="A798" s="2">
        <v>792</v>
      </c>
      <c r="B798" s="11">
        <f t="shared" ca="1" si="62"/>
        <v>0</v>
      </c>
      <c r="C798" s="26">
        <f t="shared" ca="1" si="63"/>
        <v>0.98717572162245149</v>
      </c>
      <c r="J798">
        <f t="shared" ca="1" si="64"/>
        <v>0</v>
      </c>
      <c r="K798">
        <f t="shared" ca="1" si="65"/>
        <v>0</v>
      </c>
      <c r="L798" s="65">
        <v>792</v>
      </c>
      <c r="M798" s="71">
        <f t="shared" ca="1" si="61"/>
        <v>0</v>
      </c>
      <c r="N798" s="65"/>
    </row>
    <row r="799" spans="1:14" x14ac:dyDescent="0.25">
      <c r="A799" s="2">
        <v>793</v>
      </c>
      <c r="B799" s="11">
        <f t="shared" ca="1" si="62"/>
        <v>1</v>
      </c>
      <c r="C799" s="26">
        <f t="shared" ca="1" si="63"/>
        <v>0.16395886059334108</v>
      </c>
      <c r="J799">
        <f t="shared" ca="1" si="64"/>
        <v>1</v>
      </c>
      <c r="K799">
        <f t="shared" ca="1" si="65"/>
        <v>0</v>
      </c>
      <c r="L799" s="65">
        <v>793</v>
      </c>
      <c r="M799" s="71">
        <f t="shared" ca="1" si="61"/>
        <v>1.1246818091165063</v>
      </c>
      <c r="N799" s="65"/>
    </row>
    <row r="800" spans="1:14" x14ac:dyDescent="0.25">
      <c r="A800" s="2">
        <v>794</v>
      </c>
      <c r="B800" s="11">
        <f t="shared" ca="1" si="62"/>
        <v>1</v>
      </c>
      <c r="C800" s="26">
        <f t="shared" ca="1" si="63"/>
        <v>0.59000946045493741</v>
      </c>
      <c r="J800">
        <f t="shared" ca="1" si="64"/>
        <v>1</v>
      </c>
      <c r="K800">
        <f t="shared" ca="1" si="65"/>
        <v>0</v>
      </c>
      <c r="L800" s="65">
        <v>794</v>
      </c>
      <c r="M800" s="71">
        <f t="shared" ca="1" si="61"/>
        <v>1.8709724236422705</v>
      </c>
      <c r="N800" s="65"/>
    </row>
    <row r="801" spans="1:14" x14ac:dyDescent="0.25">
      <c r="A801" s="2">
        <v>795</v>
      </c>
      <c r="B801" s="11">
        <f t="shared" ca="1" si="62"/>
        <v>1</v>
      </c>
      <c r="C801" s="26">
        <f t="shared" ca="1" si="63"/>
        <v>0.61095361259908865</v>
      </c>
      <c r="J801">
        <f t="shared" ca="1" si="64"/>
        <v>1</v>
      </c>
      <c r="K801">
        <f t="shared" ca="1" si="65"/>
        <v>0</v>
      </c>
      <c r="L801" s="65">
        <v>795</v>
      </c>
      <c r="M801" s="71">
        <f t="shared" ca="1" si="61"/>
        <v>3.1665546184804052</v>
      </c>
      <c r="N801" s="65"/>
    </row>
    <row r="802" spans="1:14" x14ac:dyDescent="0.25">
      <c r="A802" s="2">
        <v>796</v>
      </c>
      <c r="B802" s="11">
        <f t="shared" ca="1" si="62"/>
        <v>1</v>
      </c>
      <c r="C802" s="26">
        <f t="shared" ca="1" si="63"/>
        <v>0.54195785185305834</v>
      </c>
      <c r="J802">
        <f t="shared" ca="1" si="64"/>
        <v>1</v>
      </c>
      <c r="K802">
        <f t="shared" ca="1" si="65"/>
        <v>0</v>
      </c>
      <c r="L802" s="65">
        <v>796</v>
      </c>
      <c r="M802" s="71">
        <f t="shared" ca="1" si="61"/>
        <v>2.4333721108828281</v>
      </c>
      <c r="N802" s="65"/>
    </row>
    <row r="803" spans="1:14" x14ac:dyDescent="0.25">
      <c r="A803" s="2">
        <v>797</v>
      </c>
      <c r="B803" s="11">
        <f t="shared" ca="1" si="62"/>
        <v>1</v>
      </c>
      <c r="C803" s="26">
        <f t="shared" ca="1" si="63"/>
        <v>0.41257031956162737</v>
      </c>
      <c r="J803">
        <f t="shared" ca="1" si="64"/>
        <v>1</v>
      </c>
      <c r="K803">
        <f t="shared" ca="1" si="65"/>
        <v>0</v>
      </c>
      <c r="L803" s="65">
        <v>797</v>
      </c>
      <c r="M803" s="71">
        <f t="shared" ca="1" si="61"/>
        <v>0.47310744965763279</v>
      </c>
      <c r="N803" s="65"/>
    </row>
    <row r="804" spans="1:14" x14ac:dyDescent="0.25">
      <c r="A804" s="2">
        <v>798</v>
      </c>
      <c r="B804" s="11">
        <f t="shared" ca="1" si="62"/>
        <v>1</v>
      </c>
      <c r="C804" s="26">
        <f t="shared" ca="1" si="63"/>
        <v>5.6430708063322177E-2</v>
      </c>
      <c r="J804">
        <f t="shared" ca="1" si="64"/>
        <v>0</v>
      </c>
      <c r="K804">
        <f t="shared" ca="1" si="65"/>
        <v>0</v>
      </c>
      <c r="L804" s="65">
        <v>798</v>
      </c>
      <c r="M804" s="71">
        <f t="shared" ca="1" si="61"/>
        <v>2.489537170089144</v>
      </c>
      <c r="N804" s="65"/>
    </row>
    <row r="805" spans="1:14" x14ac:dyDescent="0.25">
      <c r="A805" s="2">
        <v>799</v>
      </c>
      <c r="B805" s="11">
        <f t="shared" ca="1" si="62"/>
        <v>0</v>
      </c>
      <c r="C805" s="26">
        <f t="shared" ca="1" si="63"/>
        <v>0.91402386780795664</v>
      </c>
      <c r="J805">
        <f t="shared" ca="1" si="64"/>
        <v>0</v>
      </c>
      <c r="K805">
        <f t="shared" ca="1" si="65"/>
        <v>1</v>
      </c>
      <c r="L805" s="65">
        <v>799</v>
      </c>
      <c r="M805" s="71">
        <f t="shared" ca="1" si="61"/>
        <v>0</v>
      </c>
      <c r="N805" s="65"/>
    </row>
    <row r="806" spans="1:14" x14ac:dyDescent="0.25">
      <c r="A806" s="2">
        <v>800</v>
      </c>
      <c r="B806" s="11">
        <f t="shared" ca="1" si="62"/>
        <v>0</v>
      </c>
      <c r="C806" s="26">
        <f t="shared" ca="1" si="63"/>
        <v>0.92236433132427531</v>
      </c>
      <c r="J806">
        <f t="shared" ca="1" si="64"/>
        <v>0</v>
      </c>
      <c r="K806">
        <f t="shared" ca="1" si="65"/>
        <v>1</v>
      </c>
      <c r="L806" s="65">
        <v>800</v>
      </c>
      <c r="M806" s="71">
        <f t="shared" ca="1" si="61"/>
        <v>0</v>
      </c>
      <c r="N806" s="65"/>
    </row>
    <row r="807" spans="1:14" x14ac:dyDescent="0.25">
      <c r="A807" s="2">
        <v>801</v>
      </c>
      <c r="B807" s="11">
        <f t="shared" ca="1" si="62"/>
        <v>0</v>
      </c>
      <c r="C807" s="26">
        <f t="shared" ca="1" si="63"/>
        <v>0.76657631675707572</v>
      </c>
      <c r="J807">
        <f t="shared" ca="1" si="64"/>
        <v>0</v>
      </c>
      <c r="K807">
        <f t="shared" ca="1" si="65"/>
        <v>1</v>
      </c>
      <c r="L807" s="65">
        <v>801</v>
      </c>
      <c r="M807" s="71">
        <f t="shared" ca="1" si="61"/>
        <v>0</v>
      </c>
      <c r="N807" s="65"/>
    </row>
    <row r="808" spans="1:14" x14ac:dyDescent="0.25">
      <c r="A808" s="2">
        <v>802</v>
      </c>
      <c r="B808" s="11">
        <f t="shared" ca="1" si="62"/>
        <v>0</v>
      </c>
      <c r="C808" s="26">
        <f t="shared" ca="1" si="63"/>
        <v>0.68147169370974015</v>
      </c>
      <c r="J808">
        <f t="shared" ca="1" si="64"/>
        <v>0</v>
      </c>
      <c r="K808">
        <f t="shared" ca="1" si="65"/>
        <v>0</v>
      </c>
      <c r="L808" s="65">
        <v>802</v>
      </c>
      <c r="M808" s="71">
        <f t="shared" ca="1" si="61"/>
        <v>0</v>
      </c>
      <c r="N808" s="65"/>
    </row>
    <row r="809" spans="1:14" x14ac:dyDescent="0.25">
      <c r="A809" s="2">
        <v>803</v>
      </c>
      <c r="B809" s="11">
        <f t="shared" ca="1" si="62"/>
        <v>1</v>
      </c>
      <c r="C809" s="26">
        <f t="shared" ca="1" si="63"/>
        <v>0.33245504273767601</v>
      </c>
      <c r="J809">
        <f t="shared" ca="1" si="64"/>
        <v>0</v>
      </c>
      <c r="K809">
        <f t="shared" ca="1" si="65"/>
        <v>0</v>
      </c>
      <c r="L809" s="65">
        <v>803</v>
      </c>
      <c r="M809" s="71">
        <f t="shared" ca="1" si="61"/>
        <v>3.3864166471531623</v>
      </c>
      <c r="N809" s="65"/>
    </row>
    <row r="810" spans="1:14" x14ac:dyDescent="0.25">
      <c r="A810" s="2">
        <v>804</v>
      </c>
      <c r="B810" s="11">
        <f t="shared" ca="1" si="62"/>
        <v>0</v>
      </c>
      <c r="C810" s="26">
        <f t="shared" ca="1" si="63"/>
        <v>0.98533798222802416</v>
      </c>
      <c r="J810">
        <f t="shared" ca="1" si="64"/>
        <v>0</v>
      </c>
      <c r="K810">
        <f t="shared" ca="1" si="65"/>
        <v>0</v>
      </c>
      <c r="L810" s="65">
        <v>804</v>
      </c>
      <c r="M810" s="71">
        <f t="shared" ca="1" si="61"/>
        <v>0</v>
      </c>
      <c r="N810" s="65"/>
    </row>
    <row r="811" spans="1:14" x14ac:dyDescent="0.25">
      <c r="A811" s="2">
        <v>805</v>
      </c>
      <c r="B811" s="11">
        <f t="shared" ca="1" si="62"/>
        <v>1</v>
      </c>
      <c r="C811" s="26">
        <f t="shared" ca="1" si="63"/>
        <v>2.1816102808026372E-2</v>
      </c>
      <c r="J811">
        <f t="shared" ca="1" si="64"/>
        <v>0</v>
      </c>
      <c r="K811">
        <f t="shared" ca="1" si="65"/>
        <v>0</v>
      </c>
      <c r="L811" s="65">
        <v>805</v>
      </c>
      <c r="M811" s="71">
        <f t="shared" ca="1" si="61"/>
        <v>1.0048258432689698</v>
      </c>
      <c r="N811" s="65"/>
    </row>
    <row r="812" spans="1:14" x14ac:dyDescent="0.25">
      <c r="A812" s="2">
        <v>806</v>
      </c>
      <c r="B812" s="11">
        <f t="shared" ca="1" si="62"/>
        <v>0</v>
      </c>
      <c r="C812" s="26">
        <f t="shared" ca="1" si="63"/>
        <v>0.90513776557938364</v>
      </c>
      <c r="J812">
        <f t="shared" ca="1" si="64"/>
        <v>0</v>
      </c>
      <c r="K812">
        <f t="shared" ca="1" si="65"/>
        <v>0</v>
      </c>
      <c r="L812" s="65">
        <v>806</v>
      </c>
      <c r="M812" s="71">
        <f t="shared" ca="1" si="61"/>
        <v>0</v>
      </c>
      <c r="N812" s="65"/>
    </row>
    <row r="813" spans="1:14" x14ac:dyDescent="0.25">
      <c r="A813" s="2">
        <v>807</v>
      </c>
      <c r="B813" s="11">
        <f t="shared" ca="1" si="62"/>
        <v>1</v>
      </c>
      <c r="C813" s="26">
        <f t="shared" ca="1" si="63"/>
        <v>7.5859513588776295E-3</v>
      </c>
      <c r="J813">
        <f t="shared" ca="1" si="64"/>
        <v>1</v>
      </c>
      <c r="K813">
        <f t="shared" ca="1" si="65"/>
        <v>0</v>
      </c>
      <c r="L813" s="65">
        <v>807</v>
      </c>
      <c r="M813" s="71">
        <f t="shared" ca="1" si="61"/>
        <v>1.031375293092428</v>
      </c>
      <c r="N813" s="65"/>
    </row>
    <row r="814" spans="1:14" x14ac:dyDescent="0.25">
      <c r="A814" s="2">
        <v>808</v>
      </c>
      <c r="B814" s="11">
        <f t="shared" ca="1" si="62"/>
        <v>1</v>
      </c>
      <c r="C814" s="26">
        <f t="shared" ca="1" si="63"/>
        <v>0.49739611199387779</v>
      </c>
      <c r="J814">
        <f t="shared" ca="1" si="64"/>
        <v>1</v>
      </c>
      <c r="K814">
        <f t="shared" ca="1" si="65"/>
        <v>0</v>
      </c>
      <c r="L814" s="65">
        <v>808</v>
      </c>
      <c r="M814" s="71">
        <f t="shared" ca="1" si="61"/>
        <v>6.9877809302213256</v>
      </c>
      <c r="N814" s="65"/>
    </row>
    <row r="815" spans="1:14" x14ac:dyDescent="0.25">
      <c r="A815" s="2">
        <v>809</v>
      </c>
      <c r="B815" s="11">
        <f t="shared" ca="1" si="62"/>
        <v>1</v>
      </c>
      <c r="C815" s="26">
        <f t="shared" ca="1" si="63"/>
        <v>0.15228202215876652</v>
      </c>
      <c r="J815">
        <f t="shared" ca="1" si="64"/>
        <v>1</v>
      </c>
      <c r="K815">
        <f t="shared" ca="1" si="65"/>
        <v>0</v>
      </c>
      <c r="L815" s="65">
        <v>809</v>
      </c>
      <c r="M815" s="71">
        <f t="shared" ca="1" si="61"/>
        <v>0.81912608779774476</v>
      </c>
      <c r="N815" s="65"/>
    </row>
    <row r="816" spans="1:14" x14ac:dyDescent="0.25">
      <c r="A816" s="2">
        <v>810</v>
      </c>
      <c r="B816" s="11">
        <f t="shared" ca="1" si="62"/>
        <v>1</v>
      </c>
      <c r="C816" s="26">
        <f t="shared" ca="1" si="63"/>
        <v>0.59984555325899136</v>
      </c>
      <c r="J816">
        <f t="shared" ca="1" si="64"/>
        <v>0</v>
      </c>
      <c r="K816">
        <f t="shared" ca="1" si="65"/>
        <v>0</v>
      </c>
      <c r="L816" s="65">
        <v>810</v>
      </c>
      <c r="M816" s="71">
        <f t="shared" ca="1" si="61"/>
        <v>2.2773546024231606</v>
      </c>
      <c r="N816" s="65"/>
    </row>
    <row r="817" spans="1:14" x14ac:dyDescent="0.25">
      <c r="A817" s="2">
        <v>811</v>
      </c>
      <c r="B817" s="11">
        <f t="shared" ca="1" si="62"/>
        <v>0</v>
      </c>
      <c r="C817" s="26">
        <f t="shared" ca="1" si="63"/>
        <v>0.86956556189346712</v>
      </c>
      <c r="J817">
        <f t="shared" ca="1" si="64"/>
        <v>0</v>
      </c>
      <c r="K817">
        <f t="shared" ca="1" si="65"/>
        <v>0</v>
      </c>
      <c r="L817" s="65">
        <v>811</v>
      </c>
      <c r="M817" s="71">
        <f t="shared" ca="1" si="61"/>
        <v>0</v>
      </c>
      <c r="N817" s="65"/>
    </row>
    <row r="818" spans="1:14" x14ac:dyDescent="0.25">
      <c r="A818" s="2">
        <v>812</v>
      </c>
      <c r="B818" s="11">
        <f t="shared" ca="1" si="62"/>
        <v>1</v>
      </c>
      <c r="C818" s="26">
        <f t="shared" ca="1" si="63"/>
        <v>0.26676908273686784</v>
      </c>
      <c r="J818">
        <f t="shared" ca="1" si="64"/>
        <v>1</v>
      </c>
      <c r="K818">
        <f t="shared" ca="1" si="65"/>
        <v>0</v>
      </c>
      <c r="L818" s="65">
        <v>812</v>
      </c>
      <c r="M818" s="71">
        <f t="shared" ca="1" si="61"/>
        <v>1.5075501130118383</v>
      </c>
      <c r="N818" s="65"/>
    </row>
    <row r="819" spans="1:14" x14ac:dyDescent="0.25">
      <c r="A819" s="2">
        <v>813</v>
      </c>
      <c r="B819" s="11">
        <f t="shared" ca="1" si="62"/>
        <v>1</v>
      </c>
      <c r="C819" s="26">
        <f t="shared" ca="1" si="63"/>
        <v>0.73440750433125335</v>
      </c>
      <c r="J819">
        <f t="shared" ca="1" si="64"/>
        <v>1</v>
      </c>
      <c r="K819">
        <f t="shared" ca="1" si="65"/>
        <v>0</v>
      </c>
      <c r="L819" s="65">
        <v>813</v>
      </c>
      <c r="M819" s="71">
        <f t="shared" ca="1" si="61"/>
        <v>0.89209820750184032</v>
      </c>
      <c r="N819" s="65"/>
    </row>
    <row r="820" spans="1:14" x14ac:dyDescent="0.25">
      <c r="A820" s="2">
        <v>814</v>
      </c>
      <c r="B820" s="11">
        <f t="shared" ca="1" si="62"/>
        <v>1</v>
      </c>
      <c r="C820" s="26">
        <f t="shared" ca="1" si="63"/>
        <v>0.34301605842021443</v>
      </c>
      <c r="J820">
        <f t="shared" ca="1" si="64"/>
        <v>1</v>
      </c>
      <c r="K820">
        <f t="shared" ca="1" si="65"/>
        <v>0</v>
      </c>
      <c r="L820" s="65">
        <v>814</v>
      </c>
      <c r="M820" s="71">
        <f t="shared" ca="1" si="61"/>
        <v>5.7085209682138371</v>
      </c>
      <c r="N820" s="65"/>
    </row>
    <row r="821" spans="1:14" x14ac:dyDescent="0.25">
      <c r="A821" s="2">
        <v>815</v>
      </c>
      <c r="B821" s="11">
        <f t="shared" ca="1" si="62"/>
        <v>1</v>
      </c>
      <c r="C821" s="26">
        <f t="shared" ca="1" si="63"/>
        <v>0.73896796502898954</v>
      </c>
      <c r="J821">
        <f t="shared" ca="1" si="64"/>
        <v>1</v>
      </c>
      <c r="K821">
        <f t="shared" ca="1" si="65"/>
        <v>0</v>
      </c>
      <c r="L821" s="65">
        <v>815</v>
      </c>
      <c r="M821" s="71">
        <f t="shared" ca="1" si="61"/>
        <v>0.87081704596141107</v>
      </c>
      <c r="N821" s="65"/>
    </row>
    <row r="822" spans="1:14" x14ac:dyDescent="0.25">
      <c r="A822" s="2">
        <v>816</v>
      </c>
      <c r="B822" s="11">
        <f t="shared" ca="1" si="62"/>
        <v>1</v>
      </c>
      <c r="C822" s="26">
        <f t="shared" ca="1" si="63"/>
        <v>0.51329219456822017</v>
      </c>
      <c r="J822">
        <f t="shared" ca="1" si="64"/>
        <v>0</v>
      </c>
      <c r="K822">
        <f t="shared" ca="1" si="65"/>
        <v>0</v>
      </c>
      <c r="L822" s="65">
        <v>816</v>
      </c>
      <c r="M822" s="71">
        <f t="shared" ca="1" si="61"/>
        <v>3.1100841698574597</v>
      </c>
      <c r="N822" s="65"/>
    </row>
    <row r="823" spans="1:14" x14ac:dyDescent="0.25">
      <c r="A823" s="2">
        <v>817</v>
      </c>
      <c r="B823" s="11">
        <f t="shared" ca="1" si="62"/>
        <v>0</v>
      </c>
      <c r="C823" s="26">
        <f t="shared" ca="1" si="63"/>
        <v>0.85276807135716826</v>
      </c>
      <c r="J823">
        <f t="shared" ca="1" si="64"/>
        <v>0</v>
      </c>
      <c r="K823">
        <f t="shared" ca="1" si="65"/>
        <v>0</v>
      </c>
      <c r="L823" s="65">
        <v>817</v>
      </c>
      <c r="M823" s="71">
        <f t="shared" ca="1" si="61"/>
        <v>0</v>
      </c>
      <c r="N823" s="65"/>
    </row>
    <row r="824" spans="1:14" x14ac:dyDescent="0.25">
      <c r="A824" s="2">
        <v>818</v>
      </c>
      <c r="B824" s="11">
        <f t="shared" ca="1" si="62"/>
        <v>1</v>
      </c>
      <c r="C824" s="26">
        <f t="shared" ca="1" si="63"/>
        <v>0.29349990529788128</v>
      </c>
      <c r="J824">
        <f t="shared" ca="1" si="64"/>
        <v>1</v>
      </c>
      <c r="K824">
        <f t="shared" ca="1" si="65"/>
        <v>0</v>
      </c>
      <c r="L824" s="65">
        <v>818</v>
      </c>
      <c r="M824" s="71">
        <f t="shared" ca="1" si="61"/>
        <v>0.49913188550469273</v>
      </c>
      <c r="N824" s="65"/>
    </row>
    <row r="825" spans="1:14" x14ac:dyDescent="0.25">
      <c r="A825" s="2">
        <v>819</v>
      </c>
      <c r="B825" s="11">
        <f t="shared" ca="1" si="62"/>
        <v>1</v>
      </c>
      <c r="C825" s="26">
        <f t="shared" ca="1" si="63"/>
        <v>0.25229611644051919</v>
      </c>
      <c r="J825">
        <f t="shared" ca="1" si="64"/>
        <v>0</v>
      </c>
      <c r="K825">
        <f t="shared" ca="1" si="65"/>
        <v>0</v>
      </c>
      <c r="L825" s="65">
        <v>819</v>
      </c>
      <c r="M825" s="71">
        <f t="shared" ca="1" si="61"/>
        <v>5.741875245482543</v>
      </c>
      <c r="N825" s="65"/>
    </row>
    <row r="826" spans="1:14" x14ac:dyDescent="0.25">
      <c r="A826" s="2">
        <v>820</v>
      </c>
      <c r="B826" s="11">
        <f t="shared" ca="1" si="62"/>
        <v>0</v>
      </c>
      <c r="C826" s="26">
        <f t="shared" ca="1" si="63"/>
        <v>0.88596123540612537</v>
      </c>
      <c r="J826">
        <f t="shared" ca="1" si="64"/>
        <v>0</v>
      </c>
      <c r="K826">
        <f t="shared" ca="1" si="65"/>
        <v>0</v>
      </c>
      <c r="L826" s="65">
        <v>820</v>
      </c>
      <c r="M826" s="71">
        <f t="shared" ca="1" si="61"/>
        <v>0</v>
      </c>
      <c r="N826" s="65"/>
    </row>
    <row r="827" spans="1:14" x14ac:dyDescent="0.25">
      <c r="A827" s="2">
        <v>821</v>
      </c>
      <c r="B827" s="11">
        <f t="shared" ca="1" si="62"/>
        <v>1</v>
      </c>
      <c r="C827" s="26">
        <f t="shared" ca="1" si="63"/>
        <v>0.23673284358606728</v>
      </c>
      <c r="J827">
        <f t="shared" ca="1" si="64"/>
        <v>0</v>
      </c>
      <c r="K827">
        <f t="shared" ca="1" si="65"/>
        <v>0</v>
      </c>
      <c r="L827" s="65">
        <v>821</v>
      </c>
      <c r="M827" s="71">
        <f t="shared" ca="1" si="61"/>
        <v>8.8974156887728384</v>
      </c>
      <c r="N827" s="65"/>
    </row>
    <row r="828" spans="1:14" x14ac:dyDescent="0.25">
      <c r="A828" s="2">
        <v>822</v>
      </c>
      <c r="B828" s="11">
        <f t="shared" ca="1" si="62"/>
        <v>0</v>
      </c>
      <c r="C828" s="26">
        <f t="shared" ca="1" si="63"/>
        <v>0.95671244568012881</v>
      </c>
      <c r="J828">
        <f t="shared" ca="1" si="64"/>
        <v>0</v>
      </c>
      <c r="K828">
        <f t="shared" ca="1" si="65"/>
        <v>1</v>
      </c>
      <c r="L828" s="65">
        <v>822</v>
      </c>
      <c r="M828" s="71">
        <f t="shared" ca="1" si="61"/>
        <v>0</v>
      </c>
      <c r="N828" s="65"/>
    </row>
    <row r="829" spans="1:14" x14ac:dyDescent="0.25">
      <c r="A829" s="2">
        <v>823</v>
      </c>
      <c r="B829" s="11">
        <f t="shared" ca="1" si="62"/>
        <v>0</v>
      </c>
      <c r="C829" s="26">
        <f t="shared" ca="1" si="63"/>
        <v>0.96745729060090579</v>
      </c>
      <c r="J829">
        <f t="shared" ca="1" si="64"/>
        <v>0</v>
      </c>
      <c r="K829">
        <f t="shared" ca="1" si="65"/>
        <v>1</v>
      </c>
      <c r="L829" s="65">
        <v>823</v>
      </c>
      <c r="M829" s="71">
        <f t="shared" ca="1" si="61"/>
        <v>0</v>
      </c>
      <c r="N829" s="65"/>
    </row>
    <row r="830" spans="1:14" x14ac:dyDescent="0.25">
      <c r="A830" s="2">
        <v>824</v>
      </c>
      <c r="B830" s="11">
        <f t="shared" ca="1" si="62"/>
        <v>0</v>
      </c>
      <c r="C830" s="26">
        <f t="shared" ca="1" si="63"/>
        <v>0.75589732784648822</v>
      </c>
      <c r="J830">
        <f t="shared" ca="1" si="64"/>
        <v>0</v>
      </c>
      <c r="K830">
        <f t="shared" ca="1" si="65"/>
        <v>0</v>
      </c>
      <c r="L830" s="65">
        <v>824</v>
      </c>
      <c r="M830" s="71">
        <f t="shared" ca="1" si="61"/>
        <v>0</v>
      </c>
      <c r="N830" s="65"/>
    </row>
    <row r="831" spans="1:14" x14ac:dyDescent="0.25">
      <c r="A831" s="2">
        <v>825</v>
      </c>
      <c r="B831" s="11">
        <f t="shared" ca="1" si="62"/>
        <v>1</v>
      </c>
      <c r="C831" s="26">
        <f t="shared" ca="1" si="63"/>
        <v>0.32956828504752045</v>
      </c>
      <c r="J831">
        <f t="shared" ca="1" si="64"/>
        <v>1</v>
      </c>
      <c r="K831">
        <f t="shared" ca="1" si="65"/>
        <v>0</v>
      </c>
      <c r="L831" s="65">
        <v>825</v>
      </c>
      <c r="M831" s="71">
        <f t="shared" ca="1" si="61"/>
        <v>5.26806612862125E-3</v>
      </c>
      <c r="N831" s="65"/>
    </row>
    <row r="832" spans="1:14" x14ac:dyDescent="0.25">
      <c r="A832" s="2">
        <v>826</v>
      </c>
      <c r="B832" s="11">
        <f t="shared" ca="1" si="62"/>
        <v>1</v>
      </c>
      <c r="C832" s="26">
        <f t="shared" ca="1" si="63"/>
        <v>0.61369673896948251</v>
      </c>
      <c r="J832">
        <f t="shared" ca="1" si="64"/>
        <v>1</v>
      </c>
      <c r="K832">
        <f t="shared" ca="1" si="65"/>
        <v>0</v>
      </c>
      <c r="L832" s="65">
        <v>826</v>
      </c>
      <c r="M832" s="71">
        <f t="shared" ca="1" si="61"/>
        <v>0.60159179370258253</v>
      </c>
      <c r="N832" s="65"/>
    </row>
    <row r="833" spans="1:14" x14ac:dyDescent="0.25">
      <c r="A833" s="2">
        <v>827</v>
      </c>
      <c r="B833" s="11">
        <f t="shared" ca="1" si="62"/>
        <v>1</v>
      </c>
      <c r="C833" s="26">
        <f t="shared" ca="1" si="63"/>
        <v>0.41869483175703026</v>
      </c>
      <c r="J833">
        <f t="shared" ca="1" si="64"/>
        <v>1</v>
      </c>
      <c r="K833">
        <f t="shared" ca="1" si="65"/>
        <v>0</v>
      </c>
      <c r="L833" s="65">
        <v>827</v>
      </c>
      <c r="M833" s="71">
        <f t="shared" ca="1" si="61"/>
        <v>0.79334774740837499</v>
      </c>
      <c r="N833" s="65"/>
    </row>
    <row r="834" spans="1:14" x14ac:dyDescent="0.25">
      <c r="A834" s="2">
        <v>828</v>
      </c>
      <c r="B834" s="11">
        <f t="shared" ca="1" si="62"/>
        <v>1</v>
      </c>
      <c r="C834" s="26">
        <f t="shared" ca="1" si="63"/>
        <v>0.54040721362984578</v>
      </c>
      <c r="J834">
        <f t="shared" ca="1" si="64"/>
        <v>1</v>
      </c>
      <c r="K834">
        <f t="shared" ca="1" si="65"/>
        <v>0</v>
      </c>
      <c r="L834" s="65">
        <v>828</v>
      </c>
      <c r="M834" s="71">
        <f t="shared" ca="1" si="61"/>
        <v>0.3779021288885327</v>
      </c>
      <c r="N834" s="65"/>
    </row>
    <row r="835" spans="1:14" x14ac:dyDescent="0.25">
      <c r="A835" s="2">
        <v>829</v>
      </c>
      <c r="B835" s="11">
        <f t="shared" ca="1" si="62"/>
        <v>1</v>
      </c>
      <c r="C835" s="26">
        <f t="shared" ca="1" si="63"/>
        <v>0.41549681551463902</v>
      </c>
      <c r="J835">
        <f t="shared" ca="1" si="64"/>
        <v>1</v>
      </c>
      <c r="K835">
        <f t="shared" ca="1" si="65"/>
        <v>0</v>
      </c>
      <c r="L835" s="65">
        <v>829</v>
      </c>
      <c r="M835" s="71">
        <f t="shared" ca="1" si="61"/>
        <v>0.10710808018608968</v>
      </c>
      <c r="N835" s="65"/>
    </row>
    <row r="836" spans="1:14" x14ac:dyDescent="0.25">
      <c r="A836" s="2">
        <v>830</v>
      </c>
      <c r="B836" s="11">
        <f t="shared" ca="1" si="62"/>
        <v>1</v>
      </c>
      <c r="C836" s="26">
        <f t="shared" ca="1" si="63"/>
        <v>0.61634062296044889</v>
      </c>
      <c r="J836">
        <f t="shared" ca="1" si="64"/>
        <v>0</v>
      </c>
      <c r="K836">
        <f t="shared" ca="1" si="65"/>
        <v>0</v>
      </c>
      <c r="L836" s="65">
        <v>830</v>
      </c>
      <c r="M836" s="71">
        <f t="shared" ca="1" si="61"/>
        <v>14.849779397798684</v>
      </c>
      <c r="N836" s="65"/>
    </row>
    <row r="837" spans="1:14" x14ac:dyDescent="0.25">
      <c r="A837" s="2">
        <v>831</v>
      </c>
      <c r="B837" s="11">
        <f t="shared" ca="1" si="62"/>
        <v>0</v>
      </c>
      <c r="C837" s="26">
        <f t="shared" ca="1" si="63"/>
        <v>0.95562953725495647</v>
      </c>
      <c r="J837">
        <f t="shared" ca="1" si="64"/>
        <v>0</v>
      </c>
      <c r="K837">
        <f t="shared" ca="1" si="65"/>
        <v>0</v>
      </c>
      <c r="L837" s="65">
        <v>831</v>
      </c>
      <c r="M837" s="71">
        <f t="shared" ca="1" si="61"/>
        <v>0</v>
      </c>
      <c r="N837" s="65"/>
    </row>
    <row r="838" spans="1:14" x14ac:dyDescent="0.25">
      <c r="A838" s="2">
        <v>832</v>
      </c>
      <c r="B838" s="11">
        <f t="shared" ca="1" si="62"/>
        <v>1</v>
      </c>
      <c r="C838" s="26">
        <f t="shared" ca="1" si="63"/>
        <v>0.13936520121896945</v>
      </c>
      <c r="J838">
        <f t="shared" ca="1" si="64"/>
        <v>1</v>
      </c>
      <c r="K838">
        <f t="shared" ca="1" si="65"/>
        <v>0</v>
      </c>
      <c r="L838" s="65">
        <v>832</v>
      </c>
      <c r="M838" s="71">
        <f t="shared" ca="1" si="61"/>
        <v>1.8942590387581839</v>
      </c>
      <c r="N838" s="65"/>
    </row>
    <row r="839" spans="1:14" x14ac:dyDescent="0.25">
      <c r="A839" s="2">
        <v>833</v>
      </c>
      <c r="B839" s="11">
        <f t="shared" ca="1" si="62"/>
        <v>1</v>
      </c>
      <c r="C839" s="26">
        <f t="shared" ca="1" si="63"/>
        <v>0.64478111702184049</v>
      </c>
      <c r="J839">
        <f t="shared" ca="1" si="64"/>
        <v>0</v>
      </c>
      <c r="K839">
        <f t="shared" ca="1" si="65"/>
        <v>0</v>
      </c>
      <c r="L839" s="65">
        <v>833</v>
      </c>
      <c r="M839" s="71">
        <f t="shared" ref="M839:M902" ca="1" si="66">IF(B839&gt;0,-LN(1-(RAND()))/lambda,0)</f>
        <v>9.4147733206822046</v>
      </c>
      <c r="N839" s="65"/>
    </row>
    <row r="840" spans="1:14" x14ac:dyDescent="0.25">
      <c r="A840" s="2">
        <v>834</v>
      </c>
      <c r="B840" s="11">
        <f t="shared" ref="B840:B903" ca="1" si="67">IF(B839&gt;0,IF(C840&lt;pww,1,0),IF(C840&lt;pdw,1,0))</f>
        <v>0</v>
      </c>
      <c r="C840" s="26">
        <f t="shared" ref="C840:C903" ca="1" si="68">RAND()</f>
        <v>0.84898900322879434</v>
      </c>
      <c r="J840">
        <f t="shared" ref="J840:J903" ca="1" si="69">IF(AND(B840,B841),1,0)</f>
        <v>0</v>
      </c>
      <c r="K840">
        <f t="shared" ref="K840:K903" ca="1" si="70">IF(AND(NOT(B840),NOT(B841)),1,0)</f>
        <v>0</v>
      </c>
      <c r="L840" s="65">
        <v>834</v>
      </c>
      <c r="M840" s="71">
        <f t="shared" ca="1" si="66"/>
        <v>0</v>
      </c>
      <c r="N840" s="65"/>
    </row>
    <row r="841" spans="1:14" x14ac:dyDescent="0.25">
      <c r="A841" s="2">
        <v>835</v>
      </c>
      <c r="B841" s="11">
        <f t="shared" ca="1" si="67"/>
        <v>1</v>
      </c>
      <c r="C841" s="26">
        <f t="shared" ca="1" si="68"/>
        <v>4.8346179631958086E-2</v>
      </c>
      <c r="J841">
        <f t="shared" ca="1" si="69"/>
        <v>1</v>
      </c>
      <c r="K841">
        <f t="shared" ca="1" si="70"/>
        <v>0</v>
      </c>
      <c r="L841" s="65">
        <v>835</v>
      </c>
      <c r="M841" s="71">
        <f t="shared" ca="1" si="66"/>
        <v>3.611609918416359</v>
      </c>
      <c r="N841" s="65"/>
    </row>
    <row r="842" spans="1:14" x14ac:dyDescent="0.25">
      <c r="A842" s="2">
        <v>836</v>
      </c>
      <c r="B842" s="11">
        <f t="shared" ca="1" si="67"/>
        <v>1</v>
      </c>
      <c r="C842" s="26">
        <f t="shared" ca="1" si="68"/>
        <v>0.21846672458129157</v>
      </c>
      <c r="J842">
        <f t="shared" ca="1" si="69"/>
        <v>1</v>
      </c>
      <c r="K842">
        <f t="shared" ca="1" si="70"/>
        <v>0</v>
      </c>
      <c r="L842" s="65">
        <v>836</v>
      </c>
      <c r="M842" s="71">
        <f t="shared" ca="1" si="66"/>
        <v>8.9839800629239832</v>
      </c>
      <c r="N842" s="65"/>
    </row>
    <row r="843" spans="1:14" x14ac:dyDescent="0.25">
      <c r="A843" s="2">
        <v>837</v>
      </c>
      <c r="B843" s="11">
        <f t="shared" ca="1" si="67"/>
        <v>1</v>
      </c>
      <c r="C843" s="26">
        <f t="shared" ca="1" si="68"/>
        <v>0.14740907629548883</v>
      </c>
      <c r="J843">
        <f t="shared" ca="1" si="69"/>
        <v>0</v>
      </c>
      <c r="K843">
        <f t="shared" ca="1" si="70"/>
        <v>0</v>
      </c>
      <c r="L843" s="65">
        <v>837</v>
      </c>
      <c r="M843" s="71">
        <f t="shared" ca="1" si="66"/>
        <v>4.0101153379959191</v>
      </c>
      <c r="N843" s="65"/>
    </row>
    <row r="844" spans="1:14" x14ac:dyDescent="0.25">
      <c r="A844" s="2">
        <v>838</v>
      </c>
      <c r="B844" s="11">
        <f t="shared" ca="1" si="67"/>
        <v>0</v>
      </c>
      <c r="C844" s="26">
        <f t="shared" ca="1" si="68"/>
        <v>0.9560516312574413</v>
      </c>
      <c r="J844">
        <f t="shared" ca="1" si="69"/>
        <v>0</v>
      </c>
      <c r="K844">
        <f t="shared" ca="1" si="70"/>
        <v>1</v>
      </c>
      <c r="L844" s="65">
        <v>838</v>
      </c>
      <c r="M844" s="71">
        <f t="shared" ca="1" si="66"/>
        <v>0</v>
      </c>
      <c r="N844" s="65"/>
    </row>
    <row r="845" spans="1:14" x14ac:dyDescent="0.25">
      <c r="A845" s="2">
        <v>839</v>
      </c>
      <c r="B845" s="11">
        <f t="shared" ca="1" si="67"/>
        <v>0</v>
      </c>
      <c r="C845" s="26">
        <f t="shared" ca="1" si="68"/>
        <v>0.98744271423736396</v>
      </c>
      <c r="J845">
        <f t="shared" ca="1" si="69"/>
        <v>0</v>
      </c>
      <c r="K845">
        <f t="shared" ca="1" si="70"/>
        <v>1</v>
      </c>
      <c r="L845" s="65">
        <v>839</v>
      </c>
      <c r="M845" s="71">
        <f t="shared" ca="1" si="66"/>
        <v>0</v>
      </c>
      <c r="N845" s="65"/>
    </row>
    <row r="846" spans="1:14" x14ac:dyDescent="0.25">
      <c r="A846" s="2">
        <v>840</v>
      </c>
      <c r="B846" s="11">
        <f t="shared" ca="1" si="67"/>
        <v>0</v>
      </c>
      <c r="C846" s="26">
        <f t="shared" ca="1" si="68"/>
        <v>0.82919538424172723</v>
      </c>
      <c r="J846">
        <f t="shared" ca="1" si="69"/>
        <v>0</v>
      </c>
      <c r="K846">
        <f t="shared" ca="1" si="70"/>
        <v>1</v>
      </c>
      <c r="L846" s="65">
        <v>840</v>
      </c>
      <c r="M846" s="71">
        <f t="shared" ca="1" si="66"/>
        <v>0</v>
      </c>
      <c r="N846" s="65"/>
    </row>
    <row r="847" spans="1:14" x14ac:dyDescent="0.25">
      <c r="A847" s="2">
        <v>841</v>
      </c>
      <c r="B847" s="11">
        <f t="shared" ca="1" si="67"/>
        <v>0</v>
      </c>
      <c r="C847" s="26">
        <f t="shared" ca="1" si="68"/>
        <v>0.44756934403962845</v>
      </c>
      <c r="J847">
        <f t="shared" ca="1" si="69"/>
        <v>0</v>
      </c>
      <c r="K847">
        <f t="shared" ca="1" si="70"/>
        <v>0</v>
      </c>
      <c r="L847" s="65">
        <v>841</v>
      </c>
      <c r="M847" s="71">
        <f t="shared" ca="1" si="66"/>
        <v>0</v>
      </c>
      <c r="N847" s="65"/>
    </row>
    <row r="848" spans="1:14" x14ac:dyDescent="0.25">
      <c r="A848" s="2">
        <v>842</v>
      </c>
      <c r="B848" s="11">
        <f t="shared" ca="1" si="67"/>
        <v>1</v>
      </c>
      <c r="C848" s="26">
        <f t="shared" ca="1" si="68"/>
        <v>7.7109285764209723E-5</v>
      </c>
      <c r="J848">
        <f t="shared" ca="1" si="69"/>
        <v>1</v>
      </c>
      <c r="K848">
        <f t="shared" ca="1" si="70"/>
        <v>0</v>
      </c>
      <c r="L848" s="65">
        <v>842</v>
      </c>
      <c r="M848" s="71">
        <f t="shared" ca="1" si="66"/>
        <v>4.6928934564927287</v>
      </c>
      <c r="N848" s="65"/>
    </row>
    <row r="849" spans="1:14" x14ac:dyDescent="0.25">
      <c r="A849" s="2">
        <v>843</v>
      </c>
      <c r="B849" s="11">
        <f t="shared" ca="1" si="67"/>
        <v>1</v>
      </c>
      <c r="C849" s="26">
        <f t="shared" ca="1" si="68"/>
        <v>0.64377305827186304</v>
      </c>
      <c r="J849">
        <f t="shared" ca="1" si="69"/>
        <v>1</v>
      </c>
      <c r="K849">
        <f t="shared" ca="1" si="70"/>
        <v>0</v>
      </c>
      <c r="L849" s="65">
        <v>843</v>
      </c>
      <c r="M849" s="71">
        <f t="shared" ca="1" si="66"/>
        <v>0.34406994249928513</v>
      </c>
      <c r="N849" s="65"/>
    </row>
    <row r="850" spans="1:14" x14ac:dyDescent="0.25">
      <c r="A850" s="2">
        <v>844</v>
      </c>
      <c r="B850" s="11">
        <f t="shared" ca="1" si="67"/>
        <v>1</v>
      </c>
      <c r="C850" s="26">
        <f t="shared" ca="1" si="68"/>
        <v>0.35502156473608049</v>
      </c>
      <c r="J850">
        <f t="shared" ca="1" si="69"/>
        <v>1</v>
      </c>
      <c r="K850">
        <f t="shared" ca="1" si="70"/>
        <v>0</v>
      </c>
      <c r="L850" s="65">
        <v>844</v>
      </c>
      <c r="M850" s="71">
        <f t="shared" ca="1" si="66"/>
        <v>3.7664240868455461</v>
      </c>
      <c r="N850" s="65"/>
    </row>
    <row r="851" spans="1:14" x14ac:dyDescent="0.25">
      <c r="A851" s="2">
        <v>845</v>
      </c>
      <c r="B851" s="11">
        <f t="shared" ca="1" si="67"/>
        <v>1</v>
      </c>
      <c r="C851" s="26">
        <f t="shared" ca="1" si="68"/>
        <v>0.65817337101282469</v>
      </c>
      <c r="J851">
        <f t="shared" ca="1" si="69"/>
        <v>0</v>
      </c>
      <c r="K851">
        <f t="shared" ca="1" si="70"/>
        <v>0</v>
      </c>
      <c r="L851" s="65">
        <v>845</v>
      </c>
      <c r="M851" s="71">
        <f t="shared" ca="1" si="66"/>
        <v>3.3821469900514147</v>
      </c>
      <c r="N851" s="65"/>
    </row>
    <row r="852" spans="1:14" x14ac:dyDescent="0.25">
      <c r="A852" s="2">
        <v>846</v>
      </c>
      <c r="B852" s="11">
        <f t="shared" ca="1" si="67"/>
        <v>0</v>
      </c>
      <c r="C852" s="26">
        <f t="shared" ca="1" si="68"/>
        <v>0.83244958754937326</v>
      </c>
      <c r="J852">
        <f t="shared" ca="1" si="69"/>
        <v>0</v>
      </c>
      <c r="K852">
        <f t="shared" ca="1" si="70"/>
        <v>1</v>
      </c>
      <c r="L852" s="65">
        <v>846</v>
      </c>
      <c r="M852" s="71">
        <f t="shared" ca="1" si="66"/>
        <v>0</v>
      </c>
      <c r="N852" s="65"/>
    </row>
    <row r="853" spans="1:14" x14ac:dyDescent="0.25">
      <c r="A853" s="2">
        <v>847</v>
      </c>
      <c r="B853" s="11">
        <f t="shared" ca="1" si="67"/>
        <v>0</v>
      </c>
      <c r="C853" s="26">
        <f t="shared" ca="1" si="68"/>
        <v>0.53507523144454583</v>
      </c>
      <c r="J853">
        <f t="shared" ca="1" si="69"/>
        <v>0</v>
      </c>
      <c r="K853">
        <f t="shared" ca="1" si="70"/>
        <v>1</v>
      </c>
      <c r="L853" s="65">
        <v>847</v>
      </c>
      <c r="M853" s="71">
        <f t="shared" ca="1" si="66"/>
        <v>0</v>
      </c>
      <c r="N853" s="65"/>
    </row>
    <row r="854" spans="1:14" x14ac:dyDescent="0.25">
      <c r="A854" s="2">
        <v>848</v>
      </c>
      <c r="B854" s="11">
        <f t="shared" ca="1" si="67"/>
        <v>0</v>
      </c>
      <c r="C854" s="26">
        <f t="shared" ca="1" si="68"/>
        <v>0.57173693019754701</v>
      </c>
      <c r="J854">
        <f t="shared" ca="1" si="69"/>
        <v>0</v>
      </c>
      <c r="K854">
        <f t="shared" ca="1" si="70"/>
        <v>1</v>
      </c>
      <c r="L854" s="65">
        <v>848</v>
      </c>
      <c r="M854" s="71">
        <f t="shared" ca="1" si="66"/>
        <v>0</v>
      </c>
      <c r="N854" s="65"/>
    </row>
    <row r="855" spans="1:14" x14ac:dyDescent="0.25">
      <c r="A855" s="2">
        <v>849</v>
      </c>
      <c r="B855" s="11">
        <f t="shared" ca="1" si="67"/>
        <v>0</v>
      </c>
      <c r="C855" s="26">
        <f t="shared" ca="1" si="68"/>
        <v>0.84245093816124295</v>
      </c>
      <c r="J855">
        <f t="shared" ca="1" si="69"/>
        <v>0</v>
      </c>
      <c r="K855">
        <f t="shared" ca="1" si="70"/>
        <v>1</v>
      </c>
      <c r="L855" s="65">
        <v>849</v>
      </c>
      <c r="M855" s="71">
        <f t="shared" ca="1" si="66"/>
        <v>0</v>
      </c>
      <c r="N855" s="65"/>
    </row>
    <row r="856" spans="1:14" x14ac:dyDescent="0.25">
      <c r="A856" s="2">
        <v>850</v>
      </c>
      <c r="B856" s="11">
        <f t="shared" ca="1" si="67"/>
        <v>0</v>
      </c>
      <c r="C856" s="26">
        <f t="shared" ca="1" si="68"/>
        <v>0.70199402111596909</v>
      </c>
      <c r="J856">
        <f t="shared" ca="1" si="69"/>
        <v>0</v>
      </c>
      <c r="K856">
        <f t="shared" ca="1" si="70"/>
        <v>0</v>
      </c>
      <c r="L856" s="65">
        <v>850</v>
      </c>
      <c r="M856" s="71">
        <f t="shared" ca="1" si="66"/>
        <v>0</v>
      </c>
      <c r="N856" s="65"/>
    </row>
    <row r="857" spans="1:14" x14ac:dyDescent="0.25">
      <c r="A857" s="2">
        <v>851</v>
      </c>
      <c r="B857" s="11">
        <f t="shared" ca="1" si="67"/>
        <v>1</v>
      </c>
      <c r="C857" s="26">
        <f t="shared" ca="1" si="68"/>
        <v>0.25496210437399747</v>
      </c>
      <c r="J857">
        <f t="shared" ca="1" si="69"/>
        <v>1</v>
      </c>
      <c r="K857">
        <f t="shared" ca="1" si="70"/>
        <v>0</v>
      </c>
      <c r="L857" s="65">
        <v>851</v>
      </c>
      <c r="M857" s="71">
        <f t="shared" ca="1" si="66"/>
        <v>2.9304726157416448E-2</v>
      </c>
      <c r="N857" s="65"/>
    </row>
    <row r="858" spans="1:14" x14ac:dyDescent="0.25">
      <c r="A858" s="2">
        <v>852</v>
      </c>
      <c r="B858" s="11">
        <f t="shared" ca="1" si="67"/>
        <v>1</v>
      </c>
      <c r="C858" s="26">
        <f t="shared" ca="1" si="68"/>
        <v>0.62270532097295961</v>
      </c>
      <c r="J858">
        <f t="shared" ca="1" si="69"/>
        <v>1</v>
      </c>
      <c r="K858">
        <f t="shared" ca="1" si="70"/>
        <v>0</v>
      </c>
      <c r="L858" s="65">
        <v>852</v>
      </c>
      <c r="M858" s="71">
        <f t="shared" ca="1" si="66"/>
        <v>7.3157709059706224E-3</v>
      </c>
      <c r="N858" s="65"/>
    </row>
    <row r="859" spans="1:14" x14ac:dyDescent="0.25">
      <c r="A859" s="2">
        <v>853</v>
      </c>
      <c r="B859" s="11">
        <f t="shared" ca="1" si="67"/>
        <v>1</v>
      </c>
      <c r="C859" s="26">
        <f t="shared" ca="1" si="68"/>
        <v>0.30069445980850584</v>
      </c>
      <c r="J859">
        <f t="shared" ca="1" si="69"/>
        <v>1</v>
      </c>
      <c r="K859">
        <f t="shared" ca="1" si="70"/>
        <v>0</v>
      </c>
      <c r="L859" s="65">
        <v>853</v>
      </c>
      <c r="M859" s="71">
        <f t="shared" ca="1" si="66"/>
        <v>3.7497533713971354</v>
      </c>
      <c r="N859" s="65"/>
    </row>
    <row r="860" spans="1:14" x14ac:dyDescent="0.25">
      <c r="A860" s="2">
        <v>854</v>
      </c>
      <c r="B860" s="11">
        <f t="shared" ca="1" si="67"/>
        <v>1</v>
      </c>
      <c r="C860" s="26">
        <f t="shared" ca="1" si="68"/>
        <v>0.63562325607528636</v>
      </c>
      <c r="J860">
        <f t="shared" ca="1" si="69"/>
        <v>1</v>
      </c>
      <c r="K860">
        <f t="shared" ca="1" si="70"/>
        <v>0</v>
      </c>
      <c r="L860" s="65">
        <v>854</v>
      </c>
      <c r="M860" s="71">
        <f t="shared" ca="1" si="66"/>
        <v>2.1180735803465547</v>
      </c>
      <c r="N860" s="65"/>
    </row>
    <row r="861" spans="1:14" x14ac:dyDescent="0.25">
      <c r="A861" s="2">
        <v>855</v>
      </c>
      <c r="B861" s="11">
        <f t="shared" ca="1" si="67"/>
        <v>1</v>
      </c>
      <c r="C861" s="26">
        <f t="shared" ca="1" si="68"/>
        <v>0.53663271567051318</v>
      </c>
      <c r="J861">
        <f t="shared" ca="1" si="69"/>
        <v>0</v>
      </c>
      <c r="K861">
        <f t="shared" ca="1" si="70"/>
        <v>0</v>
      </c>
      <c r="L861" s="65">
        <v>855</v>
      </c>
      <c r="M861" s="71">
        <f t="shared" ca="1" si="66"/>
        <v>0.28088668513303844</v>
      </c>
      <c r="N861" s="65"/>
    </row>
    <row r="862" spans="1:14" x14ac:dyDescent="0.25">
      <c r="A862" s="2">
        <v>856</v>
      </c>
      <c r="B862" s="11">
        <f t="shared" ca="1" si="67"/>
        <v>0</v>
      </c>
      <c r="C862" s="26">
        <f t="shared" ca="1" si="68"/>
        <v>0.93613118053235966</v>
      </c>
      <c r="J862">
        <f t="shared" ca="1" si="69"/>
        <v>0</v>
      </c>
      <c r="K862">
        <f t="shared" ca="1" si="70"/>
        <v>0</v>
      </c>
      <c r="L862" s="65">
        <v>856</v>
      </c>
      <c r="M862" s="71">
        <f t="shared" ca="1" si="66"/>
        <v>0</v>
      </c>
      <c r="N862" s="65"/>
    </row>
    <row r="863" spans="1:14" x14ac:dyDescent="0.25">
      <c r="A863" s="2">
        <v>857</v>
      </c>
      <c r="B863" s="11">
        <f t="shared" ca="1" si="67"/>
        <v>1</v>
      </c>
      <c r="C863" s="26">
        <f t="shared" ca="1" si="68"/>
        <v>0.15716141162997443</v>
      </c>
      <c r="J863">
        <f t="shared" ca="1" si="69"/>
        <v>1</v>
      </c>
      <c r="K863">
        <f t="shared" ca="1" si="70"/>
        <v>0</v>
      </c>
      <c r="L863" s="65">
        <v>857</v>
      </c>
      <c r="M863" s="71">
        <f t="shared" ca="1" si="66"/>
        <v>1.2687604971931041</v>
      </c>
      <c r="N863" s="65"/>
    </row>
    <row r="864" spans="1:14" x14ac:dyDescent="0.25">
      <c r="A864" s="2">
        <v>858</v>
      </c>
      <c r="B864" s="11">
        <f t="shared" ca="1" si="67"/>
        <v>1</v>
      </c>
      <c r="C864" s="26">
        <f t="shared" ca="1" si="68"/>
        <v>0.22458931043001795</v>
      </c>
      <c r="J864">
        <f t="shared" ca="1" si="69"/>
        <v>1</v>
      </c>
      <c r="K864">
        <f t="shared" ca="1" si="70"/>
        <v>0</v>
      </c>
      <c r="L864" s="65">
        <v>858</v>
      </c>
      <c r="M864" s="71">
        <f t="shared" ca="1" si="66"/>
        <v>3.1813402312615779</v>
      </c>
      <c r="N864" s="65"/>
    </row>
    <row r="865" spans="1:14" x14ac:dyDescent="0.25">
      <c r="A865" s="2">
        <v>859</v>
      </c>
      <c r="B865" s="11">
        <f t="shared" ca="1" si="67"/>
        <v>1</v>
      </c>
      <c r="C865" s="26">
        <f t="shared" ca="1" si="68"/>
        <v>0.20623792921600037</v>
      </c>
      <c r="J865">
        <f t="shared" ca="1" si="69"/>
        <v>1</v>
      </c>
      <c r="K865">
        <f t="shared" ca="1" si="70"/>
        <v>0</v>
      </c>
      <c r="L865" s="65">
        <v>859</v>
      </c>
      <c r="M865" s="71">
        <f t="shared" ca="1" si="66"/>
        <v>4.1624628507844097</v>
      </c>
      <c r="N865" s="65"/>
    </row>
    <row r="866" spans="1:14" x14ac:dyDescent="0.25">
      <c r="A866" s="2">
        <v>860</v>
      </c>
      <c r="B866" s="11">
        <f t="shared" ca="1" si="67"/>
        <v>1</v>
      </c>
      <c r="C866" s="26">
        <f t="shared" ca="1" si="68"/>
        <v>0.10641587315228318</v>
      </c>
      <c r="J866">
        <f t="shared" ca="1" si="69"/>
        <v>1</v>
      </c>
      <c r="K866">
        <f t="shared" ca="1" si="70"/>
        <v>0</v>
      </c>
      <c r="L866" s="65">
        <v>860</v>
      </c>
      <c r="M866" s="71">
        <f t="shared" ca="1" si="66"/>
        <v>0.22426508207493026</v>
      </c>
      <c r="N866" s="65"/>
    </row>
    <row r="867" spans="1:14" x14ac:dyDescent="0.25">
      <c r="A867" s="2">
        <v>861</v>
      </c>
      <c r="B867" s="11">
        <f t="shared" ca="1" si="67"/>
        <v>1</v>
      </c>
      <c r="C867" s="26">
        <f t="shared" ca="1" si="68"/>
        <v>0.18658388278374249</v>
      </c>
      <c r="J867">
        <f t="shared" ca="1" si="69"/>
        <v>0</v>
      </c>
      <c r="K867">
        <f t="shared" ca="1" si="70"/>
        <v>0</v>
      </c>
      <c r="L867" s="65">
        <v>861</v>
      </c>
      <c r="M867" s="71">
        <f t="shared" ca="1" si="66"/>
        <v>0.68692297553295034</v>
      </c>
      <c r="N867" s="65"/>
    </row>
    <row r="868" spans="1:14" x14ac:dyDescent="0.25">
      <c r="A868" s="2">
        <v>862</v>
      </c>
      <c r="B868" s="11">
        <f t="shared" ca="1" si="67"/>
        <v>0</v>
      </c>
      <c r="C868" s="26">
        <f t="shared" ca="1" si="68"/>
        <v>0.98119337061863476</v>
      </c>
      <c r="J868">
        <f t="shared" ca="1" si="69"/>
        <v>0</v>
      </c>
      <c r="K868">
        <f t="shared" ca="1" si="70"/>
        <v>0</v>
      </c>
      <c r="L868" s="65">
        <v>862</v>
      </c>
      <c r="M868" s="71">
        <f t="shared" ca="1" si="66"/>
        <v>0</v>
      </c>
      <c r="N868" s="65"/>
    </row>
    <row r="869" spans="1:14" x14ac:dyDescent="0.25">
      <c r="A869" s="2">
        <v>863</v>
      </c>
      <c r="B869" s="11">
        <f t="shared" ca="1" si="67"/>
        <v>1</v>
      </c>
      <c r="C869" s="26">
        <f t="shared" ca="1" si="68"/>
        <v>0.30385212844475351</v>
      </c>
      <c r="J869">
        <f t="shared" ca="1" si="69"/>
        <v>0</v>
      </c>
      <c r="K869">
        <f t="shared" ca="1" si="70"/>
        <v>0</v>
      </c>
      <c r="L869" s="65">
        <v>863</v>
      </c>
      <c r="M869" s="71">
        <f t="shared" ca="1" si="66"/>
        <v>0.5034557679877576</v>
      </c>
      <c r="N869" s="65"/>
    </row>
    <row r="870" spans="1:14" x14ac:dyDescent="0.25">
      <c r="A870" s="2">
        <v>864</v>
      </c>
      <c r="B870" s="11">
        <f t="shared" ca="1" si="67"/>
        <v>0</v>
      </c>
      <c r="C870" s="26">
        <f t="shared" ca="1" si="68"/>
        <v>0.92490442009708829</v>
      </c>
      <c r="J870">
        <f t="shared" ca="1" si="69"/>
        <v>0</v>
      </c>
      <c r="K870">
        <f t="shared" ca="1" si="70"/>
        <v>0</v>
      </c>
      <c r="L870" s="65">
        <v>864</v>
      </c>
      <c r="M870" s="71">
        <f t="shared" ca="1" si="66"/>
        <v>0</v>
      </c>
      <c r="N870" s="65"/>
    </row>
    <row r="871" spans="1:14" x14ac:dyDescent="0.25">
      <c r="A871" s="2">
        <v>865</v>
      </c>
      <c r="B871" s="11">
        <f t="shared" ca="1" si="67"/>
        <v>1</v>
      </c>
      <c r="C871" s="26">
        <f t="shared" ca="1" si="68"/>
        <v>0.24442202344678976</v>
      </c>
      <c r="J871">
        <f t="shared" ca="1" si="69"/>
        <v>1</v>
      </c>
      <c r="K871">
        <f t="shared" ca="1" si="70"/>
        <v>0</v>
      </c>
      <c r="L871" s="65">
        <v>865</v>
      </c>
      <c r="M871" s="71">
        <f t="shared" ca="1" si="66"/>
        <v>0.85664886798685114</v>
      </c>
      <c r="N871" s="65"/>
    </row>
    <row r="872" spans="1:14" x14ac:dyDescent="0.25">
      <c r="A872" s="2">
        <v>866</v>
      </c>
      <c r="B872" s="11">
        <f t="shared" ca="1" si="67"/>
        <v>1</v>
      </c>
      <c r="C872" s="26">
        <f t="shared" ca="1" si="68"/>
        <v>0.41987259716163572</v>
      </c>
      <c r="J872">
        <f t="shared" ca="1" si="69"/>
        <v>1</v>
      </c>
      <c r="K872">
        <f t="shared" ca="1" si="70"/>
        <v>0</v>
      </c>
      <c r="L872" s="65">
        <v>866</v>
      </c>
      <c r="M872" s="71">
        <f t="shared" ca="1" si="66"/>
        <v>0.36820605756504143</v>
      </c>
      <c r="N872" s="65"/>
    </row>
    <row r="873" spans="1:14" x14ac:dyDescent="0.25">
      <c r="A873" s="2">
        <v>867</v>
      </c>
      <c r="B873" s="11">
        <f t="shared" ca="1" si="67"/>
        <v>1</v>
      </c>
      <c r="C873" s="26">
        <f t="shared" ca="1" si="68"/>
        <v>0.15941529008134625</v>
      </c>
      <c r="J873">
        <f t="shared" ca="1" si="69"/>
        <v>1</v>
      </c>
      <c r="K873">
        <f t="shared" ca="1" si="70"/>
        <v>0</v>
      </c>
      <c r="L873" s="65">
        <v>867</v>
      </c>
      <c r="M873" s="71">
        <f t="shared" ca="1" si="66"/>
        <v>3.3641441254425359</v>
      </c>
      <c r="N873" s="65"/>
    </row>
    <row r="874" spans="1:14" x14ac:dyDescent="0.25">
      <c r="A874" s="2">
        <v>868</v>
      </c>
      <c r="B874" s="11">
        <f t="shared" ca="1" si="67"/>
        <v>1</v>
      </c>
      <c r="C874" s="26">
        <f t="shared" ca="1" si="68"/>
        <v>3.5868994562547885E-3</v>
      </c>
      <c r="J874">
        <f t="shared" ca="1" si="69"/>
        <v>1</v>
      </c>
      <c r="K874">
        <f t="shared" ca="1" si="70"/>
        <v>0</v>
      </c>
      <c r="L874" s="65">
        <v>868</v>
      </c>
      <c r="M874" s="71">
        <f t="shared" ca="1" si="66"/>
        <v>2.2326117085253134</v>
      </c>
      <c r="N874" s="65"/>
    </row>
    <row r="875" spans="1:14" x14ac:dyDescent="0.25">
      <c r="A875" s="2">
        <v>869</v>
      </c>
      <c r="B875" s="11">
        <f t="shared" ca="1" si="67"/>
        <v>1</v>
      </c>
      <c r="C875" s="26">
        <f t="shared" ca="1" si="68"/>
        <v>0.68725759288654498</v>
      </c>
      <c r="J875">
        <f t="shared" ca="1" si="69"/>
        <v>1</v>
      </c>
      <c r="K875">
        <f t="shared" ca="1" si="70"/>
        <v>0</v>
      </c>
      <c r="L875" s="65">
        <v>869</v>
      </c>
      <c r="M875" s="71">
        <f t="shared" ca="1" si="66"/>
        <v>0.50105733324392931</v>
      </c>
      <c r="N875" s="65"/>
    </row>
    <row r="876" spans="1:14" x14ac:dyDescent="0.25">
      <c r="A876" s="2">
        <v>870</v>
      </c>
      <c r="B876" s="11">
        <f t="shared" ca="1" si="67"/>
        <v>1</v>
      </c>
      <c r="C876" s="26">
        <f t="shared" ca="1" si="68"/>
        <v>0.25940635400402523</v>
      </c>
      <c r="J876">
        <f t="shared" ca="1" si="69"/>
        <v>1</v>
      </c>
      <c r="K876">
        <f t="shared" ca="1" si="70"/>
        <v>0</v>
      </c>
      <c r="L876" s="65">
        <v>870</v>
      </c>
      <c r="M876" s="71">
        <f t="shared" ca="1" si="66"/>
        <v>3.356003524511979</v>
      </c>
      <c r="N876" s="65"/>
    </row>
    <row r="877" spans="1:14" x14ac:dyDescent="0.25">
      <c r="A877" s="2">
        <v>871</v>
      </c>
      <c r="B877" s="11">
        <f t="shared" ca="1" si="67"/>
        <v>1</v>
      </c>
      <c r="C877" s="26">
        <f t="shared" ca="1" si="68"/>
        <v>1.2706006864346864E-2</v>
      </c>
      <c r="J877">
        <f t="shared" ca="1" si="69"/>
        <v>1</v>
      </c>
      <c r="K877">
        <f t="shared" ca="1" si="70"/>
        <v>0</v>
      </c>
      <c r="L877" s="65">
        <v>871</v>
      </c>
      <c r="M877" s="71">
        <f t="shared" ca="1" si="66"/>
        <v>1.3265417036455613</v>
      </c>
      <c r="N877" s="65"/>
    </row>
    <row r="878" spans="1:14" x14ac:dyDescent="0.25">
      <c r="A878" s="2">
        <v>872</v>
      </c>
      <c r="B878" s="11">
        <f t="shared" ca="1" si="67"/>
        <v>1</v>
      </c>
      <c r="C878" s="26">
        <f t="shared" ca="1" si="68"/>
        <v>0.4073492231950917</v>
      </c>
      <c r="J878">
        <f t="shared" ca="1" si="69"/>
        <v>0</v>
      </c>
      <c r="K878">
        <f t="shared" ca="1" si="70"/>
        <v>0</v>
      </c>
      <c r="L878" s="65">
        <v>872</v>
      </c>
      <c r="M878" s="71">
        <f t="shared" ca="1" si="66"/>
        <v>3.5509897146093454</v>
      </c>
      <c r="N878" s="65"/>
    </row>
    <row r="879" spans="1:14" x14ac:dyDescent="0.25">
      <c r="A879" s="2">
        <v>873</v>
      </c>
      <c r="B879" s="11">
        <f t="shared" ca="1" si="67"/>
        <v>0</v>
      </c>
      <c r="C879" s="26">
        <f t="shared" ca="1" si="68"/>
        <v>0.81036918003987179</v>
      </c>
      <c r="J879">
        <f t="shared" ca="1" si="69"/>
        <v>0</v>
      </c>
      <c r="K879">
        <f t="shared" ca="1" si="70"/>
        <v>0</v>
      </c>
      <c r="L879" s="65">
        <v>873</v>
      </c>
      <c r="M879" s="71">
        <f t="shared" ca="1" si="66"/>
        <v>0</v>
      </c>
      <c r="N879" s="65"/>
    </row>
    <row r="880" spans="1:14" x14ac:dyDescent="0.25">
      <c r="A880" s="2">
        <v>874</v>
      </c>
      <c r="B880" s="11">
        <f t="shared" ca="1" si="67"/>
        <v>1</v>
      </c>
      <c r="C880" s="26">
        <f t="shared" ca="1" si="68"/>
        <v>0.2463646301774749</v>
      </c>
      <c r="J880">
        <f t="shared" ca="1" si="69"/>
        <v>1</v>
      </c>
      <c r="K880">
        <f t="shared" ca="1" si="70"/>
        <v>0</v>
      </c>
      <c r="L880" s="65">
        <v>874</v>
      </c>
      <c r="M880" s="71">
        <f t="shared" ca="1" si="66"/>
        <v>7.8594368836512682</v>
      </c>
      <c r="N880" s="65"/>
    </row>
    <row r="881" spans="1:14" x14ac:dyDescent="0.25">
      <c r="A881" s="2">
        <v>875</v>
      </c>
      <c r="B881" s="11">
        <f t="shared" ca="1" si="67"/>
        <v>1</v>
      </c>
      <c r="C881" s="26">
        <f t="shared" ca="1" si="68"/>
        <v>0.20198728650639919</v>
      </c>
      <c r="J881">
        <f t="shared" ca="1" si="69"/>
        <v>1</v>
      </c>
      <c r="K881">
        <f t="shared" ca="1" si="70"/>
        <v>0</v>
      </c>
      <c r="L881" s="65">
        <v>875</v>
      </c>
      <c r="M881" s="71">
        <f t="shared" ca="1" si="66"/>
        <v>1.0504447736301341</v>
      </c>
      <c r="N881" s="65"/>
    </row>
    <row r="882" spans="1:14" x14ac:dyDescent="0.25">
      <c r="A882" s="2">
        <v>876</v>
      </c>
      <c r="B882" s="11">
        <f t="shared" ca="1" si="67"/>
        <v>1</v>
      </c>
      <c r="C882" s="26">
        <f t="shared" ca="1" si="68"/>
        <v>0.72470370142350216</v>
      </c>
      <c r="J882">
        <f t="shared" ca="1" si="69"/>
        <v>0</v>
      </c>
      <c r="K882">
        <f t="shared" ca="1" si="70"/>
        <v>0</v>
      </c>
      <c r="L882" s="65">
        <v>876</v>
      </c>
      <c r="M882" s="71">
        <f t="shared" ca="1" si="66"/>
        <v>1.2316243433855147</v>
      </c>
      <c r="N882" s="65"/>
    </row>
    <row r="883" spans="1:14" x14ac:dyDescent="0.25">
      <c r="A883" s="2">
        <v>877</v>
      </c>
      <c r="B883" s="11">
        <f t="shared" ca="1" si="67"/>
        <v>0</v>
      </c>
      <c r="C883" s="26">
        <f t="shared" ca="1" si="68"/>
        <v>0.98377269516115051</v>
      </c>
      <c r="J883">
        <f t="shared" ca="1" si="69"/>
        <v>0</v>
      </c>
      <c r="K883">
        <f t="shared" ca="1" si="70"/>
        <v>1</v>
      </c>
      <c r="L883" s="65">
        <v>877</v>
      </c>
      <c r="M883" s="71">
        <f t="shared" ca="1" si="66"/>
        <v>0</v>
      </c>
      <c r="N883" s="65"/>
    </row>
    <row r="884" spans="1:14" x14ac:dyDescent="0.25">
      <c r="A884" s="2">
        <v>878</v>
      </c>
      <c r="B884" s="11">
        <f t="shared" ca="1" si="67"/>
        <v>0</v>
      </c>
      <c r="C884" s="26">
        <f t="shared" ca="1" si="68"/>
        <v>0.43254036668149631</v>
      </c>
      <c r="J884">
        <f t="shared" ca="1" si="69"/>
        <v>0</v>
      </c>
      <c r="K884">
        <f t="shared" ca="1" si="70"/>
        <v>0</v>
      </c>
      <c r="L884" s="65">
        <v>878</v>
      </c>
      <c r="M884" s="71">
        <f t="shared" ca="1" si="66"/>
        <v>0</v>
      </c>
      <c r="N884" s="65"/>
    </row>
    <row r="885" spans="1:14" x14ac:dyDescent="0.25">
      <c r="A885" s="2">
        <v>879</v>
      </c>
      <c r="B885" s="11">
        <f t="shared" ca="1" si="67"/>
        <v>1</v>
      </c>
      <c r="C885" s="26">
        <f t="shared" ca="1" si="68"/>
        <v>0.342997186236633</v>
      </c>
      <c r="J885">
        <f t="shared" ca="1" si="69"/>
        <v>1</v>
      </c>
      <c r="K885">
        <f t="shared" ca="1" si="70"/>
        <v>0</v>
      </c>
      <c r="L885" s="65">
        <v>879</v>
      </c>
      <c r="M885" s="71">
        <f t="shared" ca="1" si="66"/>
        <v>0.50495686375128923</v>
      </c>
      <c r="N885" s="65"/>
    </row>
    <row r="886" spans="1:14" x14ac:dyDescent="0.25">
      <c r="A886" s="2">
        <v>880</v>
      </c>
      <c r="B886" s="11">
        <f t="shared" ca="1" si="67"/>
        <v>1</v>
      </c>
      <c r="C886" s="26">
        <f t="shared" ca="1" si="68"/>
        <v>0.32298407735801915</v>
      </c>
      <c r="J886">
        <f t="shared" ca="1" si="69"/>
        <v>0</v>
      </c>
      <c r="K886">
        <f t="shared" ca="1" si="70"/>
        <v>0</v>
      </c>
      <c r="L886" s="65">
        <v>880</v>
      </c>
      <c r="M886" s="71">
        <f t="shared" ca="1" si="66"/>
        <v>0.15581649457271179</v>
      </c>
      <c r="N886" s="65"/>
    </row>
    <row r="887" spans="1:14" x14ac:dyDescent="0.25">
      <c r="A887" s="2">
        <v>881</v>
      </c>
      <c r="B887" s="11">
        <f t="shared" ca="1" si="67"/>
        <v>0</v>
      </c>
      <c r="C887" s="26">
        <f t="shared" ca="1" si="68"/>
        <v>0.77119090553681779</v>
      </c>
      <c r="J887">
        <f t="shared" ca="1" si="69"/>
        <v>0</v>
      </c>
      <c r="K887">
        <f t="shared" ca="1" si="70"/>
        <v>1</v>
      </c>
      <c r="L887" s="65">
        <v>881</v>
      </c>
      <c r="M887" s="71">
        <f t="shared" ca="1" si="66"/>
        <v>0</v>
      </c>
      <c r="N887" s="65"/>
    </row>
    <row r="888" spans="1:14" x14ac:dyDescent="0.25">
      <c r="A888" s="2">
        <v>882</v>
      </c>
      <c r="B888" s="11">
        <f t="shared" ca="1" si="67"/>
        <v>0</v>
      </c>
      <c r="C888" s="26">
        <f t="shared" ca="1" si="68"/>
        <v>0.99989327611139511</v>
      </c>
      <c r="J888">
        <f t="shared" ca="1" si="69"/>
        <v>0</v>
      </c>
      <c r="K888">
        <f t="shared" ca="1" si="70"/>
        <v>0</v>
      </c>
      <c r="L888" s="65">
        <v>882</v>
      </c>
      <c r="M888" s="71">
        <f t="shared" ca="1" si="66"/>
        <v>0</v>
      </c>
      <c r="N888" s="65"/>
    </row>
    <row r="889" spans="1:14" x14ac:dyDescent="0.25">
      <c r="A889" s="2">
        <v>883</v>
      </c>
      <c r="B889" s="11">
        <f t="shared" ca="1" si="67"/>
        <v>1</v>
      </c>
      <c r="C889" s="26">
        <f t="shared" ca="1" si="68"/>
        <v>2.4321569375127527E-2</v>
      </c>
      <c r="J889">
        <f t="shared" ca="1" si="69"/>
        <v>1</v>
      </c>
      <c r="K889">
        <f t="shared" ca="1" si="70"/>
        <v>0</v>
      </c>
      <c r="L889" s="65">
        <v>883</v>
      </c>
      <c r="M889" s="71">
        <f t="shared" ca="1" si="66"/>
        <v>0.11918118938393626</v>
      </c>
      <c r="N889" s="65"/>
    </row>
    <row r="890" spans="1:14" x14ac:dyDescent="0.25">
      <c r="A890" s="2">
        <v>884</v>
      </c>
      <c r="B890" s="11">
        <f t="shared" ca="1" si="67"/>
        <v>1</v>
      </c>
      <c r="C890" s="26">
        <f t="shared" ca="1" si="68"/>
        <v>0.18096349075125184</v>
      </c>
      <c r="J890">
        <f t="shared" ca="1" si="69"/>
        <v>0</v>
      </c>
      <c r="K890">
        <f t="shared" ca="1" si="70"/>
        <v>0</v>
      </c>
      <c r="L890" s="65">
        <v>884</v>
      </c>
      <c r="M890" s="71">
        <f t="shared" ca="1" si="66"/>
        <v>3.4897729734432943</v>
      </c>
      <c r="N890" s="65"/>
    </row>
    <row r="891" spans="1:14" x14ac:dyDescent="0.25">
      <c r="A891" s="2">
        <v>885</v>
      </c>
      <c r="B891" s="11">
        <f t="shared" ca="1" si="67"/>
        <v>0</v>
      </c>
      <c r="C891" s="26">
        <f t="shared" ca="1" si="68"/>
        <v>0.84828134624460405</v>
      </c>
      <c r="J891">
        <f t="shared" ca="1" si="69"/>
        <v>0</v>
      </c>
      <c r="K891">
        <f t="shared" ca="1" si="70"/>
        <v>1</v>
      </c>
      <c r="L891" s="65">
        <v>885</v>
      </c>
      <c r="M891" s="71">
        <f t="shared" ca="1" si="66"/>
        <v>0</v>
      </c>
      <c r="N891" s="65"/>
    </row>
    <row r="892" spans="1:14" x14ac:dyDescent="0.25">
      <c r="A892" s="2">
        <v>886</v>
      </c>
      <c r="B892" s="11">
        <f t="shared" ca="1" si="67"/>
        <v>0</v>
      </c>
      <c r="C892" s="26">
        <f t="shared" ca="1" si="68"/>
        <v>0.99096402675038497</v>
      </c>
      <c r="J892">
        <f t="shared" ca="1" si="69"/>
        <v>0</v>
      </c>
      <c r="K892">
        <f t="shared" ca="1" si="70"/>
        <v>1</v>
      </c>
      <c r="L892" s="65">
        <v>886</v>
      </c>
      <c r="M892" s="71">
        <f t="shared" ca="1" si="66"/>
        <v>0</v>
      </c>
      <c r="N892" s="65"/>
    </row>
    <row r="893" spans="1:14" x14ac:dyDescent="0.25">
      <c r="A893" s="2">
        <v>887</v>
      </c>
      <c r="B893" s="11">
        <f t="shared" ca="1" si="67"/>
        <v>0</v>
      </c>
      <c r="C893" s="26">
        <f t="shared" ca="1" si="68"/>
        <v>0.58156213742754181</v>
      </c>
      <c r="J893">
        <f t="shared" ca="1" si="69"/>
        <v>0</v>
      </c>
      <c r="K893">
        <f t="shared" ca="1" si="70"/>
        <v>1</v>
      </c>
      <c r="L893" s="65">
        <v>887</v>
      </c>
      <c r="M893" s="71">
        <f t="shared" ca="1" si="66"/>
        <v>0</v>
      </c>
      <c r="N893" s="65"/>
    </row>
    <row r="894" spans="1:14" x14ac:dyDescent="0.25">
      <c r="A894" s="2">
        <v>888</v>
      </c>
      <c r="B894" s="11">
        <f t="shared" ca="1" si="67"/>
        <v>0</v>
      </c>
      <c r="C894" s="26">
        <f t="shared" ca="1" si="68"/>
        <v>0.42376904194296838</v>
      </c>
      <c r="J894">
        <f t="shared" ca="1" si="69"/>
        <v>0</v>
      </c>
      <c r="K894">
        <f t="shared" ca="1" si="70"/>
        <v>1</v>
      </c>
      <c r="L894" s="65">
        <v>888</v>
      </c>
      <c r="M894" s="71">
        <f t="shared" ca="1" si="66"/>
        <v>0</v>
      </c>
      <c r="N894" s="65"/>
    </row>
    <row r="895" spans="1:14" x14ac:dyDescent="0.25">
      <c r="A895" s="2">
        <v>889</v>
      </c>
      <c r="B895" s="11">
        <f t="shared" ca="1" si="67"/>
        <v>0</v>
      </c>
      <c r="C895" s="26">
        <f t="shared" ca="1" si="68"/>
        <v>0.4371871840121786</v>
      </c>
      <c r="J895">
        <f t="shared" ca="1" si="69"/>
        <v>0</v>
      </c>
      <c r="K895">
        <f t="shared" ca="1" si="70"/>
        <v>0</v>
      </c>
      <c r="L895" s="65">
        <v>889</v>
      </c>
      <c r="M895" s="71">
        <f t="shared" ca="1" si="66"/>
        <v>0</v>
      </c>
      <c r="N895" s="65"/>
    </row>
    <row r="896" spans="1:14" x14ac:dyDescent="0.25">
      <c r="A896" s="2">
        <v>890</v>
      </c>
      <c r="B896" s="11">
        <f t="shared" ca="1" si="67"/>
        <v>1</v>
      </c>
      <c r="C896" s="26">
        <f t="shared" ca="1" si="68"/>
        <v>0.29045454480277177</v>
      </c>
      <c r="J896">
        <f t="shared" ca="1" si="69"/>
        <v>1</v>
      </c>
      <c r="K896">
        <f t="shared" ca="1" si="70"/>
        <v>0</v>
      </c>
      <c r="L896" s="65">
        <v>890</v>
      </c>
      <c r="M896" s="71">
        <f t="shared" ca="1" si="66"/>
        <v>0.49896218740298148</v>
      </c>
      <c r="N896" s="65"/>
    </row>
    <row r="897" spans="1:14" x14ac:dyDescent="0.25">
      <c r="A897" s="2">
        <v>891</v>
      </c>
      <c r="B897" s="11">
        <f t="shared" ca="1" si="67"/>
        <v>1</v>
      </c>
      <c r="C897" s="26">
        <f t="shared" ca="1" si="68"/>
        <v>0.70280006775817239</v>
      </c>
      <c r="J897">
        <f t="shared" ca="1" si="69"/>
        <v>1</v>
      </c>
      <c r="K897">
        <f t="shared" ca="1" si="70"/>
        <v>0</v>
      </c>
      <c r="L897" s="65">
        <v>891</v>
      </c>
      <c r="M897" s="71">
        <f t="shared" ca="1" si="66"/>
        <v>1.2918662539758785</v>
      </c>
      <c r="N897" s="65"/>
    </row>
    <row r="898" spans="1:14" x14ac:dyDescent="0.25">
      <c r="A898" s="2">
        <v>892</v>
      </c>
      <c r="B898" s="11">
        <f t="shared" ca="1" si="67"/>
        <v>1</v>
      </c>
      <c r="C898" s="26">
        <f t="shared" ca="1" si="68"/>
        <v>0.2111470234400209</v>
      </c>
      <c r="J898">
        <f t="shared" ca="1" si="69"/>
        <v>1</v>
      </c>
      <c r="K898">
        <f t="shared" ca="1" si="70"/>
        <v>0</v>
      </c>
      <c r="L898" s="65">
        <v>892</v>
      </c>
      <c r="M898" s="71">
        <f t="shared" ca="1" si="66"/>
        <v>2.1049306892272619</v>
      </c>
      <c r="N898" s="65"/>
    </row>
    <row r="899" spans="1:14" x14ac:dyDescent="0.25">
      <c r="A899" s="2">
        <v>893</v>
      </c>
      <c r="B899" s="11">
        <f t="shared" ca="1" si="67"/>
        <v>1</v>
      </c>
      <c r="C899" s="26">
        <f t="shared" ca="1" si="68"/>
        <v>7.1041204036390471E-2</v>
      </c>
      <c r="J899">
        <f t="shared" ca="1" si="69"/>
        <v>1</v>
      </c>
      <c r="K899">
        <f t="shared" ca="1" si="70"/>
        <v>0</v>
      </c>
      <c r="L899" s="65">
        <v>893</v>
      </c>
      <c r="M899" s="71">
        <f t="shared" ca="1" si="66"/>
        <v>0.48254657613822938</v>
      </c>
      <c r="N899" s="65"/>
    </row>
    <row r="900" spans="1:14" x14ac:dyDescent="0.25">
      <c r="A900" s="2">
        <v>894</v>
      </c>
      <c r="B900" s="11">
        <f t="shared" ca="1" si="67"/>
        <v>1</v>
      </c>
      <c r="C900" s="26">
        <f t="shared" ca="1" si="68"/>
        <v>0.32551041829571381</v>
      </c>
      <c r="J900">
        <f t="shared" ca="1" si="69"/>
        <v>1</v>
      </c>
      <c r="K900">
        <f t="shared" ca="1" si="70"/>
        <v>0</v>
      </c>
      <c r="L900" s="65">
        <v>894</v>
      </c>
      <c r="M900" s="71">
        <f t="shared" ca="1" si="66"/>
        <v>2.3468787406464227</v>
      </c>
      <c r="N900" s="65"/>
    </row>
    <row r="901" spans="1:14" x14ac:dyDescent="0.25">
      <c r="A901" s="2">
        <v>895</v>
      </c>
      <c r="B901" s="11">
        <f t="shared" ca="1" si="67"/>
        <v>1</v>
      </c>
      <c r="C901" s="26">
        <f t="shared" ca="1" si="68"/>
        <v>0.41453956656721691</v>
      </c>
      <c r="J901">
        <f t="shared" ca="1" si="69"/>
        <v>1</v>
      </c>
      <c r="K901">
        <f t="shared" ca="1" si="70"/>
        <v>0</v>
      </c>
      <c r="L901" s="65">
        <v>895</v>
      </c>
      <c r="M901" s="71">
        <f t="shared" ca="1" si="66"/>
        <v>0.19969229945494266</v>
      </c>
      <c r="N901" s="65"/>
    </row>
    <row r="902" spans="1:14" x14ac:dyDescent="0.25">
      <c r="A902" s="2">
        <v>896</v>
      </c>
      <c r="B902" s="11">
        <f t="shared" ca="1" si="67"/>
        <v>1</v>
      </c>
      <c r="C902" s="26">
        <f t="shared" ca="1" si="68"/>
        <v>0.23512639479021902</v>
      </c>
      <c r="J902">
        <f t="shared" ca="1" si="69"/>
        <v>1</v>
      </c>
      <c r="K902">
        <f t="shared" ca="1" si="70"/>
        <v>0</v>
      </c>
      <c r="L902" s="65">
        <v>896</v>
      </c>
      <c r="M902" s="71">
        <f t="shared" ca="1" si="66"/>
        <v>0.21281225714358923</v>
      </c>
      <c r="N902" s="65"/>
    </row>
    <row r="903" spans="1:14" x14ac:dyDescent="0.25">
      <c r="A903" s="2">
        <v>897</v>
      </c>
      <c r="B903" s="11">
        <f t="shared" ca="1" si="67"/>
        <v>1</v>
      </c>
      <c r="C903" s="26">
        <f t="shared" ca="1" si="68"/>
        <v>1.5704068682778183E-2</v>
      </c>
      <c r="J903">
        <f t="shared" ca="1" si="69"/>
        <v>1</v>
      </c>
      <c r="K903">
        <f t="shared" ca="1" si="70"/>
        <v>0</v>
      </c>
      <c r="L903" s="65">
        <v>897</v>
      </c>
      <c r="M903" s="71">
        <f t="shared" ref="M903:M966" ca="1" si="71">IF(B903&gt;0,-LN(1-(RAND()))/lambda,0)</f>
        <v>3.3351831684761329E-2</v>
      </c>
      <c r="N903" s="65"/>
    </row>
    <row r="904" spans="1:14" x14ac:dyDescent="0.25">
      <c r="A904" s="2">
        <v>898</v>
      </c>
      <c r="B904" s="11">
        <f t="shared" ref="B904:B967" ca="1" si="72">IF(B903&gt;0,IF(C904&lt;pww,1,0),IF(C904&lt;pdw,1,0))</f>
        <v>1</v>
      </c>
      <c r="C904" s="26">
        <f t="shared" ref="C904:C967" ca="1" si="73">RAND()</f>
        <v>0.55094979616388906</v>
      </c>
      <c r="J904">
        <f t="shared" ref="J904:J967" ca="1" si="74">IF(AND(B904,B905),1,0)</f>
        <v>1</v>
      </c>
      <c r="K904">
        <f t="shared" ref="K904:K967" ca="1" si="75">IF(AND(NOT(B904),NOT(B905)),1,0)</f>
        <v>0</v>
      </c>
      <c r="L904" s="65">
        <v>898</v>
      </c>
      <c r="M904" s="71">
        <f t="shared" ca="1" si="71"/>
        <v>3.3386509759386316</v>
      </c>
      <c r="N904" s="65"/>
    </row>
    <row r="905" spans="1:14" x14ac:dyDescent="0.25">
      <c r="A905" s="2">
        <v>899</v>
      </c>
      <c r="B905" s="11">
        <f t="shared" ca="1" si="72"/>
        <v>1</v>
      </c>
      <c r="C905" s="26">
        <f t="shared" ca="1" si="73"/>
        <v>0.37613168942508446</v>
      </c>
      <c r="J905">
        <f t="shared" ca="1" si="74"/>
        <v>1</v>
      </c>
      <c r="K905">
        <f t="shared" ca="1" si="75"/>
        <v>0</v>
      </c>
      <c r="L905" s="65">
        <v>899</v>
      </c>
      <c r="M905" s="71">
        <f t="shared" ca="1" si="71"/>
        <v>3.3038269814845607</v>
      </c>
      <c r="N905" s="65"/>
    </row>
    <row r="906" spans="1:14" x14ac:dyDescent="0.25">
      <c r="A906" s="2">
        <v>900</v>
      </c>
      <c r="B906" s="11">
        <f t="shared" ca="1" si="72"/>
        <v>1</v>
      </c>
      <c r="C906" s="26">
        <f t="shared" ca="1" si="73"/>
        <v>0.73338176441603131</v>
      </c>
      <c r="J906">
        <f t="shared" ca="1" si="74"/>
        <v>1</v>
      </c>
      <c r="K906">
        <f t="shared" ca="1" si="75"/>
        <v>0</v>
      </c>
      <c r="L906" s="65">
        <v>900</v>
      </c>
      <c r="M906" s="71">
        <f t="shared" ca="1" si="71"/>
        <v>0.6573644418256589</v>
      </c>
      <c r="N906" s="65"/>
    </row>
    <row r="907" spans="1:14" x14ac:dyDescent="0.25">
      <c r="A907" s="2">
        <v>901</v>
      </c>
      <c r="B907" s="11">
        <f t="shared" ca="1" si="72"/>
        <v>1</v>
      </c>
      <c r="C907" s="26">
        <f t="shared" ca="1" si="73"/>
        <v>0.58127613942689871</v>
      </c>
      <c r="J907">
        <f t="shared" ca="1" si="74"/>
        <v>1</v>
      </c>
      <c r="K907">
        <f t="shared" ca="1" si="75"/>
        <v>0</v>
      </c>
      <c r="L907" s="65">
        <v>901</v>
      </c>
      <c r="M907" s="71">
        <f t="shared" ca="1" si="71"/>
        <v>4.4274932276229784</v>
      </c>
      <c r="N907" s="65"/>
    </row>
    <row r="908" spans="1:14" x14ac:dyDescent="0.25">
      <c r="A908" s="2">
        <v>902</v>
      </c>
      <c r="B908" s="11">
        <f t="shared" ca="1" si="72"/>
        <v>1</v>
      </c>
      <c r="C908" s="26">
        <f t="shared" ca="1" si="73"/>
        <v>0.67141814352463081</v>
      </c>
      <c r="J908">
        <f t="shared" ca="1" si="74"/>
        <v>1</v>
      </c>
      <c r="K908">
        <f t="shared" ca="1" si="75"/>
        <v>0</v>
      </c>
      <c r="L908" s="65">
        <v>902</v>
      </c>
      <c r="M908" s="71">
        <f t="shared" ca="1" si="71"/>
        <v>6.3213483229058349</v>
      </c>
      <c r="N908" s="65"/>
    </row>
    <row r="909" spans="1:14" x14ac:dyDescent="0.25">
      <c r="A909" s="2">
        <v>903</v>
      </c>
      <c r="B909" s="11">
        <f t="shared" ca="1" si="72"/>
        <v>1</v>
      </c>
      <c r="C909" s="26">
        <f t="shared" ca="1" si="73"/>
        <v>0.5084162926662299</v>
      </c>
      <c r="J909">
        <f t="shared" ca="1" si="74"/>
        <v>1</v>
      </c>
      <c r="K909">
        <f t="shared" ca="1" si="75"/>
        <v>0</v>
      </c>
      <c r="L909" s="65">
        <v>903</v>
      </c>
      <c r="M909" s="71">
        <f t="shared" ca="1" si="71"/>
        <v>4.9179842236425877</v>
      </c>
      <c r="N909" s="65"/>
    </row>
    <row r="910" spans="1:14" x14ac:dyDescent="0.25">
      <c r="A910" s="2">
        <v>904</v>
      </c>
      <c r="B910" s="11">
        <f t="shared" ca="1" si="72"/>
        <v>1</v>
      </c>
      <c r="C910" s="26">
        <f t="shared" ca="1" si="73"/>
        <v>0.6531504277568253</v>
      </c>
      <c r="J910">
        <f t="shared" ca="1" si="74"/>
        <v>1</v>
      </c>
      <c r="K910">
        <f t="shared" ca="1" si="75"/>
        <v>0</v>
      </c>
      <c r="L910" s="65">
        <v>904</v>
      </c>
      <c r="M910" s="71">
        <f t="shared" ca="1" si="71"/>
        <v>4.011891900528342</v>
      </c>
      <c r="N910" s="65"/>
    </row>
    <row r="911" spans="1:14" x14ac:dyDescent="0.25">
      <c r="A911" s="2">
        <v>905</v>
      </c>
      <c r="B911" s="11">
        <f t="shared" ca="1" si="72"/>
        <v>1</v>
      </c>
      <c r="C911" s="26">
        <f t="shared" ca="1" si="73"/>
        <v>0.45798657036348922</v>
      </c>
      <c r="J911">
        <f t="shared" ca="1" si="74"/>
        <v>1</v>
      </c>
      <c r="K911">
        <f t="shared" ca="1" si="75"/>
        <v>0</v>
      </c>
      <c r="L911" s="65">
        <v>905</v>
      </c>
      <c r="M911" s="71">
        <f t="shared" ca="1" si="71"/>
        <v>2.3510677082049052E-2</v>
      </c>
      <c r="N911" s="65"/>
    </row>
    <row r="912" spans="1:14" x14ac:dyDescent="0.25">
      <c r="A912" s="2">
        <v>906</v>
      </c>
      <c r="B912" s="11">
        <f t="shared" ca="1" si="72"/>
        <v>1</v>
      </c>
      <c r="C912" s="26">
        <f t="shared" ca="1" si="73"/>
        <v>0.34606408731031624</v>
      </c>
      <c r="J912">
        <f t="shared" ca="1" si="74"/>
        <v>0</v>
      </c>
      <c r="K912">
        <f t="shared" ca="1" si="75"/>
        <v>0</v>
      </c>
      <c r="L912" s="65">
        <v>906</v>
      </c>
      <c r="M912" s="71">
        <f t="shared" ca="1" si="71"/>
        <v>0.42078795491338344</v>
      </c>
      <c r="N912" s="65"/>
    </row>
    <row r="913" spans="1:14" x14ac:dyDescent="0.25">
      <c r="A913" s="2">
        <v>907</v>
      </c>
      <c r="B913" s="11">
        <f t="shared" ca="1" si="72"/>
        <v>0</v>
      </c>
      <c r="C913" s="26">
        <f t="shared" ca="1" si="73"/>
        <v>0.86973015088577743</v>
      </c>
      <c r="J913">
        <f t="shared" ca="1" si="74"/>
        <v>0</v>
      </c>
      <c r="K913">
        <f t="shared" ca="1" si="75"/>
        <v>1</v>
      </c>
      <c r="L913" s="65">
        <v>907</v>
      </c>
      <c r="M913" s="71">
        <f t="shared" ca="1" si="71"/>
        <v>0</v>
      </c>
      <c r="N913" s="65"/>
    </row>
    <row r="914" spans="1:14" x14ac:dyDescent="0.25">
      <c r="A914" s="2">
        <v>908</v>
      </c>
      <c r="B914" s="11">
        <f t="shared" ca="1" si="72"/>
        <v>0</v>
      </c>
      <c r="C914" s="26">
        <f t="shared" ca="1" si="73"/>
        <v>0.5495641267383482</v>
      </c>
      <c r="J914">
        <f t="shared" ca="1" si="74"/>
        <v>0</v>
      </c>
      <c r="K914">
        <f t="shared" ca="1" si="75"/>
        <v>1</v>
      </c>
      <c r="L914" s="65">
        <v>908</v>
      </c>
      <c r="M914" s="71">
        <f t="shared" ca="1" si="71"/>
        <v>0</v>
      </c>
      <c r="N914" s="65"/>
    </row>
    <row r="915" spans="1:14" x14ac:dyDescent="0.25">
      <c r="A915" s="2">
        <v>909</v>
      </c>
      <c r="B915" s="11">
        <f t="shared" ca="1" si="72"/>
        <v>0</v>
      </c>
      <c r="C915" s="26">
        <f t="shared" ca="1" si="73"/>
        <v>0.73756355492238768</v>
      </c>
      <c r="J915">
        <f t="shared" ca="1" si="74"/>
        <v>0</v>
      </c>
      <c r="K915">
        <f t="shared" ca="1" si="75"/>
        <v>1</v>
      </c>
      <c r="L915" s="65">
        <v>909</v>
      </c>
      <c r="M915" s="71">
        <f t="shared" ca="1" si="71"/>
        <v>0</v>
      </c>
      <c r="N915" s="65"/>
    </row>
    <row r="916" spans="1:14" x14ac:dyDescent="0.25">
      <c r="A916" s="2">
        <v>910</v>
      </c>
      <c r="B916" s="11">
        <f t="shared" ca="1" si="72"/>
        <v>0</v>
      </c>
      <c r="C916" s="26">
        <f t="shared" ca="1" si="73"/>
        <v>0.90066750524382611</v>
      </c>
      <c r="J916">
        <f t="shared" ca="1" si="74"/>
        <v>0</v>
      </c>
      <c r="K916">
        <f t="shared" ca="1" si="75"/>
        <v>0</v>
      </c>
      <c r="L916" s="65">
        <v>910</v>
      </c>
      <c r="M916" s="71">
        <f t="shared" ca="1" si="71"/>
        <v>0</v>
      </c>
      <c r="N916" s="65"/>
    </row>
    <row r="917" spans="1:14" x14ac:dyDescent="0.25">
      <c r="A917" s="2">
        <v>911</v>
      </c>
      <c r="B917" s="11">
        <f t="shared" ca="1" si="72"/>
        <v>1</v>
      </c>
      <c r="C917" s="26">
        <f t="shared" ca="1" si="73"/>
        <v>0.3259243513079898</v>
      </c>
      <c r="J917">
        <f t="shared" ca="1" si="74"/>
        <v>1</v>
      </c>
      <c r="K917">
        <f t="shared" ca="1" si="75"/>
        <v>0</v>
      </c>
      <c r="L917" s="65">
        <v>911</v>
      </c>
      <c r="M917" s="71">
        <f t="shared" ca="1" si="71"/>
        <v>2.6559168769512294</v>
      </c>
      <c r="N917" s="65"/>
    </row>
    <row r="918" spans="1:14" x14ac:dyDescent="0.25">
      <c r="A918" s="2">
        <v>912</v>
      </c>
      <c r="B918" s="11">
        <f t="shared" ca="1" si="72"/>
        <v>1</v>
      </c>
      <c r="C918" s="26">
        <f t="shared" ca="1" si="73"/>
        <v>0.51809502621970116</v>
      </c>
      <c r="J918">
        <f t="shared" ca="1" si="74"/>
        <v>0</v>
      </c>
      <c r="K918">
        <f t="shared" ca="1" si="75"/>
        <v>0</v>
      </c>
      <c r="L918" s="65">
        <v>912</v>
      </c>
      <c r="M918" s="71">
        <f t="shared" ca="1" si="71"/>
        <v>2.091953839801223</v>
      </c>
      <c r="N918" s="65"/>
    </row>
    <row r="919" spans="1:14" x14ac:dyDescent="0.25">
      <c r="A919" s="2">
        <v>913</v>
      </c>
      <c r="B919" s="11">
        <f t="shared" ca="1" si="72"/>
        <v>0</v>
      </c>
      <c r="C919" s="26">
        <f t="shared" ca="1" si="73"/>
        <v>0.96219938545031891</v>
      </c>
      <c r="J919">
        <f t="shared" ca="1" si="74"/>
        <v>0</v>
      </c>
      <c r="K919">
        <f t="shared" ca="1" si="75"/>
        <v>1</v>
      </c>
      <c r="L919" s="65">
        <v>913</v>
      </c>
      <c r="M919" s="71">
        <f t="shared" ca="1" si="71"/>
        <v>0</v>
      </c>
      <c r="N919" s="65"/>
    </row>
    <row r="920" spans="1:14" x14ac:dyDescent="0.25">
      <c r="A920" s="2">
        <v>914</v>
      </c>
      <c r="B920" s="11">
        <f t="shared" ca="1" si="72"/>
        <v>0</v>
      </c>
      <c r="C920" s="26">
        <f t="shared" ca="1" si="73"/>
        <v>0.72707210906142838</v>
      </c>
      <c r="J920">
        <f t="shared" ca="1" si="74"/>
        <v>0</v>
      </c>
      <c r="K920">
        <f t="shared" ca="1" si="75"/>
        <v>1</v>
      </c>
      <c r="L920" s="65">
        <v>914</v>
      </c>
      <c r="M920" s="71">
        <f t="shared" ca="1" si="71"/>
        <v>0</v>
      </c>
      <c r="N920" s="65"/>
    </row>
    <row r="921" spans="1:14" x14ac:dyDescent="0.25">
      <c r="A921" s="2">
        <v>915</v>
      </c>
      <c r="B921" s="11">
        <f t="shared" ca="1" si="72"/>
        <v>0</v>
      </c>
      <c r="C921" s="26">
        <f t="shared" ca="1" si="73"/>
        <v>0.42814360149937791</v>
      </c>
      <c r="J921">
        <f t="shared" ca="1" si="74"/>
        <v>0</v>
      </c>
      <c r="K921">
        <f t="shared" ca="1" si="75"/>
        <v>0</v>
      </c>
      <c r="L921" s="65">
        <v>915</v>
      </c>
      <c r="M921" s="71">
        <f t="shared" ca="1" si="71"/>
        <v>0</v>
      </c>
      <c r="N921" s="65"/>
    </row>
    <row r="922" spans="1:14" x14ac:dyDescent="0.25">
      <c r="A922" s="2">
        <v>916</v>
      </c>
      <c r="B922" s="11">
        <f t="shared" ca="1" si="72"/>
        <v>1</v>
      </c>
      <c r="C922" s="26">
        <f t="shared" ca="1" si="73"/>
        <v>0.21935434543517618</v>
      </c>
      <c r="J922">
        <f t="shared" ca="1" si="74"/>
        <v>1</v>
      </c>
      <c r="K922">
        <f t="shared" ca="1" si="75"/>
        <v>0</v>
      </c>
      <c r="L922" s="65">
        <v>916</v>
      </c>
      <c r="M922" s="71">
        <f t="shared" ca="1" si="71"/>
        <v>3.3575327651360705</v>
      </c>
      <c r="N922" s="65"/>
    </row>
    <row r="923" spans="1:14" x14ac:dyDescent="0.25">
      <c r="A923" s="2">
        <v>917</v>
      </c>
      <c r="B923" s="11">
        <f t="shared" ca="1" si="72"/>
        <v>1</v>
      </c>
      <c r="C923" s="26">
        <f t="shared" ca="1" si="73"/>
        <v>0.30243309418576902</v>
      </c>
      <c r="J923">
        <f t="shared" ca="1" si="74"/>
        <v>1</v>
      </c>
      <c r="K923">
        <f t="shared" ca="1" si="75"/>
        <v>0</v>
      </c>
      <c r="L923" s="65">
        <v>917</v>
      </c>
      <c r="M923" s="71">
        <f t="shared" ca="1" si="71"/>
        <v>0.29375314389529966</v>
      </c>
      <c r="N923" s="65"/>
    </row>
    <row r="924" spans="1:14" x14ac:dyDescent="0.25">
      <c r="A924" s="2">
        <v>918</v>
      </c>
      <c r="B924" s="11">
        <f t="shared" ca="1" si="72"/>
        <v>1</v>
      </c>
      <c r="C924" s="26">
        <f t="shared" ca="1" si="73"/>
        <v>4.2584285493767693E-2</v>
      </c>
      <c r="J924">
        <f t="shared" ca="1" si="74"/>
        <v>1</v>
      </c>
      <c r="K924">
        <f t="shared" ca="1" si="75"/>
        <v>0</v>
      </c>
      <c r="L924" s="65">
        <v>918</v>
      </c>
      <c r="M924" s="71">
        <f t="shared" ca="1" si="71"/>
        <v>1.834337558290227</v>
      </c>
      <c r="N924" s="65"/>
    </row>
    <row r="925" spans="1:14" x14ac:dyDescent="0.25">
      <c r="A925" s="2">
        <v>919</v>
      </c>
      <c r="B925" s="11">
        <f t="shared" ca="1" si="72"/>
        <v>1</v>
      </c>
      <c r="C925" s="26">
        <f t="shared" ca="1" si="73"/>
        <v>0.42992979433128109</v>
      </c>
      <c r="J925">
        <f t="shared" ca="1" si="74"/>
        <v>0</v>
      </c>
      <c r="K925">
        <f t="shared" ca="1" si="75"/>
        <v>0</v>
      </c>
      <c r="L925" s="65">
        <v>919</v>
      </c>
      <c r="M925" s="71">
        <f t="shared" ca="1" si="71"/>
        <v>0.38082562782401413</v>
      </c>
      <c r="N925" s="65"/>
    </row>
    <row r="926" spans="1:14" x14ac:dyDescent="0.25">
      <c r="A926" s="2">
        <v>920</v>
      </c>
      <c r="B926" s="11">
        <f t="shared" ca="1" si="72"/>
        <v>0</v>
      </c>
      <c r="C926" s="26">
        <f t="shared" ca="1" si="73"/>
        <v>0.87701491623982453</v>
      </c>
      <c r="J926">
        <f t="shared" ca="1" si="74"/>
        <v>0</v>
      </c>
      <c r="K926">
        <f t="shared" ca="1" si="75"/>
        <v>1</v>
      </c>
      <c r="L926" s="65">
        <v>920</v>
      </c>
      <c r="M926" s="71">
        <f t="shared" ca="1" si="71"/>
        <v>0</v>
      </c>
      <c r="N926" s="65"/>
    </row>
    <row r="927" spans="1:14" x14ac:dyDescent="0.25">
      <c r="A927" s="2">
        <v>921</v>
      </c>
      <c r="B927" s="11">
        <f t="shared" ca="1" si="72"/>
        <v>0</v>
      </c>
      <c r="C927" s="26">
        <f t="shared" ca="1" si="73"/>
        <v>0.66772131439715976</v>
      </c>
      <c r="J927">
        <f t="shared" ca="1" si="74"/>
        <v>0</v>
      </c>
      <c r="K927">
        <f t="shared" ca="1" si="75"/>
        <v>1</v>
      </c>
      <c r="L927" s="65">
        <v>921</v>
      </c>
      <c r="M927" s="71">
        <f t="shared" ca="1" si="71"/>
        <v>0</v>
      </c>
      <c r="N927" s="65"/>
    </row>
    <row r="928" spans="1:14" x14ac:dyDescent="0.25">
      <c r="A928" s="2">
        <v>922</v>
      </c>
      <c r="B928" s="11">
        <f t="shared" ca="1" si="72"/>
        <v>0</v>
      </c>
      <c r="C928" s="26">
        <f t="shared" ca="1" si="73"/>
        <v>0.99976839307511955</v>
      </c>
      <c r="J928">
        <f t="shared" ca="1" si="74"/>
        <v>0</v>
      </c>
      <c r="K928">
        <f t="shared" ca="1" si="75"/>
        <v>1</v>
      </c>
      <c r="L928" s="65">
        <v>922</v>
      </c>
      <c r="M928" s="71">
        <f t="shared" ca="1" si="71"/>
        <v>0</v>
      </c>
      <c r="N928" s="65"/>
    </row>
    <row r="929" spans="1:14" x14ac:dyDescent="0.25">
      <c r="A929" s="2">
        <v>923</v>
      </c>
      <c r="B929" s="11">
        <f t="shared" ca="1" si="72"/>
        <v>0</v>
      </c>
      <c r="C929" s="26">
        <f t="shared" ca="1" si="73"/>
        <v>0.88536158673796161</v>
      </c>
      <c r="J929">
        <f t="shared" ca="1" si="74"/>
        <v>0</v>
      </c>
      <c r="K929">
        <f t="shared" ca="1" si="75"/>
        <v>1</v>
      </c>
      <c r="L929" s="65">
        <v>923</v>
      </c>
      <c r="M929" s="71">
        <f t="shared" ca="1" si="71"/>
        <v>0</v>
      </c>
      <c r="N929" s="65"/>
    </row>
    <row r="930" spans="1:14" x14ac:dyDescent="0.25">
      <c r="A930" s="2">
        <v>924</v>
      </c>
      <c r="B930" s="11">
        <f t="shared" ca="1" si="72"/>
        <v>0</v>
      </c>
      <c r="C930" s="26">
        <f t="shared" ca="1" si="73"/>
        <v>0.87219859910695907</v>
      </c>
      <c r="J930">
        <f t="shared" ca="1" si="74"/>
        <v>0</v>
      </c>
      <c r="K930">
        <f t="shared" ca="1" si="75"/>
        <v>0</v>
      </c>
      <c r="L930" s="65">
        <v>924</v>
      </c>
      <c r="M930" s="71">
        <f t="shared" ca="1" si="71"/>
        <v>0</v>
      </c>
      <c r="N930" s="65"/>
    </row>
    <row r="931" spans="1:14" x14ac:dyDescent="0.25">
      <c r="A931" s="2">
        <v>925</v>
      </c>
      <c r="B931" s="11">
        <f t="shared" ca="1" si="72"/>
        <v>1</v>
      </c>
      <c r="C931" s="26">
        <f t="shared" ca="1" si="73"/>
        <v>0.35468607763595361</v>
      </c>
      <c r="J931">
        <f t="shared" ca="1" si="74"/>
        <v>1</v>
      </c>
      <c r="K931">
        <f t="shared" ca="1" si="75"/>
        <v>0</v>
      </c>
      <c r="L931" s="65">
        <v>925</v>
      </c>
      <c r="M931" s="71">
        <f t="shared" ca="1" si="71"/>
        <v>3.4824025811896225E-2</v>
      </c>
      <c r="N931" s="65"/>
    </row>
    <row r="932" spans="1:14" x14ac:dyDescent="0.25">
      <c r="A932" s="2">
        <v>926</v>
      </c>
      <c r="B932" s="11">
        <f t="shared" ca="1" si="72"/>
        <v>1</v>
      </c>
      <c r="C932" s="26">
        <f t="shared" ca="1" si="73"/>
        <v>0.19057607452616809</v>
      </c>
      <c r="J932">
        <f t="shared" ca="1" si="74"/>
        <v>1</v>
      </c>
      <c r="K932">
        <f t="shared" ca="1" si="75"/>
        <v>0</v>
      </c>
      <c r="L932" s="65">
        <v>926</v>
      </c>
      <c r="M932" s="71">
        <f t="shared" ca="1" si="71"/>
        <v>4.4497888536614987</v>
      </c>
      <c r="N932" s="65"/>
    </row>
    <row r="933" spans="1:14" x14ac:dyDescent="0.25">
      <c r="A933" s="2">
        <v>927</v>
      </c>
      <c r="B933" s="11">
        <f t="shared" ca="1" si="72"/>
        <v>1</v>
      </c>
      <c r="C933" s="26">
        <f t="shared" ca="1" si="73"/>
        <v>0.56353599834362345</v>
      </c>
      <c r="J933">
        <f t="shared" ca="1" si="74"/>
        <v>0</v>
      </c>
      <c r="K933">
        <f t="shared" ca="1" si="75"/>
        <v>0</v>
      </c>
      <c r="L933" s="65">
        <v>927</v>
      </c>
      <c r="M933" s="71">
        <f t="shared" ca="1" si="71"/>
        <v>0.21659912998759645</v>
      </c>
      <c r="N933" s="65"/>
    </row>
    <row r="934" spans="1:14" x14ac:dyDescent="0.25">
      <c r="A934" s="2">
        <v>928</v>
      </c>
      <c r="B934" s="11">
        <f t="shared" ca="1" si="72"/>
        <v>0</v>
      </c>
      <c r="C934" s="26">
        <f t="shared" ca="1" si="73"/>
        <v>0.97379997062803492</v>
      </c>
      <c r="J934">
        <f t="shared" ca="1" si="74"/>
        <v>0</v>
      </c>
      <c r="K934">
        <f t="shared" ca="1" si="75"/>
        <v>0</v>
      </c>
      <c r="L934" s="65">
        <v>928</v>
      </c>
      <c r="M934" s="71">
        <f t="shared" ca="1" si="71"/>
        <v>0</v>
      </c>
      <c r="N934" s="65"/>
    </row>
    <row r="935" spans="1:14" x14ac:dyDescent="0.25">
      <c r="A935" s="2">
        <v>929</v>
      </c>
      <c r="B935" s="11">
        <f t="shared" ca="1" si="72"/>
        <v>1</v>
      </c>
      <c r="C935" s="26">
        <f t="shared" ca="1" si="73"/>
        <v>0.36139900372371736</v>
      </c>
      <c r="J935">
        <f t="shared" ca="1" si="74"/>
        <v>1</v>
      </c>
      <c r="K935">
        <f t="shared" ca="1" si="75"/>
        <v>0</v>
      </c>
      <c r="L935" s="65">
        <v>929</v>
      </c>
      <c r="M935" s="71">
        <f t="shared" ca="1" si="71"/>
        <v>1.6459144178000036</v>
      </c>
      <c r="N935" s="65"/>
    </row>
    <row r="936" spans="1:14" x14ac:dyDescent="0.25">
      <c r="A936" s="2">
        <v>930</v>
      </c>
      <c r="B936" s="11">
        <f t="shared" ca="1" si="72"/>
        <v>1</v>
      </c>
      <c r="C936" s="26">
        <f t="shared" ca="1" si="73"/>
        <v>0.32670764016042031</v>
      </c>
      <c r="J936">
        <f t="shared" ca="1" si="74"/>
        <v>1</v>
      </c>
      <c r="K936">
        <f t="shared" ca="1" si="75"/>
        <v>0</v>
      </c>
      <c r="L936" s="65">
        <v>930</v>
      </c>
      <c r="M936" s="71">
        <f t="shared" ca="1" si="71"/>
        <v>3.6383989881467751</v>
      </c>
      <c r="N936" s="65"/>
    </row>
    <row r="937" spans="1:14" x14ac:dyDescent="0.25">
      <c r="A937" s="2">
        <v>931</v>
      </c>
      <c r="B937" s="11">
        <f t="shared" ca="1" si="72"/>
        <v>1</v>
      </c>
      <c r="C937" s="26">
        <f t="shared" ca="1" si="73"/>
        <v>0.58155302592072911</v>
      </c>
      <c r="J937">
        <f t="shared" ca="1" si="74"/>
        <v>1</v>
      </c>
      <c r="K937">
        <f t="shared" ca="1" si="75"/>
        <v>0</v>
      </c>
      <c r="L937" s="65">
        <v>931</v>
      </c>
      <c r="M937" s="71">
        <f t="shared" ca="1" si="71"/>
        <v>3.2847102734867666</v>
      </c>
      <c r="N937" s="65"/>
    </row>
    <row r="938" spans="1:14" x14ac:dyDescent="0.25">
      <c r="A938" s="2">
        <v>932</v>
      </c>
      <c r="B938" s="11">
        <f t="shared" ca="1" si="72"/>
        <v>1</v>
      </c>
      <c r="C938" s="26">
        <f t="shared" ca="1" si="73"/>
        <v>0.43825377503425278</v>
      </c>
      <c r="J938">
        <f t="shared" ca="1" si="74"/>
        <v>0</v>
      </c>
      <c r="K938">
        <f t="shared" ca="1" si="75"/>
        <v>0</v>
      </c>
      <c r="L938" s="65">
        <v>932</v>
      </c>
      <c r="M938" s="71">
        <f t="shared" ca="1" si="71"/>
        <v>1.4864047745790747</v>
      </c>
      <c r="N938" s="65"/>
    </row>
    <row r="939" spans="1:14" x14ac:dyDescent="0.25">
      <c r="A939" s="2">
        <v>933</v>
      </c>
      <c r="B939" s="11">
        <f t="shared" ca="1" si="72"/>
        <v>0</v>
      </c>
      <c r="C939" s="26">
        <f t="shared" ca="1" si="73"/>
        <v>0.95057143763614027</v>
      </c>
      <c r="J939">
        <f t="shared" ca="1" si="74"/>
        <v>0</v>
      </c>
      <c r="K939">
        <f t="shared" ca="1" si="75"/>
        <v>1</v>
      </c>
      <c r="L939" s="65">
        <v>933</v>
      </c>
      <c r="M939" s="71">
        <f t="shared" ca="1" si="71"/>
        <v>0</v>
      </c>
      <c r="N939" s="65"/>
    </row>
    <row r="940" spans="1:14" x14ac:dyDescent="0.25">
      <c r="A940" s="2">
        <v>934</v>
      </c>
      <c r="B940" s="11">
        <f t="shared" ca="1" si="72"/>
        <v>0</v>
      </c>
      <c r="C940" s="26">
        <f t="shared" ca="1" si="73"/>
        <v>0.51767741430158654</v>
      </c>
      <c r="J940">
        <f t="shared" ca="1" si="74"/>
        <v>0</v>
      </c>
      <c r="K940">
        <f t="shared" ca="1" si="75"/>
        <v>0</v>
      </c>
      <c r="L940" s="65">
        <v>934</v>
      </c>
      <c r="M940" s="71">
        <f t="shared" ca="1" si="71"/>
        <v>0</v>
      </c>
      <c r="N940" s="65"/>
    </row>
    <row r="941" spans="1:14" x14ac:dyDescent="0.25">
      <c r="A941" s="2">
        <v>935</v>
      </c>
      <c r="B941" s="11">
        <f t="shared" ca="1" si="72"/>
        <v>1</v>
      </c>
      <c r="C941" s="26">
        <f t="shared" ca="1" si="73"/>
        <v>0.23283057067976876</v>
      </c>
      <c r="J941">
        <f t="shared" ca="1" si="74"/>
        <v>1</v>
      </c>
      <c r="K941">
        <f t="shared" ca="1" si="75"/>
        <v>0</v>
      </c>
      <c r="L941" s="65">
        <v>935</v>
      </c>
      <c r="M941" s="71">
        <f t="shared" ca="1" si="71"/>
        <v>1.9660571472277446</v>
      </c>
      <c r="N941" s="65"/>
    </row>
    <row r="942" spans="1:14" x14ac:dyDescent="0.25">
      <c r="A942" s="2">
        <v>936</v>
      </c>
      <c r="B942" s="11">
        <f t="shared" ca="1" si="72"/>
        <v>1</v>
      </c>
      <c r="C942" s="26">
        <f t="shared" ca="1" si="73"/>
        <v>0.31787673817329432</v>
      </c>
      <c r="J942">
        <f t="shared" ca="1" si="74"/>
        <v>1</v>
      </c>
      <c r="K942">
        <f t="shared" ca="1" si="75"/>
        <v>0</v>
      </c>
      <c r="L942" s="65">
        <v>936</v>
      </c>
      <c r="M942" s="71">
        <f t="shared" ca="1" si="71"/>
        <v>0.85278611691108408</v>
      </c>
      <c r="N942" s="65"/>
    </row>
    <row r="943" spans="1:14" x14ac:dyDescent="0.25">
      <c r="A943" s="2">
        <v>937</v>
      </c>
      <c r="B943" s="11">
        <f t="shared" ca="1" si="72"/>
        <v>1</v>
      </c>
      <c r="C943" s="26">
        <f t="shared" ca="1" si="73"/>
        <v>0.38510527799787764</v>
      </c>
      <c r="J943">
        <f t="shared" ca="1" si="74"/>
        <v>1</v>
      </c>
      <c r="K943">
        <f t="shared" ca="1" si="75"/>
        <v>0</v>
      </c>
      <c r="L943" s="65">
        <v>937</v>
      </c>
      <c r="M943" s="71">
        <f t="shared" ca="1" si="71"/>
        <v>0.13239873383393236</v>
      </c>
      <c r="N943" s="65"/>
    </row>
    <row r="944" spans="1:14" x14ac:dyDescent="0.25">
      <c r="A944" s="2">
        <v>938</v>
      </c>
      <c r="B944" s="11">
        <f t="shared" ca="1" si="72"/>
        <v>1</v>
      </c>
      <c r="C944" s="26">
        <f t="shared" ca="1" si="73"/>
        <v>0.14866952567563385</v>
      </c>
      <c r="J944">
        <f t="shared" ca="1" si="74"/>
        <v>1</v>
      </c>
      <c r="K944">
        <f t="shared" ca="1" si="75"/>
        <v>0</v>
      </c>
      <c r="L944" s="65">
        <v>938</v>
      </c>
      <c r="M944" s="71">
        <f t="shared" ca="1" si="71"/>
        <v>1.3269454981311188</v>
      </c>
      <c r="N944" s="65"/>
    </row>
    <row r="945" spans="1:14" x14ac:dyDescent="0.25">
      <c r="A945" s="2">
        <v>939</v>
      </c>
      <c r="B945" s="11">
        <f t="shared" ca="1" si="72"/>
        <v>1</v>
      </c>
      <c r="C945" s="26">
        <f t="shared" ca="1" si="73"/>
        <v>0.4347029766747722</v>
      </c>
      <c r="J945">
        <f t="shared" ca="1" si="74"/>
        <v>0</v>
      </c>
      <c r="K945">
        <f t="shared" ca="1" si="75"/>
        <v>0</v>
      </c>
      <c r="L945" s="65">
        <v>939</v>
      </c>
      <c r="M945" s="71">
        <f t="shared" ca="1" si="71"/>
        <v>8.02393843665338E-2</v>
      </c>
      <c r="N945" s="65"/>
    </row>
    <row r="946" spans="1:14" x14ac:dyDescent="0.25">
      <c r="A946" s="2">
        <v>940</v>
      </c>
      <c r="B946" s="11">
        <f t="shared" ca="1" si="72"/>
        <v>0</v>
      </c>
      <c r="C946" s="26">
        <f t="shared" ca="1" si="73"/>
        <v>0.83203257005692632</v>
      </c>
      <c r="J946">
        <f t="shared" ca="1" si="74"/>
        <v>0</v>
      </c>
      <c r="K946">
        <f t="shared" ca="1" si="75"/>
        <v>1</v>
      </c>
      <c r="L946" s="65">
        <v>940</v>
      </c>
      <c r="M946" s="71">
        <f t="shared" ca="1" si="71"/>
        <v>0</v>
      </c>
      <c r="N946" s="65"/>
    </row>
    <row r="947" spans="1:14" x14ac:dyDescent="0.25">
      <c r="A947" s="2">
        <v>941</v>
      </c>
      <c r="B947" s="11">
        <f t="shared" ca="1" si="72"/>
        <v>0</v>
      </c>
      <c r="C947" s="26">
        <f t="shared" ca="1" si="73"/>
        <v>0.71408178219286422</v>
      </c>
      <c r="J947">
        <f t="shared" ca="1" si="74"/>
        <v>0</v>
      </c>
      <c r="K947">
        <f t="shared" ca="1" si="75"/>
        <v>1</v>
      </c>
      <c r="L947" s="65">
        <v>941</v>
      </c>
      <c r="M947" s="71">
        <f t="shared" ca="1" si="71"/>
        <v>0</v>
      </c>
      <c r="N947" s="65"/>
    </row>
    <row r="948" spans="1:14" x14ac:dyDescent="0.25">
      <c r="A948" s="2">
        <v>942</v>
      </c>
      <c r="B948" s="11">
        <f t="shared" ca="1" si="72"/>
        <v>0</v>
      </c>
      <c r="C948" s="26">
        <f t="shared" ca="1" si="73"/>
        <v>0.8411345739186179</v>
      </c>
      <c r="J948">
        <f t="shared" ca="1" si="74"/>
        <v>0</v>
      </c>
      <c r="K948">
        <f t="shared" ca="1" si="75"/>
        <v>1</v>
      </c>
      <c r="L948" s="65">
        <v>942</v>
      </c>
      <c r="M948" s="71">
        <f t="shared" ca="1" si="71"/>
        <v>0</v>
      </c>
      <c r="N948" s="65"/>
    </row>
    <row r="949" spans="1:14" x14ac:dyDescent="0.25">
      <c r="A949" s="2">
        <v>943</v>
      </c>
      <c r="B949" s="11">
        <f t="shared" ca="1" si="72"/>
        <v>0</v>
      </c>
      <c r="C949" s="26">
        <f t="shared" ca="1" si="73"/>
        <v>0.88878624113976312</v>
      </c>
      <c r="J949">
        <f t="shared" ca="1" si="74"/>
        <v>0</v>
      </c>
      <c r="K949">
        <f t="shared" ca="1" si="75"/>
        <v>0</v>
      </c>
      <c r="L949" s="65">
        <v>943</v>
      </c>
      <c r="M949" s="71">
        <f t="shared" ca="1" si="71"/>
        <v>0</v>
      </c>
      <c r="N949" s="65"/>
    </row>
    <row r="950" spans="1:14" x14ac:dyDescent="0.25">
      <c r="A950" s="2">
        <v>944</v>
      </c>
      <c r="B950" s="11">
        <f t="shared" ca="1" si="72"/>
        <v>1</v>
      </c>
      <c r="C950" s="26">
        <f t="shared" ca="1" si="73"/>
        <v>0.38337216892435599</v>
      </c>
      <c r="J950">
        <f t="shared" ca="1" si="74"/>
        <v>0</v>
      </c>
      <c r="K950">
        <f t="shared" ca="1" si="75"/>
        <v>0</v>
      </c>
      <c r="L950" s="65">
        <v>944</v>
      </c>
      <c r="M950" s="71">
        <f t="shared" ca="1" si="71"/>
        <v>3.3909096469576139</v>
      </c>
      <c r="N950" s="65"/>
    </row>
    <row r="951" spans="1:14" x14ac:dyDescent="0.25">
      <c r="A951" s="2">
        <v>945</v>
      </c>
      <c r="B951" s="11">
        <f t="shared" ca="1" si="72"/>
        <v>0</v>
      </c>
      <c r="C951" s="26">
        <f t="shared" ca="1" si="73"/>
        <v>0.83542631761866437</v>
      </c>
      <c r="J951">
        <f t="shared" ca="1" si="74"/>
        <v>0</v>
      </c>
      <c r="K951">
        <f t="shared" ca="1" si="75"/>
        <v>0</v>
      </c>
      <c r="L951" s="65">
        <v>945</v>
      </c>
      <c r="M951" s="71">
        <f t="shared" ca="1" si="71"/>
        <v>0</v>
      </c>
      <c r="N951" s="65"/>
    </row>
    <row r="952" spans="1:14" x14ac:dyDescent="0.25">
      <c r="A952" s="2">
        <v>946</v>
      </c>
      <c r="B952" s="11">
        <f t="shared" ca="1" si="72"/>
        <v>1</v>
      </c>
      <c r="C952" s="26">
        <f t="shared" ca="1" si="73"/>
        <v>0.34044039684273708</v>
      </c>
      <c r="J952">
        <f t="shared" ca="1" si="74"/>
        <v>1</v>
      </c>
      <c r="K952">
        <f t="shared" ca="1" si="75"/>
        <v>0</v>
      </c>
      <c r="L952" s="65">
        <v>946</v>
      </c>
      <c r="M952" s="71">
        <f t="shared" ca="1" si="71"/>
        <v>6.3877530167711605</v>
      </c>
      <c r="N952" s="65"/>
    </row>
    <row r="953" spans="1:14" x14ac:dyDescent="0.25">
      <c r="A953" s="2">
        <v>947</v>
      </c>
      <c r="B953" s="11">
        <f t="shared" ca="1" si="72"/>
        <v>1</v>
      </c>
      <c r="C953" s="26">
        <f t="shared" ca="1" si="73"/>
        <v>0.39985398726005317</v>
      </c>
      <c r="J953">
        <f t="shared" ca="1" si="74"/>
        <v>0</v>
      </c>
      <c r="K953">
        <f t="shared" ca="1" si="75"/>
        <v>0</v>
      </c>
      <c r="L953" s="65">
        <v>947</v>
      </c>
      <c r="M953" s="71">
        <f t="shared" ca="1" si="71"/>
        <v>1.148472155375281</v>
      </c>
      <c r="N953" s="65"/>
    </row>
    <row r="954" spans="1:14" x14ac:dyDescent="0.25">
      <c r="A954" s="2">
        <v>948</v>
      </c>
      <c r="B954" s="11">
        <f t="shared" ca="1" si="72"/>
        <v>0</v>
      </c>
      <c r="C954" s="26">
        <f t="shared" ca="1" si="73"/>
        <v>0.93531259657723942</v>
      </c>
      <c r="J954">
        <f t="shared" ca="1" si="74"/>
        <v>0</v>
      </c>
      <c r="K954">
        <f t="shared" ca="1" si="75"/>
        <v>1</v>
      </c>
      <c r="L954" s="65">
        <v>948</v>
      </c>
      <c r="M954" s="71">
        <f t="shared" ca="1" si="71"/>
        <v>0</v>
      </c>
      <c r="N954" s="65"/>
    </row>
    <row r="955" spans="1:14" x14ac:dyDescent="0.25">
      <c r="A955" s="2">
        <v>949</v>
      </c>
      <c r="B955" s="11">
        <f t="shared" ca="1" si="72"/>
        <v>0</v>
      </c>
      <c r="C955" s="26">
        <f t="shared" ca="1" si="73"/>
        <v>0.61025178283674908</v>
      </c>
      <c r="J955">
        <f t="shared" ca="1" si="74"/>
        <v>0</v>
      </c>
      <c r="K955">
        <f t="shared" ca="1" si="75"/>
        <v>1</v>
      </c>
      <c r="L955" s="65">
        <v>949</v>
      </c>
      <c r="M955" s="71">
        <f t="shared" ca="1" si="71"/>
        <v>0</v>
      </c>
      <c r="N955" s="65"/>
    </row>
    <row r="956" spans="1:14" x14ac:dyDescent="0.25">
      <c r="A956" s="2">
        <v>950</v>
      </c>
      <c r="B956" s="11">
        <f t="shared" ca="1" si="72"/>
        <v>0</v>
      </c>
      <c r="C956" s="26">
        <f t="shared" ca="1" si="73"/>
        <v>0.67493461693768886</v>
      </c>
      <c r="J956">
        <f t="shared" ca="1" si="74"/>
        <v>0</v>
      </c>
      <c r="K956">
        <f t="shared" ca="1" si="75"/>
        <v>1</v>
      </c>
      <c r="L956" s="65">
        <v>950</v>
      </c>
      <c r="M956" s="71">
        <f t="shared" ca="1" si="71"/>
        <v>0</v>
      </c>
      <c r="N956" s="65"/>
    </row>
    <row r="957" spans="1:14" x14ac:dyDescent="0.25">
      <c r="A957" s="2">
        <v>951</v>
      </c>
      <c r="B957" s="11">
        <f t="shared" ca="1" si="72"/>
        <v>0</v>
      </c>
      <c r="C957" s="26">
        <f t="shared" ca="1" si="73"/>
        <v>0.80058472996965113</v>
      </c>
      <c r="J957">
        <f t="shared" ca="1" si="74"/>
        <v>0</v>
      </c>
      <c r="K957">
        <f t="shared" ca="1" si="75"/>
        <v>0</v>
      </c>
      <c r="L957" s="65">
        <v>951</v>
      </c>
      <c r="M957" s="71">
        <f t="shared" ca="1" si="71"/>
        <v>0</v>
      </c>
      <c r="N957" s="65"/>
    </row>
    <row r="958" spans="1:14" x14ac:dyDescent="0.25">
      <c r="A958" s="2">
        <v>952</v>
      </c>
      <c r="B958" s="11">
        <f t="shared" ca="1" si="72"/>
        <v>1</v>
      </c>
      <c r="C958" s="26">
        <f t="shared" ca="1" si="73"/>
        <v>9.5746721372825916E-2</v>
      </c>
      <c r="J958">
        <f t="shared" ca="1" si="74"/>
        <v>0</v>
      </c>
      <c r="K958">
        <f t="shared" ca="1" si="75"/>
        <v>0</v>
      </c>
      <c r="L958" s="65">
        <v>952</v>
      </c>
      <c r="M958" s="71">
        <f t="shared" ca="1" si="71"/>
        <v>5.6224121040865684</v>
      </c>
      <c r="N958" s="65"/>
    </row>
    <row r="959" spans="1:14" x14ac:dyDescent="0.25">
      <c r="A959" s="2">
        <v>953</v>
      </c>
      <c r="B959" s="11">
        <f t="shared" ca="1" si="72"/>
        <v>0</v>
      </c>
      <c r="C959" s="26">
        <f t="shared" ca="1" si="73"/>
        <v>0.91455595849121107</v>
      </c>
      <c r="J959">
        <f t="shared" ca="1" si="74"/>
        <v>0</v>
      </c>
      <c r="K959">
        <f t="shared" ca="1" si="75"/>
        <v>1</v>
      </c>
      <c r="L959" s="65">
        <v>953</v>
      </c>
      <c r="M959" s="71">
        <f t="shared" ca="1" si="71"/>
        <v>0</v>
      </c>
      <c r="N959" s="65"/>
    </row>
    <row r="960" spans="1:14" x14ac:dyDescent="0.25">
      <c r="A960" s="2">
        <v>954</v>
      </c>
      <c r="B960" s="11">
        <f t="shared" ca="1" si="72"/>
        <v>0</v>
      </c>
      <c r="C960" s="26">
        <f t="shared" ca="1" si="73"/>
        <v>0.63740137620022275</v>
      </c>
      <c r="J960">
        <f t="shared" ca="1" si="74"/>
        <v>0</v>
      </c>
      <c r="K960">
        <f t="shared" ca="1" si="75"/>
        <v>0</v>
      </c>
      <c r="L960" s="65">
        <v>954</v>
      </c>
      <c r="M960" s="71">
        <f t="shared" ca="1" si="71"/>
        <v>0</v>
      </c>
      <c r="N960" s="65"/>
    </row>
    <row r="961" spans="1:14" x14ac:dyDescent="0.25">
      <c r="A961" s="2">
        <v>955</v>
      </c>
      <c r="B961" s="11">
        <f t="shared" ca="1" si="72"/>
        <v>1</v>
      </c>
      <c r="C961" s="26">
        <f t="shared" ca="1" si="73"/>
        <v>2.0993458935714027E-2</v>
      </c>
      <c r="J961">
        <f t="shared" ca="1" si="74"/>
        <v>1</v>
      </c>
      <c r="K961">
        <f t="shared" ca="1" si="75"/>
        <v>0</v>
      </c>
      <c r="L961" s="65">
        <v>955</v>
      </c>
      <c r="M961" s="71">
        <f t="shared" ca="1" si="71"/>
        <v>3.3086268627795619</v>
      </c>
      <c r="N961" s="65"/>
    </row>
    <row r="962" spans="1:14" x14ac:dyDescent="0.25">
      <c r="A962" s="2">
        <v>956</v>
      </c>
      <c r="B962" s="11">
        <f t="shared" ca="1" si="72"/>
        <v>1</v>
      </c>
      <c r="C962" s="26">
        <f t="shared" ca="1" si="73"/>
        <v>0.19287639617418328</v>
      </c>
      <c r="J962">
        <f t="shared" ca="1" si="74"/>
        <v>0</v>
      </c>
      <c r="K962">
        <f t="shared" ca="1" si="75"/>
        <v>0</v>
      </c>
      <c r="L962" s="65">
        <v>956</v>
      </c>
      <c r="M962" s="71">
        <f t="shared" ca="1" si="71"/>
        <v>2.9339933225535839</v>
      </c>
      <c r="N962" s="65"/>
    </row>
    <row r="963" spans="1:14" x14ac:dyDescent="0.25">
      <c r="A963" s="2">
        <v>957</v>
      </c>
      <c r="B963" s="11">
        <f t="shared" ca="1" si="72"/>
        <v>0</v>
      </c>
      <c r="C963" s="26">
        <f t="shared" ca="1" si="73"/>
        <v>0.88368641595767139</v>
      </c>
      <c r="J963">
        <f t="shared" ca="1" si="74"/>
        <v>0</v>
      </c>
      <c r="K963">
        <f t="shared" ca="1" si="75"/>
        <v>0</v>
      </c>
      <c r="L963" s="65">
        <v>957</v>
      </c>
      <c r="M963" s="71">
        <f t="shared" ca="1" si="71"/>
        <v>0</v>
      </c>
      <c r="N963" s="65"/>
    </row>
    <row r="964" spans="1:14" x14ac:dyDescent="0.25">
      <c r="A964" s="2">
        <v>958</v>
      </c>
      <c r="B964" s="11">
        <f t="shared" ca="1" si="72"/>
        <v>1</v>
      </c>
      <c r="C964" s="26">
        <f t="shared" ca="1" si="73"/>
        <v>4.1505419053213366E-2</v>
      </c>
      <c r="J964">
        <f t="shared" ca="1" si="74"/>
        <v>0</v>
      </c>
      <c r="K964">
        <f t="shared" ca="1" si="75"/>
        <v>0</v>
      </c>
      <c r="L964" s="65">
        <v>958</v>
      </c>
      <c r="M964" s="71">
        <f t="shared" ca="1" si="71"/>
        <v>0.58987549535853789</v>
      </c>
      <c r="N964" s="65"/>
    </row>
    <row r="965" spans="1:14" x14ac:dyDescent="0.25">
      <c r="A965" s="2">
        <v>959</v>
      </c>
      <c r="B965" s="11">
        <f t="shared" ca="1" si="72"/>
        <v>0</v>
      </c>
      <c r="C965" s="26">
        <f t="shared" ca="1" si="73"/>
        <v>0.99172563774975353</v>
      </c>
      <c r="J965">
        <f t="shared" ca="1" si="74"/>
        <v>0</v>
      </c>
      <c r="K965">
        <f t="shared" ca="1" si="75"/>
        <v>1</v>
      </c>
      <c r="L965" s="65">
        <v>959</v>
      </c>
      <c r="M965" s="71">
        <f t="shared" ca="1" si="71"/>
        <v>0</v>
      </c>
      <c r="N965" s="65"/>
    </row>
    <row r="966" spans="1:14" x14ac:dyDescent="0.25">
      <c r="A966" s="2">
        <v>960</v>
      </c>
      <c r="B966" s="11">
        <f t="shared" ca="1" si="72"/>
        <v>0</v>
      </c>
      <c r="C966" s="26">
        <f t="shared" ca="1" si="73"/>
        <v>0.85935993946930689</v>
      </c>
      <c r="J966">
        <f t="shared" ca="1" si="74"/>
        <v>0</v>
      </c>
      <c r="K966">
        <f t="shared" ca="1" si="75"/>
        <v>1</v>
      </c>
      <c r="L966" s="65">
        <v>960</v>
      </c>
      <c r="M966" s="71">
        <f t="shared" ca="1" si="71"/>
        <v>0</v>
      </c>
      <c r="N966" s="65"/>
    </row>
    <row r="967" spans="1:14" x14ac:dyDescent="0.25">
      <c r="A967" s="2">
        <v>961</v>
      </c>
      <c r="B967" s="11">
        <f t="shared" ca="1" si="72"/>
        <v>0</v>
      </c>
      <c r="C967" s="26">
        <f t="shared" ca="1" si="73"/>
        <v>0.5033046886332655</v>
      </c>
      <c r="J967">
        <f t="shared" ca="1" si="74"/>
        <v>0</v>
      </c>
      <c r="K967">
        <f t="shared" ca="1" si="75"/>
        <v>1</v>
      </c>
      <c r="L967" s="65">
        <v>961</v>
      </c>
      <c r="M967" s="71">
        <f t="shared" ref="M967:M1030" ca="1" si="76">IF(B967&gt;0,-LN(1-(RAND()))/lambda,0)</f>
        <v>0</v>
      </c>
      <c r="N967" s="65"/>
    </row>
    <row r="968" spans="1:14" x14ac:dyDescent="0.25">
      <c r="A968" s="2">
        <v>962</v>
      </c>
      <c r="B968" s="11">
        <f t="shared" ref="B968:B1006" ca="1" si="77">IF(B967&gt;0,IF(C968&lt;pww,1,0),IF(C968&lt;pdw,1,0))</f>
        <v>0</v>
      </c>
      <c r="C968" s="26">
        <f t="shared" ref="C968:C1031" ca="1" si="78">RAND()</f>
        <v>0.43193675047589752</v>
      </c>
      <c r="J968">
        <f t="shared" ref="J968:J1006" ca="1" si="79">IF(AND(B968,B969),1,0)</f>
        <v>0</v>
      </c>
      <c r="K968">
        <f t="shared" ref="K968:K1006" ca="1" si="80">IF(AND(NOT(B968),NOT(B969)),1,0)</f>
        <v>1</v>
      </c>
      <c r="L968" s="65">
        <v>962</v>
      </c>
      <c r="M968" s="71">
        <f t="shared" ca="1" si="76"/>
        <v>0</v>
      </c>
      <c r="N968" s="65"/>
    </row>
    <row r="969" spans="1:14" x14ac:dyDescent="0.25">
      <c r="A969" s="2">
        <v>963</v>
      </c>
      <c r="B969" s="11">
        <f t="shared" ca="1" si="77"/>
        <v>0</v>
      </c>
      <c r="C969" s="26">
        <f t="shared" ca="1" si="78"/>
        <v>0.42389227348808978</v>
      </c>
      <c r="J969">
        <f t="shared" ca="1" si="79"/>
        <v>0</v>
      </c>
      <c r="K969">
        <f t="shared" ca="1" si="80"/>
        <v>0</v>
      </c>
      <c r="L969" s="65">
        <v>963</v>
      </c>
      <c r="M969" s="71">
        <f t="shared" ca="1" si="76"/>
        <v>0</v>
      </c>
      <c r="N969" s="65"/>
    </row>
    <row r="970" spans="1:14" x14ac:dyDescent="0.25">
      <c r="A970" s="2">
        <v>964</v>
      </c>
      <c r="B970" s="11">
        <f t="shared" ca="1" si="77"/>
        <v>1</v>
      </c>
      <c r="C970" s="26">
        <f t="shared" ca="1" si="78"/>
        <v>8.9855516976720673E-2</v>
      </c>
      <c r="J970">
        <f t="shared" ca="1" si="79"/>
        <v>1</v>
      </c>
      <c r="K970">
        <f t="shared" ca="1" si="80"/>
        <v>0</v>
      </c>
      <c r="L970" s="65">
        <v>964</v>
      </c>
      <c r="M970" s="71">
        <f t="shared" ca="1" si="76"/>
        <v>1.6007953273541664</v>
      </c>
      <c r="N970" s="65"/>
    </row>
    <row r="971" spans="1:14" x14ac:dyDescent="0.25">
      <c r="A971" s="2">
        <v>965</v>
      </c>
      <c r="B971" s="11">
        <f t="shared" ca="1" si="77"/>
        <v>1</v>
      </c>
      <c r="C971" s="26">
        <f t="shared" ca="1" si="78"/>
        <v>0.57612086715376631</v>
      </c>
      <c r="J971">
        <f t="shared" ca="1" si="79"/>
        <v>1</v>
      </c>
      <c r="K971">
        <f t="shared" ca="1" si="80"/>
        <v>0</v>
      </c>
      <c r="L971" s="65">
        <v>965</v>
      </c>
      <c r="M971" s="71">
        <f t="shared" ca="1" si="76"/>
        <v>2.191033191925599</v>
      </c>
      <c r="N971" s="65"/>
    </row>
    <row r="972" spans="1:14" x14ac:dyDescent="0.25">
      <c r="A972" s="2">
        <v>966</v>
      </c>
      <c r="B972" s="11">
        <f t="shared" ca="1" si="77"/>
        <v>1</v>
      </c>
      <c r="C972" s="26">
        <f t="shared" ca="1" si="78"/>
        <v>0.70476410069716566</v>
      </c>
      <c r="J972">
        <f t="shared" ca="1" si="79"/>
        <v>1</v>
      </c>
      <c r="K972">
        <f t="shared" ca="1" si="80"/>
        <v>0</v>
      </c>
      <c r="L972" s="65">
        <v>966</v>
      </c>
      <c r="M972" s="71">
        <f t="shared" ca="1" si="76"/>
        <v>5.2743190237337263</v>
      </c>
      <c r="N972" s="65"/>
    </row>
    <row r="973" spans="1:14" x14ac:dyDescent="0.25">
      <c r="A973" s="2">
        <v>967</v>
      </c>
      <c r="B973" s="11">
        <f t="shared" ca="1" si="77"/>
        <v>1</v>
      </c>
      <c r="C973" s="26">
        <f t="shared" ca="1" si="78"/>
        <v>0.28899854301538486</v>
      </c>
      <c r="J973">
        <f t="shared" ca="1" si="79"/>
        <v>0</v>
      </c>
      <c r="K973">
        <f t="shared" ca="1" si="80"/>
        <v>0</v>
      </c>
      <c r="L973" s="65">
        <v>967</v>
      </c>
      <c r="M973" s="71">
        <f t="shared" ca="1" si="76"/>
        <v>4.0858599563874485</v>
      </c>
      <c r="N973" s="65"/>
    </row>
    <row r="974" spans="1:14" x14ac:dyDescent="0.25">
      <c r="A974" s="2">
        <v>968</v>
      </c>
      <c r="B974" s="11">
        <f t="shared" ca="1" si="77"/>
        <v>0</v>
      </c>
      <c r="C974" s="26">
        <f t="shared" ca="1" si="78"/>
        <v>0.89694703009948418</v>
      </c>
      <c r="J974">
        <f t="shared" ca="1" si="79"/>
        <v>0</v>
      </c>
      <c r="K974">
        <f t="shared" ca="1" si="80"/>
        <v>1</v>
      </c>
      <c r="L974" s="65">
        <v>968</v>
      </c>
      <c r="M974" s="71">
        <f t="shared" ca="1" si="76"/>
        <v>0</v>
      </c>
      <c r="N974" s="65"/>
    </row>
    <row r="975" spans="1:14" x14ac:dyDescent="0.25">
      <c r="A975" s="2">
        <v>969</v>
      </c>
      <c r="B975" s="11">
        <f t="shared" ca="1" si="77"/>
        <v>0</v>
      </c>
      <c r="C975" s="26">
        <f t="shared" ca="1" si="78"/>
        <v>0.86155247346528097</v>
      </c>
      <c r="J975">
        <f t="shared" ca="1" si="79"/>
        <v>0</v>
      </c>
      <c r="K975">
        <f t="shared" ca="1" si="80"/>
        <v>1</v>
      </c>
      <c r="L975" s="65">
        <v>969</v>
      </c>
      <c r="M975" s="71">
        <f t="shared" ca="1" si="76"/>
        <v>0</v>
      </c>
      <c r="N975" s="65"/>
    </row>
    <row r="976" spans="1:14" x14ac:dyDescent="0.25">
      <c r="A976" s="2">
        <v>970</v>
      </c>
      <c r="B976" s="11">
        <f t="shared" ca="1" si="77"/>
        <v>0</v>
      </c>
      <c r="C976" s="26">
        <f t="shared" ca="1" si="78"/>
        <v>0.45461676005704199</v>
      </c>
      <c r="J976">
        <f t="shared" ca="1" si="79"/>
        <v>0</v>
      </c>
      <c r="K976">
        <f t="shared" ca="1" si="80"/>
        <v>0</v>
      </c>
      <c r="L976" s="65">
        <v>970</v>
      </c>
      <c r="M976" s="71">
        <f t="shared" ca="1" si="76"/>
        <v>0</v>
      </c>
      <c r="N976" s="65"/>
    </row>
    <row r="977" spans="1:14" x14ac:dyDescent="0.25">
      <c r="A977" s="2">
        <v>971</v>
      </c>
      <c r="B977" s="11">
        <f t="shared" ca="1" si="77"/>
        <v>1</v>
      </c>
      <c r="C977" s="26">
        <f t="shared" ca="1" si="78"/>
        <v>8.0814979102647233E-2</v>
      </c>
      <c r="J977">
        <f t="shared" ca="1" si="79"/>
        <v>1</v>
      </c>
      <c r="K977">
        <f t="shared" ca="1" si="80"/>
        <v>0</v>
      </c>
      <c r="L977" s="65">
        <v>971</v>
      </c>
      <c r="M977" s="71">
        <f t="shared" ca="1" si="76"/>
        <v>3.4391430602441306</v>
      </c>
      <c r="N977" s="65"/>
    </row>
    <row r="978" spans="1:14" x14ac:dyDescent="0.25">
      <c r="A978" s="2">
        <v>972</v>
      </c>
      <c r="B978" s="11">
        <f t="shared" ca="1" si="77"/>
        <v>1</v>
      </c>
      <c r="C978" s="26">
        <f t="shared" ca="1" si="78"/>
        <v>0.68293746978316872</v>
      </c>
      <c r="J978">
        <f t="shared" ca="1" si="79"/>
        <v>1</v>
      </c>
      <c r="K978">
        <f t="shared" ca="1" si="80"/>
        <v>0</v>
      </c>
      <c r="L978" s="65">
        <v>972</v>
      </c>
      <c r="M978" s="71">
        <f t="shared" ca="1" si="76"/>
        <v>6.4342127062462646</v>
      </c>
      <c r="N978" s="65"/>
    </row>
    <row r="979" spans="1:14" x14ac:dyDescent="0.25">
      <c r="A979" s="2">
        <v>973</v>
      </c>
      <c r="B979" s="11">
        <f t="shared" ca="1" si="77"/>
        <v>1</v>
      </c>
      <c r="C979" s="26">
        <f t="shared" ca="1" si="78"/>
        <v>0.6014894162842922</v>
      </c>
      <c r="J979">
        <f t="shared" ca="1" si="79"/>
        <v>0</v>
      </c>
      <c r="K979">
        <f t="shared" ca="1" si="80"/>
        <v>0</v>
      </c>
      <c r="L979" s="65">
        <v>973</v>
      </c>
      <c r="M979" s="71">
        <f t="shared" ca="1" si="76"/>
        <v>2.9854493947817149</v>
      </c>
      <c r="N979" s="65"/>
    </row>
    <row r="980" spans="1:14" x14ac:dyDescent="0.25">
      <c r="A980" s="2">
        <v>974</v>
      </c>
      <c r="B980" s="11">
        <f t="shared" ca="1" si="77"/>
        <v>0</v>
      </c>
      <c r="C980" s="26">
        <f t="shared" ca="1" si="78"/>
        <v>0.79650169085348776</v>
      </c>
      <c r="J980">
        <f t="shared" ca="1" si="79"/>
        <v>0</v>
      </c>
      <c r="K980">
        <f t="shared" ca="1" si="80"/>
        <v>1</v>
      </c>
      <c r="L980" s="65">
        <v>974</v>
      </c>
      <c r="M980" s="71">
        <f t="shared" ca="1" si="76"/>
        <v>0</v>
      </c>
      <c r="N980" s="65"/>
    </row>
    <row r="981" spans="1:14" x14ac:dyDescent="0.25">
      <c r="A981" s="2">
        <v>975</v>
      </c>
      <c r="B981" s="11">
        <f t="shared" ca="1" si="77"/>
        <v>0</v>
      </c>
      <c r="C981" s="26">
        <f t="shared" ca="1" si="78"/>
        <v>0.65773769032441565</v>
      </c>
      <c r="J981">
        <f t="shared" ca="1" si="79"/>
        <v>0</v>
      </c>
      <c r="K981">
        <f t="shared" ca="1" si="80"/>
        <v>1</v>
      </c>
      <c r="L981" s="65">
        <v>975</v>
      </c>
      <c r="M981" s="71">
        <f t="shared" ca="1" si="76"/>
        <v>0</v>
      </c>
      <c r="N981" s="65"/>
    </row>
    <row r="982" spans="1:14" x14ac:dyDescent="0.25">
      <c r="A982" s="2">
        <v>976</v>
      </c>
      <c r="B982" s="11">
        <f t="shared" ca="1" si="77"/>
        <v>0</v>
      </c>
      <c r="C982" s="26">
        <f t="shared" ca="1" si="78"/>
        <v>0.66911834595474362</v>
      </c>
      <c r="J982">
        <f t="shared" ca="1" si="79"/>
        <v>0</v>
      </c>
      <c r="K982">
        <f t="shared" ca="1" si="80"/>
        <v>0</v>
      </c>
      <c r="L982" s="65">
        <v>976</v>
      </c>
      <c r="M982" s="71">
        <f t="shared" ca="1" si="76"/>
        <v>0</v>
      </c>
      <c r="N982" s="65"/>
    </row>
    <row r="983" spans="1:14" x14ac:dyDescent="0.25">
      <c r="A983" s="2">
        <v>977</v>
      </c>
      <c r="B983" s="11">
        <f t="shared" ca="1" si="77"/>
        <v>1</v>
      </c>
      <c r="C983" s="26">
        <f t="shared" ca="1" si="78"/>
        <v>0.14122704109348583</v>
      </c>
      <c r="J983">
        <f t="shared" ca="1" si="79"/>
        <v>1</v>
      </c>
      <c r="K983">
        <f t="shared" ca="1" si="80"/>
        <v>0</v>
      </c>
      <c r="L983" s="65">
        <v>977</v>
      </c>
      <c r="M983" s="71">
        <f t="shared" ca="1" si="76"/>
        <v>1.5154902109469057</v>
      </c>
      <c r="N983" s="65"/>
    </row>
    <row r="984" spans="1:14" x14ac:dyDescent="0.25">
      <c r="A984" s="2">
        <v>978</v>
      </c>
      <c r="B984" s="11">
        <f t="shared" ca="1" si="77"/>
        <v>1</v>
      </c>
      <c r="C984" s="26">
        <f t="shared" ca="1" si="78"/>
        <v>0.61689618571589078</v>
      </c>
      <c r="J984">
        <f t="shared" ca="1" si="79"/>
        <v>1</v>
      </c>
      <c r="K984">
        <f t="shared" ca="1" si="80"/>
        <v>0</v>
      </c>
      <c r="L984" s="65">
        <v>978</v>
      </c>
      <c r="M984" s="71">
        <f t="shared" ca="1" si="76"/>
        <v>1.9248757118265298</v>
      </c>
      <c r="N984" s="65"/>
    </row>
    <row r="985" spans="1:14" x14ac:dyDescent="0.25">
      <c r="A985" s="2">
        <v>979</v>
      </c>
      <c r="B985" s="11">
        <f t="shared" ca="1" si="77"/>
        <v>1</v>
      </c>
      <c r="C985" s="26">
        <f t="shared" ca="1" si="78"/>
        <v>0.61532881349665092</v>
      </c>
      <c r="J985">
        <f t="shared" ca="1" si="79"/>
        <v>0</v>
      </c>
      <c r="K985">
        <f t="shared" ca="1" si="80"/>
        <v>0</v>
      </c>
      <c r="L985" s="65">
        <v>979</v>
      </c>
      <c r="M985" s="71">
        <f t="shared" ca="1" si="76"/>
        <v>0.28378740437217592</v>
      </c>
      <c r="N985" s="65"/>
    </row>
    <row r="986" spans="1:14" x14ac:dyDescent="0.25">
      <c r="A986" s="2">
        <v>980</v>
      </c>
      <c r="B986" s="11">
        <f t="shared" ca="1" si="77"/>
        <v>0</v>
      </c>
      <c r="C986" s="26">
        <f t="shared" ca="1" si="78"/>
        <v>0.7534145862934728</v>
      </c>
      <c r="J986">
        <f t="shared" ca="1" si="79"/>
        <v>0</v>
      </c>
      <c r="K986">
        <f t="shared" ca="1" si="80"/>
        <v>0</v>
      </c>
      <c r="L986" s="65">
        <v>980</v>
      </c>
      <c r="M986" s="71">
        <f t="shared" ca="1" si="76"/>
        <v>0</v>
      </c>
      <c r="N986" s="65"/>
    </row>
    <row r="987" spans="1:14" x14ac:dyDescent="0.25">
      <c r="A987" s="2">
        <v>981</v>
      </c>
      <c r="B987" s="11">
        <f t="shared" ca="1" si="77"/>
        <v>1</v>
      </c>
      <c r="C987" s="26">
        <f t="shared" ca="1" si="78"/>
        <v>0.24375137991054452</v>
      </c>
      <c r="J987">
        <f t="shared" ca="1" si="79"/>
        <v>0</v>
      </c>
      <c r="K987">
        <f t="shared" ca="1" si="80"/>
        <v>0</v>
      </c>
      <c r="L987" s="65">
        <v>981</v>
      </c>
      <c r="M987" s="71">
        <f t="shared" ca="1" si="76"/>
        <v>2.3893864646669059</v>
      </c>
      <c r="N987" s="65"/>
    </row>
    <row r="988" spans="1:14" x14ac:dyDescent="0.25">
      <c r="A988" s="2">
        <v>982</v>
      </c>
      <c r="B988" s="11">
        <f t="shared" ca="1" si="77"/>
        <v>0</v>
      </c>
      <c r="C988" s="26">
        <f t="shared" ca="1" si="78"/>
        <v>0.89735921746916336</v>
      </c>
      <c r="J988">
        <f t="shared" ca="1" si="79"/>
        <v>0</v>
      </c>
      <c r="K988">
        <f t="shared" ca="1" si="80"/>
        <v>1</v>
      </c>
      <c r="L988" s="65">
        <v>982</v>
      </c>
      <c r="M988" s="71">
        <f t="shared" ca="1" si="76"/>
        <v>0</v>
      </c>
      <c r="N988" s="65"/>
    </row>
    <row r="989" spans="1:14" x14ac:dyDescent="0.25">
      <c r="A989" s="2">
        <v>983</v>
      </c>
      <c r="B989" s="11">
        <f t="shared" ca="1" si="77"/>
        <v>0</v>
      </c>
      <c r="C989" s="26">
        <f t="shared" ca="1" si="78"/>
        <v>0.47815841393306957</v>
      </c>
      <c r="J989">
        <f t="shared" ca="1" si="79"/>
        <v>0</v>
      </c>
      <c r="K989">
        <f t="shared" ca="1" si="80"/>
        <v>1</v>
      </c>
      <c r="L989" s="65">
        <v>983</v>
      </c>
      <c r="M989" s="71">
        <f t="shared" ca="1" si="76"/>
        <v>0</v>
      </c>
      <c r="N989" s="65"/>
    </row>
    <row r="990" spans="1:14" x14ac:dyDescent="0.25">
      <c r="A990" s="2">
        <v>984</v>
      </c>
      <c r="B990" s="11">
        <f t="shared" ca="1" si="77"/>
        <v>0</v>
      </c>
      <c r="C990" s="26">
        <f t="shared" ca="1" si="78"/>
        <v>0.42105740482430931</v>
      </c>
      <c r="J990">
        <f t="shared" ca="1" si="79"/>
        <v>0</v>
      </c>
      <c r="K990">
        <f t="shared" ca="1" si="80"/>
        <v>1</v>
      </c>
      <c r="L990" s="65">
        <v>984</v>
      </c>
      <c r="M990" s="71">
        <f t="shared" ca="1" si="76"/>
        <v>0</v>
      </c>
      <c r="N990" s="65"/>
    </row>
    <row r="991" spans="1:14" x14ac:dyDescent="0.25">
      <c r="A991" s="2">
        <v>985</v>
      </c>
      <c r="B991" s="11">
        <f t="shared" ca="1" si="77"/>
        <v>0</v>
      </c>
      <c r="C991" s="26">
        <f t="shared" ca="1" si="78"/>
        <v>0.53212646296974464</v>
      </c>
      <c r="J991">
        <f t="shared" ca="1" si="79"/>
        <v>0</v>
      </c>
      <c r="K991">
        <f t="shared" ca="1" si="80"/>
        <v>1</v>
      </c>
      <c r="L991" s="65">
        <v>985</v>
      </c>
      <c r="M991" s="71">
        <f t="shared" ca="1" si="76"/>
        <v>0</v>
      </c>
      <c r="N991" s="65"/>
    </row>
    <row r="992" spans="1:14" x14ac:dyDescent="0.25">
      <c r="A992" s="2">
        <v>986</v>
      </c>
      <c r="B992" s="11">
        <f t="shared" ca="1" si="77"/>
        <v>0</v>
      </c>
      <c r="C992" s="26">
        <f t="shared" ca="1" si="78"/>
        <v>0.41423792856463926</v>
      </c>
      <c r="J992">
        <f t="shared" ca="1" si="79"/>
        <v>0</v>
      </c>
      <c r="K992">
        <f t="shared" ca="1" si="80"/>
        <v>1</v>
      </c>
      <c r="L992" s="65">
        <v>986</v>
      </c>
      <c r="M992" s="71">
        <f t="shared" ca="1" si="76"/>
        <v>0</v>
      </c>
      <c r="N992" s="65"/>
    </row>
    <row r="993" spans="1:14" x14ac:dyDescent="0.25">
      <c r="A993" s="2">
        <v>987</v>
      </c>
      <c r="B993" s="11">
        <f t="shared" ca="1" si="77"/>
        <v>0</v>
      </c>
      <c r="C993" s="26">
        <f t="shared" ca="1" si="78"/>
        <v>0.59963930488663941</v>
      </c>
      <c r="J993">
        <f t="shared" ca="1" si="79"/>
        <v>0</v>
      </c>
      <c r="K993">
        <f t="shared" ca="1" si="80"/>
        <v>1</v>
      </c>
      <c r="L993" s="65">
        <v>987</v>
      </c>
      <c r="M993" s="71">
        <f t="shared" ca="1" si="76"/>
        <v>0</v>
      </c>
      <c r="N993" s="65"/>
    </row>
    <row r="994" spans="1:14" x14ac:dyDescent="0.25">
      <c r="A994" s="2">
        <v>988</v>
      </c>
      <c r="B994" s="11">
        <f t="shared" ca="1" si="77"/>
        <v>0</v>
      </c>
      <c r="C994" s="26">
        <f t="shared" ca="1" si="78"/>
        <v>0.92392344408956062</v>
      </c>
      <c r="J994">
        <f t="shared" ca="1" si="79"/>
        <v>0</v>
      </c>
      <c r="K994">
        <f t="shared" ca="1" si="80"/>
        <v>0</v>
      </c>
      <c r="L994" s="65">
        <v>988</v>
      </c>
      <c r="M994" s="71">
        <f t="shared" ca="1" si="76"/>
        <v>0</v>
      </c>
      <c r="N994" s="65"/>
    </row>
    <row r="995" spans="1:14" x14ac:dyDescent="0.25">
      <c r="A995" s="2">
        <v>989</v>
      </c>
      <c r="B995" s="11">
        <f t="shared" ca="1" si="77"/>
        <v>1</v>
      </c>
      <c r="C995" s="26">
        <f t="shared" ca="1" si="78"/>
        <v>0.23329461117415784</v>
      </c>
      <c r="J995">
        <f t="shared" ca="1" si="79"/>
        <v>0</v>
      </c>
      <c r="K995">
        <f t="shared" ca="1" si="80"/>
        <v>0</v>
      </c>
      <c r="L995" s="65">
        <v>989</v>
      </c>
      <c r="M995" s="71">
        <f t="shared" ca="1" si="76"/>
        <v>0.74742672964771795</v>
      </c>
      <c r="N995" s="65"/>
    </row>
    <row r="996" spans="1:14" x14ac:dyDescent="0.25">
      <c r="A996" s="2">
        <v>990</v>
      </c>
      <c r="B996" s="11">
        <f t="shared" ca="1" si="77"/>
        <v>0</v>
      </c>
      <c r="C996" s="26">
        <f t="shared" ca="1" si="78"/>
        <v>0.87985059334297688</v>
      </c>
      <c r="J996">
        <f t="shared" ca="1" si="79"/>
        <v>0</v>
      </c>
      <c r="K996">
        <f t="shared" ca="1" si="80"/>
        <v>1</v>
      </c>
      <c r="L996" s="65">
        <v>990</v>
      </c>
      <c r="M996" s="71">
        <f t="shared" ca="1" si="76"/>
        <v>0</v>
      </c>
      <c r="N996" s="65"/>
    </row>
    <row r="997" spans="1:14" x14ac:dyDescent="0.25">
      <c r="A997" s="2">
        <v>991</v>
      </c>
      <c r="B997" s="11">
        <f t="shared" ca="1" si="77"/>
        <v>0</v>
      </c>
      <c r="C997" s="26">
        <f t="shared" ca="1" si="78"/>
        <v>0.61006505119517507</v>
      </c>
      <c r="J997">
        <f t="shared" ca="1" si="79"/>
        <v>0</v>
      </c>
      <c r="K997">
        <f t="shared" ca="1" si="80"/>
        <v>0</v>
      </c>
      <c r="L997" s="65">
        <v>991</v>
      </c>
      <c r="M997" s="71">
        <f t="shared" ca="1" si="76"/>
        <v>0</v>
      </c>
      <c r="N997" s="65"/>
    </row>
    <row r="998" spans="1:14" x14ac:dyDescent="0.25">
      <c r="A998" s="2">
        <v>992</v>
      </c>
      <c r="B998" s="11">
        <f t="shared" ca="1" si="77"/>
        <v>1</v>
      </c>
      <c r="C998" s="26">
        <f t="shared" ca="1" si="78"/>
        <v>0.26837540239794755</v>
      </c>
      <c r="J998">
        <f t="shared" ca="1" si="79"/>
        <v>1</v>
      </c>
      <c r="K998">
        <f t="shared" ca="1" si="80"/>
        <v>0</v>
      </c>
      <c r="L998" s="65">
        <v>992</v>
      </c>
      <c r="M998" s="71">
        <f t="shared" ca="1" si="76"/>
        <v>2.590504682612194</v>
      </c>
      <c r="N998" s="65"/>
    </row>
    <row r="999" spans="1:14" x14ac:dyDescent="0.25">
      <c r="A999" s="2">
        <v>993</v>
      </c>
      <c r="B999" s="11">
        <f t="shared" ca="1" si="77"/>
        <v>1</v>
      </c>
      <c r="C999" s="26">
        <f t="shared" ca="1" si="78"/>
        <v>0.43374052668182583</v>
      </c>
      <c r="J999">
        <f t="shared" ca="1" si="79"/>
        <v>1</v>
      </c>
      <c r="K999">
        <f t="shared" ca="1" si="80"/>
        <v>0</v>
      </c>
      <c r="L999" s="65">
        <v>993</v>
      </c>
      <c r="M999" s="71">
        <f t="shared" ca="1" si="76"/>
        <v>1.6645194571840431</v>
      </c>
      <c r="N999" s="65"/>
    </row>
    <row r="1000" spans="1:14" x14ac:dyDescent="0.25">
      <c r="A1000" s="2">
        <v>994</v>
      </c>
      <c r="B1000" s="11">
        <f t="shared" ca="1" si="77"/>
        <v>1</v>
      </c>
      <c r="C1000" s="26">
        <f t="shared" ca="1" si="78"/>
        <v>0.71215013039831332</v>
      </c>
      <c r="J1000">
        <f t="shared" ca="1" si="79"/>
        <v>1</v>
      </c>
      <c r="K1000">
        <f t="shared" ca="1" si="80"/>
        <v>0</v>
      </c>
      <c r="L1000" s="65">
        <v>994</v>
      </c>
      <c r="M1000" s="71">
        <f t="shared" ca="1" si="76"/>
        <v>4.44811809148755</v>
      </c>
      <c r="N1000" s="65"/>
    </row>
    <row r="1001" spans="1:14" x14ac:dyDescent="0.25">
      <c r="A1001" s="2">
        <v>995</v>
      </c>
      <c r="B1001" s="11">
        <f t="shared" ca="1" si="77"/>
        <v>1</v>
      </c>
      <c r="C1001" s="26">
        <f t="shared" ca="1" si="78"/>
        <v>0.10803746081607313</v>
      </c>
      <c r="J1001">
        <f t="shared" ca="1" si="79"/>
        <v>0</v>
      </c>
      <c r="K1001">
        <f t="shared" ca="1" si="80"/>
        <v>0</v>
      </c>
      <c r="L1001" s="65">
        <v>995</v>
      </c>
      <c r="M1001" s="71">
        <f t="shared" ca="1" si="76"/>
        <v>5.1432205457064795</v>
      </c>
      <c r="N1001" s="65"/>
    </row>
    <row r="1002" spans="1:14" x14ac:dyDescent="0.25">
      <c r="A1002" s="2">
        <v>996</v>
      </c>
      <c r="B1002" s="11">
        <f t="shared" ca="1" si="77"/>
        <v>0</v>
      </c>
      <c r="C1002" s="26">
        <f t="shared" ca="1" si="78"/>
        <v>0.82001420648464796</v>
      </c>
      <c r="J1002">
        <f t="shared" ca="1" si="79"/>
        <v>0</v>
      </c>
      <c r="K1002">
        <f t="shared" ca="1" si="80"/>
        <v>0</v>
      </c>
      <c r="L1002" s="65">
        <v>996</v>
      </c>
      <c r="M1002" s="71">
        <f t="shared" ca="1" si="76"/>
        <v>0</v>
      </c>
      <c r="N1002" s="65"/>
    </row>
    <row r="1003" spans="1:14" x14ac:dyDescent="0.25">
      <c r="A1003" s="2">
        <v>997</v>
      </c>
      <c r="B1003" s="11">
        <f t="shared" ca="1" si="77"/>
        <v>1</v>
      </c>
      <c r="C1003" s="26">
        <f t="shared" ca="1" si="78"/>
        <v>0.3317632952741999</v>
      </c>
      <c r="J1003">
        <f t="shared" ca="1" si="79"/>
        <v>1</v>
      </c>
      <c r="K1003">
        <f t="shared" ca="1" si="80"/>
        <v>0</v>
      </c>
      <c r="L1003" s="65">
        <v>997</v>
      </c>
      <c r="M1003" s="71">
        <f t="shared" ca="1" si="76"/>
        <v>2.0150347671646012</v>
      </c>
      <c r="N1003" s="65"/>
    </row>
    <row r="1004" spans="1:14" x14ac:dyDescent="0.25">
      <c r="A1004" s="2">
        <v>998</v>
      </c>
      <c r="B1004" s="11">
        <f t="shared" ca="1" si="77"/>
        <v>1</v>
      </c>
      <c r="C1004" s="26">
        <f t="shared" ca="1" si="78"/>
        <v>0.62566347445355786</v>
      </c>
      <c r="J1004">
        <f t="shared" ca="1" si="79"/>
        <v>0</v>
      </c>
      <c r="K1004">
        <f t="shared" ca="1" si="80"/>
        <v>0</v>
      </c>
      <c r="L1004" s="65">
        <v>998</v>
      </c>
      <c r="M1004" s="71">
        <f t="shared" ca="1" si="76"/>
        <v>0.56026177226807472</v>
      </c>
      <c r="N1004" s="65"/>
    </row>
    <row r="1005" spans="1:14" x14ac:dyDescent="0.25">
      <c r="A1005" s="2">
        <v>999</v>
      </c>
      <c r="B1005" s="11">
        <f t="shared" ca="1" si="77"/>
        <v>0</v>
      </c>
      <c r="C1005" s="26">
        <f t="shared" ca="1" si="78"/>
        <v>0.92461420183460341</v>
      </c>
      <c r="J1005">
        <f t="shared" ca="1" si="79"/>
        <v>0</v>
      </c>
      <c r="K1005">
        <f t="shared" ca="1" si="80"/>
        <v>0</v>
      </c>
      <c r="L1005" s="65">
        <v>999</v>
      </c>
      <c r="M1005" s="71">
        <f t="shared" ca="1" si="76"/>
        <v>0</v>
      </c>
      <c r="N1005" s="65"/>
    </row>
    <row r="1006" spans="1:14" x14ac:dyDescent="0.25">
      <c r="A1006" s="2">
        <v>1000</v>
      </c>
      <c r="B1006" s="11">
        <f t="shared" ca="1" si="77"/>
        <v>1</v>
      </c>
      <c r="C1006" s="26">
        <f t="shared" ca="1" si="78"/>
        <v>0.27513175126191236</v>
      </c>
      <c r="J1006">
        <f t="shared" ca="1" si="79"/>
        <v>1</v>
      </c>
      <c r="K1006">
        <f t="shared" ca="1" si="80"/>
        <v>0</v>
      </c>
      <c r="L1006" s="65">
        <v>1000</v>
      </c>
      <c r="M1006" s="71">
        <f t="shared" ca="1" si="76"/>
        <v>1.5719300538873411</v>
      </c>
      <c r="N1006" s="65"/>
    </row>
    <row r="1007" spans="1:14" x14ac:dyDescent="0.25">
      <c r="A1007" s="2">
        <v>1001</v>
      </c>
      <c r="B1007" s="11">
        <f t="shared" ref="B1007:B1070" ca="1" si="81">IF(B1006&gt;0,IF(C1007&lt;pww,1,0),IF(C1007&lt;pdw,1,0))</f>
        <v>1</v>
      </c>
      <c r="C1007" s="26">
        <f t="shared" ca="1" si="78"/>
        <v>0.42058456779608999</v>
      </c>
      <c r="J1007">
        <f t="shared" ref="J1007:J1070" ca="1" si="82">IF(AND(B1007,B1008),1,0)</f>
        <v>1</v>
      </c>
      <c r="K1007">
        <f t="shared" ref="K1007:K1070" ca="1" si="83">IF(AND(NOT(B1007),NOT(B1008)),1,0)</f>
        <v>0</v>
      </c>
      <c r="L1007" s="65">
        <v>1001</v>
      </c>
      <c r="M1007" s="71">
        <f t="shared" ca="1" si="76"/>
        <v>1.5339959002117112</v>
      </c>
      <c r="N1007" s="65"/>
    </row>
    <row r="1008" spans="1:14" x14ac:dyDescent="0.25">
      <c r="A1008" s="2">
        <v>1002</v>
      </c>
      <c r="B1008" s="11">
        <f t="shared" ca="1" si="81"/>
        <v>1</v>
      </c>
      <c r="C1008" s="26">
        <f t="shared" ca="1" si="78"/>
        <v>0.46878956227758206</v>
      </c>
      <c r="J1008">
        <f t="shared" ca="1" si="82"/>
        <v>1</v>
      </c>
      <c r="K1008">
        <f t="shared" ca="1" si="83"/>
        <v>0</v>
      </c>
      <c r="L1008" s="65">
        <v>1002</v>
      </c>
      <c r="M1008" s="71">
        <f t="shared" ca="1" si="76"/>
        <v>0.6343861144401669</v>
      </c>
      <c r="N1008" s="65"/>
    </row>
    <row r="1009" spans="1:14" x14ac:dyDescent="0.25">
      <c r="A1009" s="2">
        <v>1003</v>
      </c>
      <c r="B1009" s="11">
        <f t="shared" ca="1" si="81"/>
        <v>1</v>
      </c>
      <c r="C1009" s="26">
        <f t="shared" ca="1" si="78"/>
        <v>0.20482737330281686</v>
      </c>
      <c r="J1009">
        <f t="shared" ca="1" si="82"/>
        <v>1</v>
      </c>
      <c r="K1009">
        <f t="shared" ca="1" si="83"/>
        <v>0</v>
      </c>
      <c r="L1009" s="65">
        <v>1003</v>
      </c>
      <c r="M1009" s="71">
        <f t="shared" ca="1" si="76"/>
        <v>0.9748007023762566</v>
      </c>
      <c r="N1009" s="65"/>
    </row>
    <row r="1010" spans="1:14" x14ac:dyDescent="0.25">
      <c r="A1010" s="2">
        <v>1004</v>
      </c>
      <c r="B1010" s="11">
        <f t="shared" ca="1" si="81"/>
        <v>1</v>
      </c>
      <c r="C1010" s="26">
        <f t="shared" ca="1" si="78"/>
        <v>0.61827767509225562</v>
      </c>
      <c r="J1010">
        <f t="shared" ca="1" si="82"/>
        <v>1</v>
      </c>
      <c r="K1010">
        <f t="shared" ca="1" si="83"/>
        <v>0</v>
      </c>
      <c r="L1010" s="65">
        <v>1004</v>
      </c>
      <c r="M1010" s="71">
        <f t="shared" ca="1" si="76"/>
        <v>3.6834833755211132</v>
      </c>
      <c r="N1010" s="65"/>
    </row>
    <row r="1011" spans="1:14" x14ac:dyDescent="0.25">
      <c r="A1011" s="2">
        <v>1005</v>
      </c>
      <c r="B1011" s="11">
        <f t="shared" ca="1" si="81"/>
        <v>1</v>
      </c>
      <c r="C1011" s="26">
        <f t="shared" ca="1" si="78"/>
        <v>3.7028225162663242E-2</v>
      </c>
      <c r="J1011">
        <f t="shared" ca="1" si="82"/>
        <v>1</v>
      </c>
      <c r="K1011">
        <f t="shared" ca="1" si="83"/>
        <v>0</v>
      </c>
      <c r="L1011" s="65">
        <v>1005</v>
      </c>
      <c r="M1011" s="71">
        <f t="shared" ca="1" si="76"/>
        <v>1.2860453138829551</v>
      </c>
      <c r="N1011" s="65"/>
    </row>
    <row r="1012" spans="1:14" x14ac:dyDescent="0.25">
      <c r="A1012" s="2">
        <v>1006</v>
      </c>
      <c r="B1012" s="11">
        <f t="shared" ca="1" si="81"/>
        <v>1</v>
      </c>
      <c r="C1012" s="26">
        <f t="shared" ca="1" si="78"/>
        <v>0.15647332474195308</v>
      </c>
      <c r="J1012">
        <f t="shared" ca="1" si="82"/>
        <v>1</v>
      </c>
      <c r="K1012">
        <f t="shared" ca="1" si="83"/>
        <v>0</v>
      </c>
      <c r="L1012" s="65">
        <v>1006</v>
      </c>
      <c r="M1012" s="71">
        <f t="shared" ca="1" si="76"/>
        <v>1.0727558458249455</v>
      </c>
      <c r="N1012" s="65"/>
    </row>
    <row r="1013" spans="1:14" x14ac:dyDescent="0.25">
      <c r="A1013" s="2">
        <v>1007</v>
      </c>
      <c r="B1013" s="11">
        <f t="shared" ca="1" si="81"/>
        <v>1</v>
      </c>
      <c r="C1013" s="26">
        <f t="shared" ca="1" si="78"/>
        <v>0.19712648054117388</v>
      </c>
      <c r="J1013">
        <f t="shared" ca="1" si="82"/>
        <v>0</v>
      </c>
      <c r="K1013">
        <f t="shared" ca="1" si="83"/>
        <v>0</v>
      </c>
      <c r="L1013" s="65">
        <v>1007</v>
      </c>
      <c r="M1013" s="71">
        <f t="shared" ca="1" si="76"/>
        <v>1.9520920187202124</v>
      </c>
      <c r="N1013" s="65"/>
    </row>
    <row r="1014" spans="1:14" x14ac:dyDescent="0.25">
      <c r="A1014" s="2">
        <v>1008</v>
      </c>
      <c r="B1014" s="11">
        <f t="shared" ca="1" si="81"/>
        <v>0</v>
      </c>
      <c r="C1014" s="26">
        <f t="shared" ca="1" si="78"/>
        <v>0.9737271064568146</v>
      </c>
      <c r="J1014">
        <f t="shared" ca="1" si="82"/>
        <v>0</v>
      </c>
      <c r="K1014">
        <f t="shared" ca="1" si="83"/>
        <v>1</v>
      </c>
      <c r="L1014" s="65">
        <v>1008</v>
      </c>
      <c r="M1014" s="71">
        <f t="shared" ca="1" si="76"/>
        <v>0</v>
      </c>
      <c r="N1014" s="65"/>
    </row>
    <row r="1015" spans="1:14" x14ac:dyDescent="0.25">
      <c r="A1015" s="2">
        <v>1009</v>
      </c>
      <c r="B1015" s="11">
        <f t="shared" ca="1" si="81"/>
        <v>0</v>
      </c>
      <c r="C1015" s="26">
        <f t="shared" ca="1" si="78"/>
        <v>0.46140527351698846</v>
      </c>
      <c r="J1015">
        <f t="shared" ca="1" si="82"/>
        <v>0</v>
      </c>
      <c r="K1015">
        <f t="shared" ca="1" si="83"/>
        <v>0</v>
      </c>
      <c r="L1015" s="65">
        <v>1009</v>
      </c>
      <c r="M1015" s="71">
        <f t="shared" ca="1" si="76"/>
        <v>0</v>
      </c>
      <c r="N1015" s="65"/>
    </row>
    <row r="1016" spans="1:14" x14ac:dyDescent="0.25">
      <c r="A1016" s="2">
        <v>1010</v>
      </c>
      <c r="B1016" s="11">
        <f t="shared" ca="1" si="81"/>
        <v>1</v>
      </c>
      <c r="C1016" s="26">
        <f t="shared" ca="1" si="78"/>
        <v>0.27349965787162311</v>
      </c>
      <c r="J1016">
        <f t="shared" ca="1" si="82"/>
        <v>0</v>
      </c>
      <c r="K1016">
        <f t="shared" ca="1" si="83"/>
        <v>0</v>
      </c>
      <c r="L1016" s="65">
        <v>1010</v>
      </c>
      <c r="M1016" s="71">
        <f t="shared" ca="1" si="76"/>
        <v>2.0628250229206002E-2</v>
      </c>
      <c r="N1016" s="65"/>
    </row>
    <row r="1017" spans="1:14" x14ac:dyDescent="0.25">
      <c r="A1017" s="2">
        <v>1011</v>
      </c>
      <c r="B1017" s="11">
        <f t="shared" ca="1" si="81"/>
        <v>0</v>
      </c>
      <c r="C1017" s="26">
        <f t="shared" ca="1" si="78"/>
        <v>0.81962614583394555</v>
      </c>
      <c r="J1017">
        <f t="shared" ca="1" si="82"/>
        <v>0</v>
      </c>
      <c r="K1017">
        <f t="shared" ca="1" si="83"/>
        <v>1</v>
      </c>
      <c r="L1017" s="65">
        <v>1011</v>
      </c>
      <c r="M1017" s="71">
        <f t="shared" ca="1" si="76"/>
        <v>0</v>
      </c>
      <c r="N1017" s="65"/>
    </row>
    <row r="1018" spans="1:14" x14ac:dyDescent="0.25">
      <c r="A1018" s="2">
        <v>1012</v>
      </c>
      <c r="B1018" s="11">
        <f t="shared" ca="1" si="81"/>
        <v>0</v>
      </c>
      <c r="C1018" s="26">
        <f t="shared" ca="1" si="78"/>
        <v>0.66047457630765227</v>
      </c>
      <c r="J1018">
        <f t="shared" ca="1" si="82"/>
        <v>0</v>
      </c>
      <c r="K1018">
        <f t="shared" ca="1" si="83"/>
        <v>1</v>
      </c>
      <c r="L1018" s="65">
        <v>1012</v>
      </c>
      <c r="M1018" s="71">
        <f t="shared" ca="1" si="76"/>
        <v>0</v>
      </c>
      <c r="N1018" s="65"/>
    </row>
    <row r="1019" spans="1:14" x14ac:dyDescent="0.25">
      <c r="A1019" s="2">
        <v>1013</v>
      </c>
      <c r="B1019" s="11">
        <f t="shared" ca="1" si="81"/>
        <v>0</v>
      </c>
      <c r="C1019" s="26">
        <f t="shared" ca="1" si="78"/>
        <v>0.39950895108900031</v>
      </c>
      <c r="J1019">
        <f t="shared" ca="1" si="82"/>
        <v>0</v>
      </c>
      <c r="K1019">
        <f t="shared" ca="1" si="83"/>
        <v>1</v>
      </c>
      <c r="L1019" s="65">
        <v>1013</v>
      </c>
      <c r="M1019" s="71">
        <f t="shared" ca="1" si="76"/>
        <v>0</v>
      </c>
      <c r="N1019" s="65"/>
    </row>
    <row r="1020" spans="1:14" x14ac:dyDescent="0.25">
      <c r="A1020" s="2">
        <v>1014</v>
      </c>
      <c r="B1020" s="11">
        <f t="shared" ca="1" si="81"/>
        <v>0</v>
      </c>
      <c r="C1020" s="26">
        <f t="shared" ca="1" si="78"/>
        <v>0.51934931820047414</v>
      </c>
      <c r="J1020">
        <f t="shared" ca="1" si="82"/>
        <v>0</v>
      </c>
      <c r="K1020">
        <f t="shared" ca="1" si="83"/>
        <v>0</v>
      </c>
      <c r="L1020" s="65">
        <v>1014</v>
      </c>
      <c r="M1020" s="71">
        <f t="shared" ca="1" si="76"/>
        <v>0</v>
      </c>
      <c r="N1020" s="65"/>
    </row>
    <row r="1021" spans="1:14" x14ac:dyDescent="0.25">
      <c r="A1021" s="2">
        <v>1015</v>
      </c>
      <c r="B1021" s="11">
        <f t="shared" ca="1" si="81"/>
        <v>1</v>
      </c>
      <c r="C1021" s="26">
        <f t="shared" ca="1" si="78"/>
        <v>0.21489788165491619</v>
      </c>
      <c r="J1021">
        <f t="shared" ca="1" si="82"/>
        <v>0</v>
      </c>
      <c r="K1021">
        <f t="shared" ca="1" si="83"/>
        <v>0</v>
      </c>
      <c r="L1021" s="65">
        <v>1015</v>
      </c>
      <c r="M1021" s="71">
        <f t="shared" ca="1" si="76"/>
        <v>3.1543215019189415</v>
      </c>
      <c r="N1021" s="65"/>
    </row>
    <row r="1022" spans="1:14" x14ac:dyDescent="0.25">
      <c r="A1022" s="2">
        <v>1016</v>
      </c>
      <c r="B1022" s="11">
        <f t="shared" ca="1" si="81"/>
        <v>0</v>
      </c>
      <c r="C1022" s="26">
        <f t="shared" ca="1" si="78"/>
        <v>0.89389037845862729</v>
      </c>
      <c r="J1022">
        <f t="shared" ca="1" si="82"/>
        <v>0</v>
      </c>
      <c r="K1022">
        <f t="shared" ca="1" si="83"/>
        <v>0</v>
      </c>
      <c r="L1022" s="65">
        <v>1016</v>
      </c>
      <c r="M1022" s="71">
        <f t="shared" ca="1" si="76"/>
        <v>0</v>
      </c>
      <c r="N1022" s="65"/>
    </row>
    <row r="1023" spans="1:14" x14ac:dyDescent="0.25">
      <c r="A1023" s="2">
        <v>1017</v>
      </c>
      <c r="B1023" s="11">
        <f t="shared" ca="1" si="81"/>
        <v>1</v>
      </c>
      <c r="C1023" s="26">
        <f t="shared" ca="1" si="78"/>
        <v>0.20961711040421804</v>
      </c>
      <c r="J1023">
        <f t="shared" ca="1" si="82"/>
        <v>1</v>
      </c>
      <c r="K1023">
        <f t="shared" ca="1" si="83"/>
        <v>0</v>
      </c>
      <c r="L1023" s="65">
        <v>1017</v>
      </c>
      <c r="M1023" s="71">
        <f t="shared" ca="1" si="76"/>
        <v>2.3869309615733254</v>
      </c>
      <c r="N1023" s="65"/>
    </row>
    <row r="1024" spans="1:14" x14ac:dyDescent="0.25">
      <c r="A1024" s="2">
        <v>1018</v>
      </c>
      <c r="B1024" s="11">
        <f t="shared" ca="1" si="81"/>
        <v>1</v>
      </c>
      <c r="C1024" s="26">
        <f t="shared" ca="1" si="78"/>
        <v>0.41279479379478901</v>
      </c>
      <c r="J1024">
        <f t="shared" ca="1" si="82"/>
        <v>1</v>
      </c>
      <c r="K1024">
        <f t="shared" ca="1" si="83"/>
        <v>0</v>
      </c>
      <c r="L1024" s="65">
        <v>1018</v>
      </c>
      <c r="M1024" s="71">
        <f t="shared" ca="1" si="76"/>
        <v>0.87003782232963922</v>
      </c>
      <c r="N1024" s="65"/>
    </row>
    <row r="1025" spans="1:14" x14ac:dyDescent="0.25">
      <c r="A1025" s="2">
        <v>1019</v>
      </c>
      <c r="B1025" s="11">
        <f t="shared" ca="1" si="81"/>
        <v>1</v>
      </c>
      <c r="C1025" s="26">
        <f t="shared" ca="1" si="78"/>
        <v>0.682148024055237</v>
      </c>
      <c r="J1025">
        <f t="shared" ca="1" si="82"/>
        <v>1</v>
      </c>
      <c r="K1025">
        <f t="shared" ca="1" si="83"/>
        <v>0</v>
      </c>
      <c r="L1025" s="65">
        <v>1019</v>
      </c>
      <c r="M1025" s="71">
        <f t="shared" ca="1" si="76"/>
        <v>1.8858360257229094</v>
      </c>
      <c r="N1025" s="65"/>
    </row>
    <row r="1026" spans="1:14" x14ac:dyDescent="0.25">
      <c r="A1026" s="2">
        <v>1020</v>
      </c>
      <c r="B1026" s="11">
        <f t="shared" ca="1" si="81"/>
        <v>1</v>
      </c>
      <c r="C1026" s="26">
        <f t="shared" ca="1" si="78"/>
        <v>0.20872691665223952</v>
      </c>
      <c r="J1026">
        <f t="shared" ca="1" si="82"/>
        <v>0</v>
      </c>
      <c r="K1026">
        <f t="shared" ca="1" si="83"/>
        <v>0</v>
      </c>
      <c r="L1026" s="65">
        <v>1020</v>
      </c>
      <c r="M1026" s="71">
        <f t="shared" ca="1" si="76"/>
        <v>11.457024132508328</v>
      </c>
      <c r="N1026" s="65"/>
    </row>
    <row r="1027" spans="1:14" x14ac:dyDescent="0.25">
      <c r="A1027" s="2">
        <v>1021</v>
      </c>
      <c r="B1027" s="11">
        <f t="shared" ca="1" si="81"/>
        <v>0</v>
      </c>
      <c r="C1027" s="26">
        <f t="shared" ca="1" si="78"/>
        <v>0.93234964860515168</v>
      </c>
      <c r="J1027">
        <f t="shared" ca="1" si="82"/>
        <v>0</v>
      </c>
      <c r="K1027">
        <f t="shared" ca="1" si="83"/>
        <v>1</v>
      </c>
      <c r="L1027" s="65">
        <v>1021</v>
      </c>
      <c r="M1027" s="71">
        <f t="shared" ca="1" si="76"/>
        <v>0</v>
      </c>
      <c r="N1027" s="65"/>
    </row>
    <row r="1028" spans="1:14" x14ac:dyDescent="0.25">
      <c r="A1028" s="2">
        <v>1022</v>
      </c>
      <c r="B1028" s="11">
        <f t="shared" ca="1" si="81"/>
        <v>0</v>
      </c>
      <c r="C1028" s="26">
        <f t="shared" ca="1" si="78"/>
        <v>0.57905097074374079</v>
      </c>
      <c r="J1028">
        <f t="shared" ca="1" si="82"/>
        <v>0</v>
      </c>
      <c r="K1028">
        <f t="shared" ca="1" si="83"/>
        <v>1</v>
      </c>
      <c r="L1028" s="65">
        <v>1022</v>
      </c>
      <c r="M1028" s="71">
        <f t="shared" ca="1" si="76"/>
        <v>0</v>
      </c>
      <c r="N1028" s="65"/>
    </row>
    <row r="1029" spans="1:14" x14ac:dyDescent="0.25">
      <c r="A1029" s="2">
        <v>1023</v>
      </c>
      <c r="B1029" s="11">
        <f t="shared" ca="1" si="81"/>
        <v>0</v>
      </c>
      <c r="C1029" s="26">
        <f t="shared" ca="1" si="78"/>
        <v>0.56949043130304766</v>
      </c>
      <c r="J1029">
        <f t="shared" ca="1" si="82"/>
        <v>0</v>
      </c>
      <c r="K1029">
        <f t="shared" ca="1" si="83"/>
        <v>1</v>
      </c>
      <c r="L1029" s="65">
        <v>1023</v>
      </c>
      <c r="M1029" s="71">
        <f t="shared" ca="1" si="76"/>
        <v>0</v>
      </c>
      <c r="N1029" s="65"/>
    </row>
    <row r="1030" spans="1:14" x14ac:dyDescent="0.25">
      <c r="A1030" s="2">
        <v>1024</v>
      </c>
      <c r="B1030" s="11">
        <f t="shared" ca="1" si="81"/>
        <v>0</v>
      </c>
      <c r="C1030" s="26">
        <f t="shared" ca="1" si="78"/>
        <v>0.57122638871744036</v>
      </c>
      <c r="J1030">
        <f t="shared" ca="1" si="82"/>
        <v>0</v>
      </c>
      <c r="K1030">
        <f t="shared" ca="1" si="83"/>
        <v>1</v>
      </c>
      <c r="L1030" s="65">
        <v>1024</v>
      </c>
      <c r="M1030" s="71">
        <f t="shared" ca="1" si="76"/>
        <v>0</v>
      </c>
      <c r="N1030" s="65"/>
    </row>
    <row r="1031" spans="1:14" x14ac:dyDescent="0.25">
      <c r="A1031" s="2">
        <v>1025</v>
      </c>
      <c r="B1031" s="11">
        <f t="shared" ca="1" si="81"/>
        <v>0</v>
      </c>
      <c r="C1031" s="26">
        <f t="shared" ca="1" si="78"/>
        <v>0.76080317295454647</v>
      </c>
      <c r="J1031">
        <f t="shared" ca="1" si="82"/>
        <v>0</v>
      </c>
      <c r="K1031">
        <f t="shared" ca="1" si="83"/>
        <v>0</v>
      </c>
      <c r="L1031" s="65">
        <v>1025</v>
      </c>
      <c r="M1031" s="71">
        <f t="shared" ref="M1031:M1094" ca="1" si="84">IF(B1031&gt;0,-LN(1-(RAND()))/lambda,0)</f>
        <v>0</v>
      </c>
      <c r="N1031" s="65"/>
    </row>
    <row r="1032" spans="1:14" x14ac:dyDescent="0.25">
      <c r="A1032" s="2">
        <v>1026</v>
      </c>
      <c r="B1032" s="11">
        <f t="shared" ca="1" si="81"/>
        <v>1</v>
      </c>
      <c r="C1032" s="26">
        <f t="shared" ref="C1032:C1095" ca="1" si="85">RAND()</f>
        <v>0.2092716497551681</v>
      </c>
      <c r="J1032">
        <f t="shared" ca="1" si="82"/>
        <v>1</v>
      </c>
      <c r="K1032">
        <f t="shared" ca="1" si="83"/>
        <v>0</v>
      </c>
      <c r="L1032" s="65">
        <v>1026</v>
      </c>
      <c r="M1032" s="71">
        <f t="shared" ca="1" si="84"/>
        <v>4.6098256421784782</v>
      </c>
      <c r="N1032" s="65"/>
    </row>
    <row r="1033" spans="1:14" x14ac:dyDescent="0.25">
      <c r="A1033" s="2">
        <v>1027</v>
      </c>
      <c r="B1033" s="11">
        <f t="shared" ca="1" si="81"/>
        <v>1</v>
      </c>
      <c r="C1033" s="26">
        <f t="shared" ca="1" si="85"/>
        <v>0.35286703616902471</v>
      </c>
      <c r="J1033">
        <f t="shared" ca="1" si="82"/>
        <v>1</v>
      </c>
      <c r="K1033">
        <f t="shared" ca="1" si="83"/>
        <v>0</v>
      </c>
      <c r="L1033" s="65">
        <v>1027</v>
      </c>
      <c r="M1033" s="71">
        <f t="shared" ca="1" si="84"/>
        <v>3.0693594279832568</v>
      </c>
      <c r="N1033" s="65"/>
    </row>
    <row r="1034" spans="1:14" x14ac:dyDescent="0.25">
      <c r="A1034" s="2">
        <v>1028</v>
      </c>
      <c r="B1034" s="11">
        <f t="shared" ca="1" si="81"/>
        <v>1</v>
      </c>
      <c r="C1034" s="26">
        <f t="shared" ca="1" si="85"/>
        <v>0.47304154355885519</v>
      </c>
      <c r="J1034">
        <f t="shared" ca="1" si="82"/>
        <v>1</v>
      </c>
      <c r="K1034">
        <f t="shared" ca="1" si="83"/>
        <v>0</v>
      </c>
      <c r="L1034" s="65">
        <v>1028</v>
      </c>
      <c r="M1034" s="71">
        <f t="shared" ca="1" si="84"/>
        <v>5.2632026361312478</v>
      </c>
      <c r="N1034" s="65"/>
    </row>
    <row r="1035" spans="1:14" x14ac:dyDescent="0.25">
      <c r="A1035" s="2">
        <v>1029</v>
      </c>
      <c r="B1035" s="11">
        <f t="shared" ca="1" si="81"/>
        <v>1</v>
      </c>
      <c r="C1035" s="26">
        <f t="shared" ca="1" si="85"/>
        <v>0.41114650019520571</v>
      </c>
      <c r="J1035">
        <f t="shared" ca="1" si="82"/>
        <v>1</v>
      </c>
      <c r="K1035">
        <f t="shared" ca="1" si="83"/>
        <v>0</v>
      </c>
      <c r="L1035" s="65">
        <v>1029</v>
      </c>
      <c r="M1035" s="71">
        <f t="shared" ca="1" si="84"/>
        <v>0.14700782870210263</v>
      </c>
      <c r="N1035" s="65"/>
    </row>
    <row r="1036" spans="1:14" x14ac:dyDescent="0.25">
      <c r="A1036" s="2">
        <v>1030</v>
      </c>
      <c r="B1036" s="11">
        <f t="shared" ca="1" si="81"/>
        <v>1</v>
      </c>
      <c r="C1036" s="26">
        <f t="shared" ca="1" si="85"/>
        <v>0.24355455943506343</v>
      </c>
      <c r="J1036">
        <f t="shared" ca="1" si="82"/>
        <v>1</v>
      </c>
      <c r="K1036">
        <f t="shared" ca="1" si="83"/>
        <v>0</v>
      </c>
      <c r="L1036" s="65">
        <v>1030</v>
      </c>
      <c r="M1036" s="71">
        <f t="shared" ca="1" si="84"/>
        <v>3.7112729903297907</v>
      </c>
      <c r="N1036" s="65"/>
    </row>
    <row r="1037" spans="1:14" x14ac:dyDescent="0.25">
      <c r="A1037" s="2">
        <v>1031</v>
      </c>
      <c r="B1037" s="11">
        <f t="shared" ca="1" si="81"/>
        <v>1</v>
      </c>
      <c r="C1037" s="26">
        <f t="shared" ca="1" si="85"/>
        <v>0.23705485242993873</v>
      </c>
      <c r="J1037">
        <f t="shared" ca="1" si="82"/>
        <v>0</v>
      </c>
      <c r="K1037">
        <f t="shared" ca="1" si="83"/>
        <v>0</v>
      </c>
      <c r="L1037" s="65">
        <v>1031</v>
      </c>
      <c r="M1037" s="71">
        <f t="shared" ca="1" si="84"/>
        <v>6.0142364765724841</v>
      </c>
      <c r="N1037" s="65"/>
    </row>
    <row r="1038" spans="1:14" x14ac:dyDescent="0.25">
      <c r="A1038" s="2">
        <v>1032</v>
      </c>
      <c r="B1038" s="11">
        <f t="shared" ca="1" si="81"/>
        <v>0</v>
      </c>
      <c r="C1038" s="26">
        <f t="shared" ca="1" si="85"/>
        <v>0.8035817707317473</v>
      </c>
      <c r="J1038">
        <f t="shared" ca="1" si="82"/>
        <v>0</v>
      </c>
      <c r="K1038">
        <f t="shared" ca="1" si="83"/>
        <v>1</v>
      </c>
      <c r="L1038" s="65">
        <v>1032</v>
      </c>
      <c r="M1038" s="71">
        <f t="shared" ca="1" si="84"/>
        <v>0</v>
      </c>
      <c r="N1038" s="65"/>
    </row>
    <row r="1039" spans="1:14" x14ac:dyDescent="0.25">
      <c r="A1039" s="2">
        <v>1033</v>
      </c>
      <c r="B1039" s="11">
        <f t="shared" ca="1" si="81"/>
        <v>0</v>
      </c>
      <c r="C1039" s="26">
        <f t="shared" ca="1" si="85"/>
        <v>0.48864823268656188</v>
      </c>
      <c r="J1039">
        <f t="shared" ca="1" si="82"/>
        <v>0</v>
      </c>
      <c r="K1039">
        <f t="shared" ca="1" si="83"/>
        <v>1</v>
      </c>
      <c r="L1039" s="65">
        <v>1033</v>
      </c>
      <c r="M1039" s="71">
        <f t="shared" ca="1" si="84"/>
        <v>0</v>
      </c>
      <c r="N1039" s="65"/>
    </row>
    <row r="1040" spans="1:14" x14ac:dyDescent="0.25">
      <c r="A1040" s="2">
        <v>1034</v>
      </c>
      <c r="B1040" s="11">
        <f t="shared" ca="1" si="81"/>
        <v>0</v>
      </c>
      <c r="C1040" s="26">
        <f t="shared" ca="1" si="85"/>
        <v>0.56851558269247193</v>
      </c>
      <c r="J1040">
        <f t="shared" ca="1" si="82"/>
        <v>0</v>
      </c>
      <c r="K1040">
        <f t="shared" ca="1" si="83"/>
        <v>1</v>
      </c>
      <c r="L1040" s="65">
        <v>1034</v>
      </c>
      <c r="M1040" s="71">
        <f t="shared" ca="1" si="84"/>
        <v>0</v>
      </c>
      <c r="N1040" s="65"/>
    </row>
    <row r="1041" spans="1:14" x14ac:dyDescent="0.25">
      <c r="A1041" s="2">
        <v>1035</v>
      </c>
      <c r="B1041" s="11">
        <f t="shared" ca="1" si="81"/>
        <v>0</v>
      </c>
      <c r="C1041" s="26">
        <f t="shared" ca="1" si="85"/>
        <v>0.99891487322653505</v>
      </c>
      <c r="J1041">
        <f t="shared" ca="1" si="82"/>
        <v>0</v>
      </c>
      <c r="K1041">
        <f t="shared" ca="1" si="83"/>
        <v>1</v>
      </c>
      <c r="L1041" s="65">
        <v>1035</v>
      </c>
      <c r="M1041" s="71">
        <f t="shared" ca="1" si="84"/>
        <v>0</v>
      </c>
      <c r="N1041" s="65"/>
    </row>
    <row r="1042" spans="1:14" x14ac:dyDescent="0.25">
      <c r="A1042" s="2">
        <v>1036</v>
      </c>
      <c r="B1042" s="11">
        <f t="shared" ca="1" si="81"/>
        <v>0</v>
      </c>
      <c r="C1042" s="26">
        <f t="shared" ca="1" si="85"/>
        <v>0.9700078174525294</v>
      </c>
      <c r="J1042">
        <f t="shared" ca="1" si="82"/>
        <v>0</v>
      </c>
      <c r="K1042">
        <f t="shared" ca="1" si="83"/>
        <v>0</v>
      </c>
      <c r="L1042" s="65">
        <v>1036</v>
      </c>
      <c r="M1042" s="71">
        <f t="shared" ca="1" si="84"/>
        <v>0</v>
      </c>
      <c r="N1042" s="65"/>
    </row>
    <row r="1043" spans="1:14" x14ac:dyDescent="0.25">
      <c r="A1043" s="2">
        <v>1037</v>
      </c>
      <c r="B1043" s="11">
        <f t="shared" ca="1" si="81"/>
        <v>1</v>
      </c>
      <c r="C1043" s="26">
        <f t="shared" ca="1" si="85"/>
        <v>0.30576795790977085</v>
      </c>
      <c r="J1043">
        <f t="shared" ca="1" si="82"/>
        <v>1</v>
      </c>
      <c r="K1043">
        <f t="shared" ca="1" si="83"/>
        <v>0</v>
      </c>
      <c r="L1043" s="65">
        <v>1037</v>
      </c>
      <c r="M1043" s="71">
        <f t="shared" ca="1" si="84"/>
        <v>7.1626311396325377</v>
      </c>
      <c r="N1043" s="65"/>
    </row>
    <row r="1044" spans="1:14" x14ac:dyDescent="0.25">
      <c r="A1044" s="2">
        <v>1038</v>
      </c>
      <c r="B1044" s="11">
        <f t="shared" ca="1" si="81"/>
        <v>1</v>
      </c>
      <c r="C1044" s="26">
        <f t="shared" ca="1" si="85"/>
        <v>0.69772196978646372</v>
      </c>
      <c r="J1044">
        <f t="shared" ca="1" si="82"/>
        <v>1</v>
      </c>
      <c r="K1044">
        <f t="shared" ca="1" si="83"/>
        <v>0</v>
      </c>
      <c r="L1044" s="65">
        <v>1038</v>
      </c>
      <c r="M1044" s="71">
        <f t="shared" ca="1" si="84"/>
        <v>0.21615047183372157</v>
      </c>
      <c r="N1044" s="65"/>
    </row>
    <row r="1045" spans="1:14" x14ac:dyDescent="0.25">
      <c r="A1045" s="2">
        <v>1039</v>
      </c>
      <c r="B1045" s="11">
        <f t="shared" ca="1" si="81"/>
        <v>1</v>
      </c>
      <c r="C1045" s="26">
        <f t="shared" ca="1" si="85"/>
        <v>0.13214346619738504</v>
      </c>
      <c r="J1045">
        <f t="shared" ca="1" si="82"/>
        <v>1</v>
      </c>
      <c r="K1045">
        <f t="shared" ca="1" si="83"/>
        <v>0</v>
      </c>
      <c r="L1045" s="65">
        <v>1039</v>
      </c>
      <c r="M1045" s="71">
        <f t="shared" ca="1" si="84"/>
        <v>2.2391987786326566</v>
      </c>
      <c r="N1045" s="65"/>
    </row>
    <row r="1046" spans="1:14" x14ac:dyDescent="0.25">
      <c r="A1046" s="2">
        <v>1040</v>
      </c>
      <c r="B1046" s="11">
        <f t="shared" ca="1" si="81"/>
        <v>1</v>
      </c>
      <c r="C1046" s="26">
        <f t="shared" ca="1" si="85"/>
        <v>0.20212883842652229</v>
      </c>
      <c r="J1046">
        <f t="shared" ca="1" si="82"/>
        <v>1</v>
      </c>
      <c r="K1046">
        <f t="shared" ca="1" si="83"/>
        <v>0</v>
      </c>
      <c r="L1046" s="65">
        <v>1040</v>
      </c>
      <c r="M1046" s="71">
        <f t="shared" ca="1" si="84"/>
        <v>0.71660725108601209</v>
      </c>
      <c r="N1046" s="65"/>
    </row>
    <row r="1047" spans="1:14" x14ac:dyDescent="0.25">
      <c r="A1047" s="2">
        <v>1041</v>
      </c>
      <c r="B1047" s="11">
        <f t="shared" ca="1" si="81"/>
        <v>1</v>
      </c>
      <c r="C1047" s="26">
        <f t="shared" ca="1" si="85"/>
        <v>0.10244725971048407</v>
      </c>
      <c r="J1047">
        <f t="shared" ca="1" si="82"/>
        <v>1</v>
      </c>
      <c r="K1047">
        <f t="shared" ca="1" si="83"/>
        <v>0</v>
      </c>
      <c r="L1047" s="65">
        <v>1041</v>
      </c>
      <c r="M1047" s="71">
        <f t="shared" ca="1" si="84"/>
        <v>0.64384725696177381</v>
      </c>
      <c r="N1047" s="65"/>
    </row>
    <row r="1048" spans="1:14" x14ac:dyDescent="0.25">
      <c r="A1048" s="2">
        <v>1042</v>
      </c>
      <c r="B1048" s="11">
        <f t="shared" ca="1" si="81"/>
        <v>1</v>
      </c>
      <c r="C1048" s="26">
        <f t="shared" ca="1" si="85"/>
        <v>0.27591497791191377</v>
      </c>
      <c r="J1048">
        <f t="shared" ca="1" si="82"/>
        <v>1</v>
      </c>
      <c r="K1048">
        <f t="shared" ca="1" si="83"/>
        <v>0</v>
      </c>
      <c r="L1048" s="65">
        <v>1042</v>
      </c>
      <c r="M1048" s="71">
        <f t="shared" ca="1" si="84"/>
        <v>0.20021518136042279</v>
      </c>
      <c r="N1048" s="65"/>
    </row>
    <row r="1049" spans="1:14" x14ac:dyDescent="0.25">
      <c r="A1049" s="2">
        <v>1043</v>
      </c>
      <c r="B1049" s="11">
        <f t="shared" ca="1" si="81"/>
        <v>1</v>
      </c>
      <c r="C1049" s="26">
        <f t="shared" ca="1" si="85"/>
        <v>0.48756337100685876</v>
      </c>
      <c r="J1049">
        <f t="shared" ca="1" si="82"/>
        <v>0</v>
      </c>
      <c r="K1049">
        <f t="shared" ca="1" si="83"/>
        <v>0</v>
      </c>
      <c r="L1049" s="65">
        <v>1043</v>
      </c>
      <c r="M1049" s="71">
        <f t="shared" ca="1" si="84"/>
        <v>0.6986496048622165</v>
      </c>
      <c r="N1049" s="65"/>
    </row>
    <row r="1050" spans="1:14" x14ac:dyDescent="0.25">
      <c r="A1050" s="2">
        <v>1044</v>
      </c>
      <c r="B1050" s="11">
        <f t="shared" ca="1" si="81"/>
        <v>0</v>
      </c>
      <c r="C1050" s="26">
        <f t="shared" ca="1" si="85"/>
        <v>0.95509487721386233</v>
      </c>
      <c r="J1050">
        <f t="shared" ca="1" si="82"/>
        <v>0</v>
      </c>
      <c r="K1050">
        <f t="shared" ca="1" si="83"/>
        <v>1</v>
      </c>
      <c r="L1050" s="65">
        <v>1044</v>
      </c>
      <c r="M1050" s="71">
        <f t="shared" ca="1" si="84"/>
        <v>0</v>
      </c>
      <c r="N1050" s="65"/>
    </row>
    <row r="1051" spans="1:14" x14ac:dyDescent="0.25">
      <c r="A1051" s="2">
        <v>1045</v>
      </c>
      <c r="B1051" s="11">
        <f t="shared" ca="1" si="81"/>
        <v>0</v>
      </c>
      <c r="C1051" s="26">
        <f t="shared" ca="1" si="85"/>
        <v>0.75567274540877694</v>
      </c>
      <c r="J1051">
        <f t="shared" ca="1" si="82"/>
        <v>0</v>
      </c>
      <c r="K1051">
        <f t="shared" ca="1" si="83"/>
        <v>1</v>
      </c>
      <c r="L1051" s="65">
        <v>1045</v>
      </c>
      <c r="M1051" s="71">
        <f t="shared" ca="1" si="84"/>
        <v>0</v>
      </c>
      <c r="N1051" s="65"/>
    </row>
    <row r="1052" spans="1:14" x14ac:dyDescent="0.25">
      <c r="A1052" s="2">
        <v>1046</v>
      </c>
      <c r="B1052" s="11">
        <f t="shared" ca="1" si="81"/>
        <v>0</v>
      </c>
      <c r="C1052" s="26">
        <f t="shared" ca="1" si="85"/>
        <v>0.94280882950006495</v>
      </c>
      <c r="J1052">
        <f t="shared" ca="1" si="82"/>
        <v>0</v>
      </c>
      <c r="K1052">
        <f t="shared" ca="1" si="83"/>
        <v>0</v>
      </c>
      <c r="L1052" s="65">
        <v>1046</v>
      </c>
      <c r="M1052" s="71">
        <f t="shared" ca="1" si="84"/>
        <v>0</v>
      </c>
      <c r="N1052" s="65"/>
    </row>
    <row r="1053" spans="1:14" x14ac:dyDescent="0.25">
      <c r="A1053" s="2">
        <v>1047</v>
      </c>
      <c r="B1053" s="11">
        <f t="shared" ca="1" si="81"/>
        <v>1</v>
      </c>
      <c r="C1053" s="26">
        <f t="shared" ca="1" si="85"/>
        <v>4.754739934228891E-2</v>
      </c>
      <c r="J1053">
        <f t="shared" ca="1" si="82"/>
        <v>1</v>
      </c>
      <c r="K1053">
        <f t="shared" ca="1" si="83"/>
        <v>0</v>
      </c>
      <c r="L1053" s="65">
        <v>1047</v>
      </c>
      <c r="M1053" s="71">
        <f t="shared" ca="1" si="84"/>
        <v>6.9078230860778334</v>
      </c>
      <c r="N1053" s="65"/>
    </row>
    <row r="1054" spans="1:14" x14ac:dyDescent="0.25">
      <c r="A1054" s="2">
        <v>1048</v>
      </c>
      <c r="B1054" s="11">
        <f t="shared" ca="1" si="81"/>
        <v>1</v>
      </c>
      <c r="C1054" s="26">
        <f t="shared" ca="1" si="85"/>
        <v>0.17196502291182414</v>
      </c>
      <c r="J1054">
        <f t="shared" ca="1" si="82"/>
        <v>1</v>
      </c>
      <c r="K1054">
        <f t="shared" ca="1" si="83"/>
        <v>0</v>
      </c>
      <c r="L1054" s="65">
        <v>1048</v>
      </c>
      <c r="M1054" s="71">
        <f t="shared" ca="1" si="84"/>
        <v>3.5324138612045819</v>
      </c>
      <c r="N1054" s="65"/>
    </row>
    <row r="1055" spans="1:14" x14ac:dyDescent="0.25">
      <c r="A1055" s="2">
        <v>1049</v>
      </c>
      <c r="B1055" s="11">
        <f t="shared" ca="1" si="81"/>
        <v>1</v>
      </c>
      <c r="C1055" s="26">
        <f t="shared" ca="1" si="85"/>
        <v>0.26484909544703306</v>
      </c>
      <c r="J1055">
        <f t="shared" ca="1" si="82"/>
        <v>0</v>
      </c>
      <c r="K1055">
        <f t="shared" ca="1" si="83"/>
        <v>0</v>
      </c>
      <c r="L1055" s="65">
        <v>1049</v>
      </c>
      <c r="M1055" s="71">
        <f t="shared" ca="1" si="84"/>
        <v>0.34471398749705251</v>
      </c>
      <c r="N1055" s="65"/>
    </row>
    <row r="1056" spans="1:14" x14ac:dyDescent="0.25">
      <c r="A1056" s="2">
        <v>1050</v>
      </c>
      <c r="B1056" s="11">
        <f t="shared" ca="1" si="81"/>
        <v>0</v>
      </c>
      <c r="C1056" s="26">
        <f t="shared" ca="1" si="85"/>
        <v>0.91036264266799161</v>
      </c>
      <c r="J1056">
        <f t="shared" ca="1" si="82"/>
        <v>0</v>
      </c>
      <c r="K1056">
        <f t="shared" ca="1" si="83"/>
        <v>0</v>
      </c>
      <c r="L1056" s="65">
        <v>1050</v>
      </c>
      <c r="M1056" s="71">
        <f t="shared" ca="1" si="84"/>
        <v>0</v>
      </c>
      <c r="N1056" s="65"/>
    </row>
    <row r="1057" spans="1:14" x14ac:dyDescent="0.25">
      <c r="A1057" s="2">
        <v>1051</v>
      </c>
      <c r="B1057" s="11">
        <f t="shared" ca="1" si="81"/>
        <v>1</v>
      </c>
      <c r="C1057" s="26">
        <f t="shared" ca="1" si="85"/>
        <v>7.5044332041267148E-2</v>
      </c>
      <c r="J1057">
        <f t="shared" ca="1" si="82"/>
        <v>0</v>
      </c>
      <c r="K1057">
        <f t="shared" ca="1" si="83"/>
        <v>0</v>
      </c>
      <c r="L1057" s="65">
        <v>1051</v>
      </c>
      <c r="M1057" s="71">
        <f t="shared" ca="1" si="84"/>
        <v>2.4587749552467146</v>
      </c>
      <c r="N1057" s="65"/>
    </row>
    <row r="1058" spans="1:14" x14ac:dyDescent="0.25">
      <c r="A1058" s="2">
        <v>1052</v>
      </c>
      <c r="B1058" s="11">
        <f t="shared" ca="1" si="81"/>
        <v>0</v>
      </c>
      <c r="C1058" s="26">
        <f t="shared" ca="1" si="85"/>
        <v>0.83665005857914843</v>
      </c>
      <c r="J1058">
        <f t="shared" ca="1" si="82"/>
        <v>0</v>
      </c>
      <c r="K1058">
        <f t="shared" ca="1" si="83"/>
        <v>0</v>
      </c>
      <c r="L1058" s="65">
        <v>1052</v>
      </c>
      <c r="M1058" s="71">
        <f t="shared" ca="1" si="84"/>
        <v>0</v>
      </c>
      <c r="N1058" s="65"/>
    </row>
    <row r="1059" spans="1:14" x14ac:dyDescent="0.25">
      <c r="A1059" s="2">
        <v>1053</v>
      </c>
      <c r="B1059" s="11">
        <f t="shared" ca="1" si="81"/>
        <v>1</v>
      </c>
      <c r="C1059" s="26">
        <f t="shared" ca="1" si="85"/>
        <v>0.14174229988829057</v>
      </c>
      <c r="J1059">
        <f t="shared" ca="1" si="82"/>
        <v>1</v>
      </c>
      <c r="K1059">
        <f t="shared" ca="1" si="83"/>
        <v>0</v>
      </c>
      <c r="L1059" s="65">
        <v>1053</v>
      </c>
      <c r="M1059" s="71">
        <f t="shared" ca="1" si="84"/>
        <v>7.9473723714352396</v>
      </c>
      <c r="N1059" s="65"/>
    </row>
    <row r="1060" spans="1:14" x14ac:dyDescent="0.25">
      <c r="A1060" s="2">
        <v>1054</v>
      </c>
      <c r="B1060" s="11">
        <f t="shared" ca="1" si="81"/>
        <v>1</v>
      </c>
      <c r="C1060" s="26">
        <f t="shared" ca="1" si="85"/>
        <v>0.74441909871627054</v>
      </c>
      <c r="J1060">
        <f t="shared" ca="1" si="82"/>
        <v>0</v>
      </c>
      <c r="K1060">
        <f t="shared" ca="1" si="83"/>
        <v>0</v>
      </c>
      <c r="L1060" s="65">
        <v>1054</v>
      </c>
      <c r="M1060" s="71">
        <f t="shared" ca="1" si="84"/>
        <v>0.52172900013950152</v>
      </c>
      <c r="N1060" s="65"/>
    </row>
    <row r="1061" spans="1:14" x14ac:dyDescent="0.25">
      <c r="A1061" s="2">
        <v>1055</v>
      </c>
      <c r="B1061" s="11">
        <f t="shared" ca="1" si="81"/>
        <v>0</v>
      </c>
      <c r="C1061" s="26">
        <f t="shared" ca="1" si="85"/>
        <v>0.97607666865792797</v>
      </c>
      <c r="J1061">
        <f t="shared" ca="1" si="82"/>
        <v>0</v>
      </c>
      <c r="K1061">
        <f t="shared" ca="1" si="83"/>
        <v>0</v>
      </c>
      <c r="L1061" s="65">
        <v>1055</v>
      </c>
      <c r="M1061" s="71">
        <f t="shared" ca="1" si="84"/>
        <v>0</v>
      </c>
      <c r="N1061" s="65"/>
    </row>
    <row r="1062" spans="1:14" x14ac:dyDescent="0.25">
      <c r="A1062" s="2">
        <v>1056</v>
      </c>
      <c r="B1062" s="11">
        <f t="shared" ca="1" si="81"/>
        <v>1</v>
      </c>
      <c r="C1062" s="26">
        <f t="shared" ca="1" si="85"/>
        <v>6.2420850440973785E-2</v>
      </c>
      <c r="J1062">
        <f t="shared" ca="1" si="82"/>
        <v>1</v>
      </c>
      <c r="K1062">
        <f t="shared" ca="1" si="83"/>
        <v>0</v>
      </c>
      <c r="L1062" s="65">
        <v>1056</v>
      </c>
      <c r="M1062" s="71">
        <f t="shared" ca="1" si="84"/>
        <v>2.0281845707804953</v>
      </c>
      <c r="N1062" s="65"/>
    </row>
    <row r="1063" spans="1:14" x14ac:dyDescent="0.25">
      <c r="A1063" s="2">
        <v>1057</v>
      </c>
      <c r="B1063" s="11">
        <f t="shared" ca="1" si="81"/>
        <v>1</v>
      </c>
      <c r="C1063" s="26">
        <f t="shared" ca="1" si="85"/>
        <v>2.4845445535730093E-2</v>
      </c>
      <c r="J1063">
        <f t="shared" ca="1" si="82"/>
        <v>1</v>
      </c>
      <c r="K1063">
        <f t="shared" ca="1" si="83"/>
        <v>0</v>
      </c>
      <c r="L1063" s="65">
        <v>1057</v>
      </c>
      <c r="M1063" s="71">
        <f t="shared" ca="1" si="84"/>
        <v>1.8342066450368091</v>
      </c>
      <c r="N1063" s="65"/>
    </row>
    <row r="1064" spans="1:14" x14ac:dyDescent="0.25">
      <c r="A1064" s="2">
        <v>1058</v>
      </c>
      <c r="B1064" s="11">
        <f t="shared" ca="1" si="81"/>
        <v>1</v>
      </c>
      <c r="C1064" s="26">
        <f t="shared" ca="1" si="85"/>
        <v>0.5748398543672556</v>
      </c>
      <c r="J1064">
        <f t="shared" ca="1" si="82"/>
        <v>1</v>
      </c>
      <c r="K1064">
        <f t="shared" ca="1" si="83"/>
        <v>0</v>
      </c>
      <c r="L1064" s="65">
        <v>1058</v>
      </c>
      <c r="M1064" s="71">
        <f t="shared" ca="1" si="84"/>
        <v>6.6234935228727227</v>
      </c>
      <c r="N1064" s="65"/>
    </row>
    <row r="1065" spans="1:14" x14ac:dyDescent="0.25">
      <c r="A1065" s="2">
        <v>1059</v>
      </c>
      <c r="B1065" s="11">
        <f t="shared" ca="1" si="81"/>
        <v>1</v>
      </c>
      <c r="C1065" s="26">
        <f t="shared" ca="1" si="85"/>
        <v>0.17018862256750678</v>
      </c>
      <c r="J1065">
        <f t="shared" ca="1" si="82"/>
        <v>1</v>
      </c>
      <c r="K1065">
        <f t="shared" ca="1" si="83"/>
        <v>0</v>
      </c>
      <c r="L1065" s="65">
        <v>1059</v>
      </c>
      <c r="M1065" s="71">
        <f t="shared" ca="1" si="84"/>
        <v>2.3078934170563201</v>
      </c>
      <c r="N1065" s="65"/>
    </row>
    <row r="1066" spans="1:14" x14ac:dyDescent="0.25">
      <c r="A1066" s="2">
        <v>1060</v>
      </c>
      <c r="B1066" s="11">
        <f t="shared" ca="1" si="81"/>
        <v>1</v>
      </c>
      <c r="C1066" s="26">
        <f t="shared" ca="1" si="85"/>
        <v>0.60485086100668339</v>
      </c>
      <c r="J1066">
        <f t="shared" ca="1" si="82"/>
        <v>1</v>
      </c>
      <c r="K1066">
        <f t="shared" ca="1" si="83"/>
        <v>0</v>
      </c>
      <c r="L1066" s="65">
        <v>1060</v>
      </c>
      <c r="M1066" s="71">
        <f t="shared" ca="1" si="84"/>
        <v>3.505636151739127</v>
      </c>
      <c r="N1066" s="65"/>
    </row>
    <row r="1067" spans="1:14" x14ac:dyDescent="0.25">
      <c r="A1067" s="2">
        <v>1061</v>
      </c>
      <c r="B1067" s="11">
        <f t="shared" ca="1" si="81"/>
        <v>1</v>
      </c>
      <c r="C1067" s="26">
        <f t="shared" ca="1" si="85"/>
        <v>6.918360327406714E-2</v>
      </c>
      <c r="J1067">
        <f t="shared" ca="1" si="82"/>
        <v>1</v>
      </c>
      <c r="K1067">
        <f t="shared" ca="1" si="83"/>
        <v>0</v>
      </c>
      <c r="L1067" s="65">
        <v>1061</v>
      </c>
      <c r="M1067" s="71">
        <f t="shared" ca="1" si="84"/>
        <v>0.71207295402641824</v>
      </c>
      <c r="N1067" s="65"/>
    </row>
    <row r="1068" spans="1:14" x14ac:dyDescent="0.25">
      <c r="A1068" s="2">
        <v>1062</v>
      </c>
      <c r="B1068" s="11">
        <f t="shared" ca="1" si="81"/>
        <v>1</v>
      </c>
      <c r="C1068" s="26">
        <f t="shared" ca="1" si="85"/>
        <v>0.14500793976864701</v>
      </c>
      <c r="J1068">
        <f t="shared" ca="1" si="82"/>
        <v>1</v>
      </c>
      <c r="K1068">
        <f t="shared" ca="1" si="83"/>
        <v>0</v>
      </c>
      <c r="L1068" s="65">
        <v>1062</v>
      </c>
      <c r="M1068" s="71">
        <f t="shared" ca="1" si="84"/>
        <v>1.7005156215033739</v>
      </c>
      <c r="N1068" s="65"/>
    </row>
    <row r="1069" spans="1:14" x14ac:dyDescent="0.25">
      <c r="A1069" s="2">
        <v>1063</v>
      </c>
      <c r="B1069" s="11">
        <f t="shared" ca="1" si="81"/>
        <v>1</v>
      </c>
      <c r="C1069" s="26">
        <f t="shared" ca="1" si="85"/>
        <v>0.54654913053327614</v>
      </c>
      <c r="J1069">
        <f t="shared" ca="1" si="82"/>
        <v>1</v>
      </c>
      <c r="K1069">
        <f t="shared" ca="1" si="83"/>
        <v>0</v>
      </c>
      <c r="L1069" s="65">
        <v>1063</v>
      </c>
      <c r="M1069" s="71">
        <f t="shared" ca="1" si="84"/>
        <v>4.6869895287842116</v>
      </c>
      <c r="N1069" s="65"/>
    </row>
    <row r="1070" spans="1:14" x14ac:dyDescent="0.25">
      <c r="A1070" s="2">
        <v>1064</v>
      </c>
      <c r="B1070" s="11">
        <f t="shared" ca="1" si="81"/>
        <v>1</v>
      </c>
      <c r="C1070" s="26">
        <f t="shared" ca="1" si="85"/>
        <v>0.20244969165819637</v>
      </c>
      <c r="J1070">
        <f t="shared" ca="1" si="82"/>
        <v>1</v>
      </c>
      <c r="K1070">
        <f t="shared" ca="1" si="83"/>
        <v>0</v>
      </c>
      <c r="L1070" s="65">
        <v>1064</v>
      </c>
      <c r="M1070" s="71">
        <f t="shared" ca="1" si="84"/>
        <v>0.44785137116725005</v>
      </c>
      <c r="N1070" s="65"/>
    </row>
    <row r="1071" spans="1:14" x14ac:dyDescent="0.25">
      <c r="A1071" s="2">
        <v>1065</v>
      </c>
      <c r="B1071" s="11">
        <f t="shared" ref="B1071:B1134" ca="1" si="86">IF(B1070&gt;0,IF(C1071&lt;pww,1,0),IF(C1071&lt;pdw,1,0))</f>
        <v>1</v>
      </c>
      <c r="C1071" s="26">
        <f t="shared" ca="1" si="85"/>
        <v>4.1464284502011228E-2</v>
      </c>
      <c r="J1071">
        <f t="shared" ref="J1071:J1134" ca="1" si="87">IF(AND(B1071,B1072),1,0)</f>
        <v>1</v>
      </c>
      <c r="K1071">
        <f t="shared" ref="K1071:K1134" ca="1" si="88">IF(AND(NOT(B1071),NOT(B1072)),1,0)</f>
        <v>0</v>
      </c>
      <c r="L1071" s="65">
        <v>1065</v>
      </c>
      <c r="M1071" s="71">
        <f t="shared" ca="1" si="84"/>
        <v>1.1003647308007898</v>
      </c>
      <c r="N1071" s="65"/>
    </row>
    <row r="1072" spans="1:14" x14ac:dyDescent="0.25">
      <c r="A1072" s="2">
        <v>1066</v>
      </c>
      <c r="B1072" s="11">
        <f t="shared" ca="1" si="86"/>
        <v>1</v>
      </c>
      <c r="C1072" s="26">
        <f t="shared" ca="1" si="85"/>
        <v>0.63479841394541592</v>
      </c>
      <c r="J1072">
        <f t="shared" ca="1" si="87"/>
        <v>1</v>
      </c>
      <c r="K1072">
        <f t="shared" ca="1" si="88"/>
        <v>0</v>
      </c>
      <c r="L1072" s="65">
        <v>1066</v>
      </c>
      <c r="M1072" s="71">
        <f t="shared" ca="1" si="84"/>
        <v>11.030974426055575</v>
      </c>
      <c r="N1072" s="65"/>
    </row>
    <row r="1073" spans="1:14" x14ac:dyDescent="0.25">
      <c r="A1073" s="2">
        <v>1067</v>
      </c>
      <c r="B1073" s="11">
        <f t="shared" ca="1" si="86"/>
        <v>1</v>
      </c>
      <c r="C1073" s="26">
        <f t="shared" ca="1" si="85"/>
        <v>0.34829938496458912</v>
      </c>
      <c r="J1073">
        <f t="shared" ca="1" si="87"/>
        <v>1</v>
      </c>
      <c r="K1073">
        <f t="shared" ca="1" si="88"/>
        <v>0</v>
      </c>
      <c r="L1073" s="65">
        <v>1067</v>
      </c>
      <c r="M1073" s="71">
        <f t="shared" ca="1" si="84"/>
        <v>0.13431562689220938</v>
      </c>
      <c r="N1073" s="65"/>
    </row>
    <row r="1074" spans="1:14" x14ac:dyDescent="0.25">
      <c r="A1074" s="2">
        <v>1068</v>
      </c>
      <c r="B1074" s="11">
        <f t="shared" ca="1" si="86"/>
        <v>1</v>
      </c>
      <c r="C1074" s="26">
        <f t="shared" ca="1" si="85"/>
        <v>0.13418727681208764</v>
      </c>
      <c r="J1074">
        <f t="shared" ca="1" si="87"/>
        <v>1</v>
      </c>
      <c r="K1074">
        <f t="shared" ca="1" si="88"/>
        <v>0</v>
      </c>
      <c r="L1074" s="65">
        <v>1068</v>
      </c>
      <c r="M1074" s="71">
        <f t="shared" ca="1" si="84"/>
        <v>0.75445452978174832</v>
      </c>
      <c r="N1074" s="65"/>
    </row>
    <row r="1075" spans="1:14" x14ac:dyDescent="0.25">
      <c r="A1075" s="2">
        <v>1069</v>
      </c>
      <c r="B1075" s="11">
        <f t="shared" ca="1" si="86"/>
        <v>1</v>
      </c>
      <c r="C1075" s="26">
        <f t="shared" ca="1" si="85"/>
        <v>0.47777511054831179</v>
      </c>
      <c r="J1075">
        <f t="shared" ca="1" si="87"/>
        <v>1</v>
      </c>
      <c r="K1075">
        <f t="shared" ca="1" si="88"/>
        <v>0</v>
      </c>
      <c r="L1075" s="65">
        <v>1069</v>
      </c>
      <c r="M1075" s="71">
        <f t="shared" ca="1" si="84"/>
        <v>3.9885482635199923</v>
      </c>
      <c r="N1075" s="65"/>
    </row>
    <row r="1076" spans="1:14" x14ac:dyDescent="0.25">
      <c r="A1076" s="2">
        <v>1070</v>
      </c>
      <c r="B1076" s="11">
        <f t="shared" ca="1" si="86"/>
        <v>1</v>
      </c>
      <c r="C1076" s="26">
        <f t="shared" ca="1" si="85"/>
        <v>0.29594056518548451</v>
      </c>
      <c r="J1076">
        <f t="shared" ca="1" si="87"/>
        <v>1</v>
      </c>
      <c r="K1076">
        <f t="shared" ca="1" si="88"/>
        <v>0</v>
      </c>
      <c r="L1076" s="65">
        <v>1070</v>
      </c>
      <c r="M1076" s="71">
        <f t="shared" ca="1" si="84"/>
        <v>2.4009435679380515</v>
      </c>
      <c r="N1076" s="65"/>
    </row>
    <row r="1077" spans="1:14" x14ac:dyDescent="0.25">
      <c r="A1077" s="2">
        <v>1071</v>
      </c>
      <c r="B1077" s="11">
        <f t="shared" ca="1" si="86"/>
        <v>1</v>
      </c>
      <c r="C1077" s="26">
        <f t="shared" ca="1" si="85"/>
        <v>0.63369280734380851</v>
      </c>
      <c r="J1077">
        <f t="shared" ca="1" si="87"/>
        <v>0</v>
      </c>
      <c r="K1077">
        <f t="shared" ca="1" si="88"/>
        <v>0</v>
      </c>
      <c r="L1077" s="65">
        <v>1071</v>
      </c>
      <c r="M1077" s="71">
        <f t="shared" ca="1" si="84"/>
        <v>2.3444840699944551</v>
      </c>
      <c r="N1077" s="65"/>
    </row>
    <row r="1078" spans="1:14" x14ac:dyDescent="0.25">
      <c r="A1078" s="2">
        <v>1072</v>
      </c>
      <c r="B1078" s="11">
        <f t="shared" ca="1" si="86"/>
        <v>0</v>
      </c>
      <c r="C1078" s="26">
        <f t="shared" ca="1" si="85"/>
        <v>0.9971476779914713</v>
      </c>
      <c r="J1078">
        <f t="shared" ca="1" si="87"/>
        <v>0</v>
      </c>
      <c r="K1078">
        <f t="shared" ca="1" si="88"/>
        <v>1</v>
      </c>
      <c r="L1078" s="65">
        <v>1072</v>
      </c>
      <c r="M1078" s="71">
        <f t="shared" ca="1" si="84"/>
        <v>0</v>
      </c>
      <c r="N1078" s="65"/>
    </row>
    <row r="1079" spans="1:14" x14ac:dyDescent="0.25">
      <c r="A1079" s="2">
        <v>1073</v>
      </c>
      <c r="B1079" s="11">
        <f t="shared" ca="1" si="86"/>
        <v>0</v>
      </c>
      <c r="C1079" s="26">
        <f t="shared" ca="1" si="85"/>
        <v>0.73933372787628548</v>
      </c>
      <c r="J1079">
        <f t="shared" ca="1" si="87"/>
        <v>0</v>
      </c>
      <c r="K1079">
        <f t="shared" ca="1" si="88"/>
        <v>0</v>
      </c>
      <c r="L1079" s="65">
        <v>1073</v>
      </c>
      <c r="M1079" s="71">
        <f t="shared" ca="1" si="84"/>
        <v>0</v>
      </c>
      <c r="N1079" s="65"/>
    </row>
    <row r="1080" spans="1:14" x14ac:dyDescent="0.25">
      <c r="A1080" s="2">
        <v>1074</v>
      </c>
      <c r="B1080" s="11">
        <f t="shared" ca="1" si="86"/>
        <v>1</v>
      </c>
      <c r="C1080" s="26">
        <f t="shared" ca="1" si="85"/>
        <v>0.27824236847304418</v>
      </c>
      <c r="J1080">
        <f t="shared" ca="1" si="87"/>
        <v>1</v>
      </c>
      <c r="K1080">
        <f t="shared" ca="1" si="88"/>
        <v>0</v>
      </c>
      <c r="L1080" s="65">
        <v>1074</v>
      </c>
      <c r="M1080" s="71">
        <f t="shared" ca="1" si="84"/>
        <v>4.2196313598210109</v>
      </c>
      <c r="N1080" s="65"/>
    </row>
    <row r="1081" spans="1:14" x14ac:dyDescent="0.25">
      <c r="A1081" s="2">
        <v>1075</v>
      </c>
      <c r="B1081" s="11">
        <f t="shared" ca="1" si="86"/>
        <v>1</v>
      </c>
      <c r="C1081" s="26">
        <f t="shared" ca="1" si="85"/>
        <v>0.44990286228596987</v>
      </c>
      <c r="J1081">
        <f t="shared" ca="1" si="87"/>
        <v>0</v>
      </c>
      <c r="K1081">
        <f t="shared" ca="1" si="88"/>
        <v>0</v>
      </c>
      <c r="L1081" s="65">
        <v>1075</v>
      </c>
      <c r="M1081" s="71">
        <f t="shared" ca="1" si="84"/>
        <v>1.6162076111104131</v>
      </c>
      <c r="N1081" s="65"/>
    </row>
    <row r="1082" spans="1:14" x14ac:dyDescent="0.25">
      <c r="A1082" s="2">
        <v>1076</v>
      </c>
      <c r="B1082" s="11">
        <f t="shared" ca="1" si="86"/>
        <v>0</v>
      </c>
      <c r="C1082" s="26">
        <f t="shared" ca="1" si="85"/>
        <v>0.79402356023590159</v>
      </c>
      <c r="J1082">
        <f t="shared" ca="1" si="87"/>
        <v>0</v>
      </c>
      <c r="K1082">
        <f t="shared" ca="1" si="88"/>
        <v>1</v>
      </c>
      <c r="L1082" s="65">
        <v>1076</v>
      </c>
      <c r="M1082" s="71">
        <f t="shared" ca="1" si="84"/>
        <v>0</v>
      </c>
      <c r="N1082" s="65"/>
    </row>
    <row r="1083" spans="1:14" x14ac:dyDescent="0.25">
      <c r="A1083" s="2">
        <v>1077</v>
      </c>
      <c r="B1083" s="11">
        <f t="shared" ca="1" si="86"/>
        <v>0</v>
      </c>
      <c r="C1083" s="26">
        <f t="shared" ca="1" si="85"/>
        <v>0.95646054013110693</v>
      </c>
      <c r="J1083">
        <f t="shared" ca="1" si="87"/>
        <v>0</v>
      </c>
      <c r="K1083">
        <f t="shared" ca="1" si="88"/>
        <v>0</v>
      </c>
      <c r="L1083" s="65">
        <v>1077</v>
      </c>
      <c r="M1083" s="71">
        <f t="shared" ca="1" si="84"/>
        <v>0</v>
      </c>
      <c r="N1083" s="65"/>
    </row>
    <row r="1084" spans="1:14" x14ac:dyDescent="0.25">
      <c r="A1084" s="2">
        <v>1078</v>
      </c>
      <c r="B1084" s="11">
        <f t="shared" ca="1" si="86"/>
        <v>1</v>
      </c>
      <c r="C1084" s="26">
        <f t="shared" ca="1" si="85"/>
        <v>0.36837757895869372</v>
      </c>
      <c r="J1084">
        <f t="shared" ca="1" si="87"/>
        <v>0</v>
      </c>
      <c r="K1084">
        <f t="shared" ca="1" si="88"/>
        <v>0</v>
      </c>
      <c r="L1084" s="65">
        <v>1078</v>
      </c>
      <c r="M1084" s="71">
        <f t="shared" ca="1" si="84"/>
        <v>0.83592470748837722</v>
      </c>
      <c r="N1084" s="65"/>
    </row>
    <row r="1085" spans="1:14" x14ac:dyDescent="0.25">
      <c r="A1085" s="2">
        <v>1079</v>
      </c>
      <c r="B1085" s="11">
        <f t="shared" ca="1" si="86"/>
        <v>0</v>
      </c>
      <c r="C1085" s="26">
        <f t="shared" ca="1" si="85"/>
        <v>0.98180829002781767</v>
      </c>
      <c r="J1085">
        <f t="shared" ca="1" si="87"/>
        <v>0</v>
      </c>
      <c r="K1085">
        <f t="shared" ca="1" si="88"/>
        <v>0</v>
      </c>
      <c r="L1085" s="65">
        <v>1079</v>
      </c>
      <c r="M1085" s="71">
        <f t="shared" ca="1" si="84"/>
        <v>0</v>
      </c>
      <c r="N1085" s="65"/>
    </row>
    <row r="1086" spans="1:14" x14ac:dyDescent="0.25">
      <c r="A1086" s="2">
        <v>1080</v>
      </c>
      <c r="B1086" s="11">
        <f t="shared" ca="1" si="86"/>
        <v>1</v>
      </c>
      <c r="C1086" s="26">
        <f t="shared" ca="1" si="85"/>
        <v>0.28661015952622138</v>
      </c>
      <c r="J1086">
        <f t="shared" ca="1" si="87"/>
        <v>1</v>
      </c>
      <c r="K1086">
        <f t="shared" ca="1" si="88"/>
        <v>0</v>
      </c>
      <c r="L1086" s="65">
        <v>1080</v>
      </c>
      <c r="M1086" s="71">
        <f t="shared" ca="1" si="84"/>
        <v>7.4170653671227535</v>
      </c>
      <c r="N1086" s="65"/>
    </row>
    <row r="1087" spans="1:14" x14ac:dyDescent="0.25">
      <c r="A1087" s="2">
        <v>1081</v>
      </c>
      <c r="B1087" s="11">
        <f t="shared" ca="1" si="86"/>
        <v>1</v>
      </c>
      <c r="C1087" s="26">
        <f t="shared" ca="1" si="85"/>
        <v>0.104747888950666</v>
      </c>
      <c r="J1087">
        <f t="shared" ca="1" si="87"/>
        <v>1</v>
      </c>
      <c r="K1087">
        <f t="shared" ca="1" si="88"/>
        <v>0</v>
      </c>
      <c r="L1087" s="65">
        <v>1081</v>
      </c>
      <c r="M1087" s="71">
        <f t="shared" ca="1" si="84"/>
        <v>4.4689549871705996</v>
      </c>
      <c r="N1087" s="65"/>
    </row>
    <row r="1088" spans="1:14" x14ac:dyDescent="0.25">
      <c r="A1088" s="2">
        <v>1082</v>
      </c>
      <c r="B1088" s="11">
        <f t="shared" ca="1" si="86"/>
        <v>1</v>
      </c>
      <c r="C1088" s="26">
        <f t="shared" ca="1" si="85"/>
        <v>0.19449395192231733</v>
      </c>
      <c r="J1088">
        <f t="shared" ca="1" si="87"/>
        <v>1</v>
      </c>
      <c r="K1088">
        <f t="shared" ca="1" si="88"/>
        <v>0</v>
      </c>
      <c r="L1088" s="65">
        <v>1082</v>
      </c>
      <c r="M1088" s="71">
        <f t="shared" ca="1" si="84"/>
        <v>0.13520654347828037</v>
      </c>
      <c r="N1088" s="65"/>
    </row>
    <row r="1089" spans="1:14" x14ac:dyDescent="0.25">
      <c r="A1089" s="2">
        <v>1083</v>
      </c>
      <c r="B1089" s="11">
        <f t="shared" ca="1" si="86"/>
        <v>1</v>
      </c>
      <c r="C1089" s="26">
        <f t="shared" ca="1" si="85"/>
        <v>0.36641939755574104</v>
      </c>
      <c r="J1089">
        <f t="shared" ca="1" si="87"/>
        <v>1</v>
      </c>
      <c r="K1089">
        <f t="shared" ca="1" si="88"/>
        <v>0</v>
      </c>
      <c r="L1089" s="65">
        <v>1083</v>
      </c>
      <c r="M1089" s="71">
        <f t="shared" ca="1" si="84"/>
        <v>0.92490574231453548</v>
      </c>
      <c r="N1089" s="65"/>
    </row>
    <row r="1090" spans="1:14" x14ac:dyDescent="0.25">
      <c r="A1090" s="2">
        <v>1084</v>
      </c>
      <c r="B1090" s="11">
        <f t="shared" ca="1" si="86"/>
        <v>1</v>
      </c>
      <c r="C1090" s="26">
        <f t="shared" ca="1" si="85"/>
        <v>0.30155359764827339</v>
      </c>
      <c r="J1090">
        <f t="shared" ca="1" si="87"/>
        <v>1</v>
      </c>
      <c r="K1090">
        <f t="shared" ca="1" si="88"/>
        <v>0</v>
      </c>
      <c r="L1090" s="65">
        <v>1084</v>
      </c>
      <c r="M1090" s="71">
        <f t="shared" ca="1" si="84"/>
        <v>3.456465582288812</v>
      </c>
      <c r="N1090" s="65"/>
    </row>
    <row r="1091" spans="1:14" x14ac:dyDescent="0.25">
      <c r="A1091" s="2">
        <v>1085</v>
      </c>
      <c r="B1091" s="11">
        <f t="shared" ca="1" si="86"/>
        <v>1</v>
      </c>
      <c r="C1091" s="26">
        <f t="shared" ca="1" si="85"/>
        <v>0.25625862778892239</v>
      </c>
      <c r="J1091">
        <f t="shared" ca="1" si="87"/>
        <v>1</v>
      </c>
      <c r="K1091">
        <f t="shared" ca="1" si="88"/>
        <v>0</v>
      </c>
      <c r="L1091" s="65">
        <v>1085</v>
      </c>
      <c r="M1091" s="71">
        <f t="shared" ca="1" si="84"/>
        <v>0.11175578113666085</v>
      </c>
      <c r="N1091" s="65"/>
    </row>
    <row r="1092" spans="1:14" x14ac:dyDescent="0.25">
      <c r="A1092" s="2">
        <v>1086</v>
      </c>
      <c r="B1092" s="11">
        <f t="shared" ca="1" si="86"/>
        <v>1</v>
      </c>
      <c r="C1092" s="26">
        <f t="shared" ca="1" si="85"/>
        <v>0.64384425412723478</v>
      </c>
      <c r="J1092">
        <f t="shared" ca="1" si="87"/>
        <v>1</v>
      </c>
      <c r="K1092">
        <f t="shared" ca="1" si="88"/>
        <v>0</v>
      </c>
      <c r="L1092" s="65">
        <v>1086</v>
      </c>
      <c r="M1092" s="71">
        <f t="shared" ca="1" si="84"/>
        <v>1.4467457608416692</v>
      </c>
      <c r="N1092" s="65"/>
    </row>
    <row r="1093" spans="1:14" x14ac:dyDescent="0.25">
      <c r="A1093" s="2">
        <v>1087</v>
      </c>
      <c r="B1093" s="11">
        <f t="shared" ca="1" si="86"/>
        <v>1</v>
      </c>
      <c r="C1093" s="26">
        <f t="shared" ca="1" si="85"/>
        <v>7.4197367411185655E-2</v>
      </c>
      <c r="J1093">
        <f t="shared" ca="1" si="87"/>
        <v>1</v>
      </c>
      <c r="K1093">
        <f t="shared" ca="1" si="88"/>
        <v>0</v>
      </c>
      <c r="L1093" s="65">
        <v>1087</v>
      </c>
      <c r="M1093" s="71">
        <f t="shared" ca="1" si="84"/>
        <v>1.7934910686606249</v>
      </c>
      <c r="N1093" s="65"/>
    </row>
    <row r="1094" spans="1:14" x14ac:dyDescent="0.25">
      <c r="A1094" s="2">
        <v>1088</v>
      </c>
      <c r="B1094" s="11">
        <f t="shared" ca="1" si="86"/>
        <v>1</v>
      </c>
      <c r="C1094" s="26">
        <f t="shared" ca="1" si="85"/>
        <v>0.21146337566149975</v>
      </c>
      <c r="J1094">
        <f t="shared" ca="1" si="87"/>
        <v>1</v>
      </c>
      <c r="K1094">
        <f t="shared" ca="1" si="88"/>
        <v>0</v>
      </c>
      <c r="L1094" s="65">
        <v>1088</v>
      </c>
      <c r="M1094" s="71">
        <f t="shared" ca="1" si="84"/>
        <v>1.2559438199015942</v>
      </c>
      <c r="N1094" s="65"/>
    </row>
    <row r="1095" spans="1:14" x14ac:dyDescent="0.25">
      <c r="A1095" s="2">
        <v>1089</v>
      </c>
      <c r="B1095" s="11">
        <f t="shared" ca="1" si="86"/>
        <v>1</v>
      </c>
      <c r="C1095" s="26">
        <f t="shared" ca="1" si="85"/>
        <v>0.22841263736804462</v>
      </c>
      <c r="J1095">
        <f t="shared" ca="1" si="87"/>
        <v>1</v>
      </c>
      <c r="K1095">
        <f t="shared" ca="1" si="88"/>
        <v>0</v>
      </c>
      <c r="L1095" s="65">
        <v>1089</v>
      </c>
      <c r="M1095" s="71">
        <f t="shared" ref="M1095:M1158" ca="1" si="89">IF(B1095&gt;0,-LN(1-(RAND()))/lambda,0)</f>
        <v>2.7019120590580976</v>
      </c>
      <c r="N1095" s="65"/>
    </row>
    <row r="1096" spans="1:14" x14ac:dyDescent="0.25">
      <c r="A1096" s="2">
        <v>1090</v>
      </c>
      <c r="B1096" s="11">
        <f t="shared" ca="1" si="86"/>
        <v>1</v>
      </c>
      <c r="C1096" s="26">
        <f t="shared" ref="C1096:C1159" ca="1" si="90">RAND()</f>
        <v>0.38432014609665055</v>
      </c>
      <c r="J1096">
        <f t="shared" ca="1" si="87"/>
        <v>0</v>
      </c>
      <c r="K1096">
        <f t="shared" ca="1" si="88"/>
        <v>0</v>
      </c>
      <c r="L1096" s="65">
        <v>1090</v>
      </c>
      <c r="M1096" s="71">
        <f t="shared" ca="1" si="89"/>
        <v>0.1331802633213659</v>
      </c>
      <c r="N1096" s="65"/>
    </row>
    <row r="1097" spans="1:14" x14ac:dyDescent="0.25">
      <c r="A1097" s="2">
        <v>1091</v>
      </c>
      <c r="B1097" s="11">
        <f t="shared" ca="1" si="86"/>
        <v>0</v>
      </c>
      <c r="C1097" s="26">
        <f t="shared" ca="1" si="90"/>
        <v>0.92524920876193084</v>
      </c>
      <c r="J1097">
        <f t="shared" ca="1" si="87"/>
        <v>0</v>
      </c>
      <c r="K1097">
        <f t="shared" ca="1" si="88"/>
        <v>1</v>
      </c>
      <c r="L1097" s="65">
        <v>1091</v>
      </c>
      <c r="M1097" s="71">
        <f t="shared" ca="1" si="89"/>
        <v>0</v>
      </c>
      <c r="N1097" s="65"/>
    </row>
    <row r="1098" spans="1:14" x14ac:dyDescent="0.25">
      <c r="A1098" s="2">
        <v>1092</v>
      </c>
      <c r="B1098" s="11">
        <f t="shared" ca="1" si="86"/>
        <v>0</v>
      </c>
      <c r="C1098" s="26">
        <f t="shared" ca="1" si="90"/>
        <v>0.50200238117338492</v>
      </c>
      <c r="J1098">
        <f t="shared" ca="1" si="87"/>
        <v>0</v>
      </c>
      <c r="K1098">
        <f t="shared" ca="1" si="88"/>
        <v>1</v>
      </c>
      <c r="L1098" s="65">
        <v>1092</v>
      </c>
      <c r="M1098" s="71">
        <f t="shared" ca="1" si="89"/>
        <v>0</v>
      </c>
      <c r="N1098" s="65"/>
    </row>
    <row r="1099" spans="1:14" x14ac:dyDescent="0.25">
      <c r="A1099" s="2">
        <v>1093</v>
      </c>
      <c r="B1099" s="11">
        <f t="shared" ca="1" si="86"/>
        <v>0</v>
      </c>
      <c r="C1099" s="26">
        <f t="shared" ca="1" si="90"/>
        <v>0.96113151544906006</v>
      </c>
      <c r="J1099">
        <f t="shared" ca="1" si="87"/>
        <v>0</v>
      </c>
      <c r="K1099">
        <f t="shared" ca="1" si="88"/>
        <v>1</v>
      </c>
      <c r="L1099" s="65">
        <v>1093</v>
      </c>
      <c r="M1099" s="71">
        <f t="shared" ca="1" si="89"/>
        <v>0</v>
      </c>
      <c r="N1099" s="65"/>
    </row>
    <row r="1100" spans="1:14" x14ac:dyDescent="0.25">
      <c r="A1100" s="2">
        <v>1094</v>
      </c>
      <c r="B1100" s="11">
        <f t="shared" ca="1" si="86"/>
        <v>0</v>
      </c>
      <c r="C1100" s="26">
        <f t="shared" ca="1" si="90"/>
        <v>0.85743105156345367</v>
      </c>
      <c r="J1100">
        <f t="shared" ca="1" si="87"/>
        <v>0</v>
      </c>
      <c r="K1100">
        <f t="shared" ca="1" si="88"/>
        <v>1</v>
      </c>
      <c r="L1100" s="65">
        <v>1094</v>
      </c>
      <c r="M1100" s="71">
        <f t="shared" ca="1" si="89"/>
        <v>0</v>
      </c>
      <c r="N1100" s="65"/>
    </row>
    <row r="1101" spans="1:14" x14ac:dyDescent="0.25">
      <c r="A1101" s="2">
        <v>1095</v>
      </c>
      <c r="B1101" s="11">
        <f t="shared" ca="1" si="86"/>
        <v>0</v>
      </c>
      <c r="C1101" s="26">
        <f t="shared" ca="1" si="90"/>
        <v>0.79740293583556887</v>
      </c>
      <c r="J1101">
        <f t="shared" ca="1" si="87"/>
        <v>0</v>
      </c>
      <c r="K1101">
        <f t="shared" ca="1" si="88"/>
        <v>1</v>
      </c>
      <c r="L1101" s="65">
        <v>1095</v>
      </c>
      <c r="M1101" s="71">
        <f t="shared" ca="1" si="89"/>
        <v>0</v>
      </c>
      <c r="N1101" s="65"/>
    </row>
    <row r="1102" spans="1:14" x14ac:dyDescent="0.25">
      <c r="A1102" s="2">
        <v>1096</v>
      </c>
      <c r="B1102" s="11">
        <f t="shared" ca="1" si="86"/>
        <v>0</v>
      </c>
      <c r="C1102" s="26">
        <f t="shared" ca="1" si="90"/>
        <v>0.85815116257322921</v>
      </c>
      <c r="J1102">
        <f t="shared" ca="1" si="87"/>
        <v>0</v>
      </c>
      <c r="K1102">
        <f t="shared" ca="1" si="88"/>
        <v>1</v>
      </c>
      <c r="L1102" s="65">
        <v>1096</v>
      </c>
      <c r="M1102" s="71">
        <f t="shared" ca="1" si="89"/>
        <v>0</v>
      </c>
      <c r="N1102" s="65"/>
    </row>
    <row r="1103" spans="1:14" x14ac:dyDescent="0.25">
      <c r="A1103" s="2">
        <v>1097</v>
      </c>
      <c r="B1103" s="11">
        <f t="shared" ca="1" si="86"/>
        <v>0</v>
      </c>
      <c r="C1103" s="26">
        <f t="shared" ca="1" si="90"/>
        <v>0.81882649127556062</v>
      </c>
      <c r="J1103">
        <f t="shared" ca="1" si="87"/>
        <v>0</v>
      </c>
      <c r="K1103">
        <f t="shared" ca="1" si="88"/>
        <v>1</v>
      </c>
      <c r="L1103" s="65">
        <v>1097</v>
      </c>
      <c r="M1103" s="71">
        <f t="shared" ca="1" si="89"/>
        <v>0</v>
      </c>
      <c r="N1103" s="65"/>
    </row>
    <row r="1104" spans="1:14" x14ac:dyDescent="0.25">
      <c r="A1104" s="2">
        <v>1098</v>
      </c>
      <c r="B1104" s="11">
        <f t="shared" ca="1" si="86"/>
        <v>0</v>
      </c>
      <c r="C1104" s="26">
        <f t="shared" ca="1" si="90"/>
        <v>0.73894028259405642</v>
      </c>
      <c r="J1104">
        <f t="shared" ca="1" si="87"/>
        <v>0</v>
      </c>
      <c r="K1104">
        <f t="shared" ca="1" si="88"/>
        <v>1</v>
      </c>
      <c r="L1104" s="65">
        <v>1098</v>
      </c>
      <c r="M1104" s="71">
        <f t="shared" ca="1" si="89"/>
        <v>0</v>
      </c>
      <c r="N1104" s="65"/>
    </row>
    <row r="1105" spans="1:14" x14ac:dyDescent="0.25">
      <c r="A1105" s="2">
        <v>1099</v>
      </c>
      <c r="B1105" s="11">
        <f t="shared" ca="1" si="86"/>
        <v>0</v>
      </c>
      <c r="C1105" s="26">
        <f t="shared" ca="1" si="90"/>
        <v>0.87649979095342745</v>
      </c>
      <c r="J1105">
        <f t="shared" ca="1" si="87"/>
        <v>0</v>
      </c>
      <c r="K1105">
        <f t="shared" ca="1" si="88"/>
        <v>1</v>
      </c>
      <c r="L1105" s="65">
        <v>1099</v>
      </c>
      <c r="M1105" s="71">
        <f t="shared" ca="1" si="89"/>
        <v>0</v>
      </c>
      <c r="N1105" s="65"/>
    </row>
    <row r="1106" spans="1:14" x14ac:dyDescent="0.25">
      <c r="A1106" s="2">
        <v>1100</v>
      </c>
      <c r="B1106" s="11">
        <f t="shared" ca="1" si="86"/>
        <v>0</v>
      </c>
      <c r="C1106" s="26">
        <f t="shared" ca="1" si="90"/>
        <v>0.50313361525927625</v>
      </c>
      <c r="J1106">
        <f t="shared" ca="1" si="87"/>
        <v>0</v>
      </c>
      <c r="K1106">
        <f t="shared" ca="1" si="88"/>
        <v>0</v>
      </c>
      <c r="L1106" s="65">
        <v>1100</v>
      </c>
      <c r="M1106" s="71">
        <f t="shared" ca="1" si="89"/>
        <v>0</v>
      </c>
      <c r="N1106" s="65"/>
    </row>
    <row r="1107" spans="1:14" x14ac:dyDescent="0.25">
      <c r="A1107" s="2">
        <v>1101</v>
      </c>
      <c r="B1107" s="11">
        <f t="shared" ca="1" si="86"/>
        <v>1</v>
      </c>
      <c r="C1107" s="26">
        <f t="shared" ca="1" si="90"/>
        <v>0.10776555470316473</v>
      </c>
      <c r="J1107">
        <f t="shared" ca="1" si="87"/>
        <v>1</v>
      </c>
      <c r="K1107">
        <f t="shared" ca="1" si="88"/>
        <v>0</v>
      </c>
      <c r="L1107" s="65">
        <v>1101</v>
      </c>
      <c r="M1107" s="71">
        <f t="shared" ca="1" si="89"/>
        <v>2.7269767329983914</v>
      </c>
      <c r="N1107" s="65"/>
    </row>
    <row r="1108" spans="1:14" x14ac:dyDescent="0.25">
      <c r="A1108" s="2">
        <v>1102</v>
      </c>
      <c r="B1108" s="11">
        <f t="shared" ca="1" si="86"/>
        <v>1</v>
      </c>
      <c r="C1108" s="26">
        <f t="shared" ca="1" si="90"/>
        <v>1.9936239379174547E-2</v>
      </c>
      <c r="J1108">
        <f t="shared" ca="1" si="87"/>
        <v>1</v>
      </c>
      <c r="K1108">
        <f t="shared" ca="1" si="88"/>
        <v>0</v>
      </c>
      <c r="L1108" s="65">
        <v>1102</v>
      </c>
      <c r="M1108" s="71">
        <f t="shared" ca="1" si="89"/>
        <v>9.7242788633215893E-2</v>
      </c>
      <c r="N1108" s="65"/>
    </row>
    <row r="1109" spans="1:14" x14ac:dyDescent="0.25">
      <c r="A1109" s="2">
        <v>1103</v>
      </c>
      <c r="B1109" s="11">
        <f t="shared" ca="1" si="86"/>
        <v>1</v>
      </c>
      <c r="C1109" s="26">
        <f t="shared" ca="1" si="90"/>
        <v>0.38198927586981979</v>
      </c>
      <c r="J1109">
        <f t="shared" ca="1" si="87"/>
        <v>0</v>
      </c>
      <c r="K1109">
        <f t="shared" ca="1" si="88"/>
        <v>0</v>
      </c>
      <c r="L1109" s="65">
        <v>1103</v>
      </c>
      <c r="M1109" s="71">
        <f t="shared" ca="1" si="89"/>
        <v>4.5866869126042289</v>
      </c>
      <c r="N1109" s="65"/>
    </row>
    <row r="1110" spans="1:14" x14ac:dyDescent="0.25">
      <c r="A1110" s="2">
        <v>1104</v>
      </c>
      <c r="B1110" s="11">
        <f t="shared" ca="1" si="86"/>
        <v>0</v>
      </c>
      <c r="C1110" s="26">
        <f t="shared" ca="1" si="90"/>
        <v>0.89521434706459302</v>
      </c>
      <c r="J1110">
        <f t="shared" ca="1" si="87"/>
        <v>0</v>
      </c>
      <c r="K1110">
        <f t="shared" ca="1" si="88"/>
        <v>0</v>
      </c>
      <c r="L1110" s="65">
        <v>1104</v>
      </c>
      <c r="M1110" s="71">
        <f t="shared" ca="1" si="89"/>
        <v>0</v>
      </c>
      <c r="N1110" s="65"/>
    </row>
    <row r="1111" spans="1:14" x14ac:dyDescent="0.25">
      <c r="A1111" s="2">
        <v>1105</v>
      </c>
      <c r="B1111" s="11">
        <f t="shared" ca="1" si="86"/>
        <v>1</v>
      </c>
      <c r="C1111" s="26">
        <f t="shared" ca="1" si="90"/>
        <v>0.21210492545449611</v>
      </c>
      <c r="J1111">
        <f t="shared" ca="1" si="87"/>
        <v>1</v>
      </c>
      <c r="K1111">
        <f t="shared" ca="1" si="88"/>
        <v>0</v>
      </c>
      <c r="L1111" s="65">
        <v>1105</v>
      </c>
      <c r="M1111" s="71">
        <f t="shared" ca="1" si="89"/>
        <v>9.8919614084750265</v>
      </c>
      <c r="N1111" s="65"/>
    </row>
    <row r="1112" spans="1:14" x14ac:dyDescent="0.25">
      <c r="A1112" s="2">
        <v>1106</v>
      </c>
      <c r="B1112" s="11">
        <f t="shared" ca="1" si="86"/>
        <v>1</v>
      </c>
      <c r="C1112" s="26">
        <f t="shared" ca="1" si="90"/>
        <v>0.70113667280066772</v>
      </c>
      <c r="J1112">
        <f t="shared" ca="1" si="87"/>
        <v>0</v>
      </c>
      <c r="K1112">
        <f t="shared" ca="1" si="88"/>
        <v>0</v>
      </c>
      <c r="L1112" s="65">
        <v>1106</v>
      </c>
      <c r="M1112" s="71">
        <f t="shared" ca="1" si="89"/>
        <v>1.9266425344730826</v>
      </c>
      <c r="N1112" s="65"/>
    </row>
    <row r="1113" spans="1:14" x14ac:dyDescent="0.25">
      <c r="A1113" s="2">
        <v>1107</v>
      </c>
      <c r="B1113" s="11">
        <f t="shared" ca="1" si="86"/>
        <v>0</v>
      </c>
      <c r="C1113" s="26">
        <f t="shared" ca="1" si="90"/>
        <v>0.95757011834446271</v>
      </c>
      <c r="J1113">
        <f t="shared" ca="1" si="87"/>
        <v>0</v>
      </c>
      <c r="K1113">
        <f t="shared" ca="1" si="88"/>
        <v>0</v>
      </c>
      <c r="L1113" s="65">
        <v>1107</v>
      </c>
      <c r="M1113" s="71">
        <f t="shared" ca="1" si="89"/>
        <v>0</v>
      </c>
      <c r="N1113" s="65"/>
    </row>
    <row r="1114" spans="1:14" x14ac:dyDescent="0.25">
      <c r="A1114" s="2">
        <v>1108</v>
      </c>
      <c r="B1114" s="11">
        <f t="shared" ca="1" si="86"/>
        <v>1</v>
      </c>
      <c r="C1114" s="26">
        <f t="shared" ca="1" si="90"/>
        <v>0.12283204897790179</v>
      </c>
      <c r="J1114">
        <f t="shared" ca="1" si="87"/>
        <v>1</v>
      </c>
      <c r="K1114">
        <f t="shared" ca="1" si="88"/>
        <v>0</v>
      </c>
      <c r="L1114" s="65">
        <v>1108</v>
      </c>
      <c r="M1114" s="71">
        <f t="shared" ca="1" si="89"/>
        <v>0.57819557024486479</v>
      </c>
      <c r="N1114" s="65"/>
    </row>
    <row r="1115" spans="1:14" x14ac:dyDescent="0.25">
      <c r="A1115" s="2">
        <v>1109</v>
      </c>
      <c r="B1115" s="11">
        <f t="shared" ca="1" si="86"/>
        <v>1</v>
      </c>
      <c r="C1115" s="26">
        <f t="shared" ca="1" si="90"/>
        <v>0.3084302913302458</v>
      </c>
      <c r="J1115">
        <f t="shared" ca="1" si="87"/>
        <v>1</v>
      </c>
      <c r="K1115">
        <f t="shared" ca="1" si="88"/>
        <v>0</v>
      </c>
      <c r="L1115" s="65">
        <v>1109</v>
      </c>
      <c r="M1115" s="71">
        <f t="shared" ca="1" si="89"/>
        <v>1.1267629787541582</v>
      </c>
      <c r="N1115" s="65"/>
    </row>
    <row r="1116" spans="1:14" x14ac:dyDescent="0.25">
      <c r="A1116" s="2">
        <v>1110</v>
      </c>
      <c r="B1116" s="11">
        <f t="shared" ca="1" si="86"/>
        <v>1</v>
      </c>
      <c r="C1116" s="26">
        <f t="shared" ca="1" si="90"/>
        <v>2.8592899498523061E-2</v>
      </c>
      <c r="J1116">
        <f t="shared" ca="1" si="87"/>
        <v>1</v>
      </c>
      <c r="K1116">
        <f t="shared" ca="1" si="88"/>
        <v>0</v>
      </c>
      <c r="L1116" s="65">
        <v>1110</v>
      </c>
      <c r="M1116" s="71">
        <f t="shared" ca="1" si="89"/>
        <v>4.8204032969364015</v>
      </c>
      <c r="N1116" s="65"/>
    </row>
    <row r="1117" spans="1:14" x14ac:dyDescent="0.25">
      <c r="A1117" s="2">
        <v>1111</v>
      </c>
      <c r="B1117" s="11">
        <f t="shared" ca="1" si="86"/>
        <v>1</v>
      </c>
      <c r="C1117" s="26">
        <f t="shared" ca="1" si="90"/>
        <v>0.68382572476421788</v>
      </c>
      <c r="J1117">
        <f t="shared" ca="1" si="87"/>
        <v>1</v>
      </c>
      <c r="K1117">
        <f t="shared" ca="1" si="88"/>
        <v>0</v>
      </c>
      <c r="L1117" s="65">
        <v>1111</v>
      </c>
      <c r="M1117" s="71">
        <f t="shared" ca="1" si="89"/>
        <v>2.6772047789466806</v>
      </c>
      <c r="N1117" s="65"/>
    </row>
    <row r="1118" spans="1:14" x14ac:dyDescent="0.25">
      <c r="A1118" s="2">
        <v>1112</v>
      </c>
      <c r="B1118" s="11">
        <f t="shared" ca="1" si="86"/>
        <v>1</v>
      </c>
      <c r="C1118" s="26">
        <f t="shared" ca="1" si="90"/>
        <v>0.2436127003511751</v>
      </c>
      <c r="J1118">
        <f t="shared" ca="1" si="87"/>
        <v>0</v>
      </c>
      <c r="K1118">
        <f t="shared" ca="1" si="88"/>
        <v>0</v>
      </c>
      <c r="L1118" s="65">
        <v>1112</v>
      </c>
      <c r="M1118" s="71">
        <f t="shared" ca="1" si="89"/>
        <v>0.77921608868926195</v>
      </c>
      <c r="N1118" s="65"/>
    </row>
    <row r="1119" spans="1:14" x14ac:dyDescent="0.25">
      <c r="A1119" s="2">
        <v>1113</v>
      </c>
      <c r="B1119" s="11">
        <f t="shared" ca="1" si="86"/>
        <v>0</v>
      </c>
      <c r="C1119" s="26">
        <f t="shared" ca="1" si="90"/>
        <v>0.92988386917225052</v>
      </c>
      <c r="J1119">
        <f t="shared" ca="1" si="87"/>
        <v>0</v>
      </c>
      <c r="K1119">
        <f t="shared" ca="1" si="88"/>
        <v>1</v>
      </c>
      <c r="L1119" s="65">
        <v>1113</v>
      </c>
      <c r="M1119" s="71">
        <f t="shared" ca="1" si="89"/>
        <v>0</v>
      </c>
      <c r="N1119" s="65"/>
    </row>
    <row r="1120" spans="1:14" x14ac:dyDescent="0.25">
      <c r="A1120" s="2">
        <v>1114</v>
      </c>
      <c r="B1120" s="11">
        <f t="shared" ca="1" si="86"/>
        <v>0</v>
      </c>
      <c r="C1120" s="26">
        <f t="shared" ca="1" si="90"/>
        <v>0.70151625279152308</v>
      </c>
      <c r="J1120">
        <f t="shared" ca="1" si="87"/>
        <v>0</v>
      </c>
      <c r="K1120">
        <f t="shared" ca="1" si="88"/>
        <v>1</v>
      </c>
      <c r="L1120" s="65">
        <v>1114</v>
      </c>
      <c r="M1120" s="71">
        <f t="shared" ca="1" si="89"/>
        <v>0</v>
      </c>
      <c r="N1120" s="65"/>
    </row>
    <row r="1121" spans="1:14" x14ac:dyDescent="0.25">
      <c r="A1121" s="2">
        <v>1115</v>
      </c>
      <c r="B1121" s="11">
        <f t="shared" ca="1" si="86"/>
        <v>0</v>
      </c>
      <c r="C1121" s="26">
        <f t="shared" ca="1" si="90"/>
        <v>0.60062982299747536</v>
      </c>
      <c r="J1121">
        <f t="shared" ca="1" si="87"/>
        <v>0</v>
      </c>
      <c r="K1121">
        <f t="shared" ca="1" si="88"/>
        <v>1</v>
      </c>
      <c r="L1121" s="65">
        <v>1115</v>
      </c>
      <c r="M1121" s="71">
        <f t="shared" ca="1" si="89"/>
        <v>0</v>
      </c>
      <c r="N1121" s="65"/>
    </row>
    <row r="1122" spans="1:14" x14ac:dyDescent="0.25">
      <c r="A1122" s="2">
        <v>1116</v>
      </c>
      <c r="B1122" s="11">
        <f t="shared" ca="1" si="86"/>
        <v>0</v>
      </c>
      <c r="C1122" s="26">
        <f t="shared" ca="1" si="90"/>
        <v>0.4188916059513571</v>
      </c>
      <c r="J1122">
        <f t="shared" ca="1" si="87"/>
        <v>0</v>
      </c>
      <c r="K1122">
        <f t="shared" ca="1" si="88"/>
        <v>0</v>
      </c>
      <c r="L1122" s="65">
        <v>1116</v>
      </c>
      <c r="M1122" s="71">
        <f t="shared" ca="1" si="89"/>
        <v>0</v>
      </c>
      <c r="N1122" s="65"/>
    </row>
    <row r="1123" spans="1:14" x14ac:dyDescent="0.25">
      <c r="A1123" s="2">
        <v>1117</v>
      </c>
      <c r="B1123" s="11">
        <f t="shared" ca="1" si="86"/>
        <v>1</v>
      </c>
      <c r="C1123" s="26">
        <f t="shared" ca="1" si="90"/>
        <v>0.23099933736759004</v>
      </c>
      <c r="J1123">
        <f t="shared" ca="1" si="87"/>
        <v>1</v>
      </c>
      <c r="K1123">
        <f t="shared" ca="1" si="88"/>
        <v>0</v>
      </c>
      <c r="L1123" s="65">
        <v>1117</v>
      </c>
      <c r="M1123" s="71">
        <f t="shared" ca="1" si="89"/>
        <v>1.2433655675896575</v>
      </c>
      <c r="N1123" s="65"/>
    </row>
    <row r="1124" spans="1:14" x14ac:dyDescent="0.25">
      <c r="A1124" s="2">
        <v>1118</v>
      </c>
      <c r="B1124" s="11">
        <f t="shared" ca="1" si="86"/>
        <v>1</v>
      </c>
      <c r="C1124" s="26">
        <f t="shared" ca="1" si="90"/>
        <v>0.4191079495122042</v>
      </c>
      <c r="J1124">
        <f t="shared" ca="1" si="87"/>
        <v>1</v>
      </c>
      <c r="K1124">
        <f t="shared" ca="1" si="88"/>
        <v>0</v>
      </c>
      <c r="L1124" s="65">
        <v>1118</v>
      </c>
      <c r="M1124" s="71">
        <f t="shared" ca="1" si="89"/>
        <v>3.2174427593332897</v>
      </c>
      <c r="N1124" s="65"/>
    </row>
    <row r="1125" spans="1:14" x14ac:dyDescent="0.25">
      <c r="A1125" s="2">
        <v>1119</v>
      </c>
      <c r="B1125" s="11">
        <f t="shared" ca="1" si="86"/>
        <v>1</v>
      </c>
      <c r="C1125" s="26">
        <f t="shared" ca="1" si="90"/>
        <v>0.67220381099998816</v>
      </c>
      <c r="J1125">
        <f t="shared" ca="1" si="87"/>
        <v>0</v>
      </c>
      <c r="K1125">
        <f t="shared" ca="1" si="88"/>
        <v>0</v>
      </c>
      <c r="L1125" s="65">
        <v>1119</v>
      </c>
      <c r="M1125" s="71">
        <f t="shared" ca="1" si="89"/>
        <v>2.7415738736049193</v>
      </c>
      <c r="N1125" s="65"/>
    </row>
    <row r="1126" spans="1:14" x14ac:dyDescent="0.25">
      <c r="A1126" s="2">
        <v>1120</v>
      </c>
      <c r="B1126" s="11">
        <f t="shared" ca="1" si="86"/>
        <v>0</v>
      </c>
      <c r="C1126" s="26">
        <f t="shared" ca="1" si="90"/>
        <v>0.99064580239555755</v>
      </c>
      <c r="J1126">
        <f t="shared" ca="1" si="87"/>
        <v>0</v>
      </c>
      <c r="K1126">
        <f t="shared" ca="1" si="88"/>
        <v>0</v>
      </c>
      <c r="L1126" s="65">
        <v>1120</v>
      </c>
      <c r="M1126" s="71">
        <f t="shared" ca="1" si="89"/>
        <v>0</v>
      </c>
      <c r="N1126" s="65"/>
    </row>
    <row r="1127" spans="1:14" x14ac:dyDescent="0.25">
      <c r="A1127" s="2">
        <v>1121</v>
      </c>
      <c r="B1127" s="11">
        <f t="shared" ca="1" si="86"/>
        <v>1</v>
      </c>
      <c r="C1127" s="26">
        <f t="shared" ca="1" si="90"/>
        <v>0.25742408492915481</v>
      </c>
      <c r="J1127">
        <f t="shared" ca="1" si="87"/>
        <v>0</v>
      </c>
      <c r="K1127">
        <f t="shared" ca="1" si="88"/>
        <v>0</v>
      </c>
      <c r="L1127" s="65">
        <v>1121</v>
      </c>
      <c r="M1127" s="71">
        <f t="shared" ca="1" si="89"/>
        <v>5.3026293224450849E-2</v>
      </c>
      <c r="N1127" s="65"/>
    </row>
    <row r="1128" spans="1:14" x14ac:dyDescent="0.25">
      <c r="A1128" s="2">
        <v>1122</v>
      </c>
      <c r="B1128" s="11">
        <f t="shared" ca="1" si="86"/>
        <v>0</v>
      </c>
      <c r="C1128" s="26">
        <f t="shared" ca="1" si="90"/>
        <v>0.81120745477574274</v>
      </c>
      <c r="J1128">
        <f t="shared" ca="1" si="87"/>
        <v>0</v>
      </c>
      <c r="K1128">
        <f t="shared" ca="1" si="88"/>
        <v>1</v>
      </c>
      <c r="L1128" s="65">
        <v>1122</v>
      </c>
      <c r="M1128" s="71">
        <f t="shared" ca="1" si="89"/>
        <v>0</v>
      </c>
      <c r="N1128" s="65"/>
    </row>
    <row r="1129" spans="1:14" x14ac:dyDescent="0.25">
      <c r="A1129" s="2">
        <v>1123</v>
      </c>
      <c r="B1129" s="11">
        <f t="shared" ca="1" si="86"/>
        <v>0</v>
      </c>
      <c r="C1129" s="26">
        <f t="shared" ca="1" si="90"/>
        <v>0.84031008598510748</v>
      </c>
      <c r="J1129">
        <f t="shared" ca="1" si="87"/>
        <v>0</v>
      </c>
      <c r="K1129">
        <f t="shared" ca="1" si="88"/>
        <v>1</v>
      </c>
      <c r="L1129" s="65">
        <v>1123</v>
      </c>
      <c r="M1129" s="71">
        <f t="shared" ca="1" si="89"/>
        <v>0</v>
      </c>
      <c r="N1129" s="65"/>
    </row>
    <row r="1130" spans="1:14" x14ac:dyDescent="0.25">
      <c r="A1130" s="2">
        <v>1124</v>
      </c>
      <c r="B1130" s="11">
        <f t="shared" ca="1" si="86"/>
        <v>0</v>
      </c>
      <c r="C1130" s="26">
        <f t="shared" ca="1" si="90"/>
        <v>0.51206391050487143</v>
      </c>
      <c r="J1130">
        <f t="shared" ca="1" si="87"/>
        <v>0</v>
      </c>
      <c r="K1130">
        <f t="shared" ca="1" si="88"/>
        <v>1</v>
      </c>
      <c r="L1130" s="65">
        <v>1124</v>
      </c>
      <c r="M1130" s="71">
        <f t="shared" ca="1" si="89"/>
        <v>0</v>
      </c>
      <c r="N1130" s="65"/>
    </row>
    <row r="1131" spans="1:14" x14ac:dyDescent="0.25">
      <c r="A1131" s="2">
        <v>1125</v>
      </c>
      <c r="B1131" s="11">
        <f t="shared" ca="1" si="86"/>
        <v>0</v>
      </c>
      <c r="C1131" s="26">
        <f t="shared" ca="1" si="90"/>
        <v>0.51322976567438394</v>
      </c>
      <c r="J1131">
        <f t="shared" ca="1" si="87"/>
        <v>0</v>
      </c>
      <c r="K1131">
        <f t="shared" ca="1" si="88"/>
        <v>1</v>
      </c>
      <c r="L1131" s="65">
        <v>1125</v>
      </c>
      <c r="M1131" s="71">
        <f t="shared" ca="1" si="89"/>
        <v>0</v>
      </c>
      <c r="N1131" s="65"/>
    </row>
    <row r="1132" spans="1:14" x14ac:dyDescent="0.25">
      <c r="A1132" s="2">
        <v>1126</v>
      </c>
      <c r="B1132" s="11">
        <f t="shared" ca="1" si="86"/>
        <v>0</v>
      </c>
      <c r="C1132" s="26">
        <f t="shared" ca="1" si="90"/>
        <v>0.93832560152087652</v>
      </c>
      <c r="J1132">
        <f t="shared" ca="1" si="87"/>
        <v>0</v>
      </c>
      <c r="K1132">
        <f t="shared" ca="1" si="88"/>
        <v>1</v>
      </c>
      <c r="L1132" s="65">
        <v>1126</v>
      </c>
      <c r="M1132" s="71">
        <f t="shared" ca="1" si="89"/>
        <v>0</v>
      </c>
      <c r="N1132" s="65"/>
    </row>
    <row r="1133" spans="1:14" x14ac:dyDescent="0.25">
      <c r="A1133" s="2">
        <v>1127</v>
      </c>
      <c r="B1133" s="11">
        <f t="shared" ca="1" si="86"/>
        <v>0</v>
      </c>
      <c r="C1133" s="26">
        <f t="shared" ca="1" si="90"/>
        <v>0.92396061268727836</v>
      </c>
      <c r="J1133">
        <f t="shared" ca="1" si="87"/>
        <v>0</v>
      </c>
      <c r="K1133">
        <f t="shared" ca="1" si="88"/>
        <v>0</v>
      </c>
      <c r="L1133" s="65">
        <v>1127</v>
      </c>
      <c r="M1133" s="71">
        <f t="shared" ca="1" si="89"/>
        <v>0</v>
      </c>
      <c r="N1133" s="65"/>
    </row>
    <row r="1134" spans="1:14" x14ac:dyDescent="0.25">
      <c r="A1134" s="2">
        <v>1128</v>
      </c>
      <c r="B1134" s="11">
        <f t="shared" ca="1" si="86"/>
        <v>1</v>
      </c>
      <c r="C1134" s="26">
        <f t="shared" ca="1" si="90"/>
        <v>0.19951789877177561</v>
      </c>
      <c r="J1134">
        <f t="shared" ca="1" si="87"/>
        <v>1</v>
      </c>
      <c r="K1134">
        <f t="shared" ca="1" si="88"/>
        <v>0</v>
      </c>
      <c r="L1134" s="65">
        <v>1128</v>
      </c>
      <c r="M1134" s="71">
        <f t="shared" ca="1" si="89"/>
        <v>2.7916815572964042</v>
      </c>
      <c r="N1134" s="65"/>
    </row>
    <row r="1135" spans="1:14" x14ac:dyDescent="0.25">
      <c r="A1135" s="2">
        <v>1129</v>
      </c>
      <c r="B1135" s="11">
        <f t="shared" ref="B1135:B1198" ca="1" si="91">IF(B1134&gt;0,IF(C1135&lt;pww,1,0),IF(C1135&lt;pdw,1,0))</f>
        <v>1</v>
      </c>
      <c r="C1135" s="26">
        <f t="shared" ca="1" si="90"/>
        <v>0.41754720346488416</v>
      </c>
      <c r="J1135">
        <f t="shared" ref="J1135:J1198" ca="1" si="92">IF(AND(B1135,B1136),1,0)</f>
        <v>1</v>
      </c>
      <c r="K1135">
        <f t="shared" ref="K1135:K1198" ca="1" si="93">IF(AND(NOT(B1135),NOT(B1136)),1,0)</f>
        <v>0</v>
      </c>
      <c r="L1135" s="65">
        <v>1129</v>
      </c>
      <c r="M1135" s="71">
        <f t="shared" ca="1" si="89"/>
        <v>3.2295301851179485</v>
      </c>
      <c r="N1135" s="65"/>
    </row>
    <row r="1136" spans="1:14" x14ac:dyDescent="0.25">
      <c r="A1136" s="2">
        <v>1130</v>
      </c>
      <c r="B1136" s="11">
        <f t="shared" ca="1" si="91"/>
        <v>1</v>
      </c>
      <c r="C1136" s="26">
        <f t="shared" ca="1" si="90"/>
        <v>0.60244073997267578</v>
      </c>
      <c r="J1136">
        <f t="shared" ca="1" si="92"/>
        <v>1</v>
      </c>
      <c r="K1136">
        <f t="shared" ca="1" si="93"/>
        <v>0</v>
      </c>
      <c r="L1136" s="65">
        <v>1130</v>
      </c>
      <c r="M1136" s="71">
        <f t="shared" ca="1" si="89"/>
        <v>1.2670927616179881</v>
      </c>
      <c r="N1136" s="65"/>
    </row>
    <row r="1137" spans="1:14" x14ac:dyDescent="0.25">
      <c r="A1137" s="2">
        <v>1131</v>
      </c>
      <c r="B1137" s="11">
        <f t="shared" ca="1" si="91"/>
        <v>1</v>
      </c>
      <c r="C1137" s="26">
        <f t="shared" ca="1" si="90"/>
        <v>0.38618905390695102</v>
      </c>
      <c r="J1137">
        <f t="shared" ca="1" si="92"/>
        <v>0</v>
      </c>
      <c r="K1137">
        <f t="shared" ca="1" si="93"/>
        <v>0</v>
      </c>
      <c r="L1137" s="65">
        <v>1131</v>
      </c>
      <c r="M1137" s="71">
        <f t="shared" ca="1" si="89"/>
        <v>2.7581660838587232</v>
      </c>
      <c r="N1137" s="65"/>
    </row>
    <row r="1138" spans="1:14" x14ac:dyDescent="0.25">
      <c r="A1138" s="2">
        <v>1132</v>
      </c>
      <c r="B1138" s="11">
        <f t="shared" ca="1" si="91"/>
        <v>0</v>
      </c>
      <c r="C1138" s="26">
        <f t="shared" ca="1" si="90"/>
        <v>0.97631446851290293</v>
      </c>
      <c r="J1138">
        <f t="shared" ca="1" si="92"/>
        <v>0</v>
      </c>
      <c r="K1138">
        <f t="shared" ca="1" si="93"/>
        <v>1</v>
      </c>
      <c r="L1138" s="65">
        <v>1132</v>
      </c>
      <c r="M1138" s="71">
        <f t="shared" ca="1" si="89"/>
        <v>0</v>
      </c>
      <c r="N1138" s="65"/>
    </row>
    <row r="1139" spans="1:14" x14ac:dyDescent="0.25">
      <c r="A1139" s="2">
        <v>1133</v>
      </c>
      <c r="B1139" s="11">
        <f t="shared" ca="1" si="91"/>
        <v>0</v>
      </c>
      <c r="C1139" s="26">
        <f t="shared" ca="1" si="90"/>
        <v>0.63584460078332738</v>
      </c>
      <c r="J1139">
        <f t="shared" ca="1" si="92"/>
        <v>0</v>
      </c>
      <c r="K1139">
        <f t="shared" ca="1" si="93"/>
        <v>0</v>
      </c>
      <c r="L1139" s="65">
        <v>1133</v>
      </c>
      <c r="M1139" s="71">
        <f t="shared" ca="1" si="89"/>
        <v>0</v>
      </c>
      <c r="N1139" s="65"/>
    </row>
    <row r="1140" spans="1:14" x14ac:dyDescent="0.25">
      <c r="A1140" s="2">
        <v>1134</v>
      </c>
      <c r="B1140" s="11">
        <f t="shared" ca="1" si="91"/>
        <v>1</v>
      </c>
      <c r="C1140" s="26">
        <f t="shared" ca="1" si="90"/>
        <v>3.6378068166905364E-2</v>
      </c>
      <c r="J1140">
        <f t="shared" ca="1" si="92"/>
        <v>0</v>
      </c>
      <c r="K1140">
        <f t="shared" ca="1" si="93"/>
        <v>0</v>
      </c>
      <c r="L1140" s="65">
        <v>1134</v>
      </c>
      <c r="M1140" s="71">
        <f t="shared" ca="1" si="89"/>
        <v>5.5083231379928446</v>
      </c>
      <c r="N1140" s="65"/>
    </row>
    <row r="1141" spans="1:14" x14ac:dyDescent="0.25">
      <c r="A1141" s="2">
        <v>1135</v>
      </c>
      <c r="B1141" s="11">
        <f t="shared" ca="1" si="91"/>
        <v>0</v>
      </c>
      <c r="C1141" s="26">
        <f t="shared" ca="1" si="90"/>
        <v>0.8545374618963234</v>
      </c>
      <c r="J1141">
        <f t="shared" ca="1" si="92"/>
        <v>0</v>
      </c>
      <c r="K1141">
        <f t="shared" ca="1" si="93"/>
        <v>1</v>
      </c>
      <c r="L1141" s="65">
        <v>1135</v>
      </c>
      <c r="M1141" s="71">
        <f t="shared" ca="1" si="89"/>
        <v>0</v>
      </c>
      <c r="N1141" s="65"/>
    </row>
    <row r="1142" spans="1:14" x14ac:dyDescent="0.25">
      <c r="A1142" s="2">
        <v>1136</v>
      </c>
      <c r="B1142" s="11">
        <f t="shared" ca="1" si="91"/>
        <v>0</v>
      </c>
      <c r="C1142" s="26">
        <f t="shared" ca="1" si="90"/>
        <v>0.90649680756589968</v>
      </c>
      <c r="J1142">
        <f t="shared" ca="1" si="92"/>
        <v>0</v>
      </c>
      <c r="K1142">
        <f t="shared" ca="1" si="93"/>
        <v>0</v>
      </c>
      <c r="L1142" s="65">
        <v>1136</v>
      </c>
      <c r="M1142" s="71">
        <f t="shared" ca="1" si="89"/>
        <v>0</v>
      </c>
      <c r="N1142" s="65"/>
    </row>
    <row r="1143" spans="1:14" x14ac:dyDescent="0.25">
      <c r="A1143" s="2">
        <v>1137</v>
      </c>
      <c r="B1143" s="11">
        <f t="shared" ca="1" si="91"/>
        <v>1</v>
      </c>
      <c r="C1143" s="26">
        <f t="shared" ca="1" si="90"/>
        <v>0.17260313970575847</v>
      </c>
      <c r="J1143">
        <f t="shared" ca="1" si="92"/>
        <v>1</v>
      </c>
      <c r="K1143">
        <f t="shared" ca="1" si="93"/>
        <v>0</v>
      </c>
      <c r="L1143" s="65">
        <v>1137</v>
      </c>
      <c r="M1143" s="71">
        <f t="shared" ca="1" si="89"/>
        <v>0.15068722946059243</v>
      </c>
      <c r="N1143" s="65"/>
    </row>
    <row r="1144" spans="1:14" x14ac:dyDescent="0.25">
      <c r="A1144" s="2">
        <v>1138</v>
      </c>
      <c r="B1144" s="11">
        <f t="shared" ca="1" si="91"/>
        <v>1</v>
      </c>
      <c r="C1144" s="26">
        <f t="shared" ca="1" si="90"/>
        <v>0.71120795356736843</v>
      </c>
      <c r="J1144">
        <f t="shared" ca="1" si="92"/>
        <v>1</v>
      </c>
      <c r="K1144">
        <f t="shared" ca="1" si="93"/>
        <v>0</v>
      </c>
      <c r="L1144" s="65">
        <v>1138</v>
      </c>
      <c r="M1144" s="71">
        <f t="shared" ca="1" si="89"/>
        <v>3.946164332939512</v>
      </c>
      <c r="N1144" s="65"/>
    </row>
    <row r="1145" spans="1:14" x14ac:dyDescent="0.25">
      <c r="A1145" s="2">
        <v>1139</v>
      </c>
      <c r="B1145" s="11">
        <f t="shared" ca="1" si="91"/>
        <v>1</v>
      </c>
      <c r="C1145" s="26">
        <f t="shared" ca="1" si="90"/>
        <v>0.3528805831881201</v>
      </c>
      <c r="J1145">
        <f t="shared" ca="1" si="92"/>
        <v>1</v>
      </c>
      <c r="K1145">
        <f t="shared" ca="1" si="93"/>
        <v>0</v>
      </c>
      <c r="L1145" s="65">
        <v>1139</v>
      </c>
      <c r="M1145" s="71">
        <f t="shared" ca="1" si="89"/>
        <v>2.7531381473739454</v>
      </c>
      <c r="N1145" s="65"/>
    </row>
    <row r="1146" spans="1:14" x14ac:dyDescent="0.25">
      <c r="A1146" s="2">
        <v>1140</v>
      </c>
      <c r="B1146" s="11">
        <f t="shared" ca="1" si="91"/>
        <v>1</v>
      </c>
      <c r="C1146" s="26">
        <f t="shared" ca="1" si="90"/>
        <v>0.14061039847529511</v>
      </c>
      <c r="J1146">
        <f t="shared" ca="1" si="92"/>
        <v>1</v>
      </c>
      <c r="K1146">
        <f t="shared" ca="1" si="93"/>
        <v>0</v>
      </c>
      <c r="L1146" s="65">
        <v>1140</v>
      </c>
      <c r="M1146" s="71">
        <f t="shared" ca="1" si="89"/>
        <v>7.239866406310691</v>
      </c>
      <c r="N1146" s="65"/>
    </row>
    <row r="1147" spans="1:14" x14ac:dyDescent="0.25">
      <c r="A1147" s="2">
        <v>1141</v>
      </c>
      <c r="B1147" s="11">
        <f t="shared" ca="1" si="91"/>
        <v>1</v>
      </c>
      <c r="C1147" s="26">
        <f t="shared" ca="1" si="90"/>
        <v>0.70825376030749287</v>
      </c>
      <c r="J1147">
        <f t="shared" ca="1" si="92"/>
        <v>1</v>
      </c>
      <c r="K1147">
        <f t="shared" ca="1" si="93"/>
        <v>0</v>
      </c>
      <c r="L1147" s="65">
        <v>1141</v>
      </c>
      <c r="M1147" s="71">
        <f t="shared" ca="1" si="89"/>
        <v>1.5858609329927453</v>
      </c>
      <c r="N1147" s="65"/>
    </row>
    <row r="1148" spans="1:14" x14ac:dyDescent="0.25">
      <c r="A1148" s="2">
        <v>1142</v>
      </c>
      <c r="B1148" s="11">
        <f t="shared" ca="1" si="91"/>
        <v>1</v>
      </c>
      <c r="C1148" s="26">
        <f t="shared" ca="1" si="90"/>
        <v>0.17934897037939213</v>
      </c>
      <c r="J1148">
        <f t="shared" ca="1" si="92"/>
        <v>1</v>
      </c>
      <c r="K1148">
        <f t="shared" ca="1" si="93"/>
        <v>0</v>
      </c>
      <c r="L1148" s="65">
        <v>1142</v>
      </c>
      <c r="M1148" s="71">
        <f t="shared" ca="1" si="89"/>
        <v>1.7496116159254789</v>
      </c>
      <c r="N1148" s="65"/>
    </row>
    <row r="1149" spans="1:14" x14ac:dyDescent="0.25">
      <c r="A1149" s="2">
        <v>1143</v>
      </c>
      <c r="B1149" s="11">
        <f t="shared" ca="1" si="91"/>
        <v>1</v>
      </c>
      <c r="C1149" s="26">
        <f t="shared" ca="1" si="90"/>
        <v>0.36124520877492772</v>
      </c>
      <c r="J1149">
        <f t="shared" ca="1" si="92"/>
        <v>1</v>
      </c>
      <c r="K1149">
        <f t="shared" ca="1" si="93"/>
        <v>0</v>
      </c>
      <c r="L1149" s="65">
        <v>1143</v>
      </c>
      <c r="M1149" s="71">
        <f t="shared" ca="1" si="89"/>
        <v>0.99790150291579183</v>
      </c>
      <c r="N1149" s="65"/>
    </row>
    <row r="1150" spans="1:14" x14ac:dyDescent="0.25">
      <c r="A1150" s="2">
        <v>1144</v>
      </c>
      <c r="B1150" s="11">
        <f t="shared" ca="1" si="91"/>
        <v>1</v>
      </c>
      <c r="C1150" s="26">
        <f t="shared" ca="1" si="90"/>
        <v>0.46685314381226872</v>
      </c>
      <c r="J1150">
        <f t="shared" ca="1" si="92"/>
        <v>1</v>
      </c>
      <c r="K1150">
        <f t="shared" ca="1" si="93"/>
        <v>0</v>
      </c>
      <c r="L1150" s="65">
        <v>1144</v>
      </c>
      <c r="M1150" s="71">
        <f t="shared" ca="1" si="89"/>
        <v>2.6427797620944165</v>
      </c>
      <c r="N1150" s="65"/>
    </row>
    <row r="1151" spans="1:14" x14ac:dyDescent="0.25">
      <c r="A1151" s="2">
        <v>1145</v>
      </c>
      <c r="B1151" s="11">
        <f t="shared" ca="1" si="91"/>
        <v>1</v>
      </c>
      <c r="C1151" s="26">
        <f t="shared" ca="1" si="90"/>
        <v>0.13151218303982015</v>
      </c>
      <c r="J1151">
        <f t="shared" ca="1" si="92"/>
        <v>1</v>
      </c>
      <c r="K1151">
        <f t="shared" ca="1" si="93"/>
        <v>0</v>
      </c>
      <c r="L1151" s="65">
        <v>1145</v>
      </c>
      <c r="M1151" s="71">
        <f t="shared" ca="1" si="89"/>
        <v>9.687402332771553</v>
      </c>
      <c r="N1151" s="65"/>
    </row>
    <row r="1152" spans="1:14" x14ac:dyDescent="0.25">
      <c r="A1152" s="2">
        <v>1146</v>
      </c>
      <c r="B1152" s="11">
        <f t="shared" ca="1" si="91"/>
        <v>1</v>
      </c>
      <c r="C1152" s="26">
        <f t="shared" ca="1" si="90"/>
        <v>0.1272625033006991</v>
      </c>
      <c r="J1152">
        <f t="shared" ca="1" si="92"/>
        <v>0</v>
      </c>
      <c r="K1152">
        <f t="shared" ca="1" si="93"/>
        <v>0</v>
      </c>
      <c r="L1152" s="65">
        <v>1146</v>
      </c>
      <c r="M1152" s="71">
        <f t="shared" ca="1" si="89"/>
        <v>0.39165495266696326</v>
      </c>
      <c r="N1152" s="65"/>
    </row>
    <row r="1153" spans="1:14" x14ac:dyDescent="0.25">
      <c r="A1153" s="2">
        <v>1147</v>
      </c>
      <c r="B1153" s="11">
        <f t="shared" ca="1" si="91"/>
        <v>0</v>
      </c>
      <c r="C1153" s="26">
        <f t="shared" ca="1" si="90"/>
        <v>0.79805247070595997</v>
      </c>
      <c r="J1153">
        <f t="shared" ca="1" si="92"/>
        <v>0</v>
      </c>
      <c r="K1153">
        <f t="shared" ca="1" si="93"/>
        <v>1</v>
      </c>
      <c r="L1153" s="65">
        <v>1147</v>
      </c>
      <c r="M1153" s="71">
        <f t="shared" ca="1" si="89"/>
        <v>0</v>
      </c>
      <c r="N1153" s="65"/>
    </row>
    <row r="1154" spans="1:14" x14ac:dyDescent="0.25">
      <c r="A1154" s="2">
        <v>1148</v>
      </c>
      <c r="B1154" s="11">
        <f t="shared" ca="1" si="91"/>
        <v>0</v>
      </c>
      <c r="C1154" s="26">
        <f t="shared" ca="1" si="90"/>
        <v>0.40391530670043119</v>
      </c>
      <c r="J1154">
        <f t="shared" ca="1" si="92"/>
        <v>0</v>
      </c>
      <c r="K1154">
        <f t="shared" ca="1" si="93"/>
        <v>0</v>
      </c>
      <c r="L1154" s="65">
        <v>1148</v>
      </c>
      <c r="M1154" s="71">
        <f t="shared" ca="1" si="89"/>
        <v>0</v>
      </c>
      <c r="N1154" s="65"/>
    </row>
    <row r="1155" spans="1:14" x14ac:dyDescent="0.25">
      <c r="A1155" s="2">
        <v>1149</v>
      </c>
      <c r="B1155" s="11">
        <f t="shared" ca="1" si="91"/>
        <v>1</v>
      </c>
      <c r="C1155" s="26">
        <f t="shared" ca="1" si="90"/>
        <v>0.10354372842687887</v>
      </c>
      <c r="J1155">
        <f t="shared" ca="1" si="92"/>
        <v>0</v>
      </c>
      <c r="K1155">
        <f t="shared" ca="1" si="93"/>
        <v>0</v>
      </c>
      <c r="L1155" s="65">
        <v>1149</v>
      </c>
      <c r="M1155" s="71">
        <f t="shared" ca="1" si="89"/>
        <v>3.3301085491347076</v>
      </c>
      <c r="N1155" s="65"/>
    </row>
    <row r="1156" spans="1:14" x14ac:dyDescent="0.25">
      <c r="A1156" s="2">
        <v>1150</v>
      </c>
      <c r="B1156" s="11">
        <f t="shared" ca="1" si="91"/>
        <v>0</v>
      </c>
      <c r="C1156" s="26">
        <f t="shared" ca="1" si="90"/>
        <v>0.86143223997550256</v>
      </c>
      <c r="J1156">
        <f t="shared" ca="1" si="92"/>
        <v>0</v>
      </c>
      <c r="K1156">
        <f t="shared" ca="1" si="93"/>
        <v>0</v>
      </c>
      <c r="L1156" s="65">
        <v>1150</v>
      </c>
      <c r="M1156" s="71">
        <f t="shared" ca="1" si="89"/>
        <v>0</v>
      </c>
      <c r="N1156" s="65"/>
    </row>
    <row r="1157" spans="1:14" x14ac:dyDescent="0.25">
      <c r="A1157" s="2">
        <v>1151</v>
      </c>
      <c r="B1157" s="11">
        <f t="shared" ca="1" si="91"/>
        <v>1</v>
      </c>
      <c r="C1157" s="26">
        <f t="shared" ca="1" si="90"/>
        <v>0.11393171982191486</v>
      </c>
      <c r="J1157">
        <f t="shared" ca="1" si="92"/>
        <v>0</v>
      </c>
      <c r="K1157">
        <f t="shared" ca="1" si="93"/>
        <v>0</v>
      </c>
      <c r="L1157" s="65">
        <v>1151</v>
      </c>
      <c r="M1157" s="71">
        <f t="shared" ca="1" si="89"/>
        <v>0.5777102789452101</v>
      </c>
      <c r="N1157" s="65"/>
    </row>
    <row r="1158" spans="1:14" x14ac:dyDescent="0.25">
      <c r="A1158" s="2">
        <v>1152</v>
      </c>
      <c r="B1158" s="11">
        <f t="shared" ca="1" si="91"/>
        <v>0</v>
      </c>
      <c r="C1158" s="26">
        <f t="shared" ca="1" si="90"/>
        <v>0.81899727138016021</v>
      </c>
      <c r="J1158">
        <f t="shared" ca="1" si="92"/>
        <v>0</v>
      </c>
      <c r="K1158">
        <f t="shared" ca="1" si="93"/>
        <v>1</v>
      </c>
      <c r="L1158" s="65">
        <v>1152</v>
      </c>
      <c r="M1158" s="71">
        <f t="shared" ca="1" si="89"/>
        <v>0</v>
      </c>
      <c r="N1158" s="65"/>
    </row>
    <row r="1159" spans="1:14" x14ac:dyDescent="0.25">
      <c r="A1159" s="2">
        <v>1153</v>
      </c>
      <c r="B1159" s="11">
        <f t="shared" ca="1" si="91"/>
        <v>0</v>
      </c>
      <c r="C1159" s="26">
        <f t="shared" ca="1" si="90"/>
        <v>0.4402006968983605</v>
      </c>
      <c r="J1159">
        <f t="shared" ca="1" si="92"/>
        <v>0</v>
      </c>
      <c r="K1159">
        <f t="shared" ca="1" si="93"/>
        <v>0</v>
      </c>
      <c r="L1159" s="65">
        <v>1153</v>
      </c>
      <c r="M1159" s="71">
        <f t="shared" ref="M1159:M1222" ca="1" si="94">IF(B1159&gt;0,-LN(1-(RAND()))/lambda,0)</f>
        <v>0</v>
      </c>
      <c r="N1159" s="65"/>
    </row>
    <row r="1160" spans="1:14" x14ac:dyDescent="0.25">
      <c r="A1160" s="2">
        <v>1154</v>
      </c>
      <c r="B1160" s="11">
        <f t="shared" ca="1" si="91"/>
        <v>1</v>
      </c>
      <c r="C1160" s="26">
        <f t="shared" ref="C1160:C1223" ca="1" si="95">RAND()</f>
        <v>0.21082621617967467</v>
      </c>
      <c r="J1160">
        <f t="shared" ca="1" si="92"/>
        <v>1</v>
      </c>
      <c r="K1160">
        <f t="shared" ca="1" si="93"/>
        <v>0</v>
      </c>
      <c r="L1160" s="65">
        <v>1154</v>
      </c>
      <c r="M1160" s="71">
        <f t="shared" ca="1" si="94"/>
        <v>1.4996486696377362</v>
      </c>
      <c r="N1160" s="65"/>
    </row>
    <row r="1161" spans="1:14" x14ac:dyDescent="0.25">
      <c r="A1161" s="2">
        <v>1155</v>
      </c>
      <c r="B1161" s="11">
        <f t="shared" ca="1" si="91"/>
        <v>1</v>
      </c>
      <c r="C1161" s="26">
        <f t="shared" ca="1" si="95"/>
        <v>0.69280711512862159</v>
      </c>
      <c r="J1161">
        <f t="shared" ca="1" si="92"/>
        <v>1</v>
      </c>
      <c r="K1161">
        <f t="shared" ca="1" si="93"/>
        <v>0</v>
      </c>
      <c r="L1161" s="65">
        <v>1155</v>
      </c>
      <c r="M1161" s="71">
        <f t="shared" ca="1" si="94"/>
        <v>0.95171384976820639</v>
      </c>
      <c r="N1161" s="65"/>
    </row>
    <row r="1162" spans="1:14" x14ac:dyDescent="0.25">
      <c r="A1162" s="2">
        <v>1156</v>
      </c>
      <c r="B1162" s="11">
        <f t="shared" ca="1" si="91"/>
        <v>1</v>
      </c>
      <c r="C1162" s="26">
        <f t="shared" ca="1" si="95"/>
        <v>0.26597650105626924</v>
      </c>
      <c r="J1162">
        <f t="shared" ca="1" si="92"/>
        <v>0</v>
      </c>
      <c r="K1162">
        <f t="shared" ca="1" si="93"/>
        <v>0</v>
      </c>
      <c r="L1162" s="65">
        <v>1156</v>
      </c>
      <c r="M1162" s="71">
        <f t="shared" ca="1" si="94"/>
        <v>1.6434467141117393</v>
      </c>
      <c r="N1162" s="65"/>
    </row>
    <row r="1163" spans="1:14" x14ac:dyDescent="0.25">
      <c r="A1163" s="2">
        <v>1157</v>
      </c>
      <c r="B1163" s="11">
        <f t="shared" ca="1" si="91"/>
        <v>0</v>
      </c>
      <c r="C1163" s="26">
        <f t="shared" ca="1" si="95"/>
        <v>0.79630013632613617</v>
      </c>
      <c r="J1163">
        <f t="shared" ca="1" si="92"/>
        <v>0</v>
      </c>
      <c r="K1163">
        <f t="shared" ca="1" si="93"/>
        <v>1</v>
      </c>
      <c r="L1163" s="65">
        <v>1157</v>
      </c>
      <c r="M1163" s="71">
        <f t="shared" ca="1" si="94"/>
        <v>0</v>
      </c>
      <c r="N1163" s="65"/>
    </row>
    <row r="1164" spans="1:14" x14ac:dyDescent="0.25">
      <c r="A1164" s="2">
        <v>1158</v>
      </c>
      <c r="B1164" s="11">
        <f t="shared" ca="1" si="91"/>
        <v>0</v>
      </c>
      <c r="C1164" s="26">
        <f t="shared" ca="1" si="95"/>
        <v>0.86230410618814335</v>
      </c>
      <c r="J1164">
        <f t="shared" ca="1" si="92"/>
        <v>0</v>
      </c>
      <c r="K1164">
        <f t="shared" ca="1" si="93"/>
        <v>1</v>
      </c>
      <c r="L1164" s="65">
        <v>1158</v>
      </c>
      <c r="M1164" s="71">
        <f t="shared" ca="1" si="94"/>
        <v>0</v>
      </c>
      <c r="N1164" s="65"/>
    </row>
    <row r="1165" spans="1:14" x14ac:dyDescent="0.25">
      <c r="A1165" s="2">
        <v>1159</v>
      </c>
      <c r="B1165" s="11">
        <f t="shared" ca="1" si="91"/>
        <v>0</v>
      </c>
      <c r="C1165" s="26">
        <f t="shared" ca="1" si="95"/>
        <v>0.46152789116589099</v>
      </c>
      <c r="J1165">
        <f t="shared" ca="1" si="92"/>
        <v>0</v>
      </c>
      <c r="K1165">
        <f t="shared" ca="1" si="93"/>
        <v>1</v>
      </c>
      <c r="L1165" s="65">
        <v>1159</v>
      </c>
      <c r="M1165" s="71">
        <f t="shared" ca="1" si="94"/>
        <v>0</v>
      </c>
      <c r="N1165" s="65"/>
    </row>
    <row r="1166" spans="1:14" x14ac:dyDescent="0.25">
      <c r="A1166" s="2">
        <v>1160</v>
      </c>
      <c r="B1166" s="11">
        <f t="shared" ca="1" si="91"/>
        <v>0</v>
      </c>
      <c r="C1166" s="26">
        <f t="shared" ca="1" si="95"/>
        <v>0.43750556750248515</v>
      </c>
      <c r="J1166">
        <f t="shared" ca="1" si="92"/>
        <v>0</v>
      </c>
      <c r="K1166">
        <f t="shared" ca="1" si="93"/>
        <v>1</v>
      </c>
      <c r="L1166" s="65">
        <v>1160</v>
      </c>
      <c r="M1166" s="71">
        <f t="shared" ca="1" si="94"/>
        <v>0</v>
      </c>
      <c r="N1166" s="65"/>
    </row>
    <row r="1167" spans="1:14" x14ac:dyDescent="0.25">
      <c r="A1167" s="2">
        <v>1161</v>
      </c>
      <c r="B1167" s="11">
        <f t="shared" ca="1" si="91"/>
        <v>0</v>
      </c>
      <c r="C1167" s="26">
        <f t="shared" ca="1" si="95"/>
        <v>0.45699360153736757</v>
      </c>
      <c r="J1167">
        <f t="shared" ca="1" si="92"/>
        <v>0</v>
      </c>
      <c r="K1167">
        <f t="shared" ca="1" si="93"/>
        <v>1</v>
      </c>
      <c r="L1167" s="65">
        <v>1161</v>
      </c>
      <c r="M1167" s="71">
        <f t="shared" ca="1" si="94"/>
        <v>0</v>
      </c>
      <c r="N1167" s="65"/>
    </row>
    <row r="1168" spans="1:14" x14ac:dyDescent="0.25">
      <c r="A1168" s="2">
        <v>1162</v>
      </c>
      <c r="B1168" s="11">
        <f t="shared" ca="1" si="91"/>
        <v>0</v>
      </c>
      <c r="C1168" s="26">
        <f t="shared" ca="1" si="95"/>
        <v>0.76632253582125753</v>
      </c>
      <c r="J1168">
        <f t="shared" ca="1" si="92"/>
        <v>0</v>
      </c>
      <c r="K1168">
        <f t="shared" ca="1" si="93"/>
        <v>1</v>
      </c>
      <c r="L1168" s="65">
        <v>1162</v>
      </c>
      <c r="M1168" s="71">
        <f t="shared" ca="1" si="94"/>
        <v>0</v>
      </c>
      <c r="N1168" s="65"/>
    </row>
    <row r="1169" spans="1:14" x14ac:dyDescent="0.25">
      <c r="A1169" s="2">
        <v>1163</v>
      </c>
      <c r="B1169" s="11">
        <f t="shared" ca="1" si="91"/>
        <v>0</v>
      </c>
      <c r="C1169" s="26">
        <f t="shared" ca="1" si="95"/>
        <v>0.89629112907342656</v>
      </c>
      <c r="J1169">
        <f t="shared" ca="1" si="92"/>
        <v>0</v>
      </c>
      <c r="K1169">
        <f t="shared" ca="1" si="93"/>
        <v>1</v>
      </c>
      <c r="L1169" s="65">
        <v>1163</v>
      </c>
      <c r="M1169" s="71">
        <f t="shared" ca="1" si="94"/>
        <v>0</v>
      </c>
      <c r="N1169" s="65"/>
    </row>
    <row r="1170" spans="1:14" x14ac:dyDescent="0.25">
      <c r="A1170" s="2">
        <v>1164</v>
      </c>
      <c r="B1170" s="11">
        <f t="shared" ca="1" si="91"/>
        <v>0</v>
      </c>
      <c r="C1170" s="26">
        <f t="shared" ca="1" si="95"/>
        <v>0.80820219531956539</v>
      </c>
      <c r="J1170">
        <f t="shared" ca="1" si="92"/>
        <v>0</v>
      </c>
      <c r="K1170">
        <f t="shared" ca="1" si="93"/>
        <v>1</v>
      </c>
      <c r="L1170" s="65">
        <v>1164</v>
      </c>
      <c r="M1170" s="71">
        <f t="shared" ca="1" si="94"/>
        <v>0</v>
      </c>
      <c r="N1170" s="65"/>
    </row>
    <row r="1171" spans="1:14" x14ac:dyDescent="0.25">
      <c r="A1171" s="2">
        <v>1165</v>
      </c>
      <c r="B1171" s="11">
        <f t="shared" ca="1" si="91"/>
        <v>0</v>
      </c>
      <c r="C1171" s="26">
        <f t="shared" ca="1" si="95"/>
        <v>0.95365824068722382</v>
      </c>
      <c r="J1171">
        <f t="shared" ca="1" si="92"/>
        <v>0</v>
      </c>
      <c r="K1171">
        <f t="shared" ca="1" si="93"/>
        <v>1</v>
      </c>
      <c r="L1171" s="65">
        <v>1165</v>
      </c>
      <c r="M1171" s="71">
        <f t="shared" ca="1" si="94"/>
        <v>0</v>
      </c>
      <c r="N1171" s="65"/>
    </row>
    <row r="1172" spans="1:14" x14ac:dyDescent="0.25">
      <c r="A1172" s="2">
        <v>1166</v>
      </c>
      <c r="B1172" s="11">
        <f t="shared" ca="1" si="91"/>
        <v>0</v>
      </c>
      <c r="C1172" s="26">
        <f t="shared" ca="1" si="95"/>
        <v>0.57162376946905846</v>
      </c>
      <c r="J1172">
        <f t="shared" ca="1" si="92"/>
        <v>0</v>
      </c>
      <c r="K1172">
        <f t="shared" ca="1" si="93"/>
        <v>0</v>
      </c>
      <c r="L1172" s="65">
        <v>1166</v>
      </c>
      <c r="M1172" s="71">
        <f t="shared" ca="1" si="94"/>
        <v>0</v>
      </c>
      <c r="N1172" s="65"/>
    </row>
    <row r="1173" spans="1:14" x14ac:dyDescent="0.25">
      <c r="A1173" s="2">
        <v>1167</v>
      </c>
      <c r="B1173" s="11">
        <f t="shared" ca="1" si="91"/>
        <v>1</v>
      </c>
      <c r="C1173" s="26">
        <f t="shared" ca="1" si="95"/>
        <v>0.2437624026607923</v>
      </c>
      <c r="J1173">
        <f t="shared" ca="1" si="92"/>
        <v>1</v>
      </c>
      <c r="K1173">
        <f t="shared" ca="1" si="93"/>
        <v>0</v>
      </c>
      <c r="L1173" s="65">
        <v>1167</v>
      </c>
      <c r="M1173" s="71">
        <f t="shared" ca="1" si="94"/>
        <v>2.5605710178366845</v>
      </c>
      <c r="N1173" s="65"/>
    </row>
    <row r="1174" spans="1:14" x14ac:dyDescent="0.25">
      <c r="A1174" s="2">
        <v>1168</v>
      </c>
      <c r="B1174" s="11">
        <f t="shared" ca="1" si="91"/>
        <v>1</v>
      </c>
      <c r="C1174" s="26">
        <f t="shared" ca="1" si="95"/>
        <v>0.30097418467542225</v>
      </c>
      <c r="J1174">
        <f t="shared" ca="1" si="92"/>
        <v>1</v>
      </c>
      <c r="K1174">
        <f t="shared" ca="1" si="93"/>
        <v>0</v>
      </c>
      <c r="L1174" s="65">
        <v>1168</v>
      </c>
      <c r="M1174" s="71">
        <f t="shared" ca="1" si="94"/>
        <v>0.60401554410212388</v>
      </c>
      <c r="N1174" s="65"/>
    </row>
    <row r="1175" spans="1:14" x14ac:dyDescent="0.25">
      <c r="A1175" s="2">
        <v>1169</v>
      </c>
      <c r="B1175" s="11">
        <f t="shared" ca="1" si="91"/>
        <v>1</v>
      </c>
      <c r="C1175" s="26">
        <f t="shared" ca="1" si="95"/>
        <v>0.59169778712511167</v>
      </c>
      <c r="J1175">
        <f t="shared" ca="1" si="92"/>
        <v>1</v>
      </c>
      <c r="K1175">
        <f t="shared" ca="1" si="93"/>
        <v>0</v>
      </c>
      <c r="L1175" s="65">
        <v>1169</v>
      </c>
      <c r="M1175" s="71">
        <f t="shared" ca="1" si="94"/>
        <v>3.1485919172538677</v>
      </c>
      <c r="N1175" s="65"/>
    </row>
    <row r="1176" spans="1:14" x14ac:dyDescent="0.25">
      <c r="A1176" s="2">
        <v>1170</v>
      </c>
      <c r="B1176" s="11">
        <f t="shared" ca="1" si="91"/>
        <v>1</v>
      </c>
      <c r="C1176" s="26">
        <f t="shared" ca="1" si="95"/>
        <v>0.61507121251945651</v>
      </c>
      <c r="J1176">
        <f t="shared" ca="1" si="92"/>
        <v>0</v>
      </c>
      <c r="K1176">
        <f t="shared" ca="1" si="93"/>
        <v>0</v>
      </c>
      <c r="L1176" s="65">
        <v>1170</v>
      </c>
      <c r="M1176" s="71">
        <f t="shared" ca="1" si="94"/>
        <v>4.0875098856056882</v>
      </c>
      <c r="N1176" s="65"/>
    </row>
    <row r="1177" spans="1:14" x14ac:dyDescent="0.25">
      <c r="A1177" s="2">
        <v>1171</v>
      </c>
      <c r="B1177" s="11">
        <f t="shared" ca="1" si="91"/>
        <v>0</v>
      </c>
      <c r="C1177" s="26">
        <f t="shared" ca="1" si="95"/>
        <v>0.78023845700151717</v>
      </c>
      <c r="J1177">
        <f t="shared" ca="1" si="92"/>
        <v>0</v>
      </c>
      <c r="K1177">
        <f t="shared" ca="1" si="93"/>
        <v>1</v>
      </c>
      <c r="L1177" s="65">
        <v>1171</v>
      </c>
      <c r="M1177" s="71">
        <f t="shared" ca="1" si="94"/>
        <v>0</v>
      </c>
      <c r="N1177" s="65"/>
    </row>
    <row r="1178" spans="1:14" x14ac:dyDescent="0.25">
      <c r="A1178" s="2">
        <v>1172</v>
      </c>
      <c r="B1178" s="11">
        <f t="shared" ca="1" si="91"/>
        <v>0</v>
      </c>
      <c r="C1178" s="26">
        <f t="shared" ca="1" si="95"/>
        <v>0.54931525435885986</v>
      </c>
      <c r="J1178">
        <f t="shared" ca="1" si="92"/>
        <v>0</v>
      </c>
      <c r="K1178">
        <f t="shared" ca="1" si="93"/>
        <v>1</v>
      </c>
      <c r="L1178" s="65">
        <v>1172</v>
      </c>
      <c r="M1178" s="71">
        <f t="shared" ca="1" si="94"/>
        <v>0</v>
      </c>
      <c r="N1178" s="65"/>
    </row>
    <row r="1179" spans="1:14" x14ac:dyDescent="0.25">
      <c r="A1179" s="2">
        <v>1173</v>
      </c>
      <c r="B1179" s="11">
        <f t="shared" ca="1" si="91"/>
        <v>0</v>
      </c>
      <c r="C1179" s="26">
        <f t="shared" ca="1" si="95"/>
        <v>0.75626501789334588</v>
      </c>
      <c r="J1179">
        <f t="shared" ca="1" si="92"/>
        <v>0</v>
      </c>
      <c r="K1179">
        <f t="shared" ca="1" si="93"/>
        <v>0</v>
      </c>
      <c r="L1179" s="65">
        <v>1173</v>
      </c>
      <c r="M1179" s="71">
        <f t="shared" ca="1" si="94"/>
        <v>0</v>
      </c>
      <c r="N1179" s="65"/>
    </row>
    <row r="1180" spans="1:14" x14ac:dyDescent="0.25">
      <c r="A1180" s="2">
        <v>1174</v>
      </c>
      <c r="B1180" s="11">
        <f t="shared" ca="1" si="91"/>
        <v>1</v>
      </c>
      <c r="C1180" s="26">
        <f t="shared" ca="1" si="95"/>
        <v>0.18376098573792932</v>
      </c>
      <c r="J1180">
        <f t="shared" ca="1" si="92"/>
        <v>0</v>
      </c>
      <c r="K1180">
        <f t="shared" ca="1" si="93"/>
        <v>0</v>
      </c>
      <c r="L1180" s="65">
        <v>1174</v>
      </c>
      <c r="M1180" s="71">
        <f t="shared" ca="1" si="94"/>
        <v>2.6929070202888359</v>
      </c>
      <c r="N1180" s="65"/>
    </row>
    <row r="1181" spans="1:14" x14ac:dyDescent="0.25">
      <c r="A1181" s="2">
        <v>1175</v>
      </c>
      <c r="B1181" s="11">
        <f t="shared" ca="1" si="91"/>
        <v>0</v>
      </c>
      <c r="C1181" s="26">
        <f t="shared" ca="1" si="95"/>
        <v>0.99796741594943994</v>
      </c>
      <c r="J1181">
        <f t="shared" ca="1" si="92"/>
        <v>0</v>
      </c>
      <c r="K1181">
        <f t="shared" ca="1" si="93"/>
        <v>0</v>
      </c>
      <c r="L1181" s="65">
        <v>1175</v>
      </c>
      <c r="M1181" s="71">
        <f t="shared" ca="1" si="94"/>
        <v>0</v>
      </c>
      <c r="N1181" s="65"/>
    </row>
    <row r="1182" spans="1:14" x14ac:dyDescent="0.25">
      <c r="A1182" s="2">
        <v>1176</v>
      </c>
      <c r="B1182" s="11">
        <f t="shared" ca="1" si="91"/>
        <v>1</v>
      </c>
      <c r="C1182" s="26">
        <f t="shared" ca="1" si="95"/>
        <v>0.27267759800877844</v>
      </c>
      <c r="J1182">
        <f t="shared" ca="1" si="92"/>
        <v>1</v>
      </c>
      <c r="K1182">
        <f t="shared" ca="1" si="93"/>
        <v>0</v>
      </c>
      <c r="L1182" s="65">
        <v>1176</v>
      </c>
      <c r="M1182" s="71">
        <f t="shared" ca="1" si="94"/>
        <v>3.1906056708318718E-2</v>
      </c>
      <c r="N1182" s="65"/>
    </row>
    <row r="1183" spans="1:14" x14ac:dyDescent="0.25">
      <c r="A1183" s="2">
        <v>1177</v>
      </c>
      <c r="B1183" s="11">
        <f t="shared" ca="1" si="91"/>
        <v>1</v>
      </c>
      <c r="C1183" s="26">
        <f t="shared" ca="1" si="95"/>
        <v>0.49195323181848527</v>
      </c>
      <c r="J1183">
        <f t="shared" ca="1" si="92"/>
        <v>1</v>
      </c>
      <c r="K1183">
        <f t="shared" ca="1" si="93"/>
        <v>0</v>
      </c>
      <c r="L1183" s="65">
        <v>1177</v>
      </c>
      <c r="M1183" s="71">
        <f t="shared" ca="1" si="94"/>
        <v>8.5615185501797804</v>
      </c>
      <c r="N1183" s="65"/>
    </row>
    <row r="1184" spans="1:14" x14ac:dyDescent="0.25">
      <c r="A1184" s="2">
        <v>1178</v>
      </c>
      <c r="B1184" s="11">
        <f t="shared" ca="1" si="91"/>
        <v>1</v>
      </c>
      <c r="C1184" s="26">
        <f t="shared" ca="1" si="95"/>
        <v>0.37148882474578815</v>
      </c>
      <c r="J1184">
        <f t="shared" ca="1" si="92"/>
        <v>1</v>
      </c>
      <c r="K1184">
        <f t="shared" ca="1" si="93"/>
        <v>0</v>
      </c>
      <c r="L1184" s="65">
        <v>1178</v>
      </c>
      <c r="M1184" s="71">
        <f t="shared" ca="1" si="94"/>
        <v>9.3176218362795604E-2</v>
      </c>
      <c r="N1184" s="65"/>
    </row>
    <row r="1185" spans="1:14" x14ac:dyDescent="0.25">
      <c r="A1185" s="2">
        <v>1179</v>
      </c>
      <c r="B1185" s="11">
        <f t="shared" ca="1" si="91"/>
        <v>1</v>
      </c>
      <c r="C1185" s="26">
        <f t="shared" ca="1" si="95"/>
        <v>0.261311520530498</v>
      </c>
      <c r="J1185">
        <f t="shared" ca="1" si="92"/>
        <v>1</v>
      </c>
      <c r="K1185">
        <f t="shared" ca="1" si="93"/>
        <v>0</v>
      </c>
      <c r="L1185" s="65">
        <v>1179</v>
      </c>
      <c r="M1185" s="71">
        <f t="shared" ca="1" si="94"/>
        <v>4.3003959383422226</v>
      </c>
      <c r="N1185" s="65"/>
    </row>
    <row r="1186" spans="1:14" x14ac:dyDescent="0.25">
      <c r="A1186" s="2">
        <v>1180</v>
      </c>
      <c r="B1186" s="11">
        <f t="shared" ca="1" si="91"/>
        <v>1</v>
      </c>
      <c r="C1186" s="26">
        <f t="shared" ca="1" si="95"/>
        <v>0.17535376592647656</v>
      </c>
      <c r="J1186">
        <f t="shared" ca="1" si="92"/>
        <v>1</v>
      </c>
      <c r="K1186">
        <f t="shared" ca="1" si="93"/>
        <v>0</v>
      </c>
      <c r="L1186" s="65">
        <v>1180</v>
      </c>
      <c r="M1186" s="71">
        <f t="shared" ca="1" si="94"/>
        <v>0.97675684543703944</v>
      </c>
      <c r="N1186" s="65"/>
    </row>
    <row r="1187" spans="1:14" x14ac:dyDescent="0.25">
      <c r="A1187" s="2">
        <v>1181</v>
      </c>
      <c r="B1187" s="11">
        <f t="shared" ca="1" si="91"/>
        <v>1</v>
      </c>
      <c r="C1187" s="26">
        <f t="shared" ca="1" si="95"/>
        <v>0.16704211979569461</v>
      </c>
      <c r="J1187">
        <f t="shared" ca="1" si="92"/>
        <v>1</v>
      </c>
      <c r="K1187">
        <f t="shared" ca="1" si="93"/>
        <v>0</v>
      </c>
      <c r="L1187" s="65">
        <v>1181</v>
      </c>
      <c r="M1187" s="71">
        <f t="shared" ca="1" si="94"/>
        <v>0.56078276204551669</v>
      </c>
      <c r="N1187" s="65"/>
    </row>
    <row r="1188" spans="1:14" x14ac:dyDescent="0.25">
      <c r="A1188" s="2">
        <v>1182</v>
      </c>
      <c r="B1188" s="11">
        <f t="shared" ca="1" si="91"/>
        <v>1</v>
      </c>
      <c r="C1188" s="26">
        <f t="shared" ca="1" si="95"/>
        <v>0.12061830466159051</v>
      </c>
      <c r="J1188">
        <f t="shared" ca="1" si="92"/>
        <v>1</v>
      </c>
      <c r="K1188">
        <f t="shared" ca="1" si="93"/>
        <v>0</v>
      </c>
      <c r="L1188" s="65">
        <v>1182</v>
      </c>
      <c r="M1188" s="71">
        <f t="shared" ca="1" si="94"/>
        <v>5.9225398586203912</v>
      </c>
      <c r="N1188" s="65"/>
    </row>
    <row r="1189" spans="1:14" x14ac:dyDescent="0.25">
      <c r="A1189" s="2">
        <v>1183</v>
      </c>
      <c r="B1189" s="11">
        <f t="shared" ca="1" si="91"/>
        <v>1</v>
      </c>
      <c r="C1189" s="26">
        <f t="shared" ca="1" si="95"/>
        <v>0.32447940947301501</v>
      </c>
      <c r="J1189">
        <f t="shared" ca="1" si="92"/>
        <v>1</v>
      </c>
      <c r="K1189">
        <f t="shared" ca="1" si="93"/>
        <v>0</v>
      </c>
      <c r="L1189" s="65">
        <v>1183</v>
      </c>
      <c r="M1189" s="71">
        <f t="shared" ca="1" si="94"/>
        <v>0.54984806789053475</v>
      </c>
      <c r="N1189" s="65"/>
    </row>
    <row r="1190" spans="1:14" x14ac:dyDescent="0.25">
      <c r="A1190" s="2">
        <v>1184</v>
      </c>
      <c r="B1190" s="11">
        <f t="shared" ca="1" si="91"/>
        <v>1</v>
      </c>
      <c r="C1190" s="26">
        <f t="shared" ca="1" si="95"/>
        <v>0.42133596956081132</v>
      </c>
      <c r="J1190">
        <f t="shared" ca="1" si="92"/>
        <v>1</v>
      </c>
      <c r="K1190">
        <f t="shared" ca="1" si="93"/>
        <v>0</v>
      </c>
      <c r="L1190" s="65">
        <v>1184</v>
      </c>
      <c r="M1190" s="71">
        <f t="shared" ca="1" si="94"/>
        <v>0.43137211239872164</v>
      </c>
      <c r="N1190" s="65"/>
    </row>
    <row r="1191" spans="1:14" x14ac:dyDescent="0.25">
      <c r="A1191" s="2">
        <v>1185</v>
      </c>
      <c r="B1191" s="11">
        <f t="shared" ca="1" si="91"/>
        <v>1</v>
      </c>
      <c r="C1191" s="26">
        <f t="shared" ca="1" si="95"/>
        <v>0.18096128248769261</v>
      </c>
      <c r="J1191">
        <f t="shared" ca="1" si="92"/>
        <v>0</v>
      </c>
      <c r="K1191">
        <f t="shared" ca="1" si="93"/>
        <v>0</v>
      </c>
      <c r="L1191" s="65">
        <v>1185</v>
      </c>
      <c r="M1191" s="71">
        <f t="shared" ca="1" si="94"/>
        <v>7.2309335225693214</v>
      </c>
      <c r="N1191" s="65"/>
    </row>
    <row r="1192" spans="1:14" x14ac:dyDescent="0.25">
      <c r="A1192" s="2">
        <v>1186</v>
      </c>
      <c r="B1192" s="11">
        <f t="shared" ca="1" si="91"/>
        <v>0</v>
      </c>
      <c r="C1192" s="26">
        <f t="shared" ca="1" si="95"/>
        <v>0.79342582414501417</v>
      </c>
      <c r="J1192">
        <f t="shared" ca="1" si="92"/>
        <v>0</v>
      </c>
      <c r="K1192">
        <f t="shared" ca="1" si="93"/>
        <v>1</v>
      </c>
      <c r="L1192" s="65">
        <v>1186</v>
      </c>
      <c r="M1192" s="71">
        <f t="shared" ca="1" si="94"/>
        <v>0</v>
      </c>
      <c r="N1192" s="65"/>
    </row>
    <row r="1193" spans="1:14" x14ac:dyDescent="0.25">
      <c r="A1193" s="2">
        <v>1187</v>
      </c>
      <c r="B1193" s="11">
        <f t="shared" ca="1" si="91"/>
        <v>0</v>
      </c>
      <c r="C1193" s="26">
        <f t="shared" ca="1" si="95"/>
        <v>0.8143022365212137</v>
      </c>
      <c r="J1193">
        <f t="shared" ca="1" si="92"/>
        <v>0</v>
      </c>
      <c r="K1193">
        <f t="shared" ca="1" si="93"/>
        <v>1</v>
      </c>
      <c r="L1193" s="65">
        <v>1187</v>
      </c>
      <c r="M1193" s="71">
        <f t="shared" ca="1" si="94"/>
        <v>0</v>
      </c>
      <c r="N1193" s="65"/>
    </row>
    <row r="1194" spans="1:14" x14ac:dyDescent="0.25">
      <c r="A1194" s="2">
        <v>1188</v>
      </c>
      <c r="B1194" s="11">
        <f t="shared" ca="1" si="91"/>
        <v>0</v>
      </c>
      <c r="C1194" s="26">
        <f t="shared" ca="1" si="95"/>
        <v>0.85406419196819983</v>
      </c>
      <c r="J1194">
        <f t="shared" ca="1" si="92"/>
        <v>0</v>
      </c>
      <c r="K1194">
        <f t="shared" ca="1" si="93"/>
        <v>1</v>
      </c>
      <c r="L1194" s="65">
        <v>1188</v>
      </c>
      <c r="M1194" s="71">
        <f t="shared" ca="1" si="94"/>
        <v>0</v>
      </c>
      <c r="N1194" s="65"/>
    </row>
    <row r="1195" spans="1:14" x14ac:dyDescent="0.25">
      <c r="A1195" s="2">
        <v>1189</v>
      </c>
      <c r="B1195" s="11">
        <f t="shared" ca="1" si="91"/>
        <v>0</v>
      </c>
      <c r="C1195" s="26">
        <f t="shared" ca="1" si="95"/>
        <v>0.90050165752059186</v>
      </c>
      <c r="J1195">
        <f t="shared" ca="1" si="92"/>
        <v>0</v>
      </c>
      <c r="K1195">
        <f t="shared" ca="1" si="93"/>
        <v>1</v>
      </c>
      <c r="L1195" s="65">
        <v>1189</v>
      </c>
      <c r="M1195" s="71">
        <f t="shared" ca="1" si="94"/>
        <v>0</v>
      </c>
      <c r="N1195" s="65"/>
    </row>
    <row r="1196" spans="1:14" x14ac:dyDescent="0.25">
      <c r="A1196" s="2">
        <v>1190</v>
      </c>
      <c r="B1196" s="11">
        <f t="shared" ca="1" si="91"/>
        <v>0</v>
      </c>
      <c r="C1196" s="26">
        <f t="shared" ca="1" si="95"/>
        <v>0.68060858746152242</v>
      </c>
      <c r="J1196">
        <f t="shared" ca="1" si="92"/>
        <v>0</v>
      </c>
      <c r="K1196">
        <f t="shared" ca="1" si="93"/>
        <v>1</v>
      </c>
      <c r="L1196" s="65">
        <v>1190</v>
      </c>
      <c r="M1196" s="71">
        <f t="shared" ca="1" si="94"/>
        <v>0</v>
      </c>
      <c r="N1196" s="65"/>
    </row>
    <row r="1197" spans="1:14" x14ac:dyDescent="0.25">
      <c r="A1197" s="2">
        <v>1191</v>
      </c>
      <c r="B1197" s="11">
        <f t="shared" ca="1" si="91"/>
        <v>0</v>
      </c>
      <c r="C1197" s="26">
        <f t="shared" ca="1" si="95"/>
        <v>0.8199651180069506</v>
      </c>
      <c r="J1197">
        <f t="shared" ca="1" si="92"/>
        <v>0</v>
      </c>
      <c r="K1197">
        <f t="shared" ca="1" si="93"/>
        <v>1</v>
      </c>
      <c r="L1197" s="65">
        <v>1191</v>
      </c>
      <c r="M1197" s="71">
        <f t="shared" ca="1" si="94"/>
        <v>0</v>
      </c>
      <c r="N1197" s="65"/>
    </row>
    <row r="1198" spans="1:14" x14ac:dyDescent="0.25">
      <c r="A1198" s="2">
        <v>1192</v>
      </c>
      <c r="B1198" s="11">
        <f t="shared" ca="1" si="91"/>
        <v>0</v>
      </c>
      <c r="C1198" s="26">
        <f t="shared" ca="1" si="95"/>
        <v>0.39979396029767755</v>
      </c>
      <c r="J1198">
        <f t="shared" ca="1" si="92"/>
        <v>0</v>
      </c>
      <c r="K1198">
        <f t="shared" ca="1" si="93"/>
        <v>0</v>
      </c>
      <c r="L1198" s="65">
        <v>1192</v>
      </c>
      <c r="M1198" s="71">
        <f t="shared" ca="1" si="94"/>
        <v>0</v>
      </c>
      <c r="N1198" s="65"/>
    </row>
    <row r="1199" spans="1:14" x14ac:dyDescent="0.25">
      <c r="A1199" s="2">
        <v>1193</v>
      </c>
      <c r="B1199" s="11">
        <f t="shared" ref="B1199:B1262" ca="1" si="96">IF(B1198&gt;0,IF(C1199&lt;pww,1,0),IF(C1199&lt;pdw,1,0))</f>
        <v>1</v>
      </c>
      <c r="C1199" s="26">
        <f t="shared" ca="1" si="95"/>
        <v>0.20721656113665032</v>
      </c>
      <c r="J1199">
        <f t="shared" ref="J1199:J1262" ca="1" si="97">IF(AND(B1199,B1200),1,0)</f>
        <v>0</v>
      </c>
      <c r="K1199">
        <f t="shared" ref="K1199:K1262" ca="1" si="98">IF(AND(NOT(B1199),NOT(B1200)),1,0)</f>
        <v>0</v>
      </c>
      <c r="L1199" s="65">
        <v>1193</v>
      </c>
      <c r="M1199" s="71">
        <f t="shared" ca="1" si="94"/>
        <v>8.1617635163889908</v>
      </c>
      <c r="N1199" s="65"/>
    </row>
    <row r="1200" spans="1:14" x14ac:dyDescent="0.25">
      <c r="A1200" s="2">
        <v>1194</v>
      </c>
      <c r="B1200" s="11">
        <f t="shared" ca="1" si="96"/>
        <v>0</v>
      </c>
      <c r="C1200" s="26">
        <f t="shared" ca="1" si="95"/>
        <v>0.92098630644513058</v>
      </c>
      <c r="J1200">
        <f t="shared" ca="1" si="97"/>
        <v>0</v>
      </c>
      <c r="K1200">
        <f t="shared" ca="1" si="98"/>
        <v>1</v>
      </c>
      <c r="L1200" s="65">
        <v>1194</v>
      </c>
      <c r="M1200" s="71">
        <f t="shared" ca="1" si="94"/>
        <v>0</v>
      </c>
      <c r="N1200" s="65"/>
    </row>
    <row r="1201" spans="1:14" x14ac:dyDescent="0.25">
      <c r="A1201" s="2">
        <v>1195</v>
      </c>
      <c r="B1201" s="11">
        <f t="shared" ca="1" si="96"/>
        <v>0</v>
      </c>
      <c r="C1201" s="26">
        <f t="shared" ca="1" si="95"/>
        <v>0.8492662501597027</v>
      </c>
      <c r="J1201">
        <f t="shared" ca="1" si="97"/>
        <v>0</v>
      </c>
      <c r="K1201">
        <f t="shared" ca="1" si="98"/>
        <v>1</v>
      </c>
      <c r="L1201" s="65">
        <v>1195</v>
      </c>
      <c r="M1201" s="71">
        <f t="shared" ca="1" si="94"/>
        <v>0</v>
      </c>
      <c r="N1201" s="65"/>
    </row>
    <row r="1202" spans="1:14" x14ac:dyDescent="0.25">
      <c r="A1202" s="2">
        <v>1196</v>
      </c>
      <c r="B1202" s="11">
        <f t="shared" ca="1" si="96"/>
        <v>0</v>
      </c>
      <c r="C1202" s="26">
        <f t="shared" ca="1" si="95"/>
        <v>0.67513122256894009</v>
      </c>
      <c r="J1202">
        <f t="shared" ca="1" si="97"/>
        <v>0</v>
      </c>
      <c r="K1202">
        <f t="shared" ca="1" si="98"/>
        <v>1</v>
      </c>
      <c r="L1202" s="65">
        <v>1196</v>
      </c>
      <c r="M1202" s="71">
        <f t="shared" ca="1" si="94"/>
        <v>0</v>
      </c>
      <c r="N1202" s="65"/>
    </row>
    <row r="1203" spans="1:14" x14ac:dyDescent="0.25">
      <c r="A1203" s="2">
        <v>1197</v>
      </c>
      <c r="B1203" s="11">
        <f t="shared" ca="1" si="96"/>
        <v>0</v>
      </c>
      <c r="C1203" s="26">
        <f t="shared" ca="1" si="95"/>
        <v>0.39808694180140258</v>
      </c>
      <c r="J1203">
        <f t="shared" ca="1" si="97"/>
        <v>0</v>
      </c>
      <c r="K1203">
        <f t="shared" ca="1" si="98"/>
        <v>1</v>
      </c>
      <c r="L1203" s="65">
        <v>1197</v>
      </c>
      <c r="M1203" s="71">
        <f t="shared" ca="1" si="94"/>
        <v>0</v>
      </c>
      <c r="N1203" s="65"/>
    </row>
    <row r="1204" spans="1:14" x14ac:dyDescent="0.25">
      <c r="A1204" s="2">
        <v>1198</v>
      </c>
      <c r="B1204" s="11">
        <f t="shared" ca="1" si="96"/>
        <v>0</v>
      </c>
      <c r="C1204" s="26">
        <f t="shared" ca="1" si="95"/>
        <v>0.91922213894097204</v>
      </c>
      <c r="J1204">
        <f t="shared" ca="1" si="97"/>
        <v>0</v>
      </c>
      <c r="K1204">
        <f t="shared" ca="1" si="98"/>
        <v>0</v>
      </c>
      <c r="L1204" s="65">
        <v>1198</v>
      </c>
      <c r="M1204" s="71">
        <f t="shared" ca="1" si="94"/>
        <v>0</v>
      </c>
      <c r="N1204" s="65"/>
    </row>
    <row r="1205" spans="1:14" x14ac:dyDescent="0.25">
      <c r="A1205" s="2">
        <v>1199</v>
      </c>
      <c r="B1205" s="11">
        <f t="shared" ca="1" si="96"/>
        <v>1</v>
      </c>
      <c r="C1205" s="26">
        <f t="shared" ca="1" si="95"/>
        <v>0.2506818602878842</v>
      </c>
      <c r="J1205">
        <f t="shared" ca="1" si="97"/>
        <v>1</v>
      </c>
      <c r="K1205">
        <f t="shared" ca="1" si="98"/>
        <v>0</v>
      </c>
      <c r="L1205" s="65">
        <v>1199</v>
      </c>
      <c r="M1205" s="71">
        <f t="shared" ca="1" si="94"/>
        <v>0.80198840735116572</v>
      </c>
      <c r="N1205" s="65"/>
    </row>
    <row r="1206" spans="1:14" x14ac:dyDescent="0.25">
      <c r="A1206" s="2">
        <v>1200</v>
      </c>
      <c r="B1206" s="11">
        <f t="shared" ca="1" si="96"/>
        <v>1</v>
      </c>
      <c r="C1206" s="26">
        <f t="shared" ca="1" si="95"/>
        <v>0.58645894746918859</v>
      </c>
      <c r="J1206">
        <f t="shared" ca="1" si="97"/>
        <v>1</v>
      </c>
      <c r="K1206">
        <f t="shared" ca="1" si="98"/>
        <v>0</v>
      </c>
      <c r="L1206" s="65">
        <v>1200</v>
      </c>
      <c r="M1206" s="71">
        <f t="shared" ca="1" si="94"/>
        <v>2.0375653736154162</v>
      </c>
      <c r="N1206" s="65"/>
    </row>
    <row r="1207" spans="1:14" x14ac:dyDescent="0.25">
      <c r="A1207" s="2">
        <v>1201</v>
      </c>
      <c r="B1207" s="11">
        <f t="shared" ca="1" si="96"/>
        <v>1</v>
      </c>
      <c r="C1207" s="26">
        <f t="shared" ca="1" si="95"/>
        <v>0.67572062198069982</v>
      </c>
      <c r="J1207">
        <f t="shared" ca="1" si="97"/>
        <v>1</v>
      </c>
      <c r="K1207">
        <f t="shared" ca="1" si="98"/>
        <v>0</v>
      </c>
      <c r="L1207" s="65">
        <v>1201</v>
      </c>
      <c r="M1207" s="71">
        <f t="shared" ca="1" si="94"/>
        <v>3.3938078688336211E-2</v>
      </c>
      <c r="N1207" s="65"/>
    </row>
    <row r="1208" spans="1:14" x14ac:dyDescent="0.25">
      <c r="A1208" s="2">
        <v>1202</v>
      </c>
      <c r="B1208" s="11">
        <f t="shared" ca="1" si="96"/>
        <v>1</v>
      </c>
      <c r="C1208" s="26">
        <f t="shared" ca="1" si="95"/>
        <v>0.5375419711845415</v>
      </c>
      <c r="J1208">
        <f t="shared" ca="1" si="97"/>
        <v>1</v>
      </c>
      <c r="K1208">
        <f t="shared" ca="1" si="98"/>
        <v>0</v>
      </c>
      <c r="L1208" s="65">
        <v>1202</v>
      </c>
      <c r="M1208" s="71">
        <f t="shared" ca="1" si="94"/>
        <v>0.76456871591382558</v>
      </c>
      <c r="N1208" s="65"/>
    </row>
    <row r="1209" spans="1:14" x14ac:dyDescent="0.25">
      <c r="A1209" s="2">
        <v>1203</v>
      </c>
      <c r="B1209" s="11">
        <f t="shared" ca="1" si="96"/>
        <v>1</v>
      </c>
      <c r="C1209" s="26">
        <f t="shared" ca="1" si="95"/>
        <v>0.62068248624813394</v>
      </c>
      <c r="J1209">
        <f t="shared" ca="1" si="97"/>
        <v>0</v>
      </c>
      <c r="K1209">
        <f t="shared" ca="1" si="98"/>
        <v>0</v>
      </c>
      <c r="L1209" s="65">
        <v>1203</v>
      </c>
      <c r="M1209" s="71">
        <f t="shared" ca="1" si="94"/>
        <v>1.5839125234008093</v>
      </c>
      <c r="N1209" s="65"/>
    </row>
    <row r="1210" spans="1:14" x14ac:dyDescent="0.25">
      <c r="A1210" s="2">
        <v>1204</v>
      </c>
      <c r="B1210" s="11">
        <f t="shared" ca="1" si="96"/>
        <v>0</v>
      </c>
      <c r="C1210" s="26">
        <f t="shared" ca="1" si="95"/>
        <v>0.84618205752182862</v>
      </c>
      <c r="J1210">
        <f t="shared" ca="1" si="97"/>
        <v>0</v>
      </c>
      <c r="K1210">
        <f t="shared" ca="1" si="98"/>
        <v>1</v>
      </c>
      <c r="L1210" s="65">
        <v>1204</v>
      </c>
      <c r="M1210" s="71">
        <f t="shared" ca="1" si="94"/>
        <v>0</v>
      </c>
      <c r="N1210" s="65"/>
    </row>
    <row r="1211" spans="1:14" x14ac:dyDescent="0.25">
      <c r="A1211" s="2">
        <v>1205</v>
      </c>
      <c r="B1211" s="11">
        <f t="shared" ca="1" si="96"/>
        <v>0</v>
      </c>
      <c r="C1211" s="26">
        <f t="shared" ca="1" si="95"/>
        <v>0.67810871368812664</v>
      </c>
      <c r="J1211">
        <f t="shared" ca="1" si="97"/>
        <v>0</v>
      </c>
      <c r="K1211">
        <f t="shared" ca="1" si="98"/>
        <v>1</v>
      </c>
      <c r="L1211" s="65">
        <v>1205</v>
      </c>
      <c r="M1211" s="71">
        <f t="shared" ca="1" si="94"/>
        <v>0</v>
      </c>
      <c r="N1211" s="65"/>
    </row>
    <row r="1212" spans="1:14" x14ac:dyDescent="0.25">
      <c r="A1212" s="2">
        <v>1206</v>
      </c>
      <c r="B1212" s="11">
        <f t="shared" ca="1" si="96"/>
        <v>0</v>
      </c>
      <c r="C1212" s="26">
        <f t="shared" ca="1" si="95"/>
        <v>0.40442818101737299</v>
      </c>
      <c r="J1212">
        <f t="shared" ca="1" si="97"/>
        <v>0</v>
      </c>
      <c r="K1212">
        <f t="shared" ca="1" si="98"/>
        <v>1</v>
      </c>
      <c r="L1212" s="65">
        <v>1206</v>
      </c>
      <c r="M1212" s="71">
        <f t="shared" ca="1" si="94"/>
        <v>0</v>
      </c>
      <c r="N1212" s="65"/>
    </row>
    <row r="1213" spans="1:14" x14ac:dyDescent="0.25">
      <c r="A1213" s="2">
        <v>1207</v>
      </c>
      <c r="B1213" s="11">
        <f t="shared" ca="1" si="96"/>
        <v>0</v>
      </c>
      <c r="C1213" s="26">
        <f t="shared" ca="1" si="95"/>
        <v>0.97032396067399929</v>
      </c>
      <c r="J1213">
        <f t="shared" ca="1" si="97"/>
        <v>0</v>
      </c>
      <c r="K1213">
        <f t="shared" ca="1" si="98"/>
        <v>1</v>
      </c>
      <c r="L1213" s="65">
        <v>1207</v>
      </c>
      <c r="M1213" s="71">
        <f t="shared" ca="1" si="94"/>
        <v>0</v>
      </c>
      <c r="N1213" s="65"/>
    </row>
    <row r="1214" spans="1:14" x14ac:dyDescent="0.25">
      <c r="A1214" s="2">
        <v>1208</v>
      </c>
      <c r="B1214" s="11">
        <f t="shared" ca="1" si="96"/>
        <v>0</v>
      </c>
      <c r="C1214" s="26">
        <f t="shared" ca="1" si="95"/>
        <v>0.49361669523047425</v>
      </c>
      <c r="J1214">
        <f t="shared" ca="1" si="97"/>
        <v>0</v>
      </c>
      <c r="K1214">
        <f t="shared" ca="1" si="98"/>
        <v>0</v>
      </c>
      <c r="L1214" s="65">
        <v>1208</v>
      </c>
      <c r="M1214" s="71">
        <f t="shared" ca="1" si="94"/>
        <v>0</v>
      </c>
      <c r="N1214" s="65"/>
    </row>
    <row r="1215" spans="1:14" x14ac:dyDescent="0.25">
      <c r="A1215" s="2">
        <v>1209</v>
      </c>
      <c r="B1215" s="11">
        <f t="shared" ca="1" si="96"/>
        <v>1</v>
      </c>
      <c r="C1215" s="26">
        <f t="shared" ca="1" si="95"/>
        <v>0.12041261457222086</v>
      </c>
      <c r="J1215">
        <f t="shared" ca="1" si="97"/>
        <v>1</v>
      </c>
      <c r="K1215">
        <f t="shared" ca="1" si="98"/>
        <v>0</v>
      </c>
      <c r="L1215" s="65">
        <v>1209</v>
      </c>
      <c r="M1215" s="71">
        <f t="shared" ca="1" si="94"/>
        <v>6.2344464692854258</v>
      </c>
      <c r="N1215" s="65"/>
    </row>
    <row r="1216" spans="1:14" x14ac:dyDescent="0.25">
      <c r="A1216" s="2">
        <v>1210</v>
      </c>
      <c r="B1216" s="11">
        <f t="shared" ca="1" si="96"/>
        <v>1</v>
      </c>
      <c r="C1216" s="26">
        <f t="shared" ca="1" si="95"/>
        <v>0.55894237178822392</v>
      </c>
      <c r="J1216">
        <f t="shared" ca="1" si="97"/>
        <v>1</v>
      </c>
      <c r="K1216">
        <f t="shared" ca="1" si="98"/>
        <v>0</v>
      </c>
      <c r="L1216" s="65">
        <v>1210</v>
      </c>
      <c r="M1216" s="71">
        <f t="shared" ca="1" si="94"/>
        <v>2.7069738353491126</v>
      </c>
      <c r="N1216" s="65"/>
    </row>
    <row r="1217" spans="1:14" x14ac:dyDescent="0.25">
      <c r="A1217" s="2">
        <v>1211</v>
      </c>
      <c r="B1217" s="11">
        <f t="shared" ca="1" si="96"/>
        <v>1</v>
      </c>
      <c r="C1217" s="26">
        <f t="shared" ca="1" si="95"/>
        <v>0.34413597270818608</v>
      </c>
      <c r="J1217">
        <f t="shared" ca="1" si="97"/>
        <v>1</v>
      </c>
      <c r="K1217">
        <f t="shared" ca="1" si="98"/>
        <v>0</v>
      </c>
      <c r="L1217" s="65">
        <v>1211</v>
      </c>
      <c r="M1217" s="71">
        <f t="shared" ca="1" si="94"/>
        <v>0.34450178971270223</v>
      </c>
      <c r="N1217" s="65"/>
    </row>
    <row r="1218" spans="1:14" x14ac:dyDescent="0.25">
      <c r="A1218" s="2">
        <v>1212</v>
      </c>
      <c r="B1218" s="11">
        <f t="shared" ca="1" si="96"/>
        <v>1</v>
      </c>
      <c r="C1218" s="26">
        <f t="shared" ca="1" si="95"/>
        <v>0.1575795635304591</v>
      </c>
      <c r="J1218">
        <f t="shared" ca="1" si="97"/>
        <v>0</v>
      </c>
      <c r="K1218">
        <f t="shared" ca="1" si="98"/>
        <v>0</v>
      </c>
      <c r="L1218" s="65">
        <v>1212</v>
      </c>
      <c r="M1218" s="71">
        <f t="shared" ca="1" si="94"/>
        <v>0.71989536833830181</v>
      </c>
      <c r="N1218" s="65"/>
    </row>
    <row r="1219" spans="1:14" x14ac:dyDescent="0.25">
      <c r="A1219" s="2">
        <v>1213</v>
      </c>
      <c r="B1219" s="11">
        <f t="shared" ca="1" si="96"/>
        <v>0</v>
      </c>
      <c r="C1219" s="26">
        <f t="shared" ca="1" si="95"/>
        <v>0.99911283213783153</v>
      </c>
      <c r="J1219">
        <f t="shared" ca="1" si="97"/>
        <v>0</v>
      </c>
      <c r="K1219">
        <f t="shared" ca="1" si="98"/>
        <v>1</v>
      </c>
      <c r="L1219" s="65">
        <v>1213</v>
      </c>
      <c r="M1219" s="71">
        <f t="shared" ca="1" si="94"/>
        <v>0</v>
      </c>
      <c r="N1219" s="65"/>
    </row>
    <row r="1220" spans="1:14" x14ac:dyDescent="0.25">
      <c r="A1220" s="2">
        <v>1214</v>
      </c>
      <c r="B1220" s="11">
        <f t="shared" ca="1" si="96"/>
        <v>0</v>
      </c>
      <c r="C1220" s="26">
        <f t="shared" ca="1" si="95"/>
        <v>0.86907206261005598</v>
      </c>
      <c r="J1220">
        <f t="shared" ca="1" si="97"/>
        <v>0</v>
      </c>
      <c r="K1220">
        <f t="shared" ca="1" si="98"/>
        <v>1</v>
      </c>
      <c r="L1220" s="65">
        <v>1214</v>
      </c>
      <c r="M1220" s="71">
        <f t="shared" ca="1" si="94"/>
        <v>0</v>
      </c>
      <c r="N1220" s="65"/>
    </row>
    <row r="1221" spans="1:14" x14ac:dyDescent="0.25">
      <c r="A1221" s="2">
        <v>1215</v>
      </c>
      <c r="B1221" s="11">
        <f t="shared" ca="1" si="96"/>
        <v>0</v>
      </c>
      <c r="C1221" s="26">
        <f t="shared" ca="1" si="95"/>
        <v>0.5360585546018698</v>
      </c>
      <c r="J1221">
        <f t="shared" ca="1" si="97"/>
        <v>0</v>
      </c>
      <c r="K1221">
        <f t="shared" ca="1" si="98"/>
        <v>1</v>
      </c>
      <c r="L1221" s="65">
        <v>1215</v>
      </c>
      <c r="M1221" s="71">
        <f t="shared" ca="1" si="94"/>
        <v>0</v>
      </c>
      <c r="N1221" s="65"/>
    </row>
    <row r="1222" spans="1:14" x14ac:dyDescent="0.25">
      <c r="A1222" s="2">
        <v>1216</v>
      </c>
      <c r="B1222" s="11">
        <f t="shared" ca="1" si="96"/>
        <v>0</v>
      </c>
      <c r="C1222" s="26">
        <f t="shared" ca="1" si="95"/>
        <v>0.76074356145196598</v>
      </c>
      <c r="J1222">
        <f t="shared" ca="1" si="97"/>
        <v>0</v>
      </c>
      <c r="K1222">
        <f t="shared" ca="1" si="98"/>
        <v>1</v>
      </c>
      <c r="L1222" s="65">
        <v>1216</v>
      </c>
      <c r="M1222" s="71">
        <f t="shared" ca="1" si="94"/>
        <v>0</v>
      </c>
      <c r="N1222" s="65"/>
    </row>
    <row r="1223" spans="1:14" x14ac:dyDescent="0.25">
      <c r="A1223" s="2">
        <v>1217</v>
      </c>
      <c r="B1223" s="11">
        <f t="shared" ca="1" si="96"/>
        <v>0</v>
      </c>
      <c r="C1223" s="26">
        <f t="shared" ca="1" si="95"/>
        <v>0.5308336656465138</v>
      </c>
      <c r="J1223">
        <f t="shared" ca="1" si="97"/>
        <v>0</v>
      </c>
      <c r="K1223">
        <f t="shared" ca="1" si="98"/>
        <v>1</v>
      </c>
      <c r="L1223" s="65">
        <v>1217</v>
      </c>
      <c r="M1223" s="71">
        <f t="shared" ref="M1223:M1286" ca="1" si="99">IF(B1223&gt;0,-LN(1-(RAND()))/lambda,0)</f>
        <v>0</v>
      </c>
      <c r="N1223" s="65"/>
    </row>
    <row r="1224" spans="1:14" x14ac:dyDescent="0.25">
      <c r="A1224" s="2">
        <v>1218</v>
      </c>
      <c r="B1224" s="11">
        <f t="shared" ca="1" si="96"/>
        <v>0</v>
      </c>
      <c r="C1224" s="26">
        <f t="shared" ref="C1224:C1287" ca="1" si="100">RAND()</f>
        <v>0.95042136722374537</v>
      </c>
      <c r="J1224">
        <f t="shared" ca="1" si="97"/>
        <v>0</v>
      </c>
      <c r="K1224">
        <f t="shared" ca="1" si="98"/>
        <v>1</v>
      </c>
      <c r="L1224" s="65">
        <v>1218</v>
      </c>
      <c r="M1224" s="71">
        <f t="shared" ca="1" si="99"/>
        <v>0</v>
      </c>
      <c r="N1224" s="65"/>
    </row>
    <row r="1225" spans="1:14" x14ac:dyDescent="0.25">
      <c r="A1225" s="2">
        <v>1219</v>
      </c>
      <c r="B1225" s="11">
        <f t="shared" ca="1" si="96"/>
        <v>0</v>
      </c>
      <c r="C1225" s="26">
        <f t="shared" ca="1" si="100"/>
        <v>0.74334543375023132</v>
      </c>
      <c r="J1225">
        <f t="shared" ca="1" si="97"/>
        <v>0</v>
      </c>
      <c r="K1225">
        <f t="shared" ca="1" si="98"/>
        <v>1</v>
      </c>
      <c r="L1225" s="65">
        <v>1219</v>
      </c>
      <c r="M1225" s="71">
        <f t="shared" ca="1" si="99"/>
        <v>0</v>
      </c>
      <c r="N1225" s="65"/>
    </row>
    <row r="1226" spans="1:14" x14ac:dyDescent="0.25">
      <c r="A1226" s="2">
        <v>1220</v>
      </c>
      <c r="B1226" s="11">
        <f t="shared" ca="1" si="96"/>
        <v>0</v>
      </c>
      <c r="C1226" s="26">
        <f t="shared" ca="1" si="100"/>
        <v>0.9467596704312603</v>
      </c>
      <c r="J1226">
        <f t="shared" ca="1" si="97"/>
        <v>0</v>
      </c>
      <c r="K1226">
        <f t="shared" ca="1" si="98"/>
        <v>1</v>
      </c>
      <c r="L1226" s="65">
        <v>1220</v>
      </c>
      <c r="M1226" s="71">
        <f t="shared" ca="1" si="99"/>
        <v>0</v>
      </c>
      <c r="N1226" s="65"/>
    </row>
    <row r="1227" spans="1:14" x14ac:dyDescent="0.25">
      <c r="A1227" s="2">
        <v>1221</v>
      </c>
      <c r="B1227" s="11">
        <f t="shared" ca="1" si="96"/>
        <v>0</v>
      </c>
      <c r="C1227" s="26">
        <f t="shared" ca="1" si="100"/>
        <v>0.88727166716297234</v>
      </c>
      <c r="J1227">
        <f t="shared" ca="1" si="97"/>
        <v>0</v>
      </c>
      <c r="K1227">
        <f t="shared" ca="1" si="98"/>
        <v>1</v>
      </c>
      <c r="L1227" s="65">
        <v>1221</v>
      </c>
      <c r="M1227" s="71">
        <f t="shared" ca="1" si="99"/>
        <v>0</v>
      </c>
      <c r="N1227" s="65"/>
    </row>
    <row r="1228" spans="1:14" x14ac:dyDescent="0.25">
      <c r="A1228" s="2">
        <v>1222</v>
      </c>
      <c r="B1228" s="11">
        <f t="shared" ca="1" si="96"/>
        <v>0</v>
      </c>
      <c r="C1228" s="26">
        <f t="shared" ca="1" si="100"/>
        <v>0.73885919376073361</v>
      </c>
      <c r="J1228">
        <f t="shared" ca="1" si="97"/>
        <v>0</v>
      </c>
      <c r="K1228">
        <f t="shared" ca="1" si="98"/>
        <v>1</v>
      </c>
      <c r="L1228" s="65">
        <v>1222</v>
      </c>
      <c r="M1228" s="71">
        <f t="shared" ca="1" si="99"/>
        <v>0</v>
      </c>
      <c r="N1228" s="65"/>
    </row>
    <row r="1229" spans="1:14" x14ac:dyDescent="0.25">
      <c r="A1229" s="2">
        <v>1223</v>
      </c>
      <c r="B1229" s="11">
        <f t="shared" ca="1" si="96"/>
        <v>0</v>
      </c>
      <c r="C1229" s="26">
        <f t="shared" ca="1" si="100"/>
        <v>0.41746007402695362</v>
      </c>
      <c r="J1229">
        <f t="shared" ca="1" si="97"/>
        <v>0</v>
      </c>
      <c r="K1229">
        <f t="shared" ca="1" si="98"/>
        <v>0</v>
      </c>
      <c r="L1229" s="65">
        <v>1223</v>
      </c>
      <c r="M1229" s="71">
        <f t="shared" ca="1" si="99"/>
        <v>0</v>
      </c>
      <c r="N1229" s="65"/>
    </row>
    <row r="1230" spans="1:14" x14ac:dyDescent="0.25">
      <c r="A1230" s="2">
        <v>1224</v>
      </c>
      <c r="B1230" s="11">
        <f t="shared" ca="1" si="96"/>
        <v>1</v>
      </c>
      <c r="C1230" s="26">
        <f t="shared" ca="1" si="100"/>
        <v>0.2826357626673287</v>
      </c>
      <c r="J1230">
        <f t="shared" ca="1" si="97"/>
        <v>1</v>
      </c>
      <c r="K1230">
        <f t="shared" ca="1" si="98"/>
        <v>0</v>
      </c>
      <c r="L1230" s="65">
        <v>1224</v>
      </c>
      <c r="M1230" s="71">
        <f t="shared" ca="1" si="99"/>
        <v>6.664491933573804</v>
      </c>
      <c r="N1230" s="65"/>
    </row>
    <row r="1231" spans="1:14" x14ac:dyDescent="0.25">
      <c r="A1231" s="2">
        <v>1225</v>
      </c>
      <c r="B1231" s="11">
        <f t="shared" ca="1" si="96"/>
        <v>1</v>
      </c>
      <c r="C1231" s="26">
        <f t="shared" ca="1" si="100"/>
        <v>7.320691162310955E-2</v>
      </c>
      <c r="J1231">
        <f t="shared" ca="1" si="97"/>
        <v>1</v>
      </c>
      <c r="K1231">
        <f t="shared" ca="1" si="98"/>
        <v>0</v>
      </c>
      <c r="L1231" s="65">
        <v>1225</v>
      </c>
      <c r="M1231" s="71">
        <f t="shared" ca="1" si="99"/>
        <v>1.8140612027278289</v>
      </c>
      <c r="N1231" s="65"/>
    </row>
    <row r="1232" spans="1:14" x14ac:dyDescent="0.25">
      <c r="A1232" s="2">
        <v>1226</v>
      </c>
      <c r="B1232" s="11">
        <f t="shared" ca="1" si="96"/>
        <v>1</v>
      </c>
      <c r="C1232" s="26">
        <f t="shared" ca="1" si="100"/>
        <v>0.14073694731198261</v>
      </c>
      <c r="J1232">
        <f t="shared" ca="1" si="97"/>
        <v>1</v>
      </c>
      <c r="K1232">
        <f t="shared" ca="1" si="98"/>
        <v>0</v>
      </c>
      <c r="L1232" s="65">
        <v>1226</v>
      </c>
      <c r="M1232" s="71">
        <f t="shared" ca="1" si="99"/>
        <v>1.5492889722800434</v>
      </c>
      <c r="N1232" s="65"/>
    </row>
    <row r="1233" spans="1:14" x14ac:dyDescent="0.25">
      <c r="A1233" s="2">
        <v>1227</v>
      </c>
      <c r="B1233" s="11">
        <f t="shared" ca="1" si="96"/>
        <v>1</v>
      </c>
      <c r="C1233" s="26">
        <f t="shared" ca="1" si="100"/>
        <v>1.1005534934391603E-2</v>
      </c>
      <c r="J1233">
        <f t="shared" ca="1" si="97"/>
        <v>1</v>
      </c>
      <c r="K1233">
        <f t="shared" ca="1" si="98"/>
        <v>0</v>
      </c>
      <c r="L1233" s="65">
        <v>1227</v>
      </c>
      <c r="M1233" s="71">
        <f t="shared" ca="1" si="99"/>
        <v>0.1442569966699557</v>
      </c>
      <c r="N1233" s="65"/>
    </row>
    <row r="1234" spans="1:14" x14ac:dyDescent="0.25">
      <c r="A1234" s="2">
        <v>1228</v>
      </c>
      <c r="B1234" s="11">
        <f t="shared" ca="1" si="96"/>
        <v>1</v>
      </c>
      <c r="C1234" s="26">
        <f t="shared" ca="1" si="100"/>
        <v>0.32598536975895698</v>
      </c>
      <c r="J1234">
        <f t="shared" ca="1" si="97"/>
        <v>0</v>
      </c>
      <c r="K1234">
        <f t="shared" ca="1" si="98"/>
        <v>0</v>
      </c>
      <c r="L1234" s="65">
        <v>1228</v>
      </c>
      <c r="M1234" s="71">
        <f t="shared" ca="1" si="99"/>
        <v>6.7535001413859028</v>
      </c>
      <c r="N1234" s="65"/>
    </row>
    <row r="1235" spans="1:14" x14ac:dyDescent="0.25">
      <c r="A1235" s="2">
        <v>1229</v>
      </c>
      <c r="B1235" s="11">
        <f t="shared" ca="1" si="96"/>
        <v>0</v>
      </c>
      <c r="C1235" s="26">
        <f t="shared" ca="1" si="100"/>
        <v>0.8923999735585767</v>
      </c>
      <c r="J1235">
        <f t="shared" ca="1" si="97"/>
        <v>0</v>
      </c>
      <c r="K1235">
        <f t="shared" ca="1" si="98"/>
        <v>0</v>
      </c>
      <c r="L1235" s="65">
        <v>1229</v>
      </c>
      <c r="M1235" s="71">
        <f t="shared" ca="1" si="99"/>
        <v>0</v>
      </c>
      <c r="N1235" s="65"/>
    </row>
    <row r="1236" spans="1:14" x14ac:dyDescent="0.25">
      <c r="A1236" s="2">
        <v>1230</v>
      </c>
      <c r="B1236" s="11">
        <f t="shared" ca="1" si="96"/>
        <v>1</v>
      </c>
      <c r="C1236" s="26">
        <f t="shared" ca="1" si="100"/>
        <v>0.30774864882395792</v>
      </c>
      <c r="J1236">
        <f t="shared" ca="1" si="97"/>
        <v>0</v>
      </c>
      <c r="K1236">
        <f t="shared" ca="1" si="98"/>
        <v>0</v>
      </c>
      <c r="L1236" s="65">
        <v>1230</v>
      </c>
      <c r="M1236" s="71">
        <f t="shared" ca="1" si="99"/>
        <v>0.67456814895108685</v>
      </c>
      <c r="N1236" s="65"/>
    </row>
    <row r="1237" spans="1:14" x14ac:dyDescent="0.25">
      <c r="A1237" s="2">
        <v>1231</v>
      </c>
      <c r="B1237" s="11">
        <f t="shared" ca="1" si="96"/>
        <v>0</v>
      </c>
      <c r="C1237" s="26">
        <f t="shared" ca="1" si="100"/>
        <v>0.92768363871188342</v>
      </c>
      <c r="J1237">
        <f t="shared" ca="1" si="97"/>
        <v>0</v>
      </c>
      <c r="K1237">
        <f t="shared" ca="1" si="98"/>
        <v>1</v>
      </c>
      <c r="L1237" s="65">
        <v>1231</v>
      </c>
      <c r="M1237" s="71">
        <f t="shared" ca="1" si="99"/>
        <v>0</v>
      </c>
      <c r="N1237" s="65"/>
    </row>
    <row r="1238" spans="1:14" x14ac:dyDescent="0.25">
      <c r="A1238" s="2">
        <v>1232</v>
      </c>
      <c r="B1238" s="11">
        <f t="shared" ca="1" si="96"/>
        <v>0</v>
      </c>
      <c r="C1238" s="26">
        <f t="shared" ca="1" si="100"/>
        <v>0.79883510592427753</v>
      </c>
      <c r="J1238">
        <f t="shared" ca="1" si="97"/>
        <v>0</v>
      </c>
      <c r="K1238">
        <f t="shared" ca="1" si="98"/>
        <v>0</v>
      </c>
      <c r="L1238" s="65">
        <v>1232</v>
      </c>
      <c r="M1238" s="71">
        <f t="shared" ca="1" si="99"/>
        <v>0</v>
      </c>
      <c r="N1238" s="65"/>
    </row>
    <row r="1239" spans="1:14" x14ac:dyDescent="0.25">
      <c r="A1239" s="2">
        <v>1233</v>
      </c>
      <c r="B1239" s="11">
        <f t="shared" ca="1" si="96"/>
        <v>1</v>
      </c>
      <c r="C1239" s="26">
        <f t="shared" ca="1" si="100"/>
        <v>1.421322043565354E-2</v>
      </c>
      <c r="J1239">
        <f t="shared" ca="1" si="97"/>
        <v>1</v>
      </c>
      <c r="K1239">
        <f t="shared" ca="1" si="98"/>
        <v>0</v>
      </c>
      <c r="L1239" s="65">
        <v>1233</v>
      </c>
      <c r="M1239" s="71">
        <f t="shared" ca="1" si="99"/>
        <v>1.110587425352072</v>
      </c>
      <c r="N1239" s="65"/>
    </row>
    <row r="1240" spans="1:14" x14ac:dyDescent="0.25">
      <c r="A1240" s="2">
        <v>1234</v>
      </c>
      <c r="B1240" s="11">
        <f t="shared" ca="1" si="96"/>
        <v>1</v>
      </c>
      <c r="C1240" s="26">
        <f t="shared" ca="1" si="100"/>
        <v>0.12530345362467454</v>
      </c>
      <c r="J1240">
        <f t="shared" ca="1" si="97"/>
        <v>0</v>
      </c>
      <c r="K1240">
        <f t="shared" ca="1" si="98"/>
        <v>0</v>
      </c>
      <c r="L1240" s="65">
        <v>1234</v>
      </c>
      <c r="M1240" s="71">
        <f t="shared" ca="1" si="99"/>
        <v>0.9395006089468525</v>
      </c>
      <c r="N1240" s="65"/>
    </row>
    <row r="1241" spans="1:14" x14ac:dyDescent="0.25">
      <c r="A1241" s="2">
        <v>1235</v>
      </c>
      <c r="B1241" s="11">
        <f t="shared" ca="1" si="96"/>
        <v>0</v>
      </c>
      <c r="C1241" s="26">
        <f t="shared" ca="1" si="100"/>
        <v>0.85132381226726128</v>
      </c>
      <c r="J1241">
        <f t="shared" ca="1" si="97"/>
        <v>0</v>
      </c>
      <c r="K1241">
        <f t="shared" ca="1" si="98"/>
        <v>1</v>
      </c>
      <c r="L1241" s="65">
        <v>1235</v>
      </c>
      <c r="M1241" s="71">
        <f t="shared" ca="1" si="99"/>
        <v>0</v>
      </c>
      <c r="N1241" s="65"/>
    </row>
    <row r="1242" spans="1:14" x14ac:dyDescent="0.25">
      <c r="A1242" s="2">
        <v>1236</v>
      </c>
      <c r="B1242" s="11">
        <f t="shared" ca="1" si="96"/>
        <v>0</v>
      </c>
      <c r="C1242" s="26">
        <f t="shared" ca="1" si="100"/>
        <v>0.70445558137548114</v>
      </c>
      <c r="J1242">
        <f t="shared" ca="1" si="97"/>
        <v>0</v>
      </c>
      <c r="K1242">
        <f t="shared" ca="1" si="98"/>
        <v>1</v>
      </c>
      <c r="L1242" s="65">
        <v>1236</v>
      </c>
      <c r="M1242" s="71">
        <f t="shared" ca="1" si="99"/>
        <v>0</v>
      </c>
      <c r="N1242" s="65"/>
    </row>
    <row r="1243" spans="1:14" x14ac:dyDescent="0.25">
      <c r="A1243" s="2">
        <v>1237</v>
      </c>
      <c r="B1243" s="11">
        <f t="shared" ca="1" si="96"/>
        <v>0</v>
      </c>
      <c r="C1243" s="26">
        <f t="shared" ca="1" si="100"/>
        <v>0.64306632292746368</v>
      </c>
      <c r="J1243">
        <f t="shared" ca="1" si="97"/>
        <v>0</v>
      </c>
      <c r="K1243">
        <f t="shared" ca="1" si="98"/>
        <v>1</v>
      </c>
      <c r="L1243" s="65">
        <v>1237</v>
      </c>
      <c r="M1243" s="71">
        <f t="shared" ca="1" si="99"/>
        <v>0</v>
      </c>
      <c r="N1243" s="65"/>
    </row>
    <row r="1244" spans="1:14" x14ac:dyDescent="0.25">
      <c r="A1244" s="2">
        <v>1238</v>
      </c>
      <c r="B1244" s="11">
        <f t="shared" ca="1" si="96"/>
        <v>0</v>
      </c>
      <c r="C1244" s="26">
        <f t="shared" ca="1" si="100"/>
        <v>0.95786172764728317</v>
      </c>
      <c r="J1244">
        <f t="shared" ca="1" si="97"/>
        <v>0</v>
      </c>
      <c r="K1244">
        <f t="shared" ca="1" si="98"/>
        <v>1</v>
      </c>
      <c r="L1244" s="65">
        <v>1238</v>
      </c>
      <c r="M1244" s="71">
        <f t="shared" ca="1" si="99"/>
        <v>0</v>
      </c>
      <c r="N1244" s="65"/>
    </row>
    <row r="1245" spans="1:14" x14ac:dyDescent="0.25">
      <c r="A1245" s="2">
        <v>1239</v>
      </c>
      <c r="B1245" s="11">
        <f t="shared" ca="1" si="96"/>
        <v>0</v>
      </c>
      <c r="C1245" s="26">
        <f t="shared" ca="1" si="100"/>
        <v>0.69360445608755006</v>
      </c>
      <c r="J1245">
        <f t="shared" ca="1" si="97"/>
        <v>0</v>
      </c>
      <c r="K1245">
        <f t="shared" ca="1" si="98"/>
        <v>1</v>
      </c>
      <c r="L1245" s="65">
        <v>1239</v>
      </c>
      <c r="M1245" s="71">
        <f t="shared" ca="1" si="99"/>
        <v>0</v>
      </c>
      <c r="N1245" s="65"/>
    </row>
    <row r="1246" spans="1:14" x14ac:dyDescent="0.25">
      <c r="A1246" s="2">
        <v>1240</v>
      </c>
      <c r="B1246" s="11">
        <f t="shared" ca="1" si="96"/>
        <v>0</v>
      </c>
      <c r="C1246" s="26">
        <f t="shared" ca="1" si="100"/>
        <v>0.64735351027996113</v>
      </c>
      <c r="J1246">
        <f t="shared" ca="1" si="97"/>
        <v>0</v>
      </c>
      <c r="K1246">
        <f t="shared" ca="1" si="98"/>
        <v>0</v>
      </c>
      <c r="L1246" s="65">
        <v>1240</v>
      </c>
      <c r="M1246" s="71">
        <f t="shared" ca="1" si="99"/>
        <v>0</v>
      </c>
      <c r="N1246" s="65"/>
    </row>
    <row r="1247" spans="1:14" x14ac:dyDescent="0.25">
      <c r="A1247" s="2">
        <v>1241</v>
      </c>
      <c r="B1247" s="11">
        <f t="shared" ca="1" si="96"/>
        <v>1</v>
      </c>
      <c r="C1247" s="26">
        <f t="shared" ca="1" si="100"/>
        <v>0.24269153536954857</v>
      </c>
      <c r="J1247">
        <f t="shared" ca="1" si="97"/>
        <v>1</v>
      </c>
      <c r="K1247">
        <f t="shared" ca="1" si="98"/>
        <v>0</v>
      </c>
      <c r="L1247" s="65">
        <v>1241</v>
      </c>
      <c r="M1247" s="71">
        <f t="shared" ca="1" si="99"/>
        <v>0.12490438722088604</v>
      </c>
      <c r="N1247" s="65"/>
    </row>
    <row r="1248" spans="1:14" x14ac:dyDescent="0.25">
      <c r="A1248" s="2">
        <v>1242</v>
      </c>
      <c r="B1248" s="11">
        <f t="shared" ca="1" si="96"/>
        <v>1</v>
      </c>
      <c r="C1248" s="26">
        <f t="shared" ca="1" si="100"/>
        <v>0.39280138093193218</v>
      </c>
      <c r="J1248">
        <f t="shared" ca="1" si="97"/>
        <v>1</v>
      </c>
      <c r="K1248">
        <f t="shared" ca="1" si="98"/>
        <v>0</v>
      </c>
      <c r="L1248" s="65">
        <v>1242</v>
      </c>
      <c r="M1248" s="71">
        <f t="shared" ca="1" si="99"/>
        <v>3.5551538565937086</v>
      </c>
      <c r="N1248" s="65"/>
    </row>
    <row r="1249" spans="1:14" x14ac:dyDescent="0.25">
      <c r="A1249" s="2">
        <v>1243</v>
      </c>
      <c r="B1249" s="11">
        <f t="shared" ca="1" si="96"/>
        <v>1</v>
      </c>
      <c r="C1249" s="26">
        <f t="shared" ca="1" si="100"/>
        <v>0.67296200281166307</v>
      </c>
      <c r="J1249">
        <f t="shared" ca="1" si="97"/>
        <v>0</v>
      </c>
      <c r="K1249">
        <f t="shared" ca="1" si="98"/>
        <v>0</v>
      </c>
      <c r="L1249" s="65">
        <v>1243</v>
      </c>
      <c r="M1249" s="71">
        <f t="shared" ca="1" si="99"/>
        <v>0.52083946603561615</v>
      </c>
      <c r="N1249" s="65"/>
    </row>
    <row r="1250" spans="1:14" x14ac:dyDescent="0.25">
      <c r="A1250" s="2">
        <v>1244</v>
      </c>
      <c r="B1250" s="11">
        <f t="shared" ca="1" si="96"/>
        <v>0</v>
      </c>
      <c r="C1250" s="26">
        <f t="shared" ca="1" si="100"/>
        <v>0.96447903568935656</v>
      </c>
      <c r="J1250">
        <f t="shared" ca="1" si="97"/>
        <v>0</v>
      </c>
      <c r="K1250">
        <f t="shared" ca="1" si="98"/>
        <v>1</v>
      </c>
      <c r="L1250" s="65">
        <v>1244</v>
      </c>
      <c r="M1250" s="71">
        <f t="shared" ca="1" si="99"/>
        <v>0</v>
      </c>
      <c r="N1250" s="65"/>
    </row>
    <row r="1251" spans="1:14" x14ac:dyDescent="0.25">
      <c r="A1251" s="2">
        <v>1245</v>
      </c>
      <c r="B1251" s="11">
        <f t="shared" ca="1" si="96"/>
        <v>0</v>
      </c>
      <c r="C1251" s="26">
        <f t="shared" ca="1" si="100"/>
        <v>0.44596198901890105</v>
      </c>
      <c r="J1251">
        <f t="shared" ca="1" si="97"/>
        <v>0</v>
      </c>
      <c r="K1251">
        <f t="shared" ca="1" si="98"/>
        <v>0</v>
      </c>
      <c r="L1251" s="65">
        <v>1245</v>
      </c>
      <c r="M1251" s="71">
        <f t="shared" ca="1" si="99"/>
        <v>0</v>
      </c>
      <c r="N1251" s="65"/>
    </row>
    <row r="1252" spans="1:14" x14ac:dyDescent="0.25">
      <c r="A1252" s="2">
        <v>1246</v>
      </c>
      <c r="B1252" s="11">
        <f t="shared" ca="1" si="96"/>
        <v>1</v>
      </c>
      <c r="C1252" s="26">
        <f t="shared" ca="1" si="100"/>
        <v>0.38642604706788763</v>
      </c>
      <c r="J1252">
        <f t="shared" ca="1" si="97"/>
        <v>0</v>
      </c>
      <c r="K1252">
        <f t="shared" ca="1" si="98"/>
        <v>0</v>
      </c>
      <c r="L1252" s="65">
        <v>1246</v>
      </c>
      <c r="M1252" s="71">
        <f t="shared" ca="1" si="99"/>
        <v>0.19462176582518922</v>
      </c>
      <c r="N1252" s="65"/>
    </row>
    <row r="1253" spans="1:14" x14ac:dyDescent="0.25">
      <c r="A1253" s="2">
        <v>1247</v>
      </c>
      <c r="B1253" s="11">
        <f t="shared" ca="1" si="96"/>
        <v>0</v>
      </c>
      <c r="C1253" s="26">
        <f t="shared" ca="1" si="100"/>
        <v>0.77717868926309364</v>
      </c>
      <c r="J1253">
        <f t="shared" ca="1" si="97"/>
        <v>0</v>
      </c>
      <c r="K1253">
        <f t="shared" ca="1" si="98"/>
        <v>1</v>
      </c>
      <c r="L1253" s="65">
        <v>1247</v>
      </c>
      <c r="M1253" s="71">
        <f t="shared" ca="1" si="99"/>
        <v>0</v>
      </c>
      <c r="N1253" s="65"/>
    </row>
    <row r="1254" spans="1:14" x14ac:dyDescent="0.25">
      <c r="A1254" s="2">
        <v>1248</v>
      </c>
      <c r="B1254" s="11">
        <f t="shared" ca="1" si="96"/>
        <v>0</v>
      </c>
      <c r="C1254" s="26">
        <f t="shared" ca="1" si="100"/>
        <v>0.47027534526791781</v>
      </c>
      <c r="J1254">
        <f t="shared" ca="1" si="97"/>
        <v>0</v>
      </c>
      <c r="K1254">
        <f t="shared" ca="1" si="98"/>
        <v>1</v>
      </c>
      <c r="L1254" s="65">
        <v>1248</v>
      </c>
      <c r="M1254" s="71">
        <f t="shared" ca="1" si="99"/>
        <v>0</v>
      </c>
      <c r="N1254" s="65"/>
    </row>
    <row r="1255" spans="1:14" x14ac:dyDescent="0.25">
      <c r="A1255" s="2">
        <v>1249</v>
      </c>
      <c r="B1255" s="11">
        <f t="shared" ca="1" si="96"/>
        <v>0</v>
      </c>
      <c r="C1255" s="26">
        <f t="shared" ca="1" si="100"/>
        <v>0.82713294320228803</v>
      </c>
      <c r="J1255">
        <f t="shared" ca="1" si="97"/>
        <v>0</v>
      </c>
      <c r="K1255">
        <f t="shared" ca="1" si="98"/>
        <v>1</v>
      </c>
      <c r="L1255" s="65">
        <v>1249</v>
      </c>
      <c r="M1255" s="71">
        <f t="shared" ca="1" si="99"/>
        <v>0</v>
      </c>
      <c r="N1255" s="65"/>
    </row>
    <row r="1256" spans="1:14" x14ac:dyDescent="0.25">
      <c r="A1256" s="2">
        <v>1250</v>
      </c>
      <c r="B1256" s="11">
        <f t="shared" ca="1" si="96"/>
        <v>0</v>
      </c>
      <c r="C1256" s="26">
        <f t="shared" ca="1" si="100"/>
        <v>0.41176310191796406</v>
      </c>
      <c r="J1256">
        <f t="shared" ca="1" si="97"/>
        <v>0</v>
      </c>
      <c r="K1256">
        <f t="shared" ca="1" si="98"/>
        <v>1</v>
      </c>
      <c r="L1256" s="65">
        <v>1250</v>
      </c>
      <c r="M1256" s="71">
        <f t="shared" ca="1" si="99"/>
        <v>0</v>
      </c>
      <c r="N1256" s="65"/>
    </row>
    <row r="1257" spans="1:14" x14ac:dyDescent="0.25">
      <c r="A1257" s="2">
        <v>1251</v>
      </c>
      <c r="B1257" s="11">
        <f t="shared" ca="1" si="96"/>
        <v>0</v>
      </c>
      <c r="C1257" s="26">
        <f t="shared" ca="1" si="100"/>
        <v>0.5968088461880624</v>
      </c>
      <c r="J1257">
        <f t="shared" ca="1" si="97"/>
        <v>0</v>
      </c>
      <c r="K1257">
        <f t="shared" ca="1" si="98"/>
        <v>1</v>
      </c>
      <c r="L1257" s="65">
        <v>1251</v>
      </c>
      <c r="M1257" s="71">
        <f t="shared" ca="1" si="99"/>
        <v>0</v>
      </c>
      <c r="N1257" s="65"/>
    </row>
    <row r="1258" spans="1:14" x14ac:dyDescent="0.25">
      <c r="A1258" s="2">
        <v>1252</v>
      </c>
      <c r="B1258" s="11">
        <f t="shared" ca="1" si="96"/>
        <v>0</v>
      </c>
      <c r="C1258" s="26">
        <f t="shared" ca="1" si="100"/>
        <v>0.97285160810973981</v>
      </c>
      <c r="J1258">
        <f t="shared" ca="1" si="97"/>
        <v>0</v>
      </c>
      <c r="K1258">
        <f t="shared" ca="1" si="98"/>
        <v>1</v>
      </c>
      <c r="L1258" s="65">
        <v>1252</v>
      </c>
      <c r="M1258" s="71">
        <f t="shared" ca="1" si="99"/>
        <v>0</v>
      </c>
      <c r="N1258" s="65"/>
    </row>
    <row r="1259" spans="1:14" x14ac:dyDescent="0.25">
      <c r="A1259" s="2">
        <v>1253</v>
      </c>
      <c r="B1259" s="11">
        <f t="shared" ca="1" si="96"/>
        <v>0</v>
      </c>
      <c r="C1259" s="26">
        <f t="shared" ca="1" si="100"/>
        <v>0.78249334054280117</v>
      </c>
      <c r="J1259">
        <f t="shared" ca="1" si="97"/>
        <v>0</v>
      </c>
      <c r="K1259">
        <f t="shared" ca="1" si="98"/>
        <v>1</v>
      </c>
      <c r="L1259" s="65">
        <v>1253</v>
      </c>
      <c r="M1259" s="71">
        <f t="shared" ca="1" si="99"/>
        <v>0</v>
      </c>
      <c r="N1259" s="65"/>
    </row>
    <row r="1260" spans="1:14" x14ac:dyDescent="0.25">
      <c r="A1260" s="2">
        <v>1254</v>
      </c>
      <c r="B1260" s="11">
        <f t="shared" ca="1" si="96"/>
        <v>0</v>
      </c>
      <c r="C1260" s="26">
        <f t="shared" ca="1" si="100"/>
        <v>0.64616406681440219</v>
      </c>
      <c r="J1260">
        <f t="shared" ca="1" si="97"/>
        <v>0</v>
      </c>
      <c r="K1260">
        <f t="shared" ca="1" si="98"/>
        <v>1</v>
      </c>
      <c r="L1260" s="65">
        <v>1254</v>
      </c>
      <c r="M1260" s="71">
        <f t="shared" ca="1" si="99"/>
        <v>0</v>
      </c>
      <c r="N1260" s="65"/>
    </row>
    <row r="1261" spans="1:14" x14ac:dyDescent="0.25">
      <c r="A1261" s="2">
        <v>1255</v>
      </c>
      <c r="B1261" s="11">
        <f t="shared" ca="1" si="96"/>
        <v>0</v>
      </c>
      <c r="C1261" s="26">
        <f t="shared" ca="1" si="100"/>
        <v>0.90555472422715677</v>
      </c>
      <c r="J1261">
        <f t="shared" ca="1" si="97"/>
        <v>0</v>
      </c>
      <c r="K1261">
        <f t="shared" ca="1" si="98"/>
        <v>1</v>
      </c>
      <c r="L1261" s="65">
        <v>1255</v>
      </c>
      <c r="M1261" s="71">
        <f t="shared" ca="1" si="99"/>
        <v>0</v>
      </c>
      <c r="N1261" s="65"/>
    </row>
    <row r="1262" spans="1:14" x14ac:dyDescent="0.25">
      <c r="A1262" s="2">
        <v>1256</v>
      </c>
      <c r="B1262" s="11">
        <f t="shared" ca="1" si="96"/>
        <v>0</v>
      </c>
      <c r="C1262" s="26">
        <f t="shared" ca="1" si="100"/>
        <v>0.5157411224465448</v>
      </c>
      <c r="J1262">
        <f t="shared" ca="1" si="97"/>
        <v>0</v>
      </c>
      <c r="K1262">
        <f t="shared" ca="1" si="98"/>
        <v>0</v>
      </c>
      <c r="L1262" s="65">
        <v>1256</v>
      </c>
      <c r="M1262" s="71">
        <f t="shared" ca="1" si="99"/>
        <v>0</v>
      </c>
      <c r="N1262" s="65"/>
    </row>
    <row r="1263" spans="1:14" x14ac:dyDescent="0.25">
      <c r="A1263" s="2">
        <v>1257</v>
      </c>
      <c r="B1263" s="11">
        <f t="shared" ref="B1263:B1326" ca="1" si="101">IF(B1262&gt;0,IF(C1263&lt;pww,1,0),IF(C1263&lt;pdw,1,0))</f>
        <v>1</v>
      </c>
      <c r="C1263" s="26">
        <f t="shared" ca="1" si="100"/>
        <v>0.31385258056705945</v>
      </c>
      <c r="J1263">
        <f t="shared" ref="J1263:J1326" ca="1" si="102">IF(AND(B1263,B1264),1,0)</f>
        <v>1</v>
      </c>
      <c r="K1263">
        <f t="shared" ref="K1263:K1326" ca="1" si="103">IF(AND(NOT(B1263),NOT(B1264)),1,0)</f>
        <v>0</v>
      </c>
      <c r="L1263" s="65">
        <v>1257</v>
      </c>
      <c r="M1263" s="71">
        <f t="shared" ca="1" si="99"/>
        <v>4.4815936308441193</v>
      </c>
      <c r="N1263" s="65"/>
    </row>
    <row r="1264" spans="1:14" x14ac:dyDescent="0.25">
      <c r="A1264" s="2">
        <v>1258</v>
      </c>
      <c r="B1264" s="11">
        <f t="shared" ca="1" si="101"/>
        <v>1</v>
      </c>
      <c r="C1264" s="26">
        <f t="shared" ca="1" si="100"/>
        <v>0.24774026975961327</v>
      </c>
      <c r="J1264">
        <f t="shared" ca="1" si="102"/>
        <v>1</v>
      </c>
      <c r="K1264">
        <f t="shared" ca="1" si="103"/>
        <v>0</v>
      </c>
      <c r="L1264" s="65">
        <v>1258</v>
      </c>
      <c r="M1264" s="71">
        <f t="shared" ca="1" si="99"/>
        <v>1.8343885847555108</v>
      </c>
      <c r="N1264" s="65"/>
    </row>
    <row r="1265" spans="1:14" x14ac:dyDescent="0.25">
      <c r="A1265" s="2">
        <v>1259</v>
      </c>
      <c r="B1265" s="11">
        <f t="shared" ca="1" si="101"/>
        <v>1</v>
      </c>
      <c r="C1265" s="26">
        <f t="shared" ca="1" si="100"/>
        <v>0.686046063591497</v>
      </c>
      <c r="J1265">
        <f t="shared" ca="1" si="102"/>
        <v>1</v>
      </c>
      <c r="K1265">
        <f t="shared" ca="1" si="103"/>
        <v>0</v>
      </c>
      <c r="L1265" s="65">
        <v>1259</v>
      </c>
      <c r="M1265" s="71">
        <f t="shared" ca="1" si="99"/>
        <v>0.94208989190218251</v>
      </c>
      <c r="N1265" s="65"/>
    </row>
    <row r="1266" spans="1:14" x14ac:dyDescent="0.25">
      <c r="A1266" s="2">
        <v>1260</v>
      </c>
      <c r="B1266" s="11">
        <f t="shared" ca="1" si="101"/>
        <v>1</v>
      </c>
      <c r="C1266" s="26">
        <f t="shared" ca="1" si="100"/>
        <v>0.12374255778375054</v>
      </c>
      <c r="J1266">
        <f t="shared" ca="1" si="102"/>
        <v>0</v>
      </c>
      <c r="K1266">
        <f t="shared" ca="1" si="103"/>
        <v>0</v>
      </c>
      <c r="L1266" s="65">
        <v>1260</v>
      </c>
      <c r="M1266" s="71">
        <f t="shared" ca="1" si="99"/>
        <v>0.78294203300146614</v>
      </c>
      <c r="N1266" s="65"/>
    </row>
    <row r="1267" spans="1:14" x14ac:dyDescent="0.25">
      <c r="A1267" s="2">
        <v>1261</v>
      </c>
      <c r="B1267" s="11">
        <f t="shared" ca="1" si="101"/>
        <v>0</v>
      </c>
      <c r="C1267" s="26">
        <f t="shared" ca="1" si="100"/>
        <v>0.85237245115582494</v>
      </c>
      <c r="J1267">
        <f t="shared" ca="1" si="102"/>
        <v>0</v>
      </c>
      <c r="K1267">
        <f t="shared" ca="1" si="103"/>
        <v>1</v>
      </c>
      <c r="L1267" s="65">
        <v>1261</v>
      </c>
      <c r="M1267" s="71">
        <f t="shared" ca="1" si="99"/>
        <v>0</v>
      </c>
      <c r="N1267" s="65"/>
    </row>
    <row r="1268" spans="1:14" x14ac:dyDescent="0.25">
      <c r="A1268" s="2">
        <v>1262</v>
      </c>
      <c r="B1268" s="11">
        <f t="shared" ca="1" si="101"/>
        <v>0</v>
      </c>
      <c r="C1268" s="26">
        <f t="shared" ca="1" si="100"/>
        <v>0.46481632177227927</v>
      </c>
      <c r="J1268">
        <f t="shared" ca="1" si="102"/>
        <v>0</v>
      </c>
      <c r="K1268">
        <f t="shared" ca="1" si="103"/>
        <v>0</v>
      </c>
      <c r="L1268" s="65">
        <v>1262</v>
      </c>
      <c r="M1268" s="71">
        <f t="shared" ca="1" si="99"/>
        <v>0</v>
      </c>
      <c r="N1268" s="65"/>
    </row>
    <row r="1269" spans="1:14" x14ac:dyDescent="0.25">
      <c r="A1269" s="2">
        <v>1263</v>
      </c>
      <c r="B1269" s="11">
        <f t="shared" ca="1" si="101"/>
        <v>1</v>
      </c>
      <c r="C1269" s="26">
        <f t="shared" ca="1" si="100"/>
        <v>2.86866902665317E-2</v>
      </c>
      <c r="J1269">
        <f t="shared" ca="1" si="102"/>
        <v>1</v>
      </c>
      <c r="K1269">
        <f t="shared" ca="1" si="103"/>
        <v>0</v>
      </c>
      <c r="L1269" s="65">
        <v>1263</v>
      </c>
      <c r="M1269" s="71">
        <f t="shared" ca="1" si="99"/>
        <v>0.76105308769906943</v>
      </c>
      <c r="N1269" s="65"/>
    </row>
    <row r="1270" spans="1:14" x14ac:dyDescent="0.25">
      <c r="A1270" s="2">
        <v>1264</v>
      </c>
      <c r="B1270" s="11">
        <f t="shared" ca="1" si="101"/>
        <v>1</v>
      </c>
      <c r="C1270" s="26">
        <f t="shared" ca="1" si="100"/>
        <v>0.4776379529510778</v>
      </c>
      <c r="J1270">
        <f t="shared" ca="1" si="102"/>
        <v>1</v>
      </c>
      <c r="K1270">
        <f t="shared" ca="1" si="103"/>
        <v>0</v>
      </c>
      <c r="L1270" s="65">
        <v>1264</v>
      </c>
      <c r="M1270" s="71">
        <f t="shared" ca="1" si="99"/>
        <v>1.5802941191029114</v>
      </c>
      <c r="N1270" s="65"/>
    </row>
    <row r="1271" spans="1:14" x14ac:dyDescent="0.25">
      <c r="A1271" s="2">
        <v>1265</v>
      </c>
      <c r="B1271" s="11">
        <f t="shared" ca="1" si="101"/>
        <v>1</v>
      </c>
      <c r="C1271" s="26">
        <f t="shared" ca="1" si="100"/>
        <v>0.31998085241296625</v>
      </c>
      <c r="J1271">
        <f t="shared" ca="1" si="102"/>
        <v>1</v>
      </c>
      <c r="K1271">
        <f t="shared" ca="1" si="103"/>
        <v>0</v>
      </c>
      <c r="L1271" s="65">
        <v>1265</v>
      </c>
      <c r="M1271" s="71">
        <f t="shared" ca="1" si="99"/>
        <v>2.1726910998804212</v>
      </c>
      <c r="N1271" s="65"/>
    </row>
    <row r="1272" spans="1:14" x14ac:dyDescent="0.25">
      <c r="A1272" s="2">
        <v>1266</v>
      </c>
      <c r="B1272" s="11">
        <f t="shared" ca="1" si="101"/>
        <v>1</v>
      </c>
      <c r="C1272" s="26">
        <f t="shared" ca="1" si="100"/>
        <v>0.74653868840611293</v>
      </c>
      <c r="J1272">
        <f t="shared" ca="1" si="102"/>
        <v>1</v>
      </c>
      <c r="K1272">
        <f t="shared" ca="1" si="103"/>
        <v>0</v>
      </c>
      <c r="L1272" s="65">
        <v>1266</v>
      </c>
      <c r="M1272" s="71">
        <f t="shared" ca="1" si="99"/>
        <v>0.58983627978842401</v>
      </c>
      <c r="N1272" s="65"/>
    </row>
    <row r="1273" spans="1:14" x14ac:dyDescent="0.25">
      <c r="A1273" s="2">
        <v>1267</v>
      </c>
      <c r="B1273" s="11">
        <f t="shared" ca="1" si="101"/>
        <v>1</v>
      </c>
      <c r="C1273" s="26">
        <f t="shared" ca="1" si="100"/>
        <v>0.16338276758356962</v>
      </c>
      <c r="J1273">
        <f t="shared" ca="1" si="102"/>
        <v>1</v>
      </c>
      <c r="K1273">
        <f t="shared" ca="1" si="103"/>
        <v>0</v>
      </c>
      <c r="L1273" s="65">
        <v>1267</v>
      </c>
      <c r="M1273" s="71">
        <f t="shared" ca="1" si="99"/>
        <v>1.9388632326635371</v>
      </c>
      <c r="N1273" s="65"/>
    </row>
    <row r="1274" spans="1:14" x14ac:dyDescent="0.25">
      <c r="A1274" s="2">
        <v>1268</v>
      </c>
      <c r="B1274" s="11">
        <f t="shared" ca="1" si="101"/>
        <v>1</v>
      </c>
      <c r="C1274" s="26">
        <f t="shared" ca="1" si="100"/>
        <v>0.68839403000449673</v>
      </c>
      <c r="J1274">
        <f t="shared" ca="1" si="102"/>
        <v>1</v>
      </c>
      <c r="K1274">
        <f t="shared" ca="1" si="103"/>
        <v>0</v>
      </c>
      <c r="L1274" s="65">
        <v>1268</v>
      </c>
      <c r="M1274" s="71">
        <f t="shared" ca="1" si="99"/>
        <v>4.162092161051107</v>
      </c>
      <c r="N1274" s="65"/>
    </row>
    <row r="1275" spans="1:14" x14ac:dyDescent="0.25">
      <c r="A1275" s="2">
        <v>1269</v>
      </c>
      <c r="B1275" s="11">
        <f t="shared" ca="1" si="101"/>
        <v>1</v>
      </c>
      <c r="C1275" s="26">
        <f t="shared" ca="1" si="100"/>
        <v>0.2808631300803629</v>
      </c>
      <c r="J1275">
        <f t="shared" ca="1" si="102"/>
        <v>0</v>
      </c>
      <c r="K1275">
        <f t="shared" ca="1" si="103"/>
        <v>0</v>
      </c>
      <c r="L1275" s="65">
        <v>1269</v>
      </c>
      <c r="M1275" s="71">
        <f t="shared" ca="1" si="99"/>
        <v>8.9268274449786844</v>
      </c>
      <c r="N1275" s="65"/>
    </row>
    <row r="1276" spans="1:14" x14ac:dyDescent="0.25">
      <c r="A1276" s="2">
        <v>1270</v>
      </c>
      <c r="B1276" s="11">
        <f t="shared" ca="1" si="101"/>
        <v>0</v>
      </c>
      <c r="C1276" s="26">
        <f t="shared" ca="1" si="100"/>
        <v>0.97327531810743673</v>
      </c>
      <c r="J1276">
        <f t="shared" ca="1" si="102"/>
        <v>0</v>
      </c>
      <c r="K1276">
        <f t="shared" ca="1" si="103"/>
        <v>0</v>
      </c>
      <c r="L1276" s="65">
        <v>1270</v>
      </c>
      <c r="M1276" s="71">
        <f t="shared" ca="1" si="99"/>
        <v>0</v>
      </c>
      <c r="N1276" s="65"/>
    </row>
    <row r="1277" spans="1:14" x14ac:dyDescent="0.25">
      <c r="A1277" s="2">
        <v>1271</v>
      </c>
      <c r="B1277" s="11">
        <f t="shared" ca="1" si="101"/>
        <v>1</v>
      </c>
      <c r="C1277" s="26">
        <f t="shared" ca="1" si="100"/>
        <v>6.3085169323930601E-2</v>
      </c>
      <c r="J1277">
        <f t="shared" ca="1" si="102"/>
        <v>1</v>
      </c>
      <c r="K1277">
        <f t="shared" ca="1" si="103"/>
        <v>0</v>
      </c>
      <c r="L1277" s="65">
        <v>1271</v>
      </c>
      <c r="M1277" s="71">
        <f t="shared" ca="1" si="99"/>
        <v>4.1709657136907392</v>
      </c>
      <c r="N1277" s="65"/>
    </row>
    <row r="1278" spans="1:14" x14ac:dyDescent="0.25">
      <c r="A1278" s="2">
        <v>1272</v>
      </c>
      <c r="B1278" s="11">
        <f t="shared" ca="1" si="101"/>
        <v>1</v>
      </c>
      <c r="C1278" s="26">
        <f t="shared" ca="1" si="100"/>
        <v>0.21712873662755472</v>
      </c>
      <c r="J1278">
        <f t="shared" ca="1" si="102"/>
        <v>1</v>
      </c>
      <c r="K1278">
        <f t="shared" ca="1" si="103"/>
        <v>0</v>
      </c>
      <c r="L1278" s="65">
        <v>1272</v>
      </c>
      <c r="M1278" s="71">
        <f t="shared" ca="1" si="99"/>
        <v>0.29936374068533889</v>
      </c>
      <c r="N1278" s="65"/>
    </row>
    <row r="1279" spans="1:14" x14ac:dyDescent="0.25">
      <c r="A1279" s="2">
        <v>1273</v>
      </c>
      <c r="B1279" s="11">
        <f t="shared" ca="1" si="101"/>
        <v>1</v>
      </c>
      <c r="C1279" s="26">
        <f t="shared" ca="1" si="100"/>
        <v>0.61813867004403622</v>
      </c>
      <c r="J1279">
        <f t="shared" ca="1" si="102"/>
        <v>1</v>
      </c>
      <c r="K1279">
        <f t="shared" ca="1" si="103"/>
        <v>0</v>
      </c>
      <c r="L1279" s="65">
        <v>1273</v>
      </c>
      <c r="M1279" s="71">
        <f t="shared" ca="1" si="99"/>
        <v>1.5688681647622933</v>
      </c>
      <c r="N1279" s="65"/>
    </row>
    <row r="1280" spans="1:14" x14ac:dyDescent="0.25">
      <c r="A1280" s="2">
        <v>1274</v>
      </c>
      <c r="B1280" s="11">
        <f t="shared" ca="1" si="101"/>
        <v>1</v>
      </c>
      <c r="C1280" s="26">
        <f t="shared" ca="1" si="100"/>
        <v>0.65890175036955034</v>
      </c>
      <c r="J1280">
        <f t="shared" ca="1" si="102"/>
        <v>1</v>
      </c>
      <c r="K1280">
        <f t="shared" ca="1" si="103"/>
        <v>0</v>
      </c>
      <c r="L1280" s="65">
        <v>1274</v>
      </c>
      <c r="M1280" s="71">
        <f t="shared" ca="1" si="99"/>
        <v>0.86968002518644627</v>
      </c>
      <c r="N1280" s="65"/>
    </row>
    <row r="1281" spans="1:14" x14ac:dyDescent="0.25">
      <c r="A1281" s="2">
        <v>1275</v>
      </c>
      <c r="B1281" s="11">
        <f t="shared" ca="1" si="101"/>
        <v>1</v>
      </c>
      <c r="C1281" s="26">
        <f t="shared" ca="1" si="100"/>
        <v>0.49716688169869105</v>
      </c>
      <c r="J1281">
        <f t="shared" ca="1" si="102"/>
        <v>1</v>
      </c>
      <c r="K1281">
        <f t="shared" ca="1" si="103"/>
        <v>0</v>
      </c>
      <c r="L1281" s="65">
        <v>1275</v>
      </c>
      <c r="M1281" s="71">
        <f t="shared" ca="1" si="99"/>
        <v>10.208383697790302</v>
      </c>
      <c r="N1281" s="65"/>
    </row>
    <row r="1282" spans="1:14" x14ac:dyDescent="0.25">
      <c r="A1282" s="2">
        <v>1276</v>
      </c>
      <c r="B1282" s="11">
        <f t="shared" ca="1" si="101"/>
        <v>1</v>
      </c>
      <c r="C1282" s="26">
        <f t="shared" ca="1" si="100"/>
        <v>0.65013340208447845</v>
      </c>
      <c r="J1282">
        <f t="shared" ca="1" si="102"/>
        <v>1</v>
      </c>
      <c r="K1282">
        <f t="shared" ca="1" si="103"/>
        <v>0</v>
      </c>
      <c r="L1282" s="65">
        <v>1276</v>
      </c>
      <c r="M1282" s="71">
        <f t="shared" ca="1" si="99"/>
        <v>3.9749792767101906</v>
      </c>
      <c r="N1282" s="65"/>
    </row>
    <row r="1283" spans="1:14" x14ac:dyDescent="0.25">
      <c r="A1283" s="2">
        <v>1277</v>
      </c>
      <c r="B1283" s="11">
        <f t="shared" ca="1" si="101"/>
        <v>1</v>
      </c>
      <c r="C1283" s="26">
        <f t="shared" ca="1" si="100"/>
        <v>0.70323742735121442</v>
      </c>
      <c r="J1283">
        <f t="shared" ca="1" si="102"/>
        <v>1</v>
      </c>
      <c r="K1283">
        <f t="shared" ca="1" si="103"/>
        <v>0</v>
      </c>
      <c r="L1283" s="65">
        <v>1277</v>
      </c>
      <c r="M1283" s="71">
        <f t="shared" ca="1" si="99"/>
        <v>13.715071468715871</v>
      </c>
      <c r="N1283" s="65"/>
    </row>
    <row r="1284" spans="1:14" x14ac:dyDescent="0.25">
      <c r="A1284" s="2">
        <v>1278</v>
      </c>
      <c r="B1284" s="11">
        <f t="shared" ca="1" si="101"/>
        <v>1</v>
      </c>
      <c r="C1284" s="26">
        <f t="shared" ca="1" si="100"/>
        <v>0.33753839966917354</v>
      </c>
      <c r="J1284">
        <f t="shared" ca="1" si="102"/>
        <v>1</v>
      </c>
      <c r="K1284">
        <f t="shared" ca="1" si="103"/>
        <v>0</v>
      </c>
      <c r="L1284" s="65">
        <v>1278</v>
      </c>
      <c r="M1284" s="71">
        <f t="shared" ca="1" si="99"/>
        <v>0.78771905829531053</v>
      </c>
      <c r="N1284" s="65"/>
    </row>
    <row r="1285" spans="1:14" x14ac:dyDescent="0.25">
      <c r="A1285" s="2">
        <v>1279</v>
      </c>
      <c r="B1285" s="11">
        <f t="shared" ca="1" si="101"/>
        <v>1</v>
      </c>
      <c r="C1285" s="26">
        <f t="shared" ca="1" si="100"/>
        <v>0.58379847322133038</v>
      </c>
      <c r="J1285">
        <f t="shared" ca="1" si="102"/>
        <v>1</v>
      </c>
      <c r="K1285">
        <f t="shared" ca="1" si="103"/>
        <v>0</v>
      </c>
      <c r="L1285" s="65">
        <v>1279</v>
      </c>
      <c r="M1285" s="71">
        <f t="shared" ca="1" si="99"/>
        <v>1.8166552548649515</v>
      </c>
      <c r="N1285" s="65"/>
    </row>
    <row r="1286" spans="1:14" x14ac:dyDescent="0.25">
      <c r="A1286" s="2">
        <v>1280</v>
      </c>
      <c r="B1286" s="11">
        <f t="shared" ca="1" si="101"/>
        <v>1</v>
      </c>
      <c r="C1286" s="26">
        <f t="shared" ca="1" si="100"/>
        <v>0.69003091935477623</v>
      </c>
      <c r="J1286">
        <f t="shared" ca="1" si="102"/>
        <v>1</v>
      </c>
      <c r="K1286">
        <f t="shared" ca="1" si="103"/>
        <v>0</v>
      </c>
      <c r="L1286" s="65">
        <v>1280</v>
      </c>
      <c r="M1286" s="71">
        <f t="shared" ca="1" si="99"/>
        <v>3.1936720137820243</v>
      </c>
      <c r="N1286" s="65"/>
    </row>
    <row r="1287" spans="1:14" x14ac:dyDescent="0.25">
      <c r="A1287" s="2">
        <v>1281</v>
      </c>
      <c r="B1287" s="11">
        <f t="shared" ca="1" si="101"/>
        <v>1</v>
      </c>
      <c r="C1287" s="26">
        <f t="shared" ca="1" si="100"/>
        <v>0.43838591045465458</v>
      </c>
      <c r="J1287">
        <f t="shared" ca="1" si="102"/>
        <v>1</v>
      </c>
      <c r="K1287">
        <f t="shared" ca="1" si="103"/>
        <v>0</v>
      </c>
      <c r="L1287" s="65">
        <v>1281</v>
      </c>
      <c r="M1287" s="71">
        <f t="shared" ref="M1287:M1350" ca="1" si="104">IF(B1287&gt;0,-LN(1-(RAND()))/lambda,0)</f>
        <v>3.1990475802672953</v>
      </c>
      <c r="N1287" s="65"/>
    </row>
    <row r="1288" spans="1:14" x14ac:dyDescent="0.25">
      <c r="A1288" s="2">
        <v>1282</v>
      </c>
      <c r="B1288" s="11">
        <f t="shared" ca="1" si="101"/>
        <v>1</v>
      </c>
      <c r="C1288" s="26">
        <f t="shared" ref="C1288:C1351" ca="1" si="105">RAND()</f>
        <v>0.38798784886350035</v>
      </c>
      <c r="J1288">
        <f t="shared" ca="1" si="102"/>
        <v>1</v>
      </c>
      <c r="K1288">
        <f t="shared" ca="1" si="103"/>
        <v>0</v>
      </c>
      <c r="L1288" s="65">
        <v>1282</v>
      </c>
      <c r="M1288" s="71">
        <f t="shared" ca="1" si="104"/>
        <v>2.3338071033733123</v>
      </c>
      <c r="N1288" s="65"/>
    </row>
    <row r="1289" spans="1:14" x14ac:dyDescent="0.25">
      <c r="A1289" s="2">
        <v>1283</v>
      </c>
      <c r="B1289" s="11">
        <f t="shared" ca="1" si="101"/>
        <v>1</v>
      </c>
      <c r="C1289" s="26">
        <f t="shared" ca="1" si="105"/>
        <v>0.17331125383790591</v>
      </c>
      <c r="J1289">
        <f t="shared" ca="1" si="102"/>
        <v>1</v>
      </c>
      <c r="K1289">
        <f t="shared" ca="1" si="103"/>
        <v>0</v>
      </c>
      <c r="L1289" s="65">
        <v>1283</v>
      </c>
      <c r="M1289" s="71">
        <f t="shared" ca="1" si="104"/>
        <v>0.93578987638493327</v>
      </c>
      <c r="N1289" s="65"/>
    </row>
    <row r="1290" spans="1:14" x14ac:dyDescent="0.25">
      <c r="A1290" s="2">
        <v>1284</v>
      </c>
      <c r="B1290" s="11">
        <f t="shared" ca="1" si="101"/>
        <v>1</v>
      </c>
      <c r="C1290" s="26">
        <f t="shared" ca="1" si="105"/>
        <v>0.1187279786805836</v>
      </c>
      <c r="J1290">
        <f t="shared" ca="1" si="102"/>
        <v>0</v>
      </c>
      <c r="K1290">
        <f t="shared" ca="1" si="103"/>
        <v>0</v>
      </c>
      <c r="L1290" s="65">
        <v>1284</v>
      </c>
      <c r="M1290" s="71">
        <f t="shared" ca="1" si="104"/>
        <v>3.507015646274489</v>
      </c>
      <c r="N1290" s="65"/>
    </row>
    <row r="1291" spans="1:14" x14ac:dyDescent="0.25">
      <c r="A1291" s="2">
        <v>1285</v>
      </c>
      <c r="B1291" s="11">
        <f t="shared" ca="1" si="101"/>
        <v>0</v>
      </c>
      <c r="C1291" s="26">
        <f t="shared" ca="1" si="105"/>
        <v>0.97833948309953622</v>
      </c>
      <c r="J1291">
        <f t="shared" ca="1" si="102"/>
        <v>0</v>
      </c>
      <c r="K1291">
        <f t="shared" ca="1" si="103"/>
        <v>0</v>
      </c>
      <c r="L1291" s="65">
        <v>1285</v>
      </c>
      <c r="M1291" s="71">
        <f t="shared" ca="1" si="104"/>
        <v>0</v>
      </c>
      <c r="N1291" s="65"/>
    </row>
    <row r="1292" spans="1:14" x14ac:dyDescent="0.25">
      <c r="A1292" s="2">
        <v>1286</v>
      </c>
      <c r="B1292" s="11">
        <f t="shared" ca="1" si="101"/>
        <v>1</v>
      </c>
      <c r="C1292" s="26">
        <f t="shared" ca="1" si="105"/>
        <v>0.23333977835115227</v>
      </c>
      <c r="J1292">
        <f t="shared" ca="1" si="102"/>
        <v>0</v>
      </c>
      <c r="K1292">
        <f t="shared" ca="1" si="103"/>
        <v>0</v>
      </c>
      <c r="L1292" s="65">
        <v>1286</v>
      </c>
      <c r="M1292" s="71">
        <f t="shared" ca="1" si="104"/>
        <v>0.82244986073293502</v>
      </c>
      <c r="N1292" s="65"/>
    </row>
    <row r="1293" spans="1:14" x14ac:dyDescent="0.25">
      <c r="A1293" s="2">
        <v>1287</v>
      </c>
      <c r="B1293" s="11">
        <f t="shared" ca="1" si="101"/>
        <v>0</v>
      </c>
      <c r="C1293" s="26">
        <f t="shared" ca="1" si="105"/>
        <v>0.8008999242512026</v>
      </c>
      <c r="J1293">
        <f t="shared" ca="1" si="102"/>
        <v>0</v>
      </c>
      <c r="K1293">
        <f t="shared" ca="1" si="103"/>
        <v>0</v>
      </c>
      <c r="L1293" s="65">
        <v>1287</v>
      </c>
      <c r="M1293" s="71">
        <f t="shared" ca="1" si="104"/>
        <v>0</v>
      </c>
      <c r="N1293" s="65"/>
    </row>
    <row r="1294" spans="1:14" x14ac:dyDescent="0.25">
      <c r="A1294" s="2">
        <v>1288</v>
      </c>
      <c r="B1294" s="11">
        <f t="shared" ca="1" si="101"/>
        <v>1</v>
      </c>
      <c r="C1294" s="26">
        <f t="shared" ca="1" si="105"/>
        <v>0.16729055085185252</v>
      </c>
      <c r="J1294">
        <f t="shared" ca="1" si="102"/>
        <v>1</v>
      </c>
      <c r="K1294">
        <f t="shared" ca="1" si="103"/>
        <v>0</v>
      </c>
      <c r="L1294" s="65">
        <v>1288</v>
      </c>
      <c r="M1294" s="71">
        <f t="shared" ca="1" si="104"/>
        <v>1.1596811023081448</v>
      </c>
      <c r="N1294" s="65"/>
    </row>
    <row r="1295" spans="1:14" x14ac:dyDescent="0.25">
      <c r="A1295" s="2">
        <v>1289</v>
      </c>
      <c r="B1295" s="11">
        <f t="shared" ca="1" si="101"/>
        <v>1</v>
      </c>
      <c r="C1295" s="26">
        <f t="shared" ca="1" si="105"/>
        <v>0.46633468186436</v>
      </c>
      <c r="J1295">
        <f t="shared" ca="1" si="102"/>
        <v>1</v>
      </c>
      <c r="K1295">
        <f t="shared" ca="1" si="103"/>
        <v>0</v>
      </c>
      <c r="L1295" s="65">
        <v>1289</v>
      </c>
      <c r="M1295" s="71">
        <f t="shared" ca="1" si="104"/>
        <v>1.0507238507266909</v>
      </c>
      <c r="N1295" s="65"/>
    </row>
    <row r="1296" spans="1:14" x14ac:dyDescent="0.25">
      <c r="A1296" s="2">
        <v>1290</v>
      </c>
      <c r="B1296" s="11">
        <f t="shared" ca="1" si="101"/>
        <v>1</v>
      </c>
      <c r="C1296" s="26">
        <f t="shared" ca="1" si="105"/>
        <v>0.53583441710061275</v>
      </c>
      <c r="J1296">
        <f t="shared" ca="1" si="102"/>
        <v>0</v>
      </c>
      <c r="K1296">
        <f t="shared" ca="1" si="103"/>
        <v>0</v>
      </c>
      <c r="L1296" s="65">
        <v>1290</v>
      </c>
      <c r="M1296" s="71">
        <f t="shared" ca="1" si="104"/>
        <v>9.616984675498168</v>
      </c>
      <c r="N1296" s="65"/>
    </row>
    <row r="1297" spans="1:14" x14ac:dyDescent="0.25">
      <c r="A1297" s="2">
        <v>1291</v>
      </c>
      <c r="B1297" s="11">
        <f t="shared" ca="1" si="101"/>
        <v>0</v>
      </c>
      <c r="C1297" s="26">
        <f t="shared" ca="1" si="105"/>
        <v>0.99491279868605031</v>
      </c>
      <c r="J1297">
        <f t="shared" ca="1" si="102"/>
        <v>0</v>
      </c>
      <c r="K1297">
        <f t="shared" ca="1" si="103"/>
        <v>1</v>
      </c>
      <c r="L1297" s="65">
        <v>1291</v>
      </c>
      <c r="M1297" s="71">
        <f t="shared" ca="1" si="104"/>
        <v>0</v>
      </c>
      <c r="N1297" s="65"/>
    </row>
    <row r="1298" spans="1:14" x14ac:dyDescent="0.25">
      <c r="A1298" s="2">
        <v>1292</v>
      </c>
      <c r="B1298" s="11">
        <f t="shared" ca="1" si="101"/>
        <v>0</v>
      </c>
      <c r="C1298" s="26">
        <f t="shared" ca="1" si="105"/>
        <v>0.65048480453031643</v>
      </c>
      <c r="J1298">
        <f t="shared" ca="1" si="102"/>
        <v>0</v>
      </c>
      <c r="K1298">
        <f t="shared" ca="1" si="103"/>
        <v>1</v>
      </c>
      <c r="L1298" s="65">
        <v>1292</v>
      </c>
      <c r="M1298" s="71">
        <f t="shared" ca="1" si="104"/>
        <v>0</v>
      </c>
      <c r="N1298" s="65"/>
    </row>
    <row r="1299" spans="1:14" x14ac:dyDescent="0.25">
      <c r="A1299" s="2">
        <v>1293</v>
      </c>
      <c r="B1299" s="11">
        <f t="shared" ca="1" si="101"/>
        <v>0</v>
      </c>
      <c r="C1299" s="26">
        <f t="shared" ca="1" si="105"/>
        <v>0.54210434262005169</v>
      </c>
      <c r="J1299">
        <f t="shared" ca="1" si="102"/>
        <v>0</v>
      </c>
      <c r="K1299">
        <f t="shared" ca="1" si="103"/>
        <v>0</v>
      </c>
      <c r="L1299" s="65">
        <v>1293</v>
      </c>
      <c r="M1299" s="71">
        <f t="shared" ca="1" si="104"/>
        <v>0</v>
      </c>
      <c r="N1299" s="65"/>
    </row>
    <row r="1300" spans="1:14" x14ac:dyDescent="0.25">
      <c r="A1300" s="2">
        <v>1294</v>
      </c>
      <c r="B1300" s="11">
        <f t="shared" ca="1" si="101"/>
        <v>1</v>
      </c>
      <c r="C1300" s="26">
        <f t="shared" ca="1" si="105"/>
        <v>4.8078662004248374E-2</v>
      </c>
      <c r="J1300">
        <f t="shared" ca="1" si="102"/>
        <v>1</v>
      </c>
      <c r="K1300">
        <f t="shared" ca="1" si="103"/>
        <v>0</v>
      </c>
      <c r="L1300" s="65">
        <v>1294</v>
      </c>
      <c r="M1300" s="71">
        <f t="shared" ca="1" si="104"/>
        <v>0.93514347142131438</v>
      </c>
      <c r="N1300" s="65"/>
    </row>
    <row r="1301" spans="1:14" x14ac:dyDescent="0.25">
      <c r="A1301" s="2">
        <v>1295</v>
      </c>
      <c r="B1301" s="11">
        <f t="shared" ca="1" si="101"/>
        <v>1</v>
      </c>
      <c r="C1301" s="26">
        <f t="shared" ca="1" si="105"/>
        <v>0.16172628454036042</v>
      </c>
      <c r="J1301">
        <f t="shared" ca="1" si="102"/>
        <v>1</v>
      </c>
      <c r="K1301">
        <f t="shared" ca="1" si="103"/>
        <v>0</v>
      </c>
      <c r="L1301" s="65">
        <v>1295</v>
      </c>
      <c r="M1301" s="71">
        <f t="shared" ca="1" si="104"/>
        <v>0.13784615429475933</v>
      </c>
      <c r="N1301" s="65"/>
    </row>
    <row r="1302" spans="1:14" x14ac:dyDescent="0.25">
      <c r="A1302" s="2">
        <v>1296</v>
      </c>
      <c r="B1302" s="11">
        <f t="shared" ca="1" si="101"/>
        <v>1</v>
      </c>
      <c r="C1302" s="26">
        <f t="shared" ca="1" si="105"/>
        <v>0.60962396007559794</v>
      </c>
      <c r="J1302">
        <f t="shared" ca="1" si="102"/>
        <v>0</v>
      </c>
      <c r="K1302">
        <f t="shared" ca="1" si="103"/>
        <v>0</v>
      </c>
      <c r="L1302" s="65">
        <v>1296</v>
      </c>
      <c r="M1302" s="71">
        <f t="shared" ca="1" si="104"/>
        <v>3.0163788545090391</v>
      </c>
      <c r="N1302" s="65"/>
    </row>
    <row r="1303" spans="1:14" x14ac:dyDescent="0.25">
      <c r="A1303" s="2">
        <v>1297</v>
      </c>
      <c r="B1303" s="11">
        <f t="shared" ca="1" si="101"/>
        <v>0</v>
      </c>
      <c r="C1303" s="26">
        <f t="shared" ca="1" si="105"/>
        <v>0.92590291191715079</v>
      </c>
      <c r="J1303">
        <f t="shared" ca="1" si="102"/>
        <v>0</v>
      </c>
      <c r="K1303">
        <f t="shared" ca="1" si="103"/>
        <v>1</v>
      </c>
      <c r="L1303" s="65">
        <v>1297</v>
      </c>
      <c r="M1303" s="71">
        <f t="shared" ca="1" si="104"/>
        <v>0</v>
      </c>
      <c r="N1303" s="65"/>
    </row>
    <row r="1304" spans="1:14" x14ac:dyDescent="0.25">
      <c r="A1304" s="2">
        <v>1298</v>
      </c>
      <c r="B1304" s="11">
        <f t="shared" ca="1" si="101"/>
        <v>0</v>
      </c>
      <c r="C1304" s="26">
        <f t="shared" ca="1" si="105"/>
        <v>0.63078512372511142</v>
      </c>
      <c r="J1304">
        <f t="shared" ca="1" si="102"/>
        <v>0</v>
      </c>
      <c r="K1304">
        <f t="shared" ca="1" si="103"/>
        <v>1</v>
      </c>
      <c r="L1304" s="65">
        <v>1298</v>
      </c>
      <c r="M1304" s="71">
        <f t="shared" ca="1" si="104"/>
        <v>0</v>
      </c>
      <c r="N1304" s="65"/>
    </row>
    <row r="1305" spans="1:14" x14ac:dyDescent="0.25">
      <c r="A1305" s="2">
        <v>1299</v>
      </c>
      <c r="B1305" s="11">
        <f t="shared" ca="1" si="101"/>
        <v>0</v>
      </c>
      <c r="C1305" s="26">
        <f t="shared" ca="1" si="105"/>
        <v>0.79556104512772263</v>
      </c>
      <c r="J1305">
        <f t="shared" ca="1" si="102"/>
        <v>0</v>
      </c>
      <c r="K1305">
        <f t="shared" ca="1" si="103"/>
        <v>0</v>
      </c>
      <c r="L1305" s="65">
        <v>1299</v>
      </c>
      <c r="M1305" s="71">
        <f t="shared" ca="1" si="104"/>
        <v>0</v>
      </c>
      <c r="N1305" s="65"/>
    </row>
    <row r="1306" spans="1:14" x14ac:dyDescent="0.25">
      <c r="A1306" s="2">
        <v>1300</v>
      </c>
      <c r="B1306" s="11">
        <f t="shared" ca="1" si="101"/>
        <v>1</v>
      </c>
      <c r="C1306" s="26">
        <f t="shared" ca="1" si="105"/>
        <v>0.37576381031287875</v>
      </c>
      <c r="J1306">
        <f t="shared" ca="1" si="102"/>
        <v>1</v>
      </c>
      <c r="K1306">
        <f t="shared" ca="1" si="103"/>
        <v>0</v>
      </c>
      <c r="L1306" s="65">
        <v>1300</v>
      </c>
      <c r="M1306" s="71">
        <f t="shared" ca="1" si="104"/>
        <v>9.75527932766696</v>
      </c>
      <c r="N1306" s="65"/>
    </row>
    <row r="1307" spans="1:14" x14ac:dyDescent="0.25">
      <c r="A1307" s="2">
        <v>1301</v>
      </c>
      <c r="B1307" s="11">
        <f t="shared" ca="1" si="101"/>
        <v>1</v>
      </c>
      <c r="C1307" s="26">
        <f t="shared" ca="1" si="105"/>
        <v>9.6019702928901163E-2</v>
      </c>
      <c r="J1307">
        <f t="shared" ca="1" si="102"/>
        <v>1</v>
      </c>
      <c r="K1307">
        <f t="shared" ca="1" si="103"/>
        <v>0</v>
      </c>
      <c r="L1307" s="65">
        <v>1301</v>
      </c>
      <c r="M1307" s="71">
        <f t="shared" ca="1" si="104"/>
        <v>3.6499433450584116</v>
      </c>
      <c r="N1307" s="65"/>
    </row>
    <row r="1308" spans="1:14" x14ac:dyDescent="0.25">
      <c r="A1308" s="2">
        <v>1302</v>
      </c>
      <c r="B1308" s="11">
        <f t="shared" ca="1" si="101"/>
        <v>1</v>
      </c>
      <c r="C1308" s="26">
        <f t="shared" ca="1" si="105"/>
        <v>0.50369431159035183</v>
      </c>
      <c r="J1308">
        <f t="shared" ca="1" si="102"/>
        <v>1</v>
      </c>
      <c r="K1308">
        <f t="shared" ca="1" si="103"/>
        <v>0</v>
      </c>
      <c r="L1308" s="65">
        <v>1302</v>
      </c>
      <c r="M1308" s="71">
        <f t="shared" ca="1" si="104"/>
        <v>1.9838817384887071</v>
      </c>
      <c r="N1308" s="65"/>
    </row>
    <row r="1309" spans="1:14" x14ac:dyDescent="0.25">
      <c r="A1309" s="2">
        <v>1303</v>
      </c>
      <c r="B1309" s="11">
        <f t="shared" ca="1" si="101"/>
        <v>1</v>
      </c>
      <c r="C1309" s="26">
        <f t="shared" ca="1" si="105"/>
        <v>0.70312375737565447</v>
      </c>
      <c r="J1309">
        <f t="shared" ca="1" si="102"/>
        <v>0</v>
      </c>
      <c r="K1309">
        <f t="shared" ca="1" si="103"/>
        <v>0</v>
      </c>
      <c r="L1309" s="65">
        <v>1303</v>
      </c>
      <c r="M1309" s="71">
        <f t="shared" ca="1" si="104"/>
        <v>0.33532250236051719</v>
      </c>
      <c r="N1309" s="65"/>
    </row>
    <row r="1310" spans="1:14" x14ac:dyDescent="0.25">
      <c r="A1310" s="2">
        <v>1304</v>
      </c>
      <c r="B1310" s="11">
        <f t="shared" ca="1" si="101"/>
        <v>0</v>
      </c>
      <c r="C1310" s="26">
        <f t="shared" ca="1" si="105"/>
        <v>0.93116092790778271</v>
      </c>
      <c r="J1310">
        <f t="shared" ca="1" si="102"/>
        <v>0</v>
      </c>
      <c r="K1310">
        <f t="shared" ca="1" si="103"/>
        <v>1</v>
      </c>
      <c r="L1310" s="65">
        <v>1304</v>
      </c>
      <c r="M1310" s="71">
        <f t="shared" ca="1" si="104"/>
        <v>0</v>
      </c>
      <c r="N1310" s="65"/>
    </row>
    <row r="1311" spans="1:14" x14ac:dyDescent="0.25">
      <c r="A1311" s="2">
        <v>1305</v>
      </c>
      <c r="B1311" s="11">
        <f t="shared" ca="1" si="101"/>
        <v>0</v>
      </c>
      <c r="C1311" s="26">
        <f t="shared" ca="1" si="105"/>
        <v>0.59094255505836024</v>
      </c>
      <c r="J1311">
        <f t="shared" ca="1" si="102"/>
        <v>0</v>
      </c>
      <c r="K1311">
        <f t="shared" ca="1" si="103"/>
        <v>0</v>
      </c>
      <c r="L1311" s="65">
        <v>1305</v>
      </c>
      <c r="M1311" s="71">
        <f t="shared" ca="1" si="104"/>
        <v>0</v>
      </c>
      <c r="N1311" s="65"/>
    </row>
    <row r="1312" spans="1:14" x14ac:dyDescent="0.25">
      <c r="A1312" s="2">
        <v>1306</v>
      </c>
      <c r="B1312" s="11">
        <f t="shared" ca="1" si="101"/>
        <v>1</v>
      </c>
      <c r="C1312" s="26">
        <f t="shared" ca="1" si="105"/>
        <v>0.26247286718226837</v>
      </c>
      <c r="J1312">
        <f t="shared" ca="1" si="102"/>
        <v>1</v>
      </c>
      <c r="K1312">
        <f t="shared" ca="1" si="103"/>
        <v>0</v>
      </c>
      <c r="L1312" s="65">
        <v>1306</v>
      </c>
      <c r="M1312" s="71">
        <f t="shared" ca="1" si="104"/>
        <v>0.63436776306673448</v>
      </c>
      <c r="N1312" s="65"/>
    </row>
    <row r="1313" spans="1:14" x14ac:dyDescent="0.25">
      <c r="A1313" s="2">
        <v>1307</v>
      </c>
      <c r="B1313" s="11">
        <f t="shared" ca="1" si="101"/>
        <v>1</v>
      </c>
      <c r="C1313" s="26">
        <f t="shared" ca="1" si="105"/>
        <v>0.27200218881385374</v>
      </c>
      <c r="J1313">
        <f t="shared" ca="1" si="102"/>
        <v>0</v>
      </c>
      <c r="K1313">
        <f t="shared" ca="1" si="103"/>
        <v>0</v>
      </c>
      <c r="L1313" s="65">
        <v>1307</v>
      </c>
      <c r="M1313" s="71">
        <f t="shared" ca="1" si="104"/>
        <v>1.2338728524341416</v>
      </c>
      <c r="N1313" s="65"/>
    </row>
    <row r="1314" spans="1:14" x14ac:dyDescent="0.25">
      <c r="A1314" s="2">
        <v>1308</v>
      </c>
      <c r="B1314" s="11">
        <f t="shared" ca="1" si="101"/>
        <v>0</v>
      </c>
      <c r="C1314" s="26">
        <f t="shared" ca="1" si="105"/>
        <v>0.8253075898669131</v>
      </c>
      <c r="J1314">
        <f t="shared" ca="1" si="102"/>
        <v>0</v>
      </c>
      <c r="K1314">
        <f t="shared" ca="1" si="103"/>
        <v>0</v>
      </c>
      <c r="L1314" s="65">
        <v>1308</v>
      </c>
      <c r="M1314" s="71">
        <f t="shared" ca="1" si="104"/>
        <v>0</v>
      </c>
      <c r="N1314" s="65"/>
    </row>
    <row r="1315" spans="1:14" x14ac:dyDescent="0.25">
      <c r="A1315" s="2">
        <v>1309</v>
      </c>
      <c r="B1315" s="11">
        <f t="shared" ca="1" si="101"/>
        <v>1</v>
      </c>
      <c r="C1315" s="26">
        <f t="shared" ca="1" si="105"/>
        <v>0.28086156572070342</v>
      </c>
      <c r="J1315">
        <f t="shared" ca="1" si="102"/>
        <v>0</v>
      </c>
      <c r="K1315">
        <f t="shared" ca="1" si="103"/>
        <v>0</v>
      </c>
      <c r="L1315" s="65">
        <v>1309</v>
      </c>
      <c r="M1315" s="71">
        <f t="shared" ca="1" si="104"/>
        <v>2.3105243399962041</v>
      </c>
      <c r="N1315" s="65"/>
    </row>
    <row r="1316" spans="1:14" x14ac:dyDescent="0.25">
      <c r="A1316" s="2">
        <v>1310</v>
      </c>
      <c r="B1316" s="11">
        <f t="shared" ca="1" si="101"/>
        <v>0</v>
      </c>
      <c r="C1316" s="26">
        <f t="shared" ca="1" si="105"/>
        <v>0.92771327948477744</v>
      </c>
      <c r="J1316">
        <f t="shared" ca="1" si="102"/>
        <v>0</v>
      </c>
      <c r="K1316">
        <f t="shared" ca="1" si="103"/>
        <v>0</v>
      </c>
      <c r="L1316" s="65">
        <v>1310</v>
      </c>
      <c r="M1316" s="71">
        <f t="shared" ca="1" si="104"/>
        <v>0</v>
      </c>
      <c r="N1316" s="65"/>
    </row>
    <row r="1317" spans="1:14" x14ac:dyDescent="0.25">
      <c r="A1317" s="2">
        <v>1311</v>
      </c>
      <c r="B1317" s="11">
        <f t="shared" ca="1" si="101"/>
        <v>1</v>
      </c>
      <c r="C1317" s="26">
        <f t="shared" ca="1" si="105"/>
        <v>0.17622647465340491</v>
      </c>
      <c r="J1317">
        <f t="shared" ca="1" si="102"/>
        <v>1</v>
      </c>
      <c r="K1317">
        <f t="shared" ca="1" si="103"/>
        <v>0</v>
      </c>
      <c r="L1317" s="65">
        <v>1311</v>
      </c>
      <c r="M1317" s="71">
        <f t="shared" ca="1" si="104"/>
        <v>4.904535426964487</v>
      </c>
      <c r="N1317" s="65"/>
    </row>
    <row r="1318" spans="1:14" x14ac:dyDescent="0.25">
      <c r="A1318" s="2">
        <v>1312</v>
      </c>
      <c r="B1318" s="11">
        <f t="shared" ca="1" si="101"/>
        <v>1</v>
      </c>
      <c r="C1318" s="26">
        <f t="shared" ca="1" si="105"/>
        <v>8.9024130149419123E-2</v>
      </c>
      <c r="J1318">
        <f t="shared" ca="1" si="102"/>
        <v>1</v>
      </c>
      <c r="K1318">
        <f t="shared" ca="1" si="103"/>
        <v>0</v>
      </c>
      <c r="L1318" s="65">
        <v>1312</v>
      </c>
      <c r="M1318" s="71">
        <f t="shared" ca="1" si="104"/>
        <v>0.24669082584820992</v>
      </c>
      <c r="N1318" s="65"/>
    </row>
    <row r="1319" spans="1:14" x14ac:dyDescent="0.25">
      <c r="A1319" s="2">
        <v>1313</v>
      </c>
      <c r="B1319" s="11">
        <f t="shared" ca="1" si="101"/>
        <v>1</v>
      </c>
      <c r="C1319" s="26">
        <f t="shared" ca="1" si="105"/>
        <v>0.55662726969431797</v>
      </c>
      <c r="J1319">
        <f t="shared" ca="1" si="102"/>
        <v>1</v>
      </c>
      <c r="K1319">
        <f t="shared" ca="1" si="103"/>
        <v>0</v>
      </c>
      <c r="L1319" s="65">
        <v>1313</v>
      </c>
      <c r="M1319" s="71">
        <f t="shared" ca="1" si="104"/>
        <v>0.50337408884898005</v>
      </c>
      <c r="N1319" s="65"/>
    </row>
    <row r="1320" spans="1:14" x14ac:dyDescent="0.25">
      <c r="A1320" s="2">
        <v>1314</v>
      </c>
      <c r="B1320" s="11">
        <f t="shared" ca="1" si="101"/>
        <v>1</v>
      </c>
      <c r="C1320" s="26">
        <f t="shared" ca="1" si="105"/>
        <v>0.31924882745634453</v>
      </c>
      <c r="J1320">
        <f t="shared" ca="1" si="102"/>
        <v>1</v>
      </c>
      <c r="K1320">
        <f t="shared" ca="1" si="103"/>
        <v>0</v>
      </c>
      <c r="L1320" s="65">
        <v>1314</v>
      </c>
      <c r="M1320" s="71">
        <f t="shared" ca="1" si="104"/>
        <v>2.8256373869843823</v>
      </c>
      <c r="N1320" s="65"/>
    </row>
    <row r="1321" spans="1:14" x14ac:dyDescent="0.25">
      <c r="A1321" s="2">
        <v>1315</v>
      </c>
      <c r="B1321" s="11">
        <f t="shared" ca="1" si="101"/>
        <v>1</v>
      </c>
      <c r="C1321" s="26">
        <f t="shared" ca="1" si="105"/>
        <v>0.71344616202701527</v>
      </c>
      <c r="J1321">
        <f t="shared" ca="1" si="102"/>
        <v>0</v>
      </c>
      <c r="K1321">
        <f t="shared" ca="1" si="103"/>
        <v>0</v>
      </c>
      <c r="L1321" s="65">
        <v>1315</v>
      </c>
      <c r="M1321" s="71">
        <f t="shared" ca="1" si="104"/>
        <v>2.182503263517825</v>
      </c>
      <c r="N1321" s="65"/>
    </row>
    <row r="1322" spans="1:14" x14ac:dyDescent="0.25">
      <c r="A1322" s="2">
        <v>1316</v>
      </c>
      <c r="B1322" s="11">
        <f t="shared" ca="1" si="101"/>
        <v>0</v>
      </c>
      <c r="C1322" s="26">
        <f t="shared" ca="1" si="105"/>
        <v>0.83872637953958729</v>
      </c>
      <c r="J1322">
        <f t="shared" ca="1" si="102"/>
        <v>0</v>
      </c>
      <c r="K1322">
        <f t="shared" ca="1" si="103"/>
        <v>0</v>
      </c>
      <c r="L1322" s="65">
        <v>1316</v>
      </c>
      <c r="M1322" s="71">
        <f t="shared" ca="1" si="104"/>
        <v>0</v>
      </c>
      <c r="N1322" s="65"/>
    </row>
    <row r="1323" spans="1:14" x14ac:dyDescent="0.25">
      <c r="A1323" s="2">
        <v>1317</v>
      </c>
      <c r="B1323" s="11">
        <f t="shared" ca="1" si="101"/>
        <v>1</v>
      </c>
      <c r="C1323" s="26">
        <f t="shared" ca="1" si="105"/>
        <v>7.0061932594409515E-2</v>
      </c>
      <c r="J1323">
        <f t="shared" ca="1" si="102"/>
        <v>1</v>
      </c>
      <c r="K1323">
        <f t="shared" ca="1" si="103"/>
        <v>0</v>
      </c>
      <c r="L1323" s="65">
        <v>1317</v>
      </c>
      <c r="M1323" s="71">
        <f t="shared" ca="1" si="104"/>
        <v>5.2291332313882002</v>
      </c>
      <c r="N1323" s="65"/>
    </row>
    <row r="1324" spans="1:14" x14ac:dyDescent="0.25">
      <c r="A1324" s="2">
        <v>1318</v>
      </c>
      <c r="B1324" s="11">
        <f t="shared" ca="1" si="101"/>
        <v>1</v>
      </c>
      <c r="C1324" s="26">
        <f t="shared" ca="1" si="105"/>
        <v>0.41136596222987554</v>
      </c>
      <c r="J1324">
        <f t="shared" ca="1" si="102"/>
        <v>1</v>
      </c>
      <c r="K1324">
        <f t="shared" ca="1" si="103"/>
        <v>0</v>
      </c>
      <c r="L1324" s="65">
        <v>1318</v>
      </c>
      <c r="M1324" s="71">
        <f t="shared" ca="1" si="104"/>
        <v>2.8638517224509035</v>
      </c>
      <c r="N1324" s="65"/>
    </row>
    <row r="1325" spans="1:14" x14ac:dyDescent="0.25">
      <c r="A1325" s="2">
        <v>1319</v>
      </c>
      <c r="B1325" s="11">
        <f t="shared" ca="1" si="101"/>
        <v>1</v>
      </c>
      <c r="C1325" s="26">
        <f t="shared" ca="1" si="105"/>
        <v>0.45233710041125075</v>
      </c>
      <c r="J1325">
        <f t="shared" ca="1" si="102"/>
        <v>1</v>
      </c>
      <c r="K1325">
        <f t="shared" ca="1" si="103"/>
        <v>0</v>
      </c>
      <c r="L1325" s="65">
        <v>1319</v>
      </c>
      <c r="M1325" s="71">
        <f t="shared" ca="1" si="104"/>
        <v>1.767744584267489</v>
      </c>
      <c r="N1325" s="65"/>
    </row>
    <row r="1326" spans="1:14" x14ac:dyDescent="0.25">
      <c r="A1326" s="2">
        <v>1320</v>
      </c>
      <c r="B1326" s="11">
        <f t="shared" ca="1" si="101"/>
        <v>1</v>
      </c>
      <c r="C1326" s="26">
        <f t="shared" ca="1" si="105"/>
        <v>0.73428095389645054</v>
      </c>
      <c r="J1326">
        <f t="shared" ca="1" si="102"/>
        <v>1</v>
      </c>
      <c r="K1326">
        <f t="shared" ca="1" si="103"/>
        <v>0</v>
      </c>
      <c r="L1326" s="65">
        <v>1320</v>
      </c>
      <c r="M1326" s="71">
        <f t="shared" ca="1" si="104"/>
        <v>3.0667501715119325</v>
      </c>
      <c r="N1326" s="65"/>
    </row>
    <row r="1327" spans="1:14" x14ac:dyDescent="0.25">
      <c r="A1327" s="2">
        <v>1321</v>
      </c>
      <c r="B1327" s="11">
        <f t="shared" ref="B1327:B1390" ca="1" si="106">IF(B1326&gt;0,IF(C1327&lt;pww,1,0),IF(C1327&lt;pdw,1,0))</f>
        <v>1</v>
      </c>
      <c r="C1327" s="26">
        <f t="shared" ca="1" si="105"/>
        <v>0.25606124920393969</v>
      </c>
      <c r="J1327">
        <f t="shared" ref="J1327:J1390" ca="1" si="107">IF(AND(B1327,B1328),1,0)</f>
        <v>1</v>
      </c>
      <c r="K1327">
        <f t="shared" ref="K1327:K1390" ca="1" si="108">IF(AND(NOT(B1327),NOT(B1328)),1,0)</f>
        <v>0</v>
      </c>
      <c r="L1327" s="65">
        <v>1321</v>
      </c>
      <c r="M1327" s="71">
        <f t="shared" ca="1" si="104"/>
        <v>4.2303277127627226</v>
      </c>
      <c r="N1327" s="65"/>
    </row>
    <row r="1328" spans="1:14" x14ac:dyDescent="0.25">
      <c r="A1328" s="2">
        <v>1322</v>
      </c>
      <c r="B1328" s="11">
        <f t="shared" ca="1" si="106"/>
        <v>1</v>
      </c>
      <c r="C1328" s="26">
        <f t="shared" ca="1" si="105"/>
        <v>0.69580266028750859</v>
      </c>
      <c r="J1328">
        <f t="shared" ca="1" si="107"/>
        <v>0</v>
      </c>
      <c r="K1328">
        <f t="shared" ca="1" si="108"/>
        <v>0</v>
      </c>
      <c r="L1328" s="65">
        <v>1322</v>
      </c>
      <c r="M1328" s="71">
        <f t="shared" ca="1" si="104"/>
        <v>0.24042802029016744</v>
      </c>
      <c r="N1328" s="65"/>
    </row>
    <row r="1329" spans="1:14" x14ac:dyDescent="0.25">
      <c r="A1329" s="2">
        <v>1323</v>
      </c>
      <c r="B1329" s="11">
        <f t="shared" ca="1" si="106"/>
        <v>0</v>
      </c>
      <c r="C1329" s="26">
        <f t="shared" ca="1" si="105"/>
        <v>0.94623910689375579</v>
      </c>
      <c r="J1329">
        <f t="shared" ca="1" si="107"/>
        <v>0</v>
      </c>
      <c r="K1329">
        <f t="shared" ca="1" si="108"/>
        <v>1</v>
      </c>
      <c r="L1329" s="65">
        <v>1323</v>
      </c>
      <c r="M1329" s="71">
        <f t="shared" ca="1" si="104"/>
        <v>0</v>
      </c>
      <c r="N1329" s="65"/>
    </row>
    <row r="1330" spans="1:14" x14ac:dyDescent="0.25">
      <c r="A1330" s="2">
        <v>1324</v>
      </c>
      <c r="B1330" s="11">
        <f t="shared" ca="1" si="106"/>
        <v>0</v>
      </c>
      <c r="C1330" s="26">
        <f t="shared" ca="1" si="105"/>
        <v>0.54010934440999803</v>
      </c>
      <c r="J1330">
        <f t="shared" ca="1" si="107"/>
        <v>0</v>
      </c>
      <c r="K1330">
        <f t="shared" ca="1" si="108"/>
        <v>1</v>
      </c>
      <c r="L1330" s="65">
        <v>1324</v>
      </c>
      <c r="M1330" s="71">
        <f t="shared" ca="1" si="104"/>
        <v>0</v>
      </c>
      <c r="N1330" s="65"/>
    </row>
    <row r="1331" spans="1:14" x14ac:dyDescent="0.25">
      <c r="A1331" s="2">
        <v>1325</v>
      </c>
      <c r="B1331" s="11">
        <f t="shared" ca="1" si="106"/>
        <v>0</v>
      </c>
      <c r="C1331" s="26">
        <f t="shared" ca="1" si="105"/>
        <v>0.74673898554974216</v>
      </c>
      <c r="J1331">
        <f t="shared" ca="1" si="107"/>
        <v>0</v>
      </c>
      <c r="K1331">
        <f t="shared" ca="1" si="108"/>
        <v>1</v>
      </c>
      <c r="L1331" s="65">
        <v>1325</v>
      </c>
      <c r="M1331" s="71">
        <f t="shared" ca="1" si="104"/>
        <v>0</v>
      </c>
      <c r="N1331" s="65"/>
    </row>
    <row r="1332" spans="1:14" x14ac:dyDescent="0.25">
      <c r="A1332" s="2">
        <v>1326</v>
      </c>
      <c r="B1332" s="11">
        <f t="shared" ca="1" si="106"/>
        <v>0</v>
      </c>
      <c r="C1332" s="26">
        <f t="shared" ca="1" si="105"/>
        <v>0.49511708133272236</v>
      </c>
      <c r="J1332">
        <f t="shared" ca="1" si="107"/>
        <v>0</v>
      </c>
      <c r="K1332">
        <f t="shared" ca="1" si="108"/>
        <v>1</v>
      </c>
      <c r="L1332" s="65">
        <v>1326</v>
      </c>
      <c r="M1332" s="71">
        <f t="shared" ca="1" si="104"/>
        <v>0</v>
      </c>
      <c r="N1332" s="65"/>
    </row>
    <row r="1333" spans="1:14" x14ac:dyDescent="0.25">
      <c r="A1333" s="2">
        <v>1327</v>
      </c>
      <c r="B1333" s="11">
        <f t="shared" ca="1" si="106"/>
        <v>0</v>
      </c>
      <c r="C1333" s="26">
        <f t="shared" ca="1" si="105"/>
        <v>0.93075856638315446</v>
      </c>
      <c r="J1333">
        <f t="shared" ca="1" si="107"/>
        <v>0</v>
      </c>
      <c r="K1333">
        <f t="shared" ca="1" si="108"/>
        <v>0</v>
      </c>
      <c r="L1333" s="65">
        <v>1327</v>
      </c>
      <c r="M1333" s="71">
        <f t="shared" ca="1" si="104"/>
        <v>0</v>
      </c>
      <c r="N1333" s="65"/>
    </row>
    <row r="1334" spans="1:14" x14ac:dyDescent="0.25">
      <c r="A1334" s="2">
        <v>1328</v>
      </c>
      <c r="B1334" s="11">
        <f t="shared" ca="1" si="106"/>
        <v>1</v>
      </c>
      <c r="C1334" s="26">
        <f t="shared" ca="1" si="105"/>
        <v>7.1613836268164088E-2</v>
      </c>
      <c r="J1334">
        <f t="shared" ca="1" si="107"/>
        <v>1</v>
      </c>
      <c r="K1334">
        <f t="shared" ca="1" si="108"/>
        <v>0</v>
      </c>
      <c r="L1334" s="65">
        <v>1328</v>
      </c>
      <c r="M1334" s="71">
        <f t="shared" ca="1" si="104"/>
        <v>4.7047679580510806</v>
      </c>
      <c r="N1334" s="65"/>
    </row>
    <row r="1335" spans="1:14" x14ac:dyDescent="0.25">
      <c r="A1335" s="2">
        <v>1329</v>
      </c>
      <c r="B1335" s="11">
        <f t="shared" ca="1" si="106"/>
        <v>1</v>
      </c>
      <c r="C1335" s="26">
        <f t="shared" ca="1" si="105"/>
        <v>0.71145321714988963</v>
      </c>
      <c r="J1335">
        <f t="shared" ca="1" si="107"/>
        <v>1</v>
      </c>
      <c r="K1335">
        <f t="shared" ca="1" si="108"/>
        <v>0</v>
      </c>
      <c r="L1335" s="65">
        <v>1329</v>
      </c>
      <c r="M1335" s="71">
        <f t="shared" ca="1" si="104"/>
        <v>0.3455088515229891</v>
      </c>
      <c r="N1335" s="65"/>
    </row>
    <row r="1336" spans="1:14" x14ac:dyDescent="0.25">
      <c r="A1336" s="2">
        <v>1330</v>
      </c>
      <c r="B1336" s="11">
        <f t="shared" ca="1" si="106"/>
        <v>1</v>
      </c>
      <c r="C1336" s="26">
        <f t="shared" ca="1" si="105"/>
        <v>0.10760928975330186</v>
      </c>
      <c r="J1336">
        <f t="shared" ca="1" si="107"/>
        <v>0</v>
      </c>
      <c r="K1336">
        <f t="shared" ca="1" si="108"/>
        <v>0</v>
      </c>
      <c r="L1336" s="65">
        <v>1330</v>
      </c>
      <c r="M1336" s="71">
        <f t="shared" ca="1" si="104"/>
        <v>6.4612002735868286</v>
      </c>
      <c r="N1336" s="65"/>
    </row>
    <row r="1337" spans="1:14" x14ac:dyDescent="0.25">
      <c r="A1337" s="2">
        <v>1331</v>
      </c>
      <c r="B1337" s="11">
        <f t="shared" ca="1" si="106"/>
        <v>0</v>
      </c>
      <c r="C1337" s="26">
        <f t="shared" ca="1" si="105"/>
        <v>0.81309934611031598</v>
      </c>
      <c r="J1337">
        <f t="shared" ca="1" si="107"/>
        <v>0</v>
      </c>
      <c r="K1337">
        <f t="shared" ca="1" si="108"/>
        <v>1</v>
      </c>
      <c r="L1337" s="65">
        <v>1331</v>
      </c>
      <c r="M1337" s="71">
        <f t="shared" ca="1" si="104"/>
        <v>0</v>
      </c>
      <c r="N1337" s="65"/>
    </row>
    <row r="1338" spans="1:14" x14ac:dyDescent="0.25">
      <c r="A1338" s="2">
        <v>1332</v>
      </c>
      <c r="B1338" s="11">
        <f t="shared" ca="1" si="106"/>
        <v>0</v>
      </c>
      <c r="C1338" s="26">
        <f t="shared" ca="1" si="105"/>
        <v>0.97136728906581049</v>
      </c>
      <c r="J1338">
        <f t="shared" ca="1" si="107"/>
        <v>0</v>
      </c>
      <c r="K1338">
        <f t="shared" ca="1" si="108"/>
        <v>0</v>
      </c>
      <c r="L1338" s="65">
        <v>1332</v>
      </c>
      <c r="M1338" s="71">
        <f t="shared" ca="1" si="104"/>
        <v>0</v>
      </c>
      <c r="N1338" s="65"/>
    </row>
    <row r="1339" spans="1:14" x14ac:dyDescent="0.25">
      <c r="A1339" s="2">
        <v>1333</v>
      </c>
      <c r="B1339" s="11">
        <f t="shared" ca="1" si="106"/>
        <v>1</v>
      </c>
      <c r="C1339" s="26">
        <f t="shared" ca="1" si="105"/>
        <v>0.3752562941914942</v>
      </c>
      <c r="J1339">
        <f t="shared" ca="1" si="107"/>
        <v>1</v>
      </c>
      <c r="K1339">
        <f t="shared" ca="1" si="108"/>
        <v>0</v>
      </c>
      <c r="L1339" s="65">
        <v>1333</v>
      </c>
      <c r="M1339" s="71">
        <f t="shared" ca="1" si="104"/>
        <v>2.5450063293103575</v>
      </c>
      <c r="N1339" s="65"/>
    </row>
    <row r="1340" spans="1:14" x14ac:dyDescent="0.25">
      <c r="A1340" s="2">
        <v>1334</v>
      </c>
      <c r="B1340" s="11">
        <f t="shared" ca="1" si="106"/>
        <v>1</v>
      </c>
      <c r="C1340" s="26">
        <f t="shared" ca="1" si="105"/>
        <v>0.59743736019700744</v>
      </c>
      <c r="J1340">
        <f t="shared" ca="1" si="107"/>
        <v>0</v>
      </c>
      <c r="K1340">
        <f t="shared" ca="1" si="108"/>
        <v>0</v>
      </c>
      <c r="L1340" s="65">
        <v>1334</v>
      </c>
      <c r="M1340" s="71">
        <f t="shared" ca="1" si="104"/>
        <v>4.293680737607259</v>
      </c>
      <c r="N1340" s="65"/>
    </row>
    <row r="1341" spans="1:14" x14ac:dyDescent="0.25">
      <c r="A1341" s="2">
        <v>1335</v>
      </c>
      <c r="B1341" s="11">
        <f t="shared" ca="1" si="106"/>
        <v>0</v>
      </c>
      <c r="C1341" s="26">
        <f t="shared" ca="1" si="105"/>
        <v>0.88507303337671506</v>
      </c>
      <c r="J1341">
        <f t="shared" ca="1" si="107"/>
        <v>0</v>
      </c>
      <c r="K1341">
        <f t="shared" ca="1" si="108"/>
        <v>1</v>
      </c>
      <c r="L1341" s="65">
        <v>1335</v>
      </c>
      <c r="M1341" s="71">
        <f t="shared" ca="1" si="104"/>
        <v>0</v>
      </c>
      <c r="N1341" s="65"/>
    </row>
    <row r="1342" spans="1:14" x14ac:dyDescent="0.25">
      <c r="A1342" s="2">
        <v>1336</v>
      </c>
      <c r="B1342" s="11">
        <f t="shared" ca="1" si="106"/>
        <v>0</v>
      </c>
      <c r="C1342" s="26">
        <f t="shared" ca="1" si="105"/>
        <v>0.80818022436565562</v>
      </c>
      <c r="J1342">
        <f t="shared" ca="1" si="107"/>
        <v>0</v>
      </c>
      <c r="K1342">
        <f t="shared" ca="1" si="108"/>
        <v>1</v>
      </c>
      <c r="L1342" s="65">
        <v>1336</v>
      </c>
      <c r="M1342" s="71">
        <f t="shared" ca="1" si="104"/>
        <v>0</v>
      </c>
      <c r="N1342" s="65"/>
    </row>
    <row r="1343" spans="1:14" x14ac:dyDescent="0.25">
      <c r="A1343" s="2">
        <v>1337</v>
      </c>
      <c r="B1343" s="11">
        <f t="shared" ca="1" si="106"/>
        <v>0</v>
      </c>
      <c r="C1343" s="26">
        <f t="shared" ca="1" si="105"/>
        <v>0.93573098975770386</v>
      </c>
      <c r="J1343">
        <f t="shared" ca="1" si="107"/>
        <v>0</v>
      </c>
      <c r="K1343">
        <f t="shared" ca="1" si="108"/>
        <v>0</v>
      </c>
      <c r="L1343" s="65">
        <v>1337</v>
      </c>
      <c r="M1343" s="71">
        <f t="shared" ca="1" si="104"/>
        <v>0</v>
      </c>
      <c r="N1343" s="65"/>
    </row>
    <row r="1344" spans="1:14" x14ac:dyDescent="0.25">
      <c r="A1344" s="2">
        <v>1338</v>
      </c>
      <c r="B1344" s="11">
        <f t="shared" ca="1" si="106"/>
        <v>1</v>
      </c>
      <c r="C1344" s="26">
        <f t="shared" ca="1" si="105"/>
        <v>2.7615863113985561E-2</v>
      </c>
      <c r="J1344">
        <f t="shared" ca="1" si="107"/>
        <v>1</v>
      </c>
      <c r="K1344">
        <f t="shared" ca="1" si="108"/>
        <v>0</v>
      </c>
      <c r="L1344" s="65">
        <v>1338</v>
      </c>
      <c r="M1344" s="71">
        <f t="shared" ca="1" si="104"/>
        <v>2.8720285735576909</v>
      </c>
      <c r="N1344" s="65"/>
    </row>
    <row r="1345" spans="1:14" x14ac:dyDescent="0.25">
      <c r="A1345" s="2">
        <v>1339</v>
      </c>
      <c r="B1345" s="11">
        <f t="shared" ca="1" si="106"/>
        <v>1</v>
      </c>
      <c r="C1345" s="26">
        <f t="shared" ca="1" si="105"/>
        <v>7.7597161726293384E-2</v>
      </c>
      <c r="J1345">
        <f t="shared" ca="1" si="107"/>
        <v>0</v>
      </c>
      <c r="K1345">
        <f t="shared" ca="1" si="108"/>
        <v>0</v>
      </c>
      <c r="L1345" s="65">
        <v>1339</v>
      </c>
      <c r="M1345" s="71">
        <f t="shared" ca="1" si="104"/>
        <v>3.3985754838873912</v>
      </c>
      <c r="N1345" s="65"/>
    </row>
    <row r="1346" spans="1:14" x14ac:dyDescent="0.25">
      <c r="A1346" s="2">
        <v>1340</v>
      </c>
      <c r="B1346" s="11">
        <f t="shared" ca="1" si="106"/>
        <v>0</v>
      </c>
      <c r="C1346" s="26">
        <f t="shared" ca="1" si="105"/>
        <v>0.8009191918078471</v>
      </c>
      <c r="J1346">
        <f t="shared" ca="1" si="107"/>
        <v>0</v>
      </c>
      <c r="K1346">
        <f t="shared" ca="1" si="108"/>
        <v>0</v>
      </c>
      <c r="L1346" s="65">
        <v>1340</v>
      </c>
      <c r="M1346" s="71">
        <f t="shared" ca="1" si="104"/>
        <v>0</v>
      </c>
      <c r="N1346" s="65"/>
    </row>
    <row r="1347" spans="1:14" x14ac:dyDescent="0.25">
      <c r="A1347" s="2">
        <v>1341</v>
      </c>
      <c r="B1347" s="11">
        <f t="shared" ca="1" si="106"/>
        <v>1</v>
      </c>
      <c r="C1347" s="26">
        <f t="shared" ca="1" si="105"/>
        <v>0.21446167502343638</v>
      </c>
      <c r="J1347">
        <f t="shared" ca="1" si="107"/>
        <v>0</v>
      </c>
      <c r="K1347">
        <f t="shared" ca="1" si="108"/>
        <v>0</v>
      </c>
      <c r="L1347" s="65">
        <v>1341</v>
      </c>
      <c r="M1347" s="71">
        <f t="shared" ca="1" si="104"/>
        <v>8.8861106230687366</v>
      </c>
      <c r="N1347" s="65"/>
    </row>
    <row r="1348" spans="1:14" x14ac:dyDescent="0.25">
      <c r="A1348" s="2">
        <v>1342</v>
      </c>
      <c r="B1348" s="11">
        <f t="shared" ca="1" si="106"/>
        <v>0</v>
      </c>
      <c r="C1348" s="26">
        <f t="shared" ca="1" si="105"/>
        <v>0.99339129984102104</v>
      </c>
      <c r="J1348">
        <f t="shared" ca="1" si="107"/>
        <v>0</v>
      </c>
      <c r="K1348">
        <f t="shared" ca="1" si="108"/>
        <v>0</v>
      </c>
      <c r="L1348" s="65">
        <v>1342</v>
      </c>
      <c r="M1348" s="71">
        <f t="shared" ca="1" si="104"/>
        <v>0</v>
      </c>
      <c r="N1348" s="65"/>
    </row>
    <row r="1349" spans="1:14" x14ac:dyDescent="0.25">
      <c r="A1349" s="2">
        <v>1343</v>
      </c>
      <c r="B1349" s="11">
        <f t="shared" ca="1" si="106"/>
        <v>1</v>
      </c>
      <c r="C1349" s="26">
        <f t="shared" ca="1" si="105"/>
        <v>5.9198539703303465E-2</v>
      </c>
      <c r="J1349">
        <f t="shared" ca="1" si="107"/>
        <v>1</v>
      </c>
      <c r="K1349">
        <f t="shared" ca="1" si="108"/>
        <v>0</v>
      </c>
      <c r="L1349" s="65">
        <v>1343</v>
      </c>
      <c r="M1349" s="71">
        <f t="shared" ca="1" si="104"/>
        <v>0.2879797803059293</v>
      </c>
      <c r="N1349" s="65"/>
    </row>
    <row r="1350" spans="1:14" x14ac:dyDescent="0.25">
      <c r="A1350" s="2">
        <v>1344</v>
      </c>
      <c r="B1350" s="11">
        <f t="shared" ca="1" si="106"/>
        <v>1</v>
      </c>
      <c r="C1350" s="26">
        <f t="shared" ca="1" si="105"/>
        <v>0.17476981670587066</v>
      </c>
      <c r="J1350">
        <f t="shared" ca="1" si="107"/>
        <v>0</v>
      </c>
      <c r="K1350">
        <f t="shared" ca="1" si="108"/>
        <v>0</v>
      </c>
      <c r="L1350" s="65">
        <v>1344</v>
      </c>
      <c r="M1350" s="71">
        <f t="shared" ca="1" si="104"/>
        <v>2.9107809455404787</v>
      </c>
      <c r="N1350" s="65"/>
    </row>
    <row r="1351" spans="1:14" x14ac:dyDescent="0.25">
      <c r="A1351" s="2">
        <v>1345</v>
      </c>
      <c r="B1351" s="11">
        <f t="shared" ca="1" si="106"/>
        <v>0</v>
      </c>
      <c r="C1351" s="26">
        <f t="shared" ca="1" si="105"/>
        <v>0.90022488661082856</v>
      </c>
      <c r="J1351">
        <f t="shared" ca="1" si="107"/>
        <v>0</v>
      </c>
      <c r="K1351">
        <f t="shared" ca="1" si="108"/>
        <v>0</v>
      </c>
      <c r="L1351" s="65">
        <v>1345</v>
      </c>
      <c r="M1351" s="71">
        <f t="shared" ref="M1351:M1414" ca="1" si="109">IF(B1351&gt;0,-LN(1-(RAND()))/lambda,0)</f>
        <v>0</v>
      </c>
      <c r="N1351" s="65"/>
    </row>
    <row r="1352" spans="1:14" x14ac:dyDescent="0.25">
      <c r="A1352" s="2">
        <v>1346</v>
      </c>
      <c r="B1352" s="11">
        <f t="shared" ca="1" si="106"/>
        <v>1</v>
      </c>
      <c r="C1352" s="26">
        <f t="shared" ref="C1352:C1415" ca="1" si="110">RAND()</f>
        <v>0.20587854263795757</v>
      </c>
      <c r="J1352">
        <f t="shared" ca="1" si="107"/>
        <v>1</v>
      </c>
      <c r="K1352">
        <f t="shared" ca="1" si="108"/>
        <v>0</v>
      </c>
      <c r="L1352" s="65">
        <v>1346</v>
      </c>
      <c r="M1352" s="71">
        <f t="shared" ca="1" si="109"/>
        <v>5.2908127096037028</v>
      </c>
      <c r="N1352" s="65"/>
    </row>
    <row r="1353" spans="1:14" x14ac:dyDescent="0.25">
      <c r="A1353" s="2">
        <v>1347</v>
      </c>
      <c r="B1353" s="11">
        <f t="shared" ca="1" si="106"/>
        <v>1</v>
      </c>
      <c r="C1353" s="26">
        <f t="shared" ca="1" si="110"/>
        <v>0.29074309709467072</v>
      </c>
      <c r="J1353">
        <f t="shared" ca="1" si="107"/>
        <v>1</v>
      </c>
      <c r="K1353">
        <f t="shared" ca="1" si="108"/>
        <v>0</v>
      </c>
      <c r="L1353" s="65">
        <v>1347</v>
      </c>
      <c r="M1353" s="71">
        <f t="shared" ca="1" si="109"/>
        <v>7.8306580546704492</v>
      </c>
      <c r="N1353" s="65"/>
    </row>
    <row r="1354" spans="1:14" x14ac:dyDescent="0.25">
      <c r="A1354" s="2">
        <v>1348</v>
      </c>
      <c r="B1354" s="11">
        <f t="shared" ca="1" si="106"/>
        <v>1</v>
      </c>
      <c r="C1354" s="26">
        <f t="shared" ca="1" si="110"/>
        <v>0.43233676172314106</v>
      </c>
      <c r="J1354">
        <f t="shared" ca="1" si="107"/>
        <v>1</v>
      </c>
      <c r="K1354">
        <f t="shared" ca="1" si="108"/>
        <v>0</v>
      </c>
      <c r="L1354" s="65">
        <v>1348</v>
      </c>
      <c r="M1354" s="71">
        <f t="shared" ca="1" si="109"/>
        <v>1.8984933028182847</v>
      </c>
      <c r="N1354" s="65"/>
    </row>
    <row r="1355" spans="1:14" x14ac:dyDescent="0.25">
      <c r="A1355" s="2">
        <v>1349</v>
      </c>
      <c r="B1355" s="11">
        <f t="shared" ca="1" si="106"/>
        <v>1</v>
      </c>
      <c r="C1355" s="26">
        <f t="shared" ca="1" si="110"/>
        <v>0.67968079191333375</v>
      </c>
      <c r="J1355">
        <f t="shared" ca="1" si="107"/>
        <v>1</v>
      </c>
      <c r="K1355">
        <f t="shared" ca="1" si="108"/>
        <v>0</v>
      </c>
      <c r="L1355" s="65">
        <v>1349</v>
      </c>
      <c r="M1355" s="71">
        <f t="shared" ca="1" si="109"/>
        <v>0.76701723618875817</v>
      </c>
      <c r="N1355" s="65"/>
    </row>
    <row r="1356" spans="1:14" x14ac:dyDescent="0.25">
      <c r="A1356" s="2">
        <v>1350</v>
      </c>
      <c r="B1356" s="11">
        <f t="shared" ca="1" si="106"/>
        <v>1</v>
      </c>
      <c r="C1356" s="26">
        <f t="shared" ca="1" si="110"/>
        <v>0.46670723845856166</v>
      </c>
      <c r="J1356">
        <f t="shared" ca="1" si="107"/>
        <v>1</v>
      </c>
      <c r="K1356">
        <f t="shared" ca="1" si="108"/>
        <v>0</v>
      </c>
      <c r="L1356" s="65">
        <v>1350</v>
      </c>
      <c r="M1356" s="71">
        <f t="shared" ca="1" si="109"/>
        <v>4.0248657081972992</v>
      </c>
      <c r="N1356" s="65"/>
    </row>
    <row r="1357" spans="1:14" x14ac:dyDescent="0.25">
      <c r="A1357" s="2">
        <v>1351</v>
      </c>
      <c r="B1357" s="11">
        <f t="shared" ca="1" si="106"/>
        <v>1</v>
      </c>
      <c r="C1357" s="26">
        <f t="shared" ca="1" si="110"/>
        <v>0.15174528041026192</v>
      </c>
      <c r="J1357">
        <f t="shared" ca="1" si="107"/>
        <v>1</v>
      </c>
      <c r="K1357">
        <f t="shared" ca="1" si="108"/>
        <v>0</v>
      </c>
      <c r="L1357" s="65">
        <v>1351</v>
      </c>
      <c r="M1357" s="71">
        <f t="shared" ca="1" si="109"/>
        <v>2.6107238187252246</v>
      </c>
      <c r="N1357" s="65"/>
    </row>
    <row r="1358" spans="1:14" x14ac:dyDescent="0.25">
      <c r="A1358" s="2">
        <v>1352</v>
      </c>
      <c r="B1358" s="11">
        <f t="shared" ca="1" si="106"/>
        <v>1</v>
      </c>
      <c r="C1358" s="26">
        <f t="shared" ca="1" si="110"/>
        <v>0.71091485115224884</v>
      </c>
      <c r="J1358">
        <f t="shared" ca="1" si="107"/>
        <v>1</v>
      </c>
      <c r="K1358">
        <f t="shared" ca="1" si="108"/>
        <v>0</v>
      </c>
      <c r="L1358" s="65">
        <v>1352</v>
      </c>
      <c r="M1358" s="71">
        <f t="shared" ca="1" si="109"/>
        <v>7.8385052374260571</v>
      </c>
      <c r="N1358" s="65"/>
    </row>
    <row r="1359" spans="1:14" x14ac:dyDescent="0.25">
      <c r="A1359" s="2">
        <v>1353</v>
      </c>
      <c r="B1359" s="11">
        <f t="shared" ca="1" si="106"/>
        <v>1</v>
      </c>
      <c r="C1359" s="26">
        <f t="shared" ca="1" si="110"/>
        <v>0.19747144907628311</v>
      </c>
      <c r="J1359">
        <f t="shared" ca="1" si="107"/>
        <v>1</v>
      </c>
      <c r="K1359">
        <f t="shared" ca="1" si="108"/>
        <v>0</v>
      </c>
      <c r="L1359" s="65">
        <v>1353</v>
      </c>
      <c r="M1359" s="71">
        <f t="shared" ca="1" si="109"/>
        <v>2.3448712372719451</v>
      </c>
      <c r="N1359" s="65"/>
    </row>
    <row r="1360" spans="1:14" x14ac:dyDescent="0.25">
      <c r="A1360" s="2">
        <v>1354</v>
      </c>
      <c r="B1360" s="11">
        <f t="shared" ca="1" si="106"/>
        <v>1</v>
      </c>
      <c r="C1360" s="26">
        <f t="shared" ca="1" si="110"/>
        <v>0.10082817068188554</v>
      </c>
      <c r="J1360">
        <f t="shared" ca="1" si="107"/>
        <v>0</v>
      </c>
      <c r="K1360">
        <f t="shared" ca="1" si="108"/>
        <v>0</v>
      </c>
      <c r="L1360" s="65">
        <v>1354</v>
      </c>
      <c r="M1360" s="71">
        <f t="shared" ca="1" si="109"/>
        <v>13.389348349240635</v>
      </c>
      <c r="N1360" s="65"/>
    </row>
    <row r="1361" spans="1:14" x14ac:dyDescent="0.25">
      <c r="A1361" s="2">
        <v>1355</v>
      </c>
      <c r="B1361" s="11">
        <f t="shared" ca="1" si="106"/>
        <v>0</v>
      </c>
      <c r="C1361" s="26">
        <f t="shared" ca="1" si="110"/>
        <v>0.89539067631719649</v>
      </c>
      <c r="J1361">
        <f t="shared" ca="1" si="107"/>
        <v>0</v>
      </c>
      <c r="K1361">
        <f t="shared" ca="1" si="108"/>
        <v>1</v>
      </c>
      <c r="L1361" s="65">
        <v>1355</v>
      </c>
      <c r="M1361" s="71">
        <f t="shared" ca="1" si="109"/>
        <v>0</v>
      </c>
      <c r="N1361" s="65"/>
    </row>
    <row r="1362" spans="1:14" x14ac:dyDescent="0.25">
      <c r="A1362" s="2">
        <v>1356</v>
      </c>
      <c r="B1362" s="11">
        <f t="shared" ca="1" si="106"/>
        <v>0</v>
      </c>
      <c r="C1362" s="26">
        <f t="shared" ca="1" si="110"/>
        <v>0.47146957593729244</v>
      </c>
      <c r="J1362">
        <f t="shared" ca="1" si="107"/>
        <v>0</v>
      </c>
      <c r="K1362">
        <f t="shared" ca="1" si="108"/>
        <v>1</v>
      </c>
      <c r="L1362" s="65">
        <v>1356</v>
      </c>
      <c r="M1362" s="71">
        <f t="shared" ca="1" si="109"/>
        <v>0</v>
      </c>
      <c r="N1362" s="65"/>
    </row>
    <row r="1363" spans="1:14" x14ac:dyDescent="0.25">
      <c r="A1363" s="2">
        <v>1357</v>
      </c>
      <c r="B1363" s="11">
        <f t="shared" ca="1" si="106"/>
        <v>0</v>
      </c>
      <c r="C1363" s="26">
        <f t="shared" ca="1" si="110"/>
        <v>0.40938827328092109</v>
      </c>
      <c r="J1363">
        <f t="shared" ca="1" si="107"/>
        <v>0</v>
      </c>
      <c r="K1363">
        <f t="shared" ca="1" si="108"/>
        <v>0</v>
      </c>
      <c r="L1363" s="65">
        <v>1357</v>
      </c>
      <c r="M1363" s="71">
        <f t="shared" ca="1" si="109"/>
        <v>0</v>
      </c>
      <c r="N1363" s="65"/>
    </row>
    <row r="1364" spans="1:14" x14ac:dyDescent="0.25">
      <c r="A1364" s="2">
        <v>1358</v>
      </c>
      <c r="B1364" s="11">
        <f t="shared" ca="1" si="106"/>
        <v>1</v>
      </c>
      <c r="C1364" s="26">
        <f t="shared" ca="1" si="110"/>
        <v>0.18809545392272553</v>
      </c>
      <c r="J1364">
        <f t="shared" ca="1" si="107"/>
        <v>1</v>
      </c>
      <c r="K1364">
        <f t="shared" ca="1" si="108"/>
        <v>0</v>
      </c>
      <c r="L1364" s="65">
        <v>1358</v>
      </c>
      <c r="M1364" s="71">
        <f t="shared" ca="1" si="109"/>
        <v>1.3358032245817462</v>
      </c>
      <c r="N1364" s="65"/>
    </row>
    <row r="1365" spans="1:14" x14ac:dyDescent="0.25">
      <c r="A1365" s="2">
        <v>1359</v>
      </c>
      <c r="B1365" s="11">
        <f t="shared" ca="1" si="106"/>
        <v>1</v>
      </c>
      <c r="C1365" s="26">
        <f t="shared" ca="1" si="110"/>
        <v>0.58271101236492961</v>
      </c>
      <c r="J1365">
        <f t="shared" ca="1" si="107"/>
        <v>1</v>
      </c>
      <c r="K1365">
        <f t="shared" ca="1" si="108"/>
        <v>0</v>
      </c>
      <c r="L1365" s="65">
        <v>1359</v>
      </c>
      <c r="M1365" s="71">
        <f t="shared" ca="1" si="109"/>
        <v>5.5896030528502489</v>
      </c>
      <c r="N1365" s="65"/>
    </row>
    <row r="1366" spans="1:14" x14ac:dyDescent="0.25">
      <c r="A1366" s="2">
        <v>1360</v>
      </c>
      <c r="B1366" s="11">
        <f t="shared" ca="1" si="106"/>
        <v>1</v>
      </c>
      <c r="C1366" s="26">
        <f t="shared" ca="1" si="110"/>
        <v>3.4468865217710198E-2</v>
      </c>
      <c r="J1366">
        <f t="shared" ca="1" si="107"/>
        <v>1</v>
      </c>
      <c r="K1366">
        <f t="shared" ca="1" si="108"/>
        <v>0</v>
      </c>
      <c r="L1366" s="65">
        <v>1360</v>
      </c>
      <c r="M1366" s="71">
        <f t="shared" ca="1" si="109"/>
        <v>0.7211984940121805</v>
      </c>
      <c r="N1366" s="65"/>
    </row>
    <row r="1367" spans="1:14" x14ac:dyDescent="0.25">
      <c r="A1367" s="2">
        <v>1361</v>
      </c>
      <c r="B1367" s="11">
        <f t="shared" ca="1" si="106"/>
        <v>1</v>
      </c>
      <c r="C1367" s="26">
        <f t="shared" ca="1" si="110"/>
        <v>0.27949244617042701</v>
      </c>
      <c r="J1367">
        <f t="shared" ca="1" si="107"/>
        <v>0</v>
      </c>
      <c r="K1367">
        <f t="shared" ca="1" si="108"/>
        <v>0</v>
      </c>
      <c r="L1367" s="65">
        <v>1361</v>
      </c>
      <c r="M1367" s="71">
        <f t="shared" ca="1" si="109"/>
        <v>6.1929533966548469</v>
      </c>
      <c r="N1367" s="65"/>
    </row>
    <row r="1368" spans="1:14" x14ac:dyDescent="0.25">
      <c r="A1368" s="2">
        <v>1362</v>
      </c>
      <c r="B1368" s="11">
        <f t="shared" ca="1" si="106"/>
        <v>0</v>
      </c>
      <c r="C1368" s="26">
        <f t="shared" ca="1" si="110"/>
        <v>0.91018182796061964</v>
      </c>
      <c r="J1368">
        <f t="shared" ca="1" si="107"/>
        <v>0</v>
      </c>
      <c r="K1368">
        <f t="shared" ca="1" si="108"/>
        <v>1</v>
      </c>
      <c r="L1368" s="65">
        <v>1362</v>
      </c>
      <c r="M1368" s="71">
        <f t="shared" ca="1" si="109"/>
        <v>0</v>
      </c>
      <c r="N1368" s="65"/>
    </row>
    <row r="1369" spans="1:14" x14ac:dyDescent="0.25">
      <c r="A1369" s="2">
        <v>1363</v>
      </c>
      <c r="B1369" s="11">
        <f t="shared" ca="1" si="106"/>
        <v>0</v>
      </c>
      <c r="C1369" s="26">
        <f t="shared" ca="1" si="110"/>
        <v>0.68826040776468633</v>
      </c>
      <c r="J1369">
        <f t="shared" ca="1" si="107"/>
        <v>0</v>
      </c>
      <c r="K1369">
        <f t="shared" ca="1" si="108"/>
        <v>1</v>
      </c>
      <c r="L1369" s="65">
        <v>1363</v>
      </c>
      <c r="M1369" s="71">
        <f t="shared" ca="1" si="109"/>
        <v>0</v>
      </c>
      <c r="N1369" s="65"/>
    </row>
    <row r="1370" spans="1:14" x14ac:dyDescent="0.25">
      <c r="A1370" s="2">
        <v>1364</v>
      </c>
      <c r="B1370" s="11">
        <f t="shared" ca="1" si="106"/>
        <v>0</v>
      </c>
      <c r="C1370" s="26">
        <f t="shared" ca="1" si="110"/>
        <v>0.61512350414327688</v>
      </c>
      <c r="J1370">
        <f t="shared" ca="1" si="107"/>
        <v>0</v>
      </c>
      <c r="K1370">
        <f t="shared" ca="1" si="108"/>
        <v>0</v>
      </c>
      <c r="L1370" s="65">
        <v>1364</v>
      </c>
      <c r="M1370" s="71">
        <f t="shared" ca="1" si="109"/>
        <v>0</v>
      </c>
      <c r="N1370" s="65"/>
    </row>
    <row r="1371" spans="1:14" x14ac:dyDescent="0.25">
      <c r="A1371" s="2">
        <v>1365</v>
      </c>
      <c r="B1371" s="11">
        <f t="shared" ca="1" si="106"/>
        <v>1</v>
      </c>
      <c r="C1371" s="26">
        <f t="shared" ca="1" si="110"/>
        <v>0.15386667261482712</v>
      </c>
      <c r="J1371">
        <f t="shared" ca="1" si="107"/>
        <v>1</v>
      </c>
      <c r="K1371">
        <f t="shared" ca="1" si="108"/>
        <v>0</v>
      </c>
      <c r="L1371" s="65">
        <v>1365</v>
      </c>
      <c r="M1371" s="71">
        <f t="shared" ca="1" si="109"/>
        <v>3.7795858448655255</v>
      </c>
      <c r="N1371" s="65"/>
    </row>
    <row r="1372" spans="1:14" x14ac:dyDescent="0.25">
      <c r="A1372" s="2">
        <v>1366</v>
      </c>
      <c r="B1372" s="11">
        <f t="shared" ca="1" si="106"/>
        <v>1</v>
      </c>
      <c r="C1372" s="26">
        <f t="shared" ca="1" si="110"/>
        <v>0.55250608024186254</v>
      </c>
      <c r="J1372">
        <f t="shared" ca="1" si="107"/>
        <v>0</v>
      </c>
      <c r="K1372">
        <f t="shared" ca="1" si="108"/>
        <v>0</v>
      </c>
      <c r="L1372" s="65">
        <v>1366</v>
      </c>
      <c r="M1372" s="71">
        <f t="shared" ca="1" si="109"/>
        <v>3.049040158040961</v>
      </c>
      <c r="N1372" s="65"/>
    </row>
    <row r="1373" spans="1:14" x14ac:dyDescent="0.25">
      <c r="A1373" s="2">
        <v>1367</v>
      </c>
      <c r="B1373" s="11">
        <f t="shared" ca="1" si="106"/>
        <v>0</v>
      </c>
      <c r="C1373" s="26">
        <f t="shared" ca="1" si="110"/>
        <v>0.90198773305587976</v>
      </c>
      <c r="J1373">
        <f t="shared" ca="1" si="107"/>
        <v>0</v>
      </c>
      <c r="K1373">
        <f t="shared" ca="1" si="108"/>
        <v>1</v>
      </c>
      <c r="L1373" s="65">
        <v>1367</v>
      </c>
      <c r="M1373" s="71">
        <f t="shared" ca="1" si="109"/>
        <v>0</v>
      </c>
      <c r="N1373" s="65"/>
    </row>
    <row r="1374" spans="1:14" x14ac:dyDescent="0.25">
      <c r="A1374" s="2">
        <v>1368</v>
      </c>
      <c r="B1374" s="11">
        <f t="shared" ca="1" si="106"/>
        <v>0</v>
      </c>
      <c r="C1374" s="26">
        <f t="shared" ca="1" si="110"/>
        <v>0.58575345857588434</v>
      </c>
      <c r="J1374">
        <f t="shared" ca="1" si="107"/>
        <v>0</v>
      </c>
      <c r="K1374">
        <f t="shared" ca="1" si="108"/>
        <v>1</v>
      </c>
      <c r="L1374" s="65">
        <v>1368</v>
      </c>
      <c r="M1374" s="71">
        <f t="shared" ca="1" si="109"/>
        <v>0</v>
      </c>
      <c r="N1374" s="65"/>
    </row>
    <row r="1375" spans="1:14" x14ac:dyDescent="0.25">
      <c r="A1375" s="2">
        <v>1369</v>
      </c>
      <c r="B1375" s="11">
        <f t="shared" ca="1" si="106"/>
        <v>0</v>
      </c>
      <c r="C1375" s="26">
        <f t="shared" ca="1" si="110"/>
        <v>0.47738588327128062</v>
      </c>
      <c r="J1375">
        <f t="shared" ca="1" si="107"/>
        <v>0</v>
      </c>
      <c r="K1375">
        <f t="shared" ca="1" si="108"/>
        <v>0</v>
      </c>
      <c r="L1375" s="65">
        <v>1369</v>
      </c>
      <c r="M1375" s="71">
        <f t="shared" ca="1" si="109"/>
        <v>0</v>
      </c>
      <c r="N1375" s="65"/>
    </row>
    <row r="1376" spans="1:14" x14ac:dyDescent="0.25">
      <c r="A1376" s="2">
        <v>1370</v>
      </c>
      <c r="B1376" s="11">
        <f t="shared" ca="1" si="106"/>
        <v>1</v>
      </c>
      <c r="C1376" s="26">
        <f t="shared" ca="1" si="110"/>
        <v>0.36632757714331798</v>
      </c>
      <c r="J1376">
        <f t="shared" ca="1" si="107"/>
        <v>1</v>
      </c>
      <c r="K1376">
        <f t="shared" ca="1" si="108"/>
        <v>0</v>
      </c>
      <c r="L1376" s="65">
        <v>1370</v>
      </c>
      <c r="M1376" s="71">
        <f t="shared" ca="1" si="109"/>
        <v>0.7609256311180177</v>
      </c>
      <c r="N1376" s="65"/>
    </row>
    <row r="1377" spans="1:14" x14ac:dyDescent="0.25">
      <c r="A1377" s="2">
        <v>1371</v>
      </c>
      <c r="B1377" s="11">
        <f t="shared" ca="1" si="106"/>
        <v>1</v>
      </c>
      <c r="C1377" s="26">
        <f t="shared" ca="1" si="110"/>
        <v>0.587094256968826</v>
      </c>
      <c r="J1377">
        <f t="shared" ca="1" si="107"/>
        <v>1</v>
      </c>
      <c r="K1377">
        <f t="shared" ca="1" si="108"/>
        <v>0</v>
      </c>
      <c r="L1377" s="65">
        <v>1371</v>
      </c>
      <c r="M1377" s="71">
        <f t="shared" ca="1" si="109"/>
        <v>3.0613229353069014</v>
      </c>
      <c r="N1377" s="65"/>
    </row>
    <row r="1378" spans="1:14" x14ac:dyDescent="0.25">
      <c r="A1378" s="2">
        <v>1372</v>
      </c>
      <c r="B1378" s="11">
        <f t="shared" ca="1" si="106"/>
        <v>1</v>
      </c>
      <c r="C1378" s="26">
        <f t="shared" ca="1" si="110"/>
        <v>1.836893330554612E-2</v>
      </c>
      <c r="J1378">
        <f t="shared" ca="1" si="107"/>
        <v>1</v>
      </c>
      <c r="K1378">
        <f t="shared" ca="1" si="108"/>
        <v>0</v>
      </c>
      <c r="L1378" s="65">
        <v>1372</v>
      </c>
      <c r="M1378" s="71">
        <f t="shared" ca="1" si="109"/>
        <v>0.80975493900603124</v>
      </c>
      <c r="N1378" s="65"/>
    </row>
    <row r="1379" spans="1:14" x14ac:dyDescent="0.25">
      <c r="A1379" s="2">
        <v>1373</v>
      </c>
      <c r="B1379" s="11">
        <f t="shared" ca="1" si="106"/>
        <v>1</v>
      </c>
      <c r="C1379" s="26">
        <f t="shared" ca="1" si="110"/>
        <v>0.64908690875801367</v>
      </c>
      <c r="J1379">
        <f t="shared" ca="1" si="107"/>
        <v>0</v>
      </c>
      <c r="K1379">
        <f t="shared" ca="1" si="108"/>
        <v>0</v>
      </c>
      <c r="L1379" s="65">
        <v>1373</v>
      </c>
      <c r="M1379" s="71">
        <f t="shared" ca="1" si="109"/>
        <v>1.2357173884240361E-2</v>
      </c>
      <c r="N1379" s="65"/>
    </row>
    <row r="1380" spans="1:14" x14ac:dyDescent="0.25">
      <c r="A1380" s="2">
        <v>1374</v>
      </c>
      <c r="B1380" s="11">
        <f t="shared" ca="1" si="106"/>
        <v>0</v>
      </c>
      <c r="C1380" s="26">
        <f t="shared" ca="1" si="110"/>
        <v>0.92133825280086246</v>
      </c>
      <c r="J1380">
        <f t="shared" ca="1" si="107"/>
        <v>0</v>
      </c>
      <c r="K1380">
        <f t="shared" ca="1" si="108"/>
        <v>1</v>
      </c>
      <c r="L1380" s="65">
        <v>1374</v>
      </c>
      <c r="M1380" s="71">
        <f t="shared" ca="1" si="109"/>
        <v>0</v>
      </c>
      <c r="N1380" s="65"/>
    </row>
    <row r="1381" spans="1:14" x14ac:dyDescent="0.25">
      <c r="A1381" s="2">
        <v>1375</v>
      </c>
      <c r="B1381" s="11">
        <f t="shared" ca="1" si="106"/>
        <v>0</v>
      </c>
      <c r="C1381" s="26">
        <f t="shared" ca="1" si="110"/>
        <v>0.86607791446075499</v>
      </c>
      <c r="J1381">
        <f t="shared" ca="1" si="107"/>
        <v>0</v>
      </c>
      <c r="K1381">
        <f t="shared" ca="1" si="108"/>
        <v>1</v>
      </c>
      <c r="L1381" s="65">
        <v>1375</v>
      </c>
      <c r="M1381" s="71">
        <f t="shared" ca="1" si="109"/>
        <v>0</v>
      </c>
      <c r="N1381" s="65"/>
    </row>
    <row r="1382" spans="1:14" x14ac:dyDescent="0.25">
      <c r="A1382" s="2">
        <v>1376</v>
      </c>
      <c r="B1382" s="11">
        <f t="shared" ca="1" si="106"/>
        <v>0</v>
      </c>
      <c r="C1382" s="26">
        <f t="shared" ca="1" si="110"/>
        <v>0.4634935442318836</v>
      </c>
      <c r="J1382">
        <f t="shared" ca="1" si="107"/>
        <v>0</v>
      </c>
      <c r="K1382">
        <f t="shared" ca="1" si="108"/>
        <v>1</v>
      </c>
      <c r="L1382" s="65">
        <v>1376</v>
      </c>
      <c r="M1382" s="71">
        <f t="shared" ca="1" si="109"/>
        <v>0</v>
      </c>
      <c r="N1382" s="65"/>
    </row>
    <row r="1383" spans="1:14" x14ac:dyDescent="0.25">
      <c r="A1383" s="2">
        <v>1377</v>
      </c>
      <c r="B1383" s="11">
        <f t="shared" ca="1" si="106"/>
        <v>0</v>
      </c>
      <c r="C1383" s="26">
        <f t="shared" ca="1" si="110"/>
        <v>0.66600812974711721</v>
      </c>
      <c r="J1383">
        <f t="shared" ca="1" si="107"/>
        <v>0</v>
      </c>
      <c r="K1383">
        <f t="shared" ca="1" si="108"/>
        <v>1</v>
      </c>
      <c r="L1383" s="65">
        <v>1377</v>
      </c>
      <c r="M1383" s="71">
        <f t="shared" ca="1" si="109"/>
        <v>0</v>
      </c>
      <c r="N1383" s="65"/>
    </row>
    <row r="1384" spans="1:14" x14ac:dyDescent="0.25">
      <c r="A1384" s="2">
        <v>1378</v>
      </c>
      <c r="B1384" s="11">
        <f t="shared" ca="1" si="106"/>
        <v>0</v>
      </c>
      <c r="C1384" s="26">
        <f t="shared" ca="1" si="110"/>
        <v>0.69360710748548582</v>
      </c>
      <c r="J1384">
        <f t="shared" ca="1" si="107"/>
        <v>0</v>
      </c>
      <c r="K1384">
        <f t="shared" ca="1" si="108"/>
        <v>1</v>
      </c>
      <c r="L1384" s="65">
        <v>1378</v>
      </c>
      <c r="M1384" s="71">
        <f t="shared" ca="1" si="109"/>
        <v>0</v>
      </c>
      <c r="N1384" s="65"/>
    </row>
    <row r="1385" spans="1:14" x14ac:dyDescent="0.25">
      <c r="A1385" s="2">
        <v>1379</v>
      </c>
      <c r="B1385" s="11">
        <f t="shared" ca="1" si="106"/>
        <v>0</v>
      </c>
      <c r="C1385" s="26">
        <f t="shared" ca="1" si="110"/>
        <v>0.79639011978569829</v>
      </c>
      <c r="J1385">
        <f t="shared" ca="1" si="107"/>
        <v>0</v>
      </c>
      <c r="K1385">
        <f t="shared" ca="1" si="108"/>
        <v>1</v>
      </c>
      <c r="L1385" s="65">
        <v>1379</v>
      </c>
      <c r="M1385" s="71">
        <f t="shared" ca="1" si="109"/>
        <v>0</v>
      </c>
      <c r="N1385" s="65"/>
    </row>
    <row r="1386" spans="1:14" x14ac:dyDescent="0.25">
      <c r="A1386" s="2">
        <v>1380</v>
      </c>
      <c r="B1386" s="11">
        <f t="shared" ca="1" si="106"/>
        <v>0</v>
      </c>
      <c r="C1386" s="26">
        <f t="shared" ca="1" si="110"/>
        <v>0.89672655743470531</v>
      </c>
      <c r="J1386">
        <f t="shared" ca="1" si="107"/>
        <v>0</v>
      </c>
      <c r="K1386">
        <f t="shared" ca="1" si="108"/>
        <v>0</v>
      </c>
      <c r="L1386" s="65">
        <v>1380</v>
      </c>
      <c r="M1386" s="71">
        <f t="shared" ca="1" si="109"/>
        <v>0</v>
      </c>
      <c r="N1386" s="65"/>
    </row>
    <row r="1387" spans="1:14" x14ac:dyDescent="0.25">
      <c r="A1387" s="2">
        <v>1381</v>
      </c>
      <c r="B1387" s="11">
        <f t="shared" ca="1" si="106"/>
        <v>1</v>
      </c>
      <c r="C1387" s="26">
        <f t="shared" ca="1" si="110"/>
        <v>0.28244593240058646</v>
      </c>
      <c r="J1387">
        <f t="shared" ca="1" si="107"/>
        <v>1</v>
      </c>
      <c r="K1387">
        <f t="shared" ca="1" si="108"/>
        <v>0</v>
      </c>
      <c r="L1387" s="65">
        <v>1381</v>
      </c>
      <c r="M1387" s="71">
        <f t="shared" ca="1" si="109"/>
        <v>0.960365582233766</v>
      </c>
      <c r="N1387" s="65"/>
    </row>
    <row r="1388" spans="1:14" x14ac:dyDescent="0.25">
      <c r="A1388" s="2">
        <v>1382</v>
      </c>
      <c r="B1388" s="11">
        <f t="shared" ca="1" si="106"/>
        <v>1</v>
      </c>
      <c r="C1388" s="26">
        <f t="shared" ca="1" si="110"/>
        <v>0.5927853075341919</v>
      </c>
      <c r="J1388">
        <f t="shared" ca="1" si="107"/>
        <v>0</v>
      </c>
      <c r="K1388">
        <f t="shared" ca="1" si="108"/>
        <v>0</v>
      </c>
      <c r="L1388" s="65">
        <v>1382</v>
      </c>
      <c r="M1388" s="71">
        <f t="shared" ca="1" si="109"/>
        <v>0.41660372801584483</v>
      </c>
      <c r="N1388" s="65"/>
    </row>
    <row r="1389" spans="1:14" x14ac:dyDescent="0.25">
      <c r="A1389" s="2">
        <v>1383</v>
      </c>
      <c r="B1389" s="11">
        <f t="shared" ca="1" si="106"/>
        <v>0</v>
      </c>
      <c r="C1389" s="26">
        <f t="shared" ca="1" si="110"/>
        <v>0.96513097497493827</v>
      </c>
      <c r="J1389">
        <f t="shared" ca="1" si="107"/>
        <v>0</v>
      </c>
      <c r="K1389">
        <f t="shared" ca="1" si="108"/>
        <v>0</v>
      </c>
      <c r="L1389" s="65">
        <v>1383</v>
      </c>
      <c r="M1389" s="71">
        <f t="shared" ca="1" si="109"/>
        <v>0</v>
      </c>
      <c r="N1389" s="65"/>
    </row>
    <row r="1390" spans="1:14" x14ac:dyDescent="0.25">
      <c r="A1390" s="2">
        <v>1384</v>
      </c>
      <c r="B1390" s="11">
        <f t="shared" ca="1" si="106"/>
        <v>1</v>
      </c>
      <c r="C1390" s="26">
        <f t="shared" ca="1" si="110"/>
        <v>0.33416291678611776</v>
      </c>
      <c r="J1390">
        <f t="shared" ca="1" si="107"/>
        <v>0</v>
      </c>
      <c r="K1390">
        <f t="shared" ca="1" si="108"/>
        <v>0</v>
      </c>
      <c r="L1390" s="65">
        <v>1384</v>
      </c>
      <c r="M1390" s="71">
        <f t="shared" ca="1" si="109"/>
        <v>3.1555730334608292</v>
      </c>
      <c r="N1390" s="65"/>
    </row>
    <row r="1391" spans="1:14" x14ac:dyDescent="0.25">
      <c r="A1391" s="2">
        <v>1385</v>
      </c>
      <c r="B1391" s="11">
        <f t="shared" ref="B1391:B1454" ca="1" si="111">IF(B1390&gt;0,IF(C1391&lt;pww,1,0),IF(C1391&lt;pdw,1,0))</f>
        <v>0</v>
      </c>
      <c r="C1391" s="26">
        <f t="shared" ca="1" si="110"/>
        <v>0.8651652825788495</v>
      </c>
      <c r="J1391">
        <f t="shared" ref="J1391:J1454" ca="1" si="112">IF(AND(B1391,B1392),1,0)</f>
        <v>0</v>
      </c>
      <c r="K1391">
        <f t="shared" ref="K1391:K1454" ca="1" si="113">IF(AND(NOT(B1391),NOT(B1392)),1,0)</f>
        <v>1</v>
      </c>
      <c r="L1391" s="65">
        <v>1385</v>
      </c>
      <c r="M1391" s="71">
        <f t="shared" ca="1" si="109"/>
        <v>0</v>
      </c>
      <c r="N1391" s="65"/>
    </row>
    <row r="1392" spans="1:14" x14ac:dyDescent="0.25">
      <c r="A1392" s="2">
        <v>1386</v>
      </c>
      <c r="B1392" s="11">
        <f t="shared" ca="1" si="111"/>
        <v>0</v>
      </c>
      <c r="C1392" s="26">
        <f t="shared" ca="1" si="110"/>
        <v>0.78485916591116955</v>
      </c>
      <c r="J1392">
        <f t="shared" ca="1" si="112"/>
        <v>0</v>
      </c>
      <c r="K1392">
        <f t="shared" ca="1" si="113"/>
        <v>0</v>
      </c>
      <c r="L1392" s="65">
        <v>1386</v>
      </c>
      <c r="M1392" s="71">
        <f t="shared" ca="1" si="109"/>
        <v>0</v>
      </c>
      <c r="N1392" s="65"/>
    </row>
    <row r="1393" spans="1:14" x14ac:dyDescent="0.25">
      <c r="A1393" s="2">
        <v>1387</v>
      </c>
      <c r="B1393" s="11">
        <f t="shared" ca="1" si="111"/>
        <v>1</v>
      </c>
      <c r="C1393" s="26">
        <f t="shared" ca="1" si="110"/>
        <v>0.35829005001249947</v>
      </c>
      <c r="J1393">
        <f t="shared" ca="1" si="112"/>
        <v>1</v>
      </c>
      <c r="K1393">
        <f t="shared" ca="1" si="113"/>
        <v>0</v>
      </c>
      <c r="L1393" s="65">
        <v>1387</v>
      </c>
      <c r="M1393" s="71">
        <f t="shared" ca="1" si="109"/>
        <v>2.7247841658658807</v>
      </c>
      <c r="N1393" s="65"/>
    </row>
    <row r="1394" spans="1:14" x14ac:dyDescent="0.25">
      <c r="A1394" s="2">
        <v>1388</v>
      </c>
      <c r="B1394" s="11">
        <f t="shared" ca="1" si="111"/>
        <v>1</v>
      </c>
      <c r="C1394" s="26">
        <f t="shared" ca="1" si="110"/>
        <v>0.68945873879170438</v>
      </c>
      <c r="J1394">
        <f t="shared" ca="1" si="112"/>
        <v>1</v>
      </c>
      <c r="K1394">
        <f t="shared" ca="1" si="113"/>
        <v>0</v>
      </c>
      <c r="L1394" s="65">
        <v>1388</v>
      </c>
      <c r="M1394" s="71">
        <f t="shared" ca="1" si="109"/>
        <v>4.1870822216624077</v>
      </c>
      <c r="N1394" s="65"/>
    </row>
    <row r="1395" spans="1:14" x14ac:dyDescent="0.25">
      <c r="A1395" s="2">
        <v>1389</v>
      </c>
      <c r="B1395" s="11">
        <f t="shared" ca="1" si="111"/>
        <v>1</v>
      </c>
      <c r="C1395" s="26">
        <f t="shared" ca="1" si="110"/>
        <v>0.1643255993398175</v>
      </c>
      <c r="J1395">
        <f t="shared" ca="1" si="112"/>
        <v>0</v>
      </c>
      <c r="K1395">
        <f t="shared" ca="1" si="113"/>
        <v>0</v>
      </c>
      <c r="L1395" s="65">
        <v>1389</v>
      </c>
      <c r="M1395" s="71">
        <f t="shared" ca="1" si="109"/>
        <v>2.906183149671361</v>
      </c>
      <c r="N1395" s="65"/>
    </row>
    <row r="1396" spans="1:14" x14ac:dyDescent="0.25">
      <c r="A1396" s="2">
        <v>1390</v>
      </c>
      <c r="B1396" s="11">
        <f t="shared" ca="1" si="111"/>
        <v>0</v>
      </c>
      <c r="C1396" s="26">
        <f t="shared" ca="1" si="110"/>
        <v>0.77416179878988833</v>
      </c>
      <c r="J1396">
        <f t="shared" ca="1" si="112"/>
        <v>0</v>
      </c>
      <c r="K1396">
        <f t="shared" ca="1" si="113"/>
        <v>1</v>
      </c>
      <c r="L1396" s="65">
        <v>1390</v>
      </c>
      <c r="M1396" s="71">
        <f t="shared" ca="1" si="109"/>
        <v>0</v>
      </c>
      <c r="N1396" s="65"/>
    </row>
    <row r="1397" spans="1:14" x14ac:dyDescent="0.25">
      <c r="A1397" s="2">
        <v>1391</v>
      </c>
      <c r="B1397" s="11">
        <f t="shared" ca="1" si="111"/>
        <v>0</v>
      </c>
      <c r="C1397" s="26">
        <f t="shared" ca="1" si="110"/>
        <v>0.84727809542882915</v>
      </c>
      <c r="J1397">
        <f t="shared" ca="1" si="112"/>
        <v>0</v>
      </c>
      <c r="K1397">
        <f t="shared" ca="1" si="113"/>
        <v>0</v>
      </c>
      <c r="L1397" s="65">
        <v>1391</v>
      </c>
      <c r="M1397" s="71">
        <f t="shared" ca="1" si="109"/>
        <v>0</v>
      </c>
      <c r="N1397" s="65"/>
    </row>
    <row r="1398" spans="1:14" x14ac:dyDescent="0.25">
      <c r="A1398" s="2">
        <v>1392</v>
      </c>
      <c r="B1398" s="11">
        <f t="shared" ca="1" si="111"/>
        <v>1</v>
      </c>
      <c r="C1398" s="26">
        <f t="shared" ca="1" si="110"/>
        <v>0.20153620874433664</v>
      </c>
      <c r="J1398">
        <f t="shared" ca="1" si="112"/>
        <v>1</v>
      </c>
      <c r="K1398">
        <f t="shared" ca="1" si="113"/>
        <v>0</v>
      </c>
      <c r="L1398" s="65">
        <v>1392</v>
      </c>
      <c r="M1398" s="71">
        <f t="shared" ca="1" si="109"/>
        <v>1.1240998495049483</v>
      </c>
      <c r="N1398" s="65"/>
    </row>
    <row r="1399" spans="1:14" x14ac:dyDescent="0.25">
      <c r="A1399" s="2">
        <v>1393</v>
      </c>
      <c r="B1399" s="11">
        <f t="shared" ca="1" si="111"/>
        <v>1</v>
      </c>
      <c r="C1399" s="26">
        <f t="shared" ca="1" si="110"/>
        <v>0.20355149254388638</v>
      </c>
      <c r="J1399">
        <f t="shared" ca="1" si="112"/>
        <v>1</v>
      </c>
      <c r="K1399">
        <f t="shared" ca="1" si="113"/>
        <v>0</v>
      </c>
      <c r="L1399" s="65">
        <v>1393</v>
      </c>
      <c r="M1399" s="71">
        <f t="shared" ca="1" si="109"/>
        <v>0.47202442482340945</v>
      </c>
      <c r="N1399" s="65"/>
    </row>
    <row r="1400" spans="1:14" x14ac:dyDescent="0.25">
      <c r="A1400" s="2">
        <v>1394</v>
      </c>
      <c r="B1400" s="11">
        <f t="shared" ca="1" si="111"/>
        <v>1</v>
      </c>
      <c r="C1400" s="26">
        <f t="shared" ca="1" si="110"/>
        <v>0.43205371275960835</v>
      </c>
      <c r="J1400">
        <f t="shared" ca="1" si="112"/>
        <v>1</v>
      </c>
      <c r="K1400">
        <f t="shared" ca="1" si="113"/>
        <v>0</v>
      </c>
      <c r="L1400" s="65">
        <v>1394</v>
      </c>
      <c r="M1400" s="71">
        <f t="shared" ca="1" si="109"/>
        <v>2.82557155299865</v>
      </c>
      <c r="N1400" s="65"/>
    </row>
    <row r="1401" spans="1:14" x14ac:dyDescent="0.25">
      <c r="A1401" s="2">
        <v>1395</v>
      </c>
      <c r="B1401" s="11">
        <f t="shared" ca="1" si="111"/>
        <v>1</v>
      </c>
      <c r="C1401" s="26">
        <f t="shared" ca="1" si="110"/>
        <v>0.49622274715527992</v>
      </c>
      <c r="J1401">
        <f t="shared" ca="1" si="112"/>
        <v>1</v>
      </c>
      <c r="K1401">
        <f t="shared" ca="1" si="113"/>
        <v>0</v>
      </c>
      <c r="L1401" s="65">
        <v>1395</v>
      </c>
      <c r="M1401" s="71">
        <f t="shared" ca="1" si="109"/>
        <v>4.3763941425386488</v>
      </c>
      <c r="N1401" s="65"/>
    </row>
    <row r="1402" spans="1:14" x14ac:dyDescent="0.25">
      <c r="A1402" s="2">
        <v>1396</v>
      </c>
      <c r="B1402" s="11">
        <f t="shared" ca="1" si="111"/>
        <v>1</v>
      </c>
      <c r="C1402" s="26">
        <f t="shared" ca="1" si="110"/>
        <v>0.7222125525976395</v>
      </c>
      <c r="J1402">
        <f t="shared" ca="1" si="112"/>
        <v>1</v>
      </c>
      <c r="K1402">
        <f t="shared" ca="1" si="113"/>
        <v>0</v>
      </c>
      <c r="L1402" s="65">
        <v>1396</v>
      </c>
      <c r="M1402" s="71">
        <f t="shared" ca="1" si="109"/>
        <v>1.469877265369574</v>
      </c>
      <c r="N1402" s="65"/>
    </row>
    <row r="1403" spans="1:14" x14ac:dyDescent="0.25">
      <c r="A1403" s="2">
        <v>1397</v>
      </c>
      <c r="B1403" s="11">
        <f t="shared" ca="1" si="111"/>
        <v>1</v>
      </c>
      <c r="C1403" s="26">
        <f t="shared" ca="1" si="110"/>
        <v>0.64440613593704166</v>
      </c>
      <c r="J1403">
        <f t="shared" ca="1" si="112"/>
        <v>1</v>
      </c>
      <c r="K1403">
        <f t="shared" ca="1" si="113"/>
        <v>0</v>
      </c>
      <c r="L1403" s="65">
        <v>1397</v>
      </c>
      <c r="M1403" s="71">
        <f t="shared" ca="1" si="109"/>
        <v>3.1621281402957568</v>
      </c>
      <c r="N1403" s="65"/>
    </row>
    <row r="1404" spans="1:14" x14ac:dyDescent="0.25">
      <c r="A1404" s="2">
        <v>1398</v>
      </c>
      <c r="B1404" s="11">
        <f t="shared" ca="1" si="111"/>
        <v>1</v>
      </c>
      <c r="C1404" s="26">
        <f t="shared" ca="1" si="110"/>
        <v>0.42850771046786662</v>
      </c>
      <c r="J1404">
        <f t="shared" ca="1" si="112"/>
        <v>1</v>
      </c>
      <c r="K1404">
        <f t="shared" ca="1" si="113"/>
        <v>0</v>
      </c>
      <c r="L1404" s="65">
        <v>1398</v>
      </c>
      <c r="M1404" s="71">
        <f t="shared" ca="1" si="109"/>
        <v>1.5568786263095971</v>
      </c>
      <c r="N1404" s="65"/>
    </row>
    <row r="1405" spans="1:14" x14ac:dyDescent="0.25">
      <c r="A1405" s="2">
        <v>1399</v>
      </c>
      <c r="B1405" s="11">
        <f t="shared" ca="1" si="111"/>
        <v>1</v>
      </c>
      <c r="C1405" s="26">
        <f t="shared" ca="1" si="110"/>
        <v>0.13579511507301634</v>
      </c>
      <c r="J1405">
        <f t="shared" ca="1" si="112"/>
        <v>1</v>
      </c>
      <c r="K1405">
        <f t="shared" ca="1" si="113"/>
        <v>0</v>
      </c>
      <c r="L1405" s="65">
        <v>1399</v>
      </c>
      <c r="M1405" s="71">
        <f t="shared" ca="1" si="109"/>
        <v>0.27464521680722775</v>
      </c>
      <c r="N1405" s="65"/>
    </row>
    <row r="1406" spans="1:14" x14ac:dyDescent="0.25">
      <c r="A1406" s="2">
        <v>1400</v>
      </c>
      <c r="B1406" s="11">
        <f t="shared" ca="1" si="111"/>
        <v>1</v>
      </c>
      <c r="C1406" s="26">
        <f t="shared" ca="1" si="110"/>
        <v>0.61757388201097785</v>
      </c>
      <c r="J1406">
        <f t="shared" ca="1" si="112"/>
        <v>1</v>
      </c>
      <c r="K1406">
        <f t="shared" ca="1" si="113"/>
        <v>0</v>
      </c>
      <c r="L1406" s="65">
        <v>1400</v>
      </c>
      <c r="M1406" s="71">
        <f t="shared" ca="1" si="109"/>
        <v>3.2082654316595267</v>
      </c>
      <c r="N1406" s="65"/>
    </row>
    <row r="1407" spans="1:14" x14ac:dyDescent="0.25">
      <c r="A1407" s="2">
        <v>1401</v>
      </c>
      <c r="B1407" s="11">
        <f t="shared" ca="1" si="111"/>
        <v>1</v>
      </c>
      <c r="C1407" s="26">
        <f t="shared" ca="1" si="110"/>
        <v>0.54665648545535239</v>
      </c>
      <c r="J1407">
        <f t="shared" ca="1" si="112"/>
        <v>1</v>
      </c>
      <c r="K1407">
        <f t="shared" ca="1" si="113"/>
        <v>0</v>
      </c>
      <c r="L1407" s="65">
        <v>1401</v>
      </c>
      <c r="M1407" s="71">
        <f t="shared" ca="1" si="109"/>
        <v>4.4483272625370818</v>
      </c>
      <c r="N1407" s="65"/>
    </row>
    <row r="1408" spans="1:14" x14ac:dyDescent="0.25">
      <c r="A1408" s="2">
        <v>1402</v>
      </c>
      <c r="B1408" s="11">
        <f t="shared" ca="1" si="111"/>
        <v>1</v>
      </c>
      <c r="C1408" s="26">
        <f t="shared" ca="1" si="110"/>
        <v>4.5594438981431895E-2</v>
      </c>
      <c r="J1408">
        <f t="shared" ca="1" si="112"/>
        <v>1</v>
      </c>
      <c r="K1408">
        <f t="shared" ca="1" si="113"/>
        <v>0</v>
      </c>
      <c r="L1408" s="65">
        <v>1402</v>
      </c>
      <c r="M1408" s="71">
        <f t="shared" ca="1" si="109"/>
        <v>0.97817412539479709</v>
      </c>
      <c r="N1408" s="65"/>
    </row>
    <row r="1409" spans="1:14" x14ac:dyDescent="0.25">
      <c r="A1409" s="2">
        <v>1403</v>
      </c>
      <c r="B1409" s="11">
        <f t="shared" ca="1" si="111"/>
        <v>1</v>
      </c>
      <c r="C1409" s="26">
        <f t="shared" ca="1" si="110"/>
        <v>0.64263563838231585</v>
      </c>
      <c r="J1409">
        <f t="shared" ca="1" si="112"/>
        <v>1</v>
      </c>
      <c r="K1409">
        <f t="shared" ca="1" si="113"/>
        <v>0</v>
      </c>
      <c r="L1409" s="65">
        <v>1403</v>
      </c>
      <c r="M1409" s="71">
        <f t="shared" ca="1" si="109"/>
        <v>1.5893335381928668</v>
      </c>
      <c r="N1409" s="65"/>
    </row>
    <row r="1410" spans="1:14" x14ac:dyDescent="0.25">
      <c r="A1410" s="2">
        <v>1404</v>
      </c>
      <c r="B1410" s="11">
        <f t="shared" ca="1" si="111"/>
        <v>1</v>
      </c>
      <c r="C1410" s="26">
        <f t="shared" ca="1" si="110"/>
        <v>0.53915373663576505</v>
      </c>
      <c r="J1410">
        <f t="shared" ca="1" si="112"/>
        <v>1</v>
      </c>
      <c r="K1410">
        <f t="shared" ca="1" si="113"/>
        <v>0</v>
      </c>
      <c r="L1410" s="65">
        <v>1404</v>
      </c>
      <c r="M1410" s="71">
        <f t="shared" ca="1" si="109"/>
        <v>0.65241033552849659</v>
      </c>
      <c r="N1410" s="65"/>
    </row>
    <row r="1411" spans="1:14" x14ac:dyDescent="0.25">
      <c r="A1411" s="2">
        <v>1405</v>
      </c>
      <c r="B1411" s="11">
        <f t="shared" ca="1" si="111"/>
        <v>1</v>
      </c>
      <c r="C1411" s="26">
        <f t="shared" ca="1" si="110"/>
        <v>0.19133165125688023</v>
      </c>
      <c r="J1411">
        <f t="shared" ca="1" si="112"/>
        <v>1</v>
      </c>
      <c r="K1411">
        <f t="shared" ca="1" si="113"/>
        <v>0</v>
      </c>
      <c r="L1411" s="65">
        <v>1405</v>
      </c>
      <c r="M1411" s="71">
        <f t="shared" ca="1" si="109"/>
        <v>1.6558912577223377</v>
      </c>
      <c r="N1411" s="65"/>
    </row>
    <row r="1412" spans="1:14" x14ac:dyDescent="0.25">
      <c r="A1412" s="2">
        <v>1406</v>
      </c>
      <c r="B1412" s="11">
        <f t="shared" ca="1" si="111"/>
        <v>1</v>
      </c>
      <c r="C1412" s="26">
        <f t="shared" ca="1" si="110"/>
        <v>0.15209501414526383</v>
      </c>
      <c r="J1412">
        <f t="shared" ca="1" si="112"/>
        <v>1</v>
      </c>
      <c r="K1412">
        <f t="shared" ca="1" si="113"/>
        <v>0</v>
      </c>
      <c r="L1412" s="65">
        <v>1406</v>
      </c>
      <c r="M1412" s="71">
        <f t="shared" ca="1" si="109"/>
        <v>0.61364275339844987</v>
      </c>
      <c r="N1412" s="65"/>
    </row>
    <row r="1413" spans="1:14" x14ac:dyDescent="0.25">
      <c r="A1413" s="2">
        <v>1407</v>
      </c>
      <c r="B1413" s="11">
        <f t="shared" ca="1" si="111"/>
        <v>1</v>
      </c>
      <c r="C1413" s="26">
        <f t="shared" ca="1" si="110"/>
        <v>0.72364880033732126</v>
      </c>
      <c r="J1413">
        <f t="shared" ca="1" si="112"/>
        <v>1</v>
      </c>
      <c r="K1413">
        <f t="shared" ca="1" si="113"/>
        <v>0</v>
      </c>
      <c r="L1413" s="65">
        <v>1407</v>
      </c>
      <c r="M1413" s="71">
        <f t="shared" ca="1" si="109"/>
        <v>0.39982936457038654</v>
      </c>
      <c r="N1413" s="65"/>
    </row>
    <row r="1414" spans="1:14" x14ac:dyDescent="0.25">
      <c r="A1414" s="2">
        <v>1408</v>
      </c>
      <c r="B1414" s="11">
        <f t="shared" ca="1" si="111"/>
        <v>1</v>
      </c>
      <c r="C1414" s="26">
        <f t="shared" ca="1" si="110"/>
        <v>0.15038821110897493</v>
      </c>
      <c r="J1414">
        <f t="shared" ca="1" si="112"/>
        <v>1</v>
      </c>
      <c r="K1414">
        <f t="shared" ca="1" si="113"/>
        <v>0</v>
      </c>
      <c r="L1414" s="65">
        <v>1408</v>
      </c>
      <c r="M1414" s="71">
        <f t="shared" ca="1" si="109"/>
        <v>0.92440105635482905</v>
      </c>
      <c r="N1414" s="65"/>
    </row>
    <row r="1415" spans="1:14" x14ac:dyDescent="0.25">
      <c r="A1415" s="2">
        <v>1409</v>
      </c>
      <c r="B1415" s="11">
        <f t="shared" ca="1" si="111"/>
        <v>1</v>
      </c>
      <c r="C1415" s="26">
        <f t="shared" ca="1" si="110"/>
        <v>0.17974611533849427</v>
      </c>
      <c r="J1415">
        <f t="shared" ca="1" si="112"/>
        <v>1</v>
      </c>
      <c r="K1415">
        <f t="shared" ca="1" si="113"/>
        <v>0</v>
      </c>
      <c r="L1415" s="65">
        <v>1409</v>
      </c>
      <c r="M1415" s="71">
        <f t="shared" ref="M1415:M1478" ca="1" si="114">IF(B1415&gt;0,-LN(1-(RAND()))/lambda,0)</f>
        <v>3.1184935200951291</v>
      </c>
      <c r="N1415" s="65"/>
    </row>
    <row r="1416" spans="1:14" x14ac:dyDescent="0.25">
      <c r="A1416" s="2">
        <v>1410</v>
      </c>
      <c r="B1416" s="11">
        <f t="shared" ca="1" si="111"/>
        <v>1</v>
      </c>
      <c r="C1416" s="26">
        <f t="shared" ref="C1416:C1479" ca="1" si="115">RAND()</f>
        <v>0.59104540273558825</v>
      </c>
      <c r="J1416">
        <f t="shared" ca="1" si="112"/>
        <v>1</v>
      </c>
      <c r="K1416">
        <f t="shared" ca="1" si="113"/>
        <v>0</v>
      </c>
      <c r="L1416" s="65">
        <v>1410</v>
      </c>
      <c r="M1416" s="71">
        <f t="shared" ca="1" si="114"/>
        <v>0.52420277089450784</v>
      </c>
      <c r="N1416" s="65"/>
    </row>
    <row r="1417" spans="1:14" x14ac:dyDescent="0.25">
      <c r="A1417" s="2">
        <v>1411</v>
      </c>
      <c r="B1417" s="11">
        <f t="shared" ca="1" si="111"/>
        <v>1</v>
      </c>
      <c r="C1417" s="26">
        <f t="shared" ca="1" si="115"/>
        <v>0.42930998366790696</v>
      </c>
      <c r="J1417">
        <f t="shared" ca="1" si="112"/>
        <v>1</v>
      </c>
      <c r="K1417">
        <f t="shared" ca="1" si="113"/>
        <v>0</v>
      </c>
      <c r="L1417" s="65">
        <v>1411</v>
      </c>
      <c r="M1417" s="71">
        <f t="shared" ca="1" si="114"/>
        <v>0.7385879826417503</v>
      </c>
      <c r="N1417" s="65"/>
    </row>
    <row r="1418" spans="1:14" x14ac:dyDescent="0.25">
      <c r="A1418" s="2">
        <v>1412</v>
      </c>
      <c r="B1418" s="11">
        <f t="shared" ca="1" si="111"/>
        <v>1</v>
      </c>
      <c r="C1418" s="26">
        <f t="shared" ca="1" si="115"/>
        <v>5.0248426333168172E-3</v>
      </c>
      <c r="J1418">
        <f t="shared" ca="1" si="112"/>
        <v>0</v>
      </c>
      <c r="K1418">
        <f t="shared" ca="1" si="113"/>
        <v>0</v>
      </c>
      <c r="L1418" s="65">
        <v>1412</v>
      </c>
      <c r="M1418" s="71">
        <f t="shared" ca="1" si="114"/>
        <v>0.18563423476561916</v>
      </c>
      <c r="N1418" s="65"/>
    </row>
    <row r="1419" spans="1:14" x14ac:dyDescent="0.25">
      <c r="A1419" s="2">
        <v>1413</v>
      </c>
      <c r="B1419" s="11">
        <f t="shared" ca="1" si="111"/>
        <v>0</v>
      </c>
      <c r="C1419" s="26">
        <f t="shared" ca="1" si="115"/>
        <v>0.87090923389035235</v>
      </c>
      <c r="J1419">
        <f t="shared" ca="1" si="112"/>
        <v>0</v>
      </c>
      <c r="K1419">
        <f t="shared" ca="1" si="113"/>
        <v>1</v>
      </c>
      <c r="L1419" s="65">
        <v>1413</v>
      </c>
      <c r="M1419" s="71">
        <f t="shared" ca="1" si="114"/>
        <v>0</v>
      </c>
      <c r="N1419" s="65"/>
    </row>
    <row r="1420" spans="1:14" x14ac:dyDescent="0.25">
      <c r="A1420" s="2">
        <v>1414</v>
      </c>
      <c r="B1420" s="11">
        <f t="shared" ca="1" si="111"/>
        <v>0</v>
      </c>
      <c r="C1420" s="26">
        <f t="shared" ca="1" si="115"/>
        <v>0.82683013649194348</v>
      </c>
      <c r="J1420">
        <f t="shared" ca="1" si="112"/>
        <v>0</v>
      </c>
      <c r="K1420">
        <f t="shared" ca="1" si="113"/>
        <v>1</v>
      </c>
      <c r="L1420" s="65">
        <v>1414</v>
      </c>
      <c r="M1420" s="71">
        <f t="shared" ca="1" si="114"/>
        <v>0</v>
      </c>
      <c r="N1420" s="65"/>
    </row>
    <row r="1421" spans="1:14" x14ac:dyDescent="0.25">
      <c r="A1421" s="2">
        <v>1415</v>
      </c>
      <c r="B1421" s="11">
        <f t="shared" ca="1" si="111"/>
        <v>0</v>
      </c>
      <c r="C1421" s="26">
        <f t="shared" ca="1" si="115"/>
        <v>0.82740348503546435</v>
      </c>
      <c r="J1421">
        <f t="shared" ca="1" si="112"/>
        <v>0</v>
      </c>
      <c r="K1421">
        <f t="shared" ca="1" si="113"/>
        <v>1</v>
      </c>
      <c r="L1421" s="65">
        <v>1415</v>
      </c>
      <c r="M1421" s="71">
        <f t="shared" ca="1" si="114"/>
        <v>0</v>
      </c>
      <c r="N1421" s="65"/>
    </row>
    <row r="1422" spans="1:14" x14ac:dyDescent="0.25">
      <c r="A1422" s="2">
        <v>1416</v>
      </c>
      <c r="B1422" s="11">
        <f t="shared" ca="1" si="111"/>
        <v>0</v>
      </c>
      <c r="C1422" s="26">
        <f t="shared" ca="1" si="115"/>
        <v>0.51653438414978115</v>
      </c>
      <c r="J1422">
        <f t="shared" ca="1" si="112"/>
        <v>0</v>
      </c>
      <c r="K1422">
        <f t="shared" ca="1" si="113"/>
        <v>1</v>
      </c>
      <c r="L1422" s="65">
        <v>1416</v>
      </c>
      <c r="M1422" s="71">
        <f t="shared" ca="1" si="114"/>
        <v>0</v>
      </c>
      <c r="N1422" s="65"/>
    </row>
    <row r="1423" spans="1:14" x14ac:dyDescent="0.25">
      <c r="A1423" s="2">
        <v>1417</v>
      </c>
      <c r="B1423" s="11">
        <f t="shared" ca="1" si="111"/>
        <v>0</v>
      </c>
      <c r="C1423" s="26">
        <f t="shared" ca="1" si="115"/>
        <v>0.50823050265602054</v>
      </c>
      <c r="J1423">
        <f t="shared" ca="1" si="112"/>
        <v>0</v>
      </c>
      <c r="K1423">
        <f t="shared" ca="1" si="113"/>
        <v>0</v>
      </c>
      <c r="L1423" s="65">
        <v>1417</v>
      </c>
      <c r="M1423" s="71">
        <f t="shared" ca="1" si="114"/>
        <v>0</v>
      </c>
      <c r="N1423" s="65"/>
    </row>
    <row r="1424" spans="1:14" x14ac:dyDescent="0.25">
      <c r="A1424" s="2">
        <v>1418</v>
      </c>
      <c r="B1424" s="11">
        <f t="shared" ca="1" si="111"/>
        <v>1</v>
      </c>
      <c r="C1424" s="26">
        <f t="shared" ca="1" si="115"/>
        <v>7.77587483223241E-2</v>
      </c>
      <c r="J1424">
        <f t="shared" ca="1" si="112"/>
        <v>1</v>
      </c>
      <c r="K1424">
        <f t="shared" ca="1" si="113"/>
        <v>0</v>
      </c>
      <c r="L1424" s="65">
        <v>1418</v>
      </c>
      <c r="M1424" s="71">
        <f t="shared" ca="1" si="114"/>
        <v>2.0580180419980385</v>
      </c>
      <c r="N1424" s="65"/>
    </row>
    <row r="1425" spans="1:14" x14ac:dyDescent="0.25">
      <c r="A1425" s="2">
        <v>1419</v>
      </c>
      <c r="B1425" s="11">
        <f t="shared" ca="1" si="111"/>
        <v>1</v>
      </c>
      <c r="C1425" s="26">
        <f t="shared" ca="1" si="115"/>
        <v>1.662798520007569E-2</v>
      </c>
      <c r="J1425">
        <f t="shared" ca="1" si="112"/>
        <v>1</v>
      </c>
      <c r="K1425">
        <f t="shared" ca="1" si="113"/>
        <v>0</v>
      </c>
      <c r="L1425" s="65">
        <v>1419</v>
      </c>
      <c r="M1425" s="71">
        <f t="shared" ca="1" si="114"/>
        <v>1.1754262719509356</v>
      </c>
      <c r="N1425" s="65"/>
    </row>
    <row r="1426" spans="1:14" x14ac:dyDescent="0.25">
      <c r="A1426" s="2">
        <v>1420</v>
      </c>
      <c r="B1426" s="11">
        <f t="shared" ca="1" si="111"/>
        <v>1</v>
      </c>
      <c r="C1426" s="26">
        <f t="shared" ca="1" si="115"/>
        <v>0.59545713771848463</v>
      </c>
      <c r="J1426">
        <f t="shared" ca="1" si="112"/>
        <v>1</v>
      </c>
      <c r="K1426">
        <f t="shared" ca="1" si="113"/>
        <v>0</v>
      </c>
      <c r="L1426" s="65">
        <v>1420</v>
      </c>
      <c r="M1426" s="71">
        <f t="shared" ca="1" si="114"/>
        <v>0.85783671617707979</v>
      </c>
      <c r="N1426" s="65"/>
    </row>
    <row r="1427" spans="1:14" x14ac:dyDescent="0.25">
      <c r="A1427" s="2">
        <v>1421</v>
      </c>
      <c r="B1427" s="11">
        <f t="shared" ca="1" si="111"/>
        <v>1</v>
      </c>
      <c r="C1427" s="26">
        <f t="shared" ca="1" si="115"/>
        <v>0.48465378254247715</v>
      </c>
      <c r="J1427">
        <f t="shared" ca="1" si="112"/>
        <v>1</v>
      </c>
      <c r="K1427">
        <f t="shared" ca="1" si="113"/>
        <v>0</v>
      </c>
      <c r="L1427" s="65">
        <v>1421</v>
      </c>
      <c r="M1427" s="71">
        <f t="shared" ca="1" si="114"/>
        <v>0.17222927391038048</v>
      </c>
      <c r="N1427" s="65"/>
    </row>
    <row r="1428" spans="1:14" x14ac:dyDescent="0.25">
      <c r="A1428" s="2">
        <v>1422</v>
      </c>
      <c r="B1428" s="11">
        <f t="shared" ca="1" si="111"/>
        <v>1</v>
      </c>
      <c r="C1428" s="26">
        <f t="shared" ca="1" si="115"/>
        <v>0.35389423704890499</v>
      </c>
      <c r="J1428">
        <f t="shared" ca="1" si="112"/>
        <v>1</v>
      </c>
      <c r="K1428">
        <f t="shared" ca="1" si="113"/>
        <v>0</v>
      </c>
      <c r="L1428" s="65">
        <v>1422</v>
      </c>
      <c r="M1428" s="71">
        <f t="shared" ca="1" si="114"/>
        <v>3.3602188371319666</v>
      </c>
      <c r="N1428" s="65"/>
    </row>
    <row r="1429" spans="1:14" x14ac:dyDescent="0.25">
      <c r="A1429" s="2">
        <v>1423</v>
      </c>
      <c r="B1429" s="11">
        <f t="shared" ca="1" si="111"/>
        <v>1</v>
      </c>
      <c r="C1429" s="26">
        <f t="shared" ca="1" si="115"/>
        <v>0.54227559824173155</v>
      </c>
      <c r="J1429">
        <f t="shared" ca="1" si="112"/>
        <v>1</v>
      </c>
      <c r="K1429">
        <f t="shared" ca="1" si="113"/>
        <v>0</v>
      </c>
      <c r="L1429" s="65">
        <v>1423</v>
      </c>
      <c r="M1429" s="71">
        <f t="shared" ca="1" si="114"/>
        <v>4.3743694311900656</v>
      </c>
      <c r="N1429" s="65"/>
    </row>
    <row r="1430" spans="1:14" x14ac:dyDescent="0.25">
      <c r="A1430" s="2">
        <v>1424</v>
      </c>
      <c r="B1430" s="11">
        <f t="shared" ca="1" si="111"/>
        <v>1</v>
      </c>
      <c r="C1430" s="26">
        <f t="shared" ca="1" si="115"/>
        <v>0.13982937137843676</v>
      </c>
      <c r="J1430">
        <f t="shared" ca="1" si="112"/>
        <v>1</v>
      </c>
      <c r="K1430">
        <f t="shared" ca="1" si="113"/>
        <v>0</v>
      </c>
      <c r="L1430" s="65">
        <v>1424</v>
      </c>
      <c r="M1430" s="71">
        <f t="shared" ca="1" si="114"/>
        <v>4.7457032985790866</v>
      </c>
      <c r="N1430" s="65"/>
    </row>
    <row r="1431" spans="1:14" x14ac:dyDescent="0.25">
      <c r="A1431" s="2">
        <v>1425</v>
      </c>
      <c r="B1431" s="11">
        <f t="shared" ca="1" si="111"/>
        <v>1</v>
      </c>
      <c r="C1431" s="26">
        <f t="shared" ca="1" si="115"/>
        <v>0.16177154657205661</v>
      </c>
      <c r="J1431">
        <f t="shared" ca="1" si="112"/>
        <v>1</v>
      </c>
      <c r="K1431">
        <f t="shared" ca="1" si="113"/>
        <v>0</v>
      </c>
      <c r="L1431" s="65">
        <v>1425</v>
      </c>
      <c r="M1431" s="71">
        <f t="shared" ca="1" si="114"/>
        <v>2.0843214607739302</v>
      </c>
      <c r="N1431" s="65"/>
    </row>
    <row r="1432" spans="1:14" x14ac:dyDescent="0.25">
      <c r="A1432" s="2">
        <v>1426</v>
      </c>
      <c r="B1432" s="11">
        <f t="shared" ca="1" si="111"/>
        <v>1</v>
      </c>
      <c r="C1432" s="26">
        <f t="shared" ca="1" si="115"/>
        <v>5.3110926347450516E-3</v>
      </c>
      <c r="J1432">
        <f t="shared" ca="1" si="112"/>
        <v>1</v>
      </c>
      <c r="K1432">
        <f t="shared" ca="1" si="113"/>
        <v>0</v>
      </c>
      <c r="L1432" s="65">
        <v>1426</v>
      </c>
      <c r="M1432" s="71">
        <f t="shared" ca="1" si="114"/>
        <v>1.9317865522932969</v>
      </c>
      <c r="N1432" s="65"/>
    </row>
    <row r="1433" spans="1:14" x14ac:dyDescent="0.25">
      <c r="A1433" s="2">
        <v>1427</v>
      </c>
      <c r="B1433" s="11">
        <f t="shared" ca="1" si="111"/>
        <v>1</v>
      </c>
      <c r="C1433" s="26">
        <f t="shared" ca="1" si="115"/>
        <v>0.61251105224131475</v>
      </c>
      <c r="J1433">
        <f t="shared" ca="1" si="112"/>
        <v>0</v>
      </c>
      <c r="K1433">
        <f t="shared" ca="1" si="113"/>
        <v>0</v>
      </c>
      <c r="L1433" s="65">
        <v>1427</v>
      </c>
      <c r="M1433" s="71">
        <f t="shared" ca="1" si="114"/>
        <v>3.9518745867291858</v>
      </c>
      <c r="N1433" s="65"/>
    </row>
    <row r="1434" spans="1:14" x14ac:dyDescent="0.25">
      <c r="A1434" s="2">
        <v>1428</v>
      </c>
      <c r="B1434" s="11">
        <f t="shared" ca="1" si="111"/>
        <v>0</v>
      </c>
      <c r="C1434" s="26">
        <f t="shared" ca="1" si="115"/>
        <v>0.82506886007118241</v>
      </c>
      <c r="J1434">
        <f t="shared" ca="1" si="112"/>
        <v>0</v>
      </c>
      <c r="K1434">
        <f t="shared" ca="1" si="113"/>
        <v>1</v>
      </c>
      <c r="L1434" s="65">
        <v>1428</v>
      </c>
      <c r="M1434" s="71">
        <f t="shared" ca="1" si="114"/>
        <v>0</v>
      </c>
      <c r="N1434" s="65"/>
    </row>
    <row r="1435" spans="1:14" x14ac:dyDescent="0.25">
      <c r="A1435" s="2">
        <v>1429</v>
      </c>
      <c r="B1435" s="11">
        <f t="shared" ca="1" si="111"/>
        <v>0</v>
      </c>
      <c r="C1435" s="26">
        <f t="shared" ca="1" si="115"/>
        <v>0.65018120975224336</v>
      </c>
      <c r="J1435">
        <f t="shared" ca="1" si="112"/>
        <v>0</v>
      </c>
      <c r="K1435">
        <f t="shared" ca="1" si="113"/>
        <v>1</v>
      </c>
      <c r="L1435" s="65">
        <v>1429</v>
      </c>
      <c r="M1435" s="71">
        <f t="shared" ca="1" si="114"/>
        <v>0</v>
      </c>
      <c r="N1435" s="65"/>
    </row>
    <row r="1436" spans="1:14" x14ac:dyDescent="0.25">
      <c r="A1436" s="2">
        <v>1430</v>
      </c>
      <c r="B1436" s="11">
        <f t="shared" ca="1" si="111"/>
        <v>0</v>
      </c>
      <c r="C1436" s="26">
        <f t="shared" ca="1" si="115"/>
        <v>0.69278085351636665</v>
      </c>
      <c r="J1436">
        <f t="shared" ca="1" si="112"/>
        <v>0</v>
      </c>
      <c r="K1436">
        <f t="shared" ca="1" si="113"/>
        <v>1</v>
      </c>
      <c r="L1436" s="65">
        <v>1430</v>
      </c>
      <c r="M1436" s="71">
        <f t="shared" ca="1" si="114"/>
        <v>0</v>
      </c>
      <c r="N1436" s="65"/>
    </row>
    <row r="1437" spans="1:14" x14ac:dyDescent="0.25">
      <c r="A1437" s="2">
        <v>1431</v>
      </c>
      <c r="B1437" s="11">
        <f t="shared" ca="1" si="111"/>
        <v>0</v>
      </c>
      <c r="C1437" s="26">
        <f t="shared" ca="1" si="115"/>
        <v>0.55858015955478746</v>
      </c>
      <c r="J1437">
        <f t="shared" ca="1" si="112"/>
        <v>0</v>
      </c>
      <c r="K1437">
        <f t="shared" ca="1" si="113"/>
        <v>1</v>
      </c>
      <c r="L1437" s="65">
        <v>1431</v>
      </c>
      <c r="M1437" s="71">
        <f t="shared" ca="1" si="114"/>
        <v>0</v>
      </c>
      <c r="N1437" s="65"/>
    </row>
    <row r="1438" spans="1:14" x14ac:dyDescent="0.25">
      <c r="A1438" s="2">
        <v>1432</v>
      </c>
      <c r="B1438" s="11">
        <f t="shared" ca="1" si="111"/>
        <v>0</v>
      </c>
      <c r="C1438" s="26">
        <f t="shared" ca="1" si="115"/>
        <v>0.68025198725625713</v>
      </c>
      <c r="J1438">
        <f t="shared" ca="1" si="112"/>
        <v>0</v>
      </c>
      <c r="K1438">
        <f t="shared" ca="1" si="113"/>
        <v>0</v>
      </c>
      <c r="L1438" s="65">
        <v>1432</v>
      </c>
      <c r="M1438" s="71">
        <f t="shared" ca="1" si="114"/>
        <v>0</v>
      </c>
      <c r="N1438" s="65"/>
    </row>
    <row r="1439" spans="1:14" x14ac:dyDescent="0.25">
      <c r="A1439" s="2">
        <v>1433</v>
      </c>
      <c r="B1439" s="11">
        <f t="shared" ca="1" si="111"/>
        <v>1</v>
      </c>
      <c r="C1439" s="26">
        <f t="shared" ca="1" si="115"/>
        <v>0.33783771408260088</v>
      </c>
      <c r="J1439">
        <f t="shared" ca="1" si="112"/>
        <v>0</v>
      </c>
      <c r="K1439">
        <f t="shared" ca="1" si="113"/>
        <v>0</v>
      </c>
      <c r="L1439" s="65">
        <v>1433</v>
      </c>
      <c r="M1439" s="71">
        <f t="shared" ca="1" si="114"/>
        <v>2.8077983005024363</v>
      </c>
      <c r="N1439" s="65"/>
    </row>
    <row r="1440" spans="1:14" x14ac:dyDescent="0.25">
      <c r="A1440" s="2">
        <v>1434</v>
      </c>
      <c r="B1440" s="11">
        <f t="shared" ca="1" si="111"/>
        <v>0</v>
      </c>
      <c r="C1440" s="26">
        <f t="shared" ca="1" si="115"/>
        <v>0.94290970779207972</v>
      </c>
      <c r="J1440">
        <f t="shared" ca="1" si="112"/>
        <v>0</v>
      </c>
      <c r="K1440">
        <f t="shared" ca="1" si="113"/>
        <v>1</v>
      </c>
      <c r="L1440" s="65">
        <v>1434</v>
      </c>
      <c r="M1440" s="71">
        <f t="shared" ca="1" si="114"/>
        <v>0</v>
      </c>
      <c r="N1440" s="65"/>
    </row>
    <row r="1441" spans="1:14" x14ac:dyDescent="0.25">
      <c r="A1441" s="2">
        <v>1435</v>
      </c>
      <c r="B1441" s="11">
        <f t="shared" ca="1" si="111"/>
        <v>0</v>
      </c>
      <c r="C1441" s="26">
        <f t="shared" ca="1" si="115"/>
        <v>0.77940574820915198</v>
      </c>
      <c r="J1441">
        <f t="shared" ca="1" si="112"/>
        <v>0</v>
      </c>
      <c r="K1441">
        <f t="shared" ca="1" si="113"/>
        <v>0</v>
      </c>
      <c r="L1441" s="65">
        <v>1435</v>
      </c>
      <c r="M1441" s="71">
        <f t="shared" ca="1" si="114"/>
        <v>0</v>
      </c>
      <c r="N1441" s="65"/>
    </row>
    <row r="1442" spans="1:14" x14ac:dyDescent="0.25">
      <c r="A1442" s="2">
        <v>1436</v>
      </c>
      <c r="B1442" s="11">
        <f t="shared" ca="1" si="111"/>
        <v>1</v>
      </c>
      <c r="C1442" s="26">
        <f t="shared" ca="1" si="115"/>
        <v>0.28177640742626253</v>
      </c>
      <c r="J1442">
        <f t="shared" ca="1" si="112"/>
        <v>1</v>
      </c>
      <c r="K1442">
        <f t="shared" ca="1" si="113"/>
        <v>0</v>
      </c>
      <c r="L1442" s="65">
        <v>1436</v>
      </c>
      <c r="M1442" s="71">
        <f t="shared" ca="1" si="114"/>
        <v>1.2981515513403554</v>
      </c>
      <c r="N1442" s="65"/>
    </row>
    <row r="1443" spans="1:14" x14ac:dyDescent="0.25">
      <c r="A1443" s="2">
        <v>1437</v>
      </c>
      <c r="B1443" s="11">
        <f t="shared" ca="1" si="111"/>
        <v>1</v>
      </c>
      <c r="C1443" s="26">
        <f t="shared" ca="1" si="115"/>
        <v>0.69624968481965643</v>
      </c>
      <c r="J1443">
        <f t="shared" ca="1" si="112"/>
        <v>1</v>
      </c>
      <c r="K1443">
        <f t="shared" ca="1" si="113"/>
        <v>0</v>
      </c>
      <c r="L1443" s="65">
        <v>1437</v>
      </c>
      <c r="M1443" s="71">
        <f t="shared" ca="1" si="114"/>
        <v>0.99549610692046986</v>
      </c>
      <c r="N1443" s="65"/>
    </row>
    <row r="1444" spans="1:14" x14ac:dyDescent="0.25">
      <c r="A1444" s="2">
        <v>1438</v>
      </c>
      <c r="B1444" s="11">
        <f t="shared" ca="1" si="111"/>
        <v>1</v>
      </c>
      <c r="C1444" s="26">
        <f t="shared" ca="1" si="115"/>
        <v>0.52578297573297961</v>
      </c>
      <c r="J1444">
        <f t="shared" ca="1" si="112"/>
        <v>0</v>
      </c>
      <c r="K1444">
        <f t="shared" ca="1" si="113"/>
        <v>0</v>
      </c>
      <c r="L1444" s="65">
        <v>1438</v>
      </c>
      <c r="M1444" s="71">
        <f t="shared" ca="1" si="114"/>
        <v>4.2964366200156165</v>
      </c>
      <c r="N1444" s="65"/>
    </row>
    <row r="1445" spans="1:14" x14ac:dyDescent="0.25">
      <c r="A1445" s="2">
        <v>1439</v>
      </c>
      <c r="B1445" s="11">
        <f t="shared" ca="1" si="111"/>
        <v>0</v>
      </c>
      <c r="C1445" s="26">
        <f t="shared" ca="1" si="115"/>
        <v>0.87849170968806578</v>
      </c>
      <c r="J1445">
        <f t="shared" ca="1" si="112"/>
        <v>0</v>
      </c>
      <c r="K1445">
        <f t="shared" ca="1" si="113"/>
        <v>0</v>
      </c>
      <c r="L1445" s="65">
        <v>1439</v>
      </c>
      <c r="M1445" s="71">
        <f t="shared" ca="1" si="114"/>
        <v>0</v>
      </c>
      <c r="N1445" s="65"/>
    </row>
    <row r="1446" spans="1:14" x14ac:dyDescent="0.25">
      <c r="A1446" s="2">
        <v>1440</v>
      </c>
      <c r="B1446" s="11">
        <f t="shared" ca="1" si="111"/>
        <v>1</v>
      </c>
      <c r="C1446" s="26">
        <f t="shared" ca="1" si="115"/>
        <v>0.1773327773066391</v>
      </c>
      <c r="J1446">
        <f t="shared" ca="1" si="112"/>
        <v>0</v>
      </c>
      <c r="K1446">
        <f t="shared" ca="1" si="113"/>
        <v>0</v>
      </c>
      <c r="L1446" s="65">
        <v>1440</v>
      </c>
      <c r="M1446" s="71">
        <f t="shared" ca="1" si="114"/>
        <v>1.1179924705194797</v>
      </c>
      <c r="N1446" s="65"/>
    </row>
    <row r="1447" spans="1:14" x14ac:dyDescent="0.25">
      <c r="A1447" s="2">
        <v>1441</v>
      </c>
      <c r="B1447" s="11">
        <f t="shared" ca="1" si="111"/>
        <v>0</v>
      </c>
      <c r="C1447" s="26">
        <f t="shared" ca="1" si="115"/>
        <v>0.94099264141632433</v>
      </c>
      <c r="J1447">
        <f t="shared" ca="1" si="112"/>
        <v>0</v>
      </c>
      <c r="K1447">
        <f t="shared" ca="1" si="113"/>
        <v>1</v>
      </c>
      <c r="L1447" s="65">
        <v>1441</v>
      </c>
      <c r="M1447" s="71">
        <f t="shared" ca="1" si="114"/>
        <v>0</v>
      </c>
      <c r="N1447" s="65"/>
    </row>
    <row r="1448" spans="1:14" x14ac:dyDescent="0.25">
      <c r="A1448" s="2">
        <v>1442</v>
      </c>
      <c r="B1448" s="11">
        <f t="shared" ca="1" si="111"/>
        <v>0</v>
      </c>
      <c r="C1448" s="26">
        <f t="shared" ca="1" si="115"/>
        <v>0.54518356543293989</v>
      </c>
      <c r="J1448">
        <f t="shared" ca="1" si="112"/>
        <v>0</v>
      </c>
      <c r="K1448">
        <f t="shared" ca="1" si="113"/>
        <v>0</v>
      </c>
      <c r="L1448" s="65">
        <v>1442</v>
      </c>
      <c r="M1448" s="71">
        <f t="shared" ca="1" si="114"/>
        <v>0</v>
      </c>
      <c r="N1448" s="65"/>
    </row>
    <row r="1449" spans="1:14" x14ac:dyDescent="0.25">
      <c r="A1449" s="2">
        <v>1443</v>
      </c>
      <c r="B1449" s="11">
        <f t="shared" ca="1" si="111"/>
        <v>1</v>
      </c>
      <c r="C1449" s="26">
        <f t="shared" ca="1" si="115"/>
        <v>0.1032638253102296</v>
      </c>
      <c r="J1449">
        <f t="shared" ca="1" si="112"/>
        <v>1</v>
      </c>
      <c r="K1449">
        <f t="shared" ca="1" si="113"/>
        <v>0</v>
      </c>
      <c r="L1449" s="65">
        <v>1443</v>
      </c>
      <c r="M1449" s="71">
        <f t="shared" ca="1" si="114"/>
        <v>4.0726702797129111</v>
      </c>
      <c r="N1449" s="65"/>
    </row>
    <row r="1450" spans="1:14" x14ac:dyDescent="0.25">
      <c r="A1450" s="2">
        <v>1444</v>
      </c>
      <c r="B1450" s="11">
        <f t="shared" ca="1" si="111"/>
        <v>1</v>
      </c>
      <c r="C1450" s="26">
        <f t="shared" ca="1" si="115"/>
        <v>0.15880059691428106</v>
      </c>
      <c r="J1450">
        <f t="shared" ca="1" si="112"/>
        <v>0</v>
      </c>
      <c r="K1450">
        <f t="shared" ca="1" si="113"/>
        <v>0</v>
      </c>
      <c r="L1450" s="65">
        <v>1444</v>
      </c>
      <c r="M1450" s="71">
        <f t="shared" ca="1" si="114"/>
        <v>7.9288719469253394E-2</v>
      </c>
      <c r="N1450" s="65"/>
    </row>
    <row r="1451" spans="1:14" x14ac:dyDescent="0.25">
      <c r="A1451" s="2">
        <v>1445</v>
      </c>
      <c r="B1451" s="11">
        <f t="shared" ca="1" si="111"/>
        <v>0</v>
      </c>
      <c r="C1451" s="26">
        <f t="shared" ca="1" si="115"/>
        <v>0.8239738905186903</v>
      </c>
      <c r="J1451">
        <f t="shared" ca="1" si="112"/>
        <v>0</v>
      </c>
      <c r="K1451">
        <f t="shared" ca="1" si="113"/>
        <v>0</v>
      </c>
      <c r="L1451" s="65">
        <v>1445</v>
      </c>
      <c r="M1451" s="71">
        <f t="shared" ca="1" si="114"/>
        <v>0</v>
      </c>
      <c r="N1451" s="65"/>
    </row>
    <row r="1452" spans="1:14" x14ac:dyDescent="0.25">
      <c r="A1452" s="2">
        <v>1446</v>
      </c>
      <c r="B1452" s="11">
        <f t="shared" ca="1" si="111"/>
        <v>1</v>
      </c>
      <c r="C1452" s="26">
        <f t="shared" ca="1" si="115"/>
        <v>0.25407245930596889</v>
      </c>
      <c r="J1452">
        <f t="shared" ca="1" si="112"/>
        <v>1</v>
      </c>
      <c r="K1452">
        <f t="shared" ca="1" si="113"/>
        <v>0</v>
      </c>
      <c r="L1452" s="65">
        <v>1446</v>
      </c>
      <c r="M1452" s="71">
        <f t="shared" ca="1" si="114"/>
        <v>2.3391454868053518</v>
      </c>
      <c r="N1452" s="65"/>
    </row>
    <row r="1453" spans="1:14" x14ac:dyDescent="0.25">
      <c r="A1453" s="2">
        <v>1447</v>
      </c>
      <c r="B1453" s="11">
        <f t="shared" ca="1" si="111"/>
        <v>1</v>
      </c>
      <c r="C1453" s="26">
        <f t="shared" ca="1" si="115"/>
        <v>0.21045747051881991</v>
      </c>
      <c r="J1453">
        <f t="shared" ca="1" si="112"/>
        <v>1</v>
      </c>
      <c r="K1453">
        <f t="shared" ca="1" si="113"/>
        <v>0</v>
      </c>
      <c r="L1453" s="65">
        <v>1447</v>
      </c>
      <c r="M1453" s="71">
        <f t="shared" ca="1" si="114"/>
        <v>1.4519965225697722</v>
      </c>
      <c r="N1453" s="65"/>
    </row>
    <row r="1454" spans="1:14" x14ac:dyDescent="0.25">
      <c r="A1454" s="2">
        <v>1448</v>
      </c>
      <c r="B1454" s="11">
        <f t="shared" ca="1" si="111"/>
        <v>1</v>
      </c>
      <c r="C1454" s="26">
        <f t="shared" ca="1" si="115"/>
        <v>0.67102474661631739</v>
      </c>
      <c r="J1454">
        <f t="shared" ca="1" si="112"/>
        <v>1</v>
      </c>
      <c r="K1454">
        <f t="shared" ca="1" si="113"/>
        <v>0</v>
      </c>
      <c r="L1454" s="65">
        <v>1448</v>
      </c>
      <c r="M1454" s="71">
        <f t="shared" ca="1" si="114"/>
        <v>3.999747995735933</v>
      </c>
      <c r="N1454" s="65"/>
    </row>
    <row r="1455" spans="1:14" x14ac:dyDescent="0.25">
      <c r="A1455" s="2">
        <v>1449</v>
      </c>
      <c r="B1455" s="11">
        <f t="shared" ref="B1455:B1518" ca="1" si="116">IF(B1454&gt;0,IF(C1455&lt;pww,1,0),IF(C1455&lt;pdw,1,0))</f>
        <v>1</v>
      </c>
      <c r="C1455" s="26">
        <f t="shared" ca="1" si="115"/>
        <v>0.68576312505381765</v>
      </c>
      <c r="J1455">
        <f t="shared" ref="J1455:J1518" ca="1" si="117">IF(AND(B1455,B1456),1,0)</f>
        <v>1</v>
      </c>
      <c r="K1455">
        <f t="shared" ref="K1455:K1518" ca="1" si="118">IF(AND(NOT(B1455),NOT(B1456)),1,0)</f>
        <v>0</v>
      </c>
      <c r="L1455" s="65">
        <v>1449</v>
      </c>
      <c r="M1455" s="71">
        <f t="shared" ca="1" si="114"/>
        <v>7.1959292501726932E-2</v>
      </c>
      <c r="N1455" s="65"/>
    </row>
    <row r="1456" spans="1:14" x14ac:dyDescent="0.25">
      <c r="A1456" s="2">
        <v>1450</v>
      </c>
      <c r="B1456" s="11">
        <f t="shared" ca="1" si="116"/>
        <v>1</v>
      </c>
      <c r="C1456" s="26">
        <f t="shared" ca="1" si="115"/>
        <v>0.21939887385882373</v>
      </c>
      <c r="J1456">
        <f t="shared" ca="1" si="117"/>
        <v>1</v>
      </c>
      <c r="K1456">
        <f t="shared" ca="1" si="118"/>
        <v>0</v>
      </c>
      <c r="L1456" s="65">
        <v>1450</v>
      </c>
      <c r="M1456" s="71">
        <f t="shared" ca="1" si="114"/>
        <v>0.77274758795380116</v>
      </c>
      <c r="N1456" s="65"/>
    </row>
    <row r="1457" spans="1:14" x14ac:dyDescent="0.25">
      <c r="A1457" s="2">
        <v>1451</v>
      </c>
      <c r="B1457" s="11">
        <f t="shared" ca="1" si="116"/>
        <v>1</v>
      </c>
      <c r="C1457" s="26">
        <f t="shared" ca="1" si="115"/>
        <v>0.63080585764746089</v>
      </c>
      <c r="J1457">
        <f t="shared" ca="1" si="117"/>
        <v>0</v>
      </c>
      <c r="K1457">
        <f t="shared" ca="1" si="118"/>
        <v>0</v>
      </c>
      <c r="L1457" s="65">
        <v>1451</v>
      </c>
      <c r="M1457" s="71">
        <f t="shared" ca="1" si="114"/>
        <v>4.77807169242545</v>
      </c>
      <c r="N1457" s="65"/>
    </row>
    <row r="1458" spans="1:14" x14ac:dyDescent="0.25">
      <c r="A1458" s="2">
        <v>1452</v>
      </c>
      <c r="B1458" s="11">
        <f t="shared" ca="1" si="116"/>
        <v>0</v>
      </c>
      <c r="C1458" s="26">
        <f t="shared" ca="1" si="115"/>
        <v>0.82720550307367424</v>
      </c>
      <c r="J1458">
        <f t="shared" ca="1" si="117"/>
        <v>0</v>
      </c>
      <c r="K1458">
        <f t="shared" ca="1" si="118"/>
        <v>1</v>
      </c>
      <c r="L1458" s="65">
        <v>1452</v>
      </c>
      <c r="M1458" s="71">
        <f t="shared" ca="1" si="114"/>
        <v>0</v>
      </c>
      <c r="N1458" s="65"/>
    </row>
    <row r="1459" spans="1:14" x14ac:dyDescent="0.25">
      <c r="A1459" s="2">
        <v>1453</v>
      </c>
      <c r="B1459" s="11">
        <f t="shared" ca="1" si="116"/>
        <v>0</v>
      </c>
      <c r="C1459" s="26">
        <f t="shared" ca="1" si="115"/>
        <v>0.67960809936772359</v>
      </c>
      <c r="J1459">
        <f t="shared" ca="1" si="117"/>
        <v>0</v>
      </c>
      <c r="K1459">
        <f t="shared" ca="1" si="118"/>
        <v>0</v>
      </c>
      <c r="L1459" s="65">
        <v>1453</v>
      </c>
      <c r="M1459" s="71">
        <f t="shared" ca="1" si="114"/>
        <v>0</v>
      </c>
      <c r="N1459" s="65"/>
    </row>
    <row r="1460" spans="1:14" x14ac:dyDescent="0.25">
      <c r="A1460" s="2">
        <v>1454</v>
      </c>
      <c r="B1460" s="11">
        <f t="shared" ca="1" si="116"/>
        <v>1</v>
      </c>
      <c r="C1460" s="26">
        <f t="shared" ca="1" si="115"/>
        <v>0.23935885233377452</v>
      </c>
      <c r="J1460">
        <f t="shared" ca="1" si="117"/>
        <v>1</v>
      </c>
      <c r="K1460">
        <f t="shared" ca="1" si="118"/>
        <v>0</v>
      </c>
      <c r="L1460" s="65">
        <v>1454</v>
      </c>
      <c r="M1460" s="71">
        <f t="shared" ca="1" si="114"/>
        <v>1.0333552381315489</v>
      </c>
      <c r="N1460" s="65"/>
    </row>
    <row r="1461" spans="1:14" x14ac:dyDescent="0.25">
      <c r="A1461" s="2">
        <v>1455</v>
      </c>
      <c r="B1461" s="11">
        <f t="shared" ca="1" si="116"/>
        <v>1</v>
      </c>
      <c r="C1461" s="26">
        <f t="shared" ca="1" si="115"/>
        <v>0.25653095026232475</v>
      </c>
      <c r="J1461">
        <f t="shared" ca="1" si="117"/>
        <v>0</v>
      </c>
      <c r="K1461">
        <f t="shared" ca="1" si="118"/>
        <v>0</v>
      </c>
      <c r="L1461" s="65">
        <v>1455</v>
      </c>
      <c r="M1461" s="71">
        <f t="shared" ca="1" si="114"/>
        <v>1.3483822350916164</v>
      </c>
      <c r="N1461" s="65"/>
    </row>
    <row r="1462" spans="1:14" x14ac:dyDescent="0.25">
      <c r="A1462" s="2">
        <v>1456</v>
      </c>
      <c r="B1462" s="11">
        <f t="shared" ca="1" si="116"/>
        <v>0</v>
      </c>
      <c r="C1462" s="26">
        <f t="shared" ca="1" si="115"/>
        <v>0.9861892860527196</v>
      </c>
      <c r="J1462">
        <f t="shared" ca="1" si="117"/>
        <v>0</v>
      </c>
      <c r="K1462">
        <f t="shared" ca="1" si="118"/>
        <v>0</v>
      </c>
      <c r="L1462" s="65">
        <v>1456</v>
      </c>
      <c r="M1462" s="71">
        <f t="shared" ca="1" si="114"/>
        <v>0</v>
      </c>
      <c r="N1462" s="65"/>
    </row>
    <row r="1463" spans="1:14" x14ac:dyDescent="0.25">
      <c r="A1463" s="2">
        <v>1457</v>
      </c>
      <c r="B1463" s="11">
        <f t="shared" ca="1" si="116"/>
        <v>1</v>
      </c>
      <c r="C1463" s="26">
        <f t="shared" ca="1" si="115"/>
        <v>0.30312196582836193</v>
      </c>
      <c r="J1463">
        <f t="shared" ca="1" si="117"/>
        <v>1</v>
      </c>
      <c r="K1463">
        <f t="shared" ca="1" si="118"/>
        <v>0</v>
      </c>
      <c r="L1463" s="65">
        <v>1457</v>
      </c>
      <c r="M1463" s="71">
        <f t="shared" ca="1" si="114"/>
        <v>0.78694177749147542</v>
      </c>
      <c r="N1463" s="65"/>
    </row>
    <row r="1464" spans="1:14" x14ac:dyDescent="0.25">
      <c r="A1464" s="2">
        <v>1458</v>
      </c>
      <c r="B1464" s="11">
        <f t="shared" ca="1" si="116"/>
        <v>1</v>
      </c>
      <c r="C1464" s="26">
        <f t="shared" ca="1" si="115"/>
        <v>0.29047812656528083</v>
      </c>
      <c r="J1464">
        <f t="shared" ca="1" si="117"/>
        <v>1</v>
      </c>
      <c r="K1464">
        <f t="shared" ca="1" si="118"/>
        <v>0</v>
      </c>
      <c r="L1464" s="65">
        <v>1458</v>
      </c>
      <c r="M1464" s="71">
        <f t="shared" ca="1" si="114"/>
        <v>1.7722621671230903</v>
      </c>
      <c r="N1464" s="65"/>
    </row>
    <row r="1465" spans="1:14" x14ac:dyDescent="0.25">
      <c r="A1465" s="2">
        <v>1459</v>
      </c>
      <c r="B1465" s="11">
        <f t="shared" ca="1" si="116"/>
        <v>1</v>
      </c>
      <c r="C1465" s="26">
        <f t="shared" ca="1" si="115"/>
        <v>0.72576709564485042</v>
      </c>
      <c r="J1465">
        <f t="shared" ca="1" si="117"/>
        <v>1</v>
      </c>
      <c r="K1465">
        <f t="shared" ca="1" si="118"/>
        <v>0</v>
      </c>
      <c r="L1465" s="65">
        <v>1459</v>
      </c>
      <c r="M1465" s="71">
        <f t="shared" ca="1" si="114"/>
        <v>2.2939035440654276</v>
      </c>
      <c r="N1465" s="65"/>
    </row>
    <row r="1466" spans="1:14" x14ac:dyDescent="0.25">
      <c r="A1466" s="2">
        <v>1460</v>
      </c>
      <c r="B1466" s="11">
        <f t="shared" ca="1" si="116"/>
        <v>1</v>
      </c>
      <c r="C1466" s="26">
        <f t="shared" ca="1" si="115"/>
        <v>0.2199926668784552</v>
      </c>
      <c r="J1466">
        <f t="shared" ca="1" si="117"/>
        <v>1</v>
      </c>
      <c r="K1466">
        <f t="shared" ca="1" si="118"/>
        <v>0</v>
      </c>
      <c r="L1466" s="65">
        <v>1460</v>
      </c>
      <c r="M1466" s="71">
        <f t="shared" ca="1" si="114"/>
        <v>0.78001177000894406</v>
      </c>
      <c r="N1466" s="65"/>
    </row>
    <row r="1467" spans="1:14" x14ac:dyDescent="0.25">
      <c r="A1467" s="2">
        <v>1461</v>
      </c>
      <c r="B1467" s="11">
        <f t="shared" ca="1" si="116"/>
        <v>1</v>
      </c>
      <c r="C1467" s="26">
        <f t="shared" ca="1" si="115"/>
        <v>0.17348716044046053</v>
      </c>
      <c r="J1467">
        <f t="shared" ca="1" si="117"/>
        <v>0</v>
      </c>
      <c r="K1467">
        <f t="shared" ca="1" si="118"/>
        <v>0</v>
      </c>
      <c r="L1467" s="65">
        <v>1461</v>
      </c>
      <c r="M1467" s="71">
        <f t="shared" ca="1" si="114"/>
        <v>0.82082870203237746</v>
      </c>
      <c r="N1467" s="65"/>
    </row>
    <row r="1468" spans="1:14" x14ac:dyDescent="0.25">
      <c r="A1468" s="2">
        <v>1462</v>
      </c>
      <c r="B1468" s="11">
        <f t="shared" ca="1" si="116"/>
        <v>0</v>
      </c>
      <c r="C1468" s="26">
        <f t="shared" ca="1" si="115"/>
        <v>0.84626768816882525</v>
      </c>
      <c r="J1468">
        <f t="shared" ca="1" si="117"/>
        <v>0</v>
      </c>
      <c r="K1468">
        <f t="shared" ca="1" si="118"/>
        <v>1</v>
      </c>
      <c r="L1468" s="65">
        <v>1462</v>
      </c>
      <c r="M1468" s="71">
        <f t="shared" ca="1" si="114"/>
        <v>0</v>
      </c>
      <c r="N1468" s="65"/>
    </row>
    <row r="1469" spans="1:14" x14ac:dyDescent="0.25">
      <c r="A1469" s="2">
        <v>1463</v>
      </c>
      <c r="B1469" s="11">
        <f t="shared" ca="1" si="116"/>
        <v>0</v>
      </c>
      <c r="C1469" s="26">
        <f t="shared" ca="1" si="115"/>
        <v>0.74990476872183243</v>
      </c>
      <c r="J1469">
        <f t="shared" ca="1" si="117"/>
        <v>0</v>
      </c>
      <c r="K1469">
        <f t="shared" ca="1" si="118"/>
        <v>0</v>
      </c>
      <c r="L1469" s="65">
        <v>1463</v>
      </c>
      <c r="M1469" s="71">
        <f t="shared" ca="1" si="114"/>
        <v>0</v>
      </c>
      <c r="N1469" s="65"/>
    </row>
    <row r="1470" spans="1:14" x14ac:dyDescent="0.25">
      <c r="A1470" s="2">
        <v>1464</v>
      </c>
      <c r="B1470" s="11">
        <f t="shared" ca="1" si="116"/>
        <v>1</v>
      </c>
      <c r="C1470" s="26">
        <f t="shared" ca="1" si="115"/>
        <v>0.30463091061008984</v>
      </c>
      <c r="J1470">
        <f t="shared" ca="1" si="117"/>
        <v>1</v>
      </c>
      <c r="K1470">
        <f t="shared" ca="1" si="118"/>
        <v>0</v>
      </c>
      <c r="L1470" s="65">
        <v>1464</v>
      </c>
      <c r="M1470" s="71">
        <f t="shared" ca="1" si="114"/>
        <v>0.63781743057722884</v>
      </c>
      <c r="N1470" s="65"/>
    </row>
    <row r="1471" spans="1:14" x14ac:dyDescent="0.25">
      <c r="A1471" s="2">
        <v>1465</v>
      </c>
      <c r="B1471" s="11">
        <f t="shared" ca="1" si="116"/>
        <v>1</v>
      </c>
      <c r="C1471" s="26">
        <f t="shared" ca="1" si="115"/>
        <v>0.12698929618604626</v>
      </c>
      <c r="J1471">
        <f t="shared" ca="1" si="117"/>
        <v>0</v>
      </c>
      <c r="K1471">
        <f t="shared" ca="1" si="118"/>
        <v>0</v>
      </c>
      <c r="L1471" s="65">
        <v>1465</v>
      </c>
      <c r="M1471" s="71">
        <f t="shared" ca="1" si="114"/>
        <v>1.1377426129348711</v>
      </c>
      <c r="N1471" s="65"/>
    </row>
    <row r="1472" spans="1:14" x14ac:dyDescent="0.25">
      <c r="A1472" s="2">
        <v>1466</v>
      </c>
      <c r="B1472" s="11">
        <f t="shared" ca="1" si="116"/>
        <v>0</v>
      </c>
      <c r="C1472" s="26">
        <f t="shared" ca="1" si="115"/>
        <v>0.76830344191595668</v>
      </c>
      <c r="J1472">
        <f t="shared" ca="1" si="117"/>
        <v>0</v>
      </c>
      <c r="K1472">
        <f t="shared" ca="1" si="118"/>
        <v>0</v>
      </c>
      <c r="L1472" s="65">
        <v>1466</v>
      </c>
      <c r="M1472" s="71">
        <f t="shared" ca="1" si="114"/>
        <v>0</v>
      </c>
      <c r="N1472" s="65"/>
    </row>
    <row r="1473" spans="1:14" x14ac:dyDescent="0.25">
      <c r="A1473" s="2">
        <v>1467</v>
      </c>
      <c r="B1473" s="11">
        <f t="shared" ca="1" si="116"/>
        <v>1</v>
      </c>
      <c r="C1473" s="26">
        <f t="shared" ca="1" si="115"/>
        <v>0.37433969110525644</v>
      </c>
      <c r="J1473">
        <f t="shared" ca="1" si="117"/>
        <v>1</v>
      </c>
      <c r="K1473">
        <f t="shared" ca="1" si="118"/>
        <v>0</v>
      </c>
      <c r="L1473" s="65">
        <v>1467</v>
      </c>
      <c r="M1473" s="71">
        <f t="shared" ca="1" si="114"/>
        <v>0.6587563228062896</v>
      </c>
      <c r="N1473" s="65"/>
    </row>
    <row r="1474" spans="1:14" x14ac:dyDescent="0.25">
      <c r="A1474" s="2">
        <v>1468</v>
      </c>
      <c r="B1474" s="11">
        <f t="shared" ca="1" si="116"/>
        <v>1</v>
      </c>
      <c r="C1474" s="26">
        <f t="shared" ca="1" si="115"/>
        <v>0.56574769084505139</v>
      </c>
      <c r="J1474">
        <f t="shared" ca="1" si="117"/>
        <v>1</v>
      </c>
      <c r="K1474">
        <f t="shared" ca="1" si="118"/>
        <v>0</v>
      </c>
      <c r="L1474" s="65">
        <v>1468</v>
      </c>
      <c r="M1474" s="71">
        <f t="shared" ca="1" si="114"/>
        <v>1.8129856954947641</v>
      </c>
      <c r="N1474" s="65"/>
    </row>
    <row r="1475" spans="1:14" x14ac:dyDescent="0.25">
      <c r="A1475" s="2">
        <v>1469</v>
      </c>
      <c r="B1475" s="11">
        <f t="shared" ca="1" si="116"/>
        <v>1</v>
      </c>
      <c r="C1475" s="26">
        <f t="shared" ca="1" si="115"/>
        <v>0.34642746418884607</v>
      </c>
      <c r="J1475">
        <f t="shared" ca="1" si="117"/>
        <v>1</v>
      </c>
      <c r="K1475">
        <f t="shared" ca="1" si="118"/>
        <v>0</v>
      </c>
      <c r="L1475" s="65">
        <v>1469</v>
      </c>
      <c r="M1475" s="71">
        <f t="shared" ca="1" si="114"/>
        <v>0.62402073765614674</v>
      </c>
      <c r="N1475" s="65"/>
    </row>
    <row r="1476" spans="1:14" x14ac:dyDescent="0.25">
      <c r="A1476" s="2">
        <v>1470</v>
      </c>
      <c r="B1476" s="11">
        <f t="shared" ca="1" si="116"/>
        <v>1</v>
      </c>
      <c r="C1476" s="26">
        <f t="shared" ca="1" si="115"/>
        <v>0.17391377634391081</v>
      </c>
      <c r="J1476">
        <f t="shared" ca="1" si="117"/>
        <v>1</v>
      </c>
      <c r="K1476">
        <f t="shared" ca="1" si="118"/>
        <v>0</v>
      </c>
      <c r="L1476" s="65">
        <v>1470</v>
      </c>
      <c r="M1476" s="71">
        <f t="shared" ca="1" si="114"/>
        <v>4.0039220434286902</v>
      </c>
      <c r="N1476" s="65"/>
    </row>
    <row r="1477" spans="1:14" x14ac:dyDescent="0.25">
      <c r="A1477" s="2">
        <v>1471</v>
      </c>
      <c r="B1477" s="11">
        <f t="shared" ca="1" si="116"/>
        <v>1</v>
      </c>
      <c r="C1477" s="26">
        <f t="shared" ca="1" si="115"/>
        <v>0.31818303242377333</v>
      </c>
      <c r="J1477">
        <f t="shared" ca="1" si="117"/>
        <v>0</v>
      </c>
      <c r="K1477">
        <f t="shared" ca="1" si="118"/>
        <v>0</v>
      </c>
      <c r="L1477" s="65">
        <v>1471</v>
      </c>
      <c r="M1477" s="71">
        <f t="shared" ca="1" si="114"/>
        <v>2.8715576548089095</v>
      </c>
      <c r="N1477" s="65"/>
    </row>
    <row r="1478" spans="1:14" x14ac:dyDescent="0.25">
      <c r="A1478" s="2">
        <v>1472</v>
      </c>
      <c r="B1478" s="11">
        <f t="shared" ca="1" si="116"/>
        <v>0</v>
      </c>
      <c r="C1478" s="26">
        <f t="shared" ca="1" si="115"/>
        <v>0.98195766407532725</v>
      </c>
      <c r="J1478">
        <f t="shared" ca="1" si="117"/>
        <v>0</v>
      </c>
      <c r="K1478">
        <f t="shared" ca="1" si="118"/>
        <v>1</v>
      </c>
      <c r="L1478" s="65">
        <v>1472</v>
      </c>
      <c r="M1478" s="71">
        <f t="shared" ca="1" si="114"/>
        <v>0</v>
      </c>
      <c r="N1478" s="65"/>
    </row>
    <row r="1479" spans="1:14" x14ac:dyDescent="0.25">
      <c r="A1479" s="2">
        <v>1473</v>
      </c>
      <c r="B1479" s="11">
        <f t="shared" ca="1" si="116"/>
        <v>0</v>
      </c>
      <c r="C1479" s="26">
        <f t="shared" ca="1" si="115"/>
        <v>0.84225097649848835</v>
      </c>
      <c r="J1479">
        <f t="shared" ca="1" si="117"/>
        <v>0</v>
      </c>
      <c r="K1479">
        <f t="shared" ca="1" si="118"/>
        <v>1</v>
      </c>
      <c r="L1479" s="65">
        <v>1473</v>
      </c>
      <c r="M1479" s="71">
        <f t="shared" ref="M1479:M1542" ca="1" si="119">IF(B1479&gt;0,-LN(1-(RAND()))/lambda,0)</f>
        <v>0</v>
      </c>
      <c r="N1479" s="65"/>
    </row>
    <row r="1480" spans="1:14" x14ac:dyDescent="0.25">
      <c r="A1480" s="2">
        <v>1474</v>
      </c>
      <c r="B1480" s="11">
        <f t="shared" ca="1" si="116"/>
        <v>0</v>
      </c>
      <c r="C1480" s="26">
        <f t="shared" ref="C1480:C1543" ca="1" si="120">RAND()</f>
        <v>0.84933333965262781</v>
      </c>
      <c r="J1480">
        <f t="shared" ca="1" si="117"/>
        <v>0</v>
      </c>
      <c r="K1480">
        <f t="shared" ca="1" si="118"/>
        <v>1</v>
      </c>
      <c r="L1480" s="65">
        <v>1474</v>
      </c>
      <c r="M1480" s="71">
        <f t="shared" ca="1" si="119"/>
        <v>0</v>
      </c>
      <c r="N1480" s="65"/>
    </row>
    <row r="1481" spans="1:14" x14ac:dyDescent="0.25">
      <c r="A1481" s="2">
        <v>1475</v>
      </c>
      <c r="B1481" s="11">
        <f t="shared" ca="1" si="116"/>
        <v>0</v>
      </c>
      <c r="C1481" s="26">
        <f t="shared" ca="1" si="120"/>
        <v>0.80128722131632701</v>
      </c>
      <c r="J1481">
        <f t="shared" ca="1" si="117"/>
        <v>0</v>
      </c>
      <c r="K1481">
        <f t="shared" ca="1" si="118"/>
        <v>0</v>
      </c>
      <c r="L1481" s="65">
        <v>1475</v>
      </c>
      <c r="M1481" s="71">
        <f t="shared" ca="1" si="119"/>
        <v>0</v>
      </c>
      <c r="N1481" s="65"/>
    </row>
    <row r="1482" spans="1:14" x14ac:dyDescent="0.25">
      <c r="A1482" s="2">
        <v>1476</v>
      </c>
      <c r="B1482" s="11">
        <f t="shared" ca="1" si="116"/>
        <v>1</v>
      </c>
      <c r="C1482" s="26">
        <f t="shared" ca="1" si="120"/>
        <v>0.26408260065019906</v>
      </c>
      <c r="J1482">
        <f t="shared" ca="1" si="117"/>
        <v>1</v>
      </c>
      <c r="K1482">
        <f t="shared" ca="1" si="118"/>
        <v>0</v>
      </c>
      <c r="L1482" s="65">
        <v>1476</v>
      </c>
      <c r="M1482" s="71">
        <f t="shared" ca="1" si="119"/>
        <v>4.9899389339004756</v>
      </c>
      <c r="N1482" s="65"/>
    </row>
    <row r="1483" spans="1:14" x14ac:dyDescent="0.25">
      <c r="A1483" s="2">
        <v>1477</v>
      </c>
      <c r="B1483" s="11">
        <f t="shared" ca="1" si="116"/>
        <v>1</v>
      </c>
      <c r="C1483" s="26">
        <f t="shared" ca="1" si="120"/>
        <v>5.9923888402073078E-2</v>
      </c>
      <c r="J1483">
        <f t="shared" ca="1" si="117"/>
        <v>1</v>
      </c>
      <c r="K1483">
        <f t="shared" ca="1" si="118"/>
        <v>0</v>
      </c>
      <c r="L1483" s="65">
        <v>1477</v>
      </c>
      <c r="M1483" s="71">
        <f t="shared" ca="1" si="119"/>
        <v>0.61745796262701635</v>
      </c>
      <c r="N1483" s="65"/>
    </row>
    <row r="1484" spans="1:14" x14ac:dyDescent="0.25">
      <c r="A1484" s="2">
        <v>1478</v>
      </c>
      <c r="B1484" s="11">
        <f t="shared" ca="1" si="116"/>
        <v>1</v>
      </c>
      <c r="C1484" s="26">
        <f t="shared" ca="1" si="120"/>
        <v>0.33209630393915135</v>
      </c>
      <c r="J1484">
        <f t="shared" ca="1" si="117"/>
        <v>0</v>
      </c>
      <c r="K1484">
        <f t="shared" ca="1" si="118"/>
        <v>0</v>
      </c>
      <c r="L1484" s="65">
        <v>1478</v>
      </c>
      <c r="M1484" s="71">
        <f t="shared" ca="1" si="119"/>
        <v>1.8055937715337926</v>
      </c>
      <c r="N1484" s="65"/>
    </row>
    <row r="1485" spans="1:14" x14ac:dyDescent="0.25">
      <c r="A1485" s="2">
        <v>1479</v>
      </c>
      <c r="B1485" s="11">
        <f t="shared" ca="1" si="116"/>
        <v>0</v>
      </c>
      <c r="C1485" s="26">
        <f t="shared" ca="1" si="120"/>
        <v>0.95688011554027996</v>
      </c>
      <c r="J1485">
        <f t="shared" ca="1" si="117"/>
        <v>0</v>
      </c>
      <c r="K1485">
        <f t="shared" ca="1" si="118"/>
        <v>0</v>
      </c>
      <c r="L1485" s="65">
        <v>1479</v>
      </c>
      <c r="M1485" s="71">
        <f t="shared" ca="1" si="119"/>
        <v>0</v>
      </c>
      <c r="N1485" s="65"/>
    </row>
    <row r="1486" spans="1:14" x14ac:dyDescent="0.25">
      <c r="A1486" s="2">
        <v>1480</v>
      </c>
      <c r="B1486" s="11">
        <f t="shared" ca="1" si="116"/>
        <v>1</v>
      </c>
      <c r="C1486" s="26">
        <f t="shared" ca="1" si="120"/>
        <v>0.12875727734392028</v>
      </c>
      <c r="J1486">
        <f t="shared" ca="1" si="117"/>
        <v>1</v>
      </c>
      <c r="K1486">
        <f t="shared" ca="1" si="118"/>
        <v>0</v>
      </c>
      <c r="L1486" s="65">
        <v>1480</v>
      </c>
      <c r="M1486" s="71">
        <f t="shared" ca="1" si="119"/>
        <v>5.1311266856142597</v>
      </c>
      <c r="N1486" s="65"/>
    </row>
    <row r="1487" spans="1:14" x14ac:dyDescent="0.25">
      <c r="A1487" s="2">
        <v>1481</v>
      </c>
      <c r="B1487" s="11">
        <f t="shared" ca="1" si="116"/>
        <v>1</v>
      </c>
      <c r="C1487" s="26">
        <f t="shared" ca="1" si="120"/>
        <v>5.8026100300497707E-2</v>
      </c>
      <c r="J1487">
        <f t="shared" ca="1" si="117"/>
        <v>1</v>
      </c>
      <c r="K1487">
        <f t="shared" ca="1" si="118"/>
        <v>0</v>
      </c>
      <c r="L1487" s="65">
        <v>1481</v>
      </c>
      <c r="M1487" s="71">
        <f t="shared" ca="1" si="119"/>
        <v>3.4830594435618445</v>
      </c>
      <c r="N1487" s="65"/>
    </row>
    <row r="1488" spans="1:14" x14ac:dyDescent="0.25">
      <c r="A1488" s="2">
        <v>1482</v>
      </c>
      <c r="B1488" s="11">
        <f t="shared" ca="1" si="116"/>
        <v>1</v>
      </c>
      <c r="C1488" s="26">
        <f t="shared" ca="1" si="120"/>
        <v>0.51995201154695947</v>
      </c>
      <c r="J1488">
        <f t="shared" ca="1" si="117"/>
        <v>0</v>
      </c>
      <c r="K1488">
        <f t="shared" ca="1" si="118"/>
        <v>0</v>
      </c>
      <c r="L1488" s="65">
        <v>1482</v>
      </c>
      <c r="M1488" s="71">
        <f t="shared" ca="1" si="119"/>
        <v>5.1545634836600627</v>
      </c>
      <c r="N1488" s="65"/>
    </row>
    <row r="1489" spans="1:14" x14ac:dyDescent="0.25">
      <c r="A1489" s="2">
        <v>1483</v>
      </c>
      <c r="B1489" s="11">
        <f t="shared" ca="1" si="116"/>
        <v>0</v>
      </c>
      <c r="C1489" s="26">
        <f t="shared" ca="1" si="120"/>
        <v>0.90097516496227414</v>
      </c>
      <c r="J1489">
        <f t="shared" ca="1" si="117"/>
        <v>0</v>
      </c>
      <c r="K1489">
        <f t="shared" ca="1" si="118"/>
        <v>0</v>
      </c>
      <c r="L1489" s="65">
        <v>1483</v>
      </c>
      <c r="M1489" s="71">
        <f t="shared" ca="1" si="119"/>
        <v>0</v>
      </c>
      <c r="N1489" s="65"/>
    </row>
    <row r="1490" spans="1:14" x14ac:dyDescent="0.25">
      <c r="A1490" s="2">
        <v>1484</v>
      </c>
      <c r="B1490" s="11">
        <f t="shared" ca="1" si="116"/>
        <v>1</v>
      </c>
      <c r="C1490" s="26">
        <f t="shared" ca="1" si="120"/>
        <v>4.8058069062538067E-2</v>
      </c>
      <c r="J1490">
        <f t="shared" ca="1" si="117"/>
        <v>1</v>
      </c>
      <c r="K1490">
        <f t="shared" ca="1" si="118"/>
        <v>0</v>
      </c>
      <c r="L1490" s="65">
        <v>1484</v>
      </c>
      <c r="M1490" s="71">
        <f t="shared" ca="1" si="119"/>
        <v>3.1950369556166001</v>
      </c>
      <c r="N1490" s="65"/>
    </row>
    <row r="1491" spans="1:14" x14ac:dyDescent="0.25">
      <c r="A1491" s="2">
        <v>1485</v>
      </c>
      <c r="B1491" s="11">
        <f t="shared" ca="1" si="116"/>
        <v>1</v>
      </c>
      <c r="C1491" s="26">
        <f t="shared" ca="1" si="120"/>
        <v>0.7034019986632265</v>
      </c>
      <c r="J1491">
        <f t="shared" ca="1" si="117"/>
        <v>0</v>
      </c>
      <c r="K1491">
        <f t="shared" ca="1" si="118"/>
        <v>0</v>
      </c>
      <c r="L1491" s="65">
        <v>1485</v>
      </c>
      <c r="M1491" s="71">
        <f t="shared" ca="1" si="119"/>
        <v>5.5542011052980643E-2</v>
      </c>
      <c r="N1491" s="65"/>
    </row>
    <row r="1492" spans="1:14" x14ac:dyDescent="0.25">
      <c r="A1492" s="2">
        <v>1486</v>
      </c>
      <c r="B1492" s="11">
        <f t="shared" ca="1" si="116"/>
        <v>0</v>
      </c>
      <c r="C1492" s="26">
        <f t="shared" ca="1" si="120"/>
        <v>0.98092979100650779</v>
      </c>
      <c r="J1492">
        <f t="shared" ca="1" si="117"/>
        <v>0</v>
      </c>
      <c r="K1492">
        <f t="shared" ca="1" si="118"/>
        <v>1</v>
      </c>
      <c r="L1492" s="65">
        <v>1486</v>
      </c>
      <c r="M1492" s="71">
        <f t="shared" ca="1" si="119"/>
        <v>0</v>
      </c>
      <c r="N1492" s="65"/>
    </row>
    <row r="1493" spans="1:14" x14ac:dyDescent="0.25">
      <c r="A1493" s="2">
        <v>1487</v>
      </c>
      <c r="B1493" s="11">
        <f t="shared" ca="1" si="116"/>
        <v>0</v>
      </c>
      <c r="C1493" s="26">
        <f t="shared" ca="1" si="120"/>
        <v>0.80150087788358548</v>
      </c>
      <c r="J1493">
        <f t="shared" ca="1" si="117"/>
        <v>0</v>
      </c>
      <c r="K1493">
        <f t="shared" ca="1" si="118"/>
        <v>1</v>
      </c>
      <c r="L1493" s="65">
        <v>1487</v>
      </c>
      <c r="M1493" s="71">
        <f t="shared" ca="1" si="119"/>
        <v>0</v>
      </c>
      <c r="N1493" s="65"/>
    </row>
    <row r="1494" spans="1:14" x14ac:dyDescent="0.25">
      <c r="A1494" s="2">
        <v>1488</v>
      </c>
      <c r="B1494" s="11">
        <f t="shared" ca="1" si="116"/>
        <v>0</v>
      </c>
      <c r="C1494" s="26">
        <f t="shared" ca="1" si="120"/>
        <v>0.57143059378583072</v>
      </c>
      <c r="J1494">
        <f t="shared" ca="1" si="117"/>
        <v>0</v>
      </c>
      <c r="K1494">
        <f t="shared" ca="1" si="118"/>
        <v>0</v>
      </c>
      <c r="L1494" s="65">
        <v>1488</v>
      </c>
      <c r="M1494" s="71">
        <f t="shared" ca="1" si="119"/>
        <v>0</v>
      </c>
      <c r="N1494" s="65"/>
    </row>
    <row r="1495" spans="1:14" x14ac:dyDescent="0.25">
      <c r="A1495" s="2">
        <v>1489</v>
      </c>
      <c r="B1495" s="11">
        <f t="shared" ca="1" si="116"/>
        <v>1</v>
      </c>
      <c r="C1495" s="26">
        <f t="shared" ca="1" si="120"/>
        <v>6.9749799412495483E-2</v>
      </c>
      <c r="J1495">
        <f t="shared" ca="1" si="117"/>
        <v>0</v>
      </c>
      <c r="K1495">
        <f t="shared" ca="1" si="118"/>
        <v>0</v>
      </c>
      <c r="L1495" s="65">
        <v>1489</v>
      </c>
      <c r="M1495" s="71">
        <f t="shared" ca="1" si="119"/>
        <v>2.4360584997006276</v>
      </c>
      <c r="N1495" s="65"/>
    </row>
    <row r="1496" spans="1:14" x14ac:dyDescent="0.25">
      <c r="A1496" s="2">
        <v>1490</v>
      </c>
      <c r="B1496" s="11">
        <f t="shared" ca="1" si="116"/>
        <v>0</v>
      </c>
      <c r="C1496" s="26">
        <f t="shared" ca="1" si="120"/>
        <v>0.97919443430846742</v>
      </c>
      <c r="J1496">
        <f t="shared" ca="1" si="117"/>
        <v>0</v>
      </c>
      <c r="K1496">
        <f t="shared" ca="1" si="118"/>
        <v>0</v>
      </c>
      <c r="L1496" s="65">
        <v>1490</v>
      </c>
      <c r="M1496" s="71">
        <f t="shared" ca="1" si="119"/>
        <v>0</v>
      </c>
      <c r="N1496" s="65"/>
    </row>
    <row r="1497" spans="1:14" x14ac:dyDescent="0.25">
      <c r="A1497" s="2">
        <v>1491</v>
      </c>
      <c r="B1497" s="11">
        <f t="shared" ca="1" si="116"/>
        <v>1</v>
      </c>
      <c r="C1497" s="26">
        <f t="shared" ca="1" si="120"/>
        <v>0.26904788148822367</v>
      </c>
      <c r="J1497">
        <f t="shared" ca="1" si="117"/>
        <v>0</v>
      </c>
      <c r="K1497">
        <f t="shared" ca="1" si="118"/>
        <v>0</v>
      </c>
      <c r="L1497" s="65">
        <v>1491</v>
      </c>
      <c r="M1497" s="71">
        <f t="shared" ca="1" si="119"/>
        <v>2.465384980672841</v>
      </c>
      <c r="N1497" s="65"/>
    </row>
    <row r="1498" spans="1:14" x14ac:dyDescent="0.25">
      <c r="A1498" s="2">
        <v>1492</v>
      </c>
      <c r="B1498" s="11">
        <f t="shared" ca="1" si="116"/>
        <v>0</v>
      </c>
      <c r="C1498" s="26">
        <f t="shared" ca="1" si="120"/>
        <v>0.94151225121443938</v>
      </c>
      <c r="J1498">
        <f t="shared" ca="1" si="117"/>
        <v>0</v>
      </c>
      <c r="K1498">
        <f t="shared" ca="1" si="118"/>
        <v>1</v>
      </c>
      <c r="L1498" s="65">
        <v>1492</v>
      </c>
      <c r="M1498" s="71">
        <f t="shared" ca="1" si="119"/>
        <v>0</v>
      </c>
      <c r="N1498" s="65"/>
    </row>
    <row r="1499" spans="1:14" x14ac:dyDescent="0.25">
      <c r="A1499" s="2">
        <v>1493</v>
      </c>
      <c r="B1499" s="11">
        <f t="shared" ca="1" si="116"/>
        <v>0</v>
      </c>
      <c r="C1499" s="26">
        <f t="shared" ca="1" si="120"/>
        <v>0.56649278777508727</v>
      </c>
      <c r="J1499">
        <f t="shared" ca="1" si="117"/>
        <v>0</v>
      </c>
      <c r="K1499">
        <f t="shared" ca="1" si="118"/>
        <v>1</v>
      </c>
      <c r="L1499" s="65">
        <v>1493</v>
      </c>
      <c r="M1499" s="71">
        <f t="shared" ca="1" si="119"/>
        <v>0</v>
      </c>
      <c r="N1499" s="65"/>
    </row>
    <row r="1500" spans="1:14" x14ac:dyDescent="0.25">
      <c r="A1500" s="2">
        <v>1494</v>
      </c>
      <c r="B1500" s="11">
        <f t="shared" ca="1" si="116"/>
        <v>0</v>
      </c>
      <c r="C1500" s="26">
        <f t="shared" ca="1" si="120"/>
        <v>0.82530671508356257</v>
      </c>
      <c r="J1500">
        <f t="shared" ca="1" si="117"/>
        <v>0</v>
      </c>
      <c r="K1500">
        <f t="shared" ca="1" si="118"/>
        <v>1</v>
      </c>
      <c r="L1500" s="65">
        <v>1494</v>
      </c>
      <c r="M1500" s="71">
        <f t="shared" ca="1" si="119"/>
        <v>0</v>
      </c>
      <c r="N1500" s="65"/>
    </row>
    <row r="1501" spans="1:14" x14ac:dyDescent="0.25">
      <c r="A1501" s="2">
        <v>1495</v>
      </c>
      <c r="B1501" s="11">
        <f t="shared" ca="1" si="116"/>
        <v>0</v>
      </c>
      <c r="C1501" s="26">
        <f t="shared" ca="1" si="120"/>
        <v>0.86165730477452818</v>
      </c>
      <c r="J1501">
        <f t="shared" ca="1" si="117"/>
        <v>0</v>
      </c>
      <c r="K1501">
        <f t="shared" ca="1" si="118"/>
        <v>1</v>
      </c>
      <c r="L1501" s="65">
        <v>1495</v>
      </c>
      <c r="M1501" s="71">
        <f t="shared" ca="1" si="119"/>
        <v>0</v>
      </c>
      <c r="N1501" s="65"/>
    </row>
    <row r="1502" spans="1:14" x14ac:dyDescent="0.25">
      <c r="A1502" s="2">
        <v>1496</v>
      </c>
      <c r="B1502" s="11">
        <f t="shared" ca="1" si="116"/>
        <v>0</v>
      </c>
      <c r="C1502" s="26">
        <f t="shared" ca="1" si="120"/>
        <v>0.4130697864148184</v>
      </c>
      <c r="J1502">
        <f t="shared" ca="1" si="117"/>
        <v>0</v>
      </c>
      <c r="K1502">
        <f t="shared" ca="1" si="118"/>
        <v>1</v>
      </c>
      <c r="L1502" s="65">
        <v>1496</v>
      </c>
      <c r="M1502" s="71">
        <f t="shared" ca="1" si="119"/>
        <v>0</v>
      </c>
      <c r="N1502" s="65"/>
    </row>
    <row r="1503" spans="1:14" x14ac:dyDescent="0.25">
      <c r="A1503" s="2">
        <v>1497</v>
      </c>
      <c r="B1503" s="11">
        <f t="shared" ca="1" si="116"/>
        <v>0</v>
      </c>
      <c r="C1503" s="26">
        <f t="shared" ca="1" si="120"/>
        <v>0.96645176963069779</v>
      </c>
      <c r="J1503">
        <f t="shared" ca="1" si="117"/>
        <v>0</v>
      </c>
      <c r="K1503">
        <f t="shared" ca="1" si="118"/>
        <v>0</v>
      </c>
      <c r="L1503" s="65">
        <v>1497</v>
      </c>
      <c r="M1503" s="71">
        <f t="shared" ca="1" si="119"/>
        <v>0</v>
      </c>
      <c r="N1503" s="65"/>
    </row>
    <row r="1504" spans="1:14" x14ac:dyDescent="0.25">
      <c r="A1504" s="2">
        <v>1498</v>
      </c>
      <c r="B1504" s="11">
        <f t="shared" ca="1" si="116"/>
        <v>1</v>
      </c>
      <c r="C1504" s="26">
        <f t="shared" ca="1" si="120"/>
        <v>0.32211426209071026</v>
      </c>
      <c r="J1504">
        <f t="shared" ca="1" si="117"/>
        <v>1</v>
      </c>
      <c r="K1504">
        <f t="shared" ca="1" si="118"/>
        <v>0</v>
      </c>
      <c r="L1504" s="65">
        <v>1498</v>
      </c>
      <c r="M1504" s="71">
        <f t="shared" ca="1" si="119"/>
        <v>5.60529228769549</v>
      </c>
      <c r="N1504" s="65"/>
    </row>
    <row r="1505" spans="1:14" x14ac:dyDescent="0.25">
      <c r="A1505" s="2">
        <v>1499</v>
      </c>
      <c r="B1505" s="11">
        <f t="shared" ca="1" si="116"/>
        <v>1</v>
      </c>
      <c r="C1505" s="26">
        <f t="shared" ca="1" si="120"/>
        <v>0.50356483966911159</v>
      </c>
      <c r="J1505">
        <f t="shared" ca="1" si="117"/>
        <v>1</v>
      </c>
      <c r="K1505">
        <f t="shared" ca="1" si="118"/>
        <v>0</v>
      </c>
      <c r="L1505" s="65">
        <v>1499</v>
      </c>
      <c r="M1505" s="71">
        <f t="shared" ca="1" si="119"/>
        <v>1.0466403079861604</v>
      </c>
      <c r="N1505" s="65"/>
    </row>
    <row r="1506" spans="1:14" x14ac:dyDescent="0.25">
      <c r="A1506" s="2">
        <v>1500</v>
      </c>
      <c r="B1506" s="11">
        <f t="shared" ca="1" si="116"/>
        <v>1</v>
      </c>
      <c r="C1506" s="26">
        <f t="shared" ca="1" si="120"/>
        <v>0.4589143066653999</v>
      </c>
      <c r="J1506">
        <f t="shared" ca="1" si="117"/>
        <v>0</v>
      </c>
      <c r="K1506">
        <f t="shared" ca="1" si="118"/>
        <v>0</v>
      </c>
      <c r="L1506" s="65">
        <v>1500</v>
      </c>
      <c r="M1506" s="71">
        <f t="shared" ca="1" si="119"/>
        <v>1.9656420499557132</v>
      </c>
      <c r="N1506" s="65"/>
    </row>
    <row r="1507" spans="1:14" x14ac:dyDescent="0.25">
      <c r="A1507" s="2">
        <v>1501</v>
      </c>
      <c r="B1507" s="11">
        <f t="shared" ca="1" si="116"/>
        <v>0</v>
      </c>
      <c r="C1507" s="26">
        <f t="shared" ca="1" si="120"/>
        <v>0.83560121324526471</v>
      </c>
      <c r="J1507">
        <f t="shared" ca="1" si="117"/>
        <v>0</v>
      </c>
      <c r="K1507">
        <f t="shared" ca="1" si="118"/>
        <v>1</v>
      </c>
      <c r="L1507" s="65">
        <v>1501</v>
      </c>
      <c r="M1507" s="71">
        <f t="shared" ca="1" si="119"/>
        <v>0</v>
      </c>
      <c r="N1507" s="65"/>
    </row>
    <row r="1508" spans="1:14" x14ac:dyDescent="0.25">
      <c r="A1508" s="2">
        <v>1502</v>
      </c>
      <c r="B1508" s="11">
        <f t="shared" ca="1" si="116"/>
        <v>0</v>
      </c>
      <c r="C1508" s="26">
        <f t="shared" ca="1" si="120"/>
        <v>0.63652861243205072</v>
      </c>
      <c r="J1508">
        <f t="shared" ca="1" si="117"/>
        <v>0</v>
      </c>
      <c r="K1508">
        <f t="shared" ca="1" si="118"/>
        <v>1</v>
      </c>
      <c r="L1508" s="65">
        <v>1502</v>
      </c>
      <c r="M1508" s="71">
        <f t="shared" ca="1" si="119"/>
        <v>0</v>
      </c>
      <c r="N1508" s="65"/>
    </row>
    <row r="1509" spans="1:14" x14ac:dyDescent="0.25">
      <c r="A1509" s="2">
        <v>1503</v>
      </c>
      <c r="B1509" s="11">
        <f t="shared" ca="1" si="116"/>
        <v>0</v>
      </c>
      <c r="C1509" s="26">
        <f t="shared" ca="1" si="120"/>
        <v>0.67161232466710363</v>
      </c>
      <c r="J1509">
        <f t="shared" ca="1" si="117"/>
        <v>0</v>
      </c>
      <c r="K1509">
        <f t="shared" ca="1" si="118"/>
        <v>1</v>
      </c>
      <c r="L1509" s="65">
        <v>1503</v>
      </c>
      <c r="M1509" s="71">
        <f t="shared" ca="1" si="119"/>
        <v>0</v>
      </c>
      <c r="N1509" s="65"/>
    </row>
    <row r="1510" spans="1:14" x14ac:dyDescent="0.25">
      <c r="A1510" s="2">
        <v>1504</v>
      </c>
      <c r="B1510" s="11">
        <f t="shared" ca="1" si="116"/>
        <v>0</v>
      </c>
      <c r="C1510" s="26">
        <f t="shared" ca="1" si="120"/>
        <v>0.87835385769409136</v>
      </c>
      <c r="J1510">
        <f t="shared" ca="1" si="117"/>
        <v>0</v>
      </c>
      <c r="K1510">
        <f t="shared" ca="1" si="118"/>
        <v>0</v>
      </c>
      <c r="L1510" s="65">
        <v>1504</v>
      </c>
      <c r="M1510" s="71">
        <f t="shared" ca="1" si="119"/>
        <v>0</v>
      </c>
      <c r="N1510" s="65"/>
    </row>
    <row r="1511" spans="1:14" x14ac:dyDescent="0.25">
      <c r="A1511" s="2">
        <v>1505</v>
      </c>
      <c r="B1511" s="11">
        <f t="shared" ca="1" si="116"/>
        <v>1</v>
      </c>
      <c r="C1511" s="26">
        <f t="shared" ca="1" si="120"/>
        <v>0.19940023319154276</v>
      </c>
      <c r="J1511">
        <f t="shared" ca="1" si="117"/>
        <v>0</v>
      </c>
      <c r="K1511">
        <f t="shared" ca="1" si="118"/>
        <v>0</v>
      </c>
      <c r="L1511" s="65">
        <v>1505</v>
      </c>
      <c r="M1511" s="71">
        <f t="shared" ca="1" si="119"/>
        <v>5.7058805271461939</v>
      </c>
      <c r="N1511" s="65"/>
    </row>
    <row r="1512" spans="1:14" x14ac:dyDescent="0.25">
      <c r="A1512" s="2">
        <v>1506</v>
      </c>
      <c r="B1512" s="11">
        <f t="shared" ca="1" si="116"/>
        <v>0</v>
      </c>
      <c r="C1512" s="26">
        <f t="shared" ca="1" si="120"/>
        <v>0.7809415576227785</v>
      </c>
      <c r="J1512">
        <f t="shared" ca="1" si="117"/>
        <v>0</v>
      </c>
      <c r="K1512">
        <f t="shared" ca="1" si="118"/>
        <v>0</v>
      </c>
      <c r="L1512" s="65">
        <v>1506</v>
      </c>
      <c r="M1512" s="71">
        <f t="shared" ca="1" si="119"/>
        <v>0</v>
      </c>
      <c r="N1512" s="65"/>
    </row>
    <row r="1513" spans="1:14" x14ac:dyDescent="0.25">
      <c r="A1513" s="2">
        <v>1507</v>
      </c>
      <c r="B1513" s="11">
        <f t="shared" ca="1" si="116"/>
        <v>1</v>
      </c>
      <c r="C1513" s="26">
        <f t="shared" ca="1" si="120"/>
        <v>4.2651467711863567E-2</v>
      </c>
      <c r="J1513">
        <f t="shared" ca="1" si="117"/>
        <v>0</v>
      </c>
      <c r="K1513">
        <f t="shared" ca="1" si="118"/>
        <v>0</v>
      </c>
      <c r="L1513" s="65">
        <v>1507</v>
      </c>
      <c r="M1513" s="71">
        <f t="shared" ca="1" si="119"/>
        <v>1.2498943887055112</v>
      </c>
      <c r="N1513" s="65"/>
    </row>
    <row r="1514" spans="1:14" x14ac:dyDescent="0.25">
      <c r="A1514" s="2">
        <v>1508</v>
      </c>
      <c r="B1514" s="11">
        <f t="shared" ca="1" si="116"/>
        <v>0</v>
      </c>
      <c r="C1514" s="26">
        <f t="shared" ca="1" si="120"/>
        <v>0.83074725134940108</v>
      </c>
      <c r="J1514">
        <f t="shared" ca="1" si="117"/>
        <v>0</v>
      </c>
      <c r="K1514">
        <f t="shared" ca="1" si="118"/>
        <v>0</v>
      </c>
      <c r="L1514" s="65">
        <v>1508</v>
      </c>
      <c r="M1514" s="71">
        <f t="shared" ca="1" si="119"/>
        <v>0</v>
      </c>
      <c r="N1514" s="65"/>
    </row>
    <row r="1515" spans="1:14" x14ac:dyDescent="0.25">
      <c r="A1515" s="2">
        <v>1509</v>
      </c>
      <c r="B1515" s="11">
        <f t="shared" ca="1" si="116"/>
        <v>1</v>
      </c>
      <c r="C1515" s="26">
        <f t="shared" ca="1" si="120"/>
        <v>0.20284493305097218</v>
      </c>
      <c r="J1515">
        <f t="shared" ca="1" si="117"/>
        <v>1</v>
      </c>
      <c r="K1515">
        <f t="shared" ca="1" si="118"/>
        <v>0</v>
      </c>
      <c r="L1515" s="65">
        <v>1509</v>
      </c>
      <c r="M1515" s="71">
        <f t="shared" ca="1" si="119"/>
        <v>1.7502513964285678</v>
      </c>
      <c r="N1515" s="65"/>
    </row>
    <row r="1516" spans="1:14" x14ac:dyDescent="0.25">
      <c r="A1516" s="2">
        <v>1510</v>
      </c>
      <c r="B1516" s="11">
        <f t="shared" ca="1" si="116"/>
        <v>1</v>
      </c>
      <c r="C1516" s="26">
        <f t="shared" ca="1" si="120"/>
        <v>0.16114556337991992</v>
      </c>
      <c r="J1516">
        <f t="shared" ca="1" si="117"/>
        <v>1</v>
      </c>
      <c r="K1516">
        <f t="shared" ca="1" si="118"/>
        <v>0</v>
      </c>
      <c r="L1516" s="65">
        <v>1510</v>
      </c>
      <c r="M1516" s="71">
        <f t="shared" ca="1" si="119"/>
        <v>0.23001978153873012</v>
      </c>
      <c r="N1516" s="65"/>
    </row>
    <row r="1517" spans="1:14" x14ac:dyDescent="0.25">
      <c r="A1517" s="2">
        <v>1511</v>
      </c>
      <c r="B1517" s="11">
        <f t="shared" ca="1" si="116"/>
        <v>1</v>
      </c>
      <c r="C1517" s="26">
        <f t="shared" ca="1" si="120"/>
        <v>0.55761614299130735</v>
      </c>
      <c r="J1517">
        <f t="shared" ca="1" si="117"/>
        <v>1</v>
      </c>
      <c r="K1517">
        <f t="shared" ca="1" si="118"/>
        <v>0</v>
      </c>
      <c r="L1517" s="65">
        <v>1511</v>
      </c>
      <c r="M1517" s="71">
        <f t="shared" ca="1" si="119"/>
        <v>1.3823125367234654</v>
      </c>
      <c r="N1517" s="65"/>
    </row>
    <row r="1518" spans="1:14" x14ac:dyDescent="0.25">
      <c r="A1518" s="2">
        <v>1512</v>
      </c>
      <c r="B1518" s="11">
        <f t="shared" ca="1" si="116"/>
        <v>1</v>
      </c>
      <c r="C1518" s="26">
        <f t="shared" ca="1" si="120"/>
        <v>0.42653942994031513</v>
      </c>
      <c r="J1518">
        <f t="shared" ca="1" si="117"/>
        <v>1</v>
      </c>
      <c r="K1518">
        <f t="shared" ca="1" si="118"/>
        <v>0</v>
      </c>
      <c r="L1518" s="65">
        <v>1512</v>
      </c>
      <c r="M1518" s="71">
        <f t="shared" ca="1" si="119"/>
        <v>0.42915350053148593</v>
      </c>
      <c r="N1518" s="65"/>
    </row>
    <row r="1519" spans="1:14" x14ac:dyDescent="0.25">
      <c r="A1519" s="2">
        <v>1513</v>
      </c>
      <c r="B1519" s="11">
        <f t="shared" ref="B1519:B1582" ca="1" si="121">IF(B1518&gt;0,IF(C1519&lt;pww,1,0),IF(C1519&lt;pdw,1,0))</f>
        <v>1</v>
      </c>
      <c r="C1519" s="26">
        <f t="shared" ca="1" si="120"/>
        <v>0.18103591062090951</v>
      </c>
      <c r="J1519">
        <f t="shared" ref="J1519:J1582" ca="1" si="122">IF(AND(B1519,B1520),1,0)</f>
        <v>1</v>
      </c>
      <c r="K1519">
        <f t="shared" ref="K1519:K1582" ca="1" si="123">IF(AND(NOT(B1519),NOT(B1520)),1,0)</f>
        <v>0</v>
      </c>
      <c r="L1519" s="65">
        <v>1513</v>
      </c>
      <c r="M1519" s="71">
        <f t="shared" ca="1" si="119"/>
        <v>0.32783716134604007</v>
      </c>
      <c r="N1519" s="65"/>
    </row>
    <row r="1520" spans="1:14" x14ac:dyDescent="0.25">
      <c r="A1520" s="2">
        <v>1514</v>
      </c>
      <c r="B1520" s="11">
        <f t="shared" ca="1" si="121"/>
        <v>1</v>
      </c>
      <c r="C1520" s="26">
        <f t="shared" ca="1" si="120"/>
        <v>0.7360185964239635</v>
      </c>
      <c r="J1520">
        <f t="shared" ca="1" si="122"/>
        <v>1</v>
      </c>
      <c r="K1520">
        <f t="shared" ca="1" si="123"/>
        <v>0</v>
      </c>
      <c r="L1520" s="65">
        <v>1514</v>
      </c>
      <c r="M1520" s="71">
        <f t="shared" ca="1" si="119"/>
        <v>0.10550566950080822</v>
      </c>
      <c r="N1520" s="65"/>
    </row>
    <row r="1521" spans="1:14" x14ac:dyDescent="0.25">
      <c r="A1521" s="2">
        <v>1515</v>
      </c>
      <c r="B1521" s="11">
        <f t="shared" ca="1" si="121"/>
        <v>1</v>
      </c>
      <c r="C1521" s="26">
        <f t="shared" ca="1" si="120"/>
        <v>0.26119420403122273</v>
      </c>
      <c r="J1521">
        <f t="shared" ca="1" si="122"/>
        <v>1</v>
      </c>
      <c r="K1521">
        <f t="shared" ca="1" si="123"/>
        <v>0</v>
      </c>
      <c r="L1521" s="65">
        <v>1515</v>
      </c>
      <c r="M1521" s="71">
        <f t="shared" ca="1" si="119"/>
        <v>8.5683540379265537</v>
      </c>
      <c r="N1521" s="65"/>
    </row>
    <row r="1522" spans="1:14" x14ac:dyDescent="0.25">
      <c r="A1522" s="2">
        <v>1516</v>
      </c>
      <c r="B1522" s="11">
        <f t="shared" ca="1" si="121"/>
        <v>1</v>
      </c>
      <c r="C1522" s="26">
        <f t="shared" ca="1" si="120"/>
        <v>0.509297881833772</v>
      </c>
      <c r="J1522">
        <f t="shared" ca="1" si="122"/>
        <v>0</v>
      </c>
      <c r="K1522">
        <f t="shared" ca="1" si="123"/>
        <v>0</v>
      </c>
      <c r="L1522" s="65">
        <v>1516</v>
      </c>
      <c r="M1522" s="71">
        <f t="shared" ca="1" si="119"/>
        <v>6.7406919556963943E-2</v>
      </c>
      <c r="N1522" s="65"/>
    </row>
    <row r="1523" spans="1:14" x14ac:dyDescent="0.25">
      <c r="A1523" s="2">
        <v>1517</v>
      </c>
      <c r="B1523" s="11">
        <f t="shared" ca="1" si="121"/>
        <v>0</v>
      </c>
      <c r="C1523" s="26">
        <f t="shared" ca="1" si="120"/>
        <v>0.99622661760348241</v>
      </c>
      <c r="J1523">
        <f t="shared" ca="1" si="122"/>
        <v>0</v>
      </c>
      <c r="K1523">
        <f t="shared" ca="1" si="123"/>
        <v>1</v>
      </c>
      <c r="L1523" s="65">
        <v>1517</v>
      </c>
      <c r="M1523" s="71">
        <f t="shared" ca="1" si="119"/>
        <v>0</v>
      </c>
      <c r="N1523" s="65"/>
    </row>
    <row r="1524" spans="1:14" x14ac:dyDescent="0.25">
      <c r="A1524" s="2">
        <v>1518</v>
      </c>
      <c r="B1524" s="11">
        <f t="shared" ca="1" si="121"/>
        <v>0</v>
      </c>
      <c r="C1524" s="26">
        <f t="shared" ca="1" si="120"/>
        <v>0.60541553699962525</v>
      </c>
      <c r="J1524">
        <f t="shared" ca="1" si="122"/>
        <v>0</v>
      </c>
      <c r="K1524">
        <f t="shared" ca="1" si="123"/>
        <v>1</v>
      </c>
      <c r="L1524" s="65">
        <v>1518</v>
      </c>
      <c r="M1524" s="71">
        <f t="shared" ca="1" si="119"/>
        <v>0</v>
      </c>
      <c r="N1524" s="65"/>
    </row>
    <row r="1525" spans="1:14" x14ac:dyDescent="0.25">
      <c r="A1525" s="2">
        <v>1519</v>
      </c>
      <c r="B1525" s="11">
        <f t="shared" ca="1" si="121"/>
        <v>0</v>
      </c>
      <c r="C1525" s="26">
        <f t="shared" ca="1" si="120"/>
        <v>0.663788106086451</v>
      </c>
      <c r="J1525">
        <f t="shared" ca="1" si="122"/>
        <v>0</v>
      </c>
      <c r="K1525">
        <f t="shared" ca="1" si="123"/>
        <v>0</v>
      </c>
      <c r="L1525" s="65">
        <v>1519</v>
      </c>
      <c r="M1525" s="71">
        <f t="shared" ca="1" si="119"/>
        <v>0</v>
      </c>
      <c r="N1525" s="65"/>
    </row>
    <row r="1526" spans="1:14" x14ac:dyDescent="0.25">
      <c r="A1526" s="2">
        <v>1520</v>
      </c>
      <c r="B1526" s="11">
        <f t="shared" ca="1" si="121"/>
        <v>1</v>
      </c>
      <c r="C1526" s="26">
        <f t="shared" ca="1" si="120"/>
        <v>0.35624472982079614</v>
      </c>
      <c r="J1526">
        <f t="shared" ca="1" si="122"/>
        <v>1</v>
      </c>
      <c r="K1526">
        <f t="shared" ca="1" si="123"/>
        <v>0</v>
      </c>
      <c r="L1526" s="65">
        <v>1520</v>
      </c>
      <c r="M1526" s="71">
        <f t="shared" ca="1" si="119"/>
        <v>1.9449556870112923</v>
      </c>
      <c r="N1526" s="65"/>
    </row>
    <row r="1527" spans="1:14" x14ac:dyDescent="0.25">
      <c r="A1527" s="2">
        <v>1521</v>
      </c>
      <c r="B1527" s="11">
        <f t="shared" ca="1" si="121"/>
        <v>1</v>
      </c>
      <c r="C1527" s="26">
        <f t="shared" ca="1" si="120"/>
        <v>0.58120111394354479</v>
      </c>
      <c r="J1527">
        <f t="shared" ca="1" si="122"/>
        <v>1</v>
      </c>
      <c r="K1527">
        <f t="shared" ca="1" si="123"/>
        <v>0</v>
      </c>
      <c r="L1527" s="65">
        <v>1521</v>
      </c>
      <c r="M1527" s="71">
        <f t="shared" ca="1" si="119"/>
        <v>8.2515925326165345</v>
      </c>
      <c r="N1527" s="65"/>
    </row>
    <row r="1528" spans="1:14" x14ac:dyDescent="0.25">
      <c r="A1528" s="2">
        <v>1522</v>
      </c>
      <c r="B1528" s="11">
        <f t="shared" ca="1" si="121"/>
        <v>1</v>
      </c>
      <c r="C1528" s="26">
        <f t="shared" ca="1" si="120"/>
        <v>3.4892199935569912E-2</v>
      </c>
      <c r="J1528">
        <f t="shared" ca="1" si="122"/>
        <v>0</v>
      </c>
      <c r="K1528">
        <f t="shared" ca="1" si="123"/>
        <v>0</v>
      </c>
      <c r="L1528" s="65">
        <v>1522</v>
      </c>
      <c r="M1528" s="71">
        <f t="shared" ca="1" si="119"/>
        <v>4.9216313259721094</v>
      </c>
      <c r="N1528" s="65"/>
    </row>
    <row r="1529" spans="1:14" x14ac:dyDescent="0.25">
      <c r="A1529" s="2">
        <v>1523</v>
      </c>
      <c r="B1529" s="11">
        <f t="shared" ca="1" si="121"/>
        <v>0</v>
      </c>
      <c r="C1529" s="26">
        <f t="shared" ca="1" si="120"/>
        <v>0.90572302699845786</v>
      </c>
      <c r="J1529">
        <f t="shared" ca="1" si="122"/>
        <v>0</v>
      </c>
      <c r="K1529">
        <f t="shared" ca="1" si="123"/>
        <v>1</v>
      </c>
      <c r="L1529" s="65">
        <v>1523</v>
      </c>
      <c r="M1529" s="71">
        <f t="shared" ca="1" si="119"/>
        <v>0</v>
      </c>
      <c r="N1529" s="65"/>
    </row>
    <row r="1530" spans="1:14" x14ac:dyDescent="0.25">
      <c r="A1530" s="2">
        <v>1524</v>
      </c>
      <c r="B1530" s="11">
        <f t="shared" ca="1" si="121"/>
        <v>0</v>
      </c>
      <c r="C1530" s="26">
        <f t="shared" ca="1" si="120"/>
        <v>0.48505360116656404</v>
      </c>
      <c r="J1530">
        <f t="shared" ca="1" si="122"/>
        <v>0</v>
      </c>
      <c r="K1530">
        <f t="shared" ca="1" si="123"/>
        <v>1</v>
      </c>
      <c r="L1530" s="65">
        <v>1524</v>
      </c>
      <c r="M1530" s="71">
        <f t="shared" ca="1" si="119"/>
        <v>0</v>
      </c>
      <c r="N1530" s="65"/>
    </row>
    <row r="1531" spans="1:14" x14ac:dyDescent="0.25">
      <c r="A1531" s="2">
        <v>1525</v>
      </c>
      <c r="B1531" s="11">
        <f t="shared" ca="1" si="121"/>
        <v>0</v>
      </c>
      <c r="C1531" s="26">
        <f t="shared" ca="1" si="120"/>
        <v>0.68005438415297359</v>
      </c>
      <c r="J1531">
        <f t="shared" ca="1" si="122"/>
        <v>0</v>
      </c>
      <c r="K1531">
        <f t="shared" ca="1" si="123"/>
        <v>1</v>
      </c>
      <c r="L1531" s="65">
        <v>1525</v>
      </c>
      <c r="M1531" s="71">
        <f t="shared" ca="1" si="119"/>
        <v>0</v>
      </c>
      <c r="N1531" s="65"/>
    </row>
    <row r="1532" spans="1:14" x14ac:dyDescent="0.25">
      <c r="A1532" s="2">
        <v>1526</v>
      </c>
      <c r="B1532" s="11">
        <f t="shared" ca="1" si="121"/>
        <v>0</v>
      </c>
      <c r="C1532" s="26">
        <f t="shared" ca="1" si="120"/>
        <v>0.83094345021059657</v>
      </c>
      <c r="J1532">
        <f t="shared" ca="1" si="122"/>
        <v>0</v>
      </c>
      <c r="K1532">
        <f t="shared" ca="1" si="123"/>
        <v>1</v>
      </c>
      <c r="L1532" s="65">
        <v>1526</v>
      </c>
      <c r="M1532" s="71">
        <f t="shared" ca="1" si="119"/>
        <v>0</v>
      </c>
      <c r="N1532" s="65"/>
    </row>
    <row r="1533" spans="1:14" x14ac:dyDescent="0.25">
      <c r="A1533" s="2">
        <v>1527</v>
      </c>
      <c r="B1533" s="11">
        <f t="shared" ca="1" si="121"/>
        <v>0</v>
      </c>
      <c r="C1533" s="26">
        <f t="shared" ca="1" si="120"/>
        <v>0.94065338519853126</v>
      </c>
      <c r="J1533">
        <f t="shared" ca="1" si="122"/>
        <v>0</v>
      </c>
      <c r="K1533">
        <f t="shared" ca="1" si="123"/>
        <v>0</v>
      </c>
      <c r="L1533" s="65">
        <v>1527</v>
      </c>
      <c r="M1533" s="71">
        <f t="shared" ca="1" si="119"/>
        <v>0</v>
      </c>
      <c r="N1533" s="65"/>
    </row>
    <row r="1534" spans="1:14" x14ac:dyDescent="0.25">
      <c r="A1534" s="2">
        <v>1528</v>
      </c>
      <c r="B1534" s="11">
        <f t="shared" ca="1" si="121"/>
        <v>1</v>
      </c>
      <c r="C1534" s="26">
        <f t="shared" ca="1" si="120"/>
        <v>5.7848553224271626E-2</v>
      </c>
      <c r="J1534">
        <f t="shared" ca="1" si="122"/>
        <v>1</v>
      </c>
      <c r="K1534">
        <f t="shared" ca="1" si="123"/>
        <v>0</v>
      </c>
      <c r="L1534" s="65">
        <v>1528</v>
      </c>
      <c r="M1534" s="71">
        <f t="shared" ca="1" si="119"/>
        <v>4.1194694795519879</v>
      </c>
      <c r="N1534" s="65"/>
    </row>
    <row r="1535" spans="1:14" x14ac:dyDescent="0.25">
      <c r="A1535" s="2">
        <v>1529</v>
      </c>
      <c r="B1535" s="11">
        <f t="shared" ca="1" si="121"/>
        <v>1</v>
      </c>
      <c r="C1535" s="26">
        <f t="shared" ca="1" si="120"/>
        <v>0.4226245651870989</v>
      </c>
      <c r="J1535">
        <f t="shared" ca="1" si="122"/>
        <v>0</v>
      </c>
      <c r="K1535">
        <f t="shared" ca="1" si="123"/>
        <v>0</v>
      </c>
      <c r="L1535" s="65">
        <v>1529</v>
      </c>
      <c r="M1535" s="71">
        <f t="shared" ca="1" si="119"/>
        <v>1.0357738727891748</v>
      </c>
      <c r="N1535" s="65"/>
    </row>
    <row r="1536" spans="1:14" x14ac:dyDescent="0.25">
      <c r="A1536" s="2">
        <v>1530</v>
      </c>
      <c r="B1536" s="11">
        <f t="shared" ca="1" si="121"/>
        <v>0</v>
      </c>
      <c r="C1536" s="26">
        <f t="shared" ca="1" si="120"/>
        <v>0.75744637390353731</v>
      </c>
      <c r="J1536">
        <f t="shared" ca="1" si="122"/>
        <v>0</v>
      </c>
      <c r="K1536">
        <f t="shared" ca="1" si="123"/>
        <v>1</v>
      </c>
      <c r="L1536" s="65">
        <v>1530</v>
      </c>
      <c r="M1536" s="71">
        <f t="shared" ca="1" si="119"/>
        <v>0</v>
      </c>
      <c r="N1536" s="65"/>
    </row>
    <row r="1537" spans="1:14" x14ac:dyDescent="0.25">
      <c r="A1537" s="2">
        <v>1531</v>
      </c>
      <c r="B1537" s="11">
        <f t="shared" ca="1" si="121"/>
        <v>0</v>
      </c>
      <c r="C1537" s="26">
        <f t="shared" ca="1" si="120"/>
        <v>0.89574540107460598</v>
      </c>
      <c r="J1537">
        <f t="shared" ca="1" si="122"/>
        <v>0</v>
      </c>
      <c r="K1537">
        <f t="shared" ca="1" si="123"/>
        <v>0</v>
      </c>
      <c r="L1537" s="65">
        <v>1531</v>
      </c>
      <c r="M1537" s="71">
        <f t="shared" ca="1" si="119"/>
        <v>0</v>
      </c>
      <c r="N1537" s="65"/>
    </row>
    <row r="1538" spans="1:14" x14ac:dyDescent="0.25">
      <c r="A1538" s="2">
        <v>1532</v>
      </c>
      <c r="B1538" s="11">
        <f t="shared" ca="1" si="121"/>
        <v>1</v>
      </c>
      <c r="C1538" s="26">
        <f t="shared" ca="1" si="120"/>
        <v>0.3662726310560096</v>
      </c>
      <c r="J1538">
        <f t="shared" ca="1" si="122"/>
        <v>0</v>
      </c>
      <c r="K1538">
        <f t="shared" ca="1" si="123"/>
        <v>0</v>
      </c>
      <c r="L1538" s="65">
        <v>1532</v>
      </c>
      <c r="M1538" s="71">
        <f t="shared" ca="1" si="119"/>
        <v>1.8580768886417129</v>
      </c>
      <c r="N1538" s="65"/>
    </row>
    <row r="1539" spans="1:14" x14ac:dyDescent="0.25">
      <c r="A1539" s="2">
        <v>1533</v>
      </c>
      <c r="B1539" s="11">
        <f t="shared" ca="1" si="121"/>
        <v>0</v>
      </c>
      <c r="C1539" s="26">
        <f t="shared" ca="1" si="120"/>
        <v>0.75114109166891996</v>
      </c>
      <c r="J1539">
        <f t="shared" ca="1" si="122"/>
        <v>0</v>
      </c>
      <c r="K1539">
        <f t="shared" ca="1" si="123"/>
        <v>0</v>
      </c>
      <c r="L1539" s="65">
        <v>1533</v>
      </c>
      <c r="M1539" s="71">
        <f t="shared" ca="1" si="119"/>
        <v>0</v>
      </c>
      <c r="N1539" s="65"/>
    </row>
    <row r="1540" spans="1:14" x14ac:dyDescent="0.25">
      <c r="A1540" s="2">
        <v>1534</v>
      </c>
      <c r="B1540" s="11">
        <f t="shared" ca="1" si="121"/>
        <v>1</v>
      </c>
      <c r="C1540" s="26">
        <f t="shared" ca="1" si="120"/>
        <v>0.37338548011654638</v>
      </c>
      <c r="J1540">
        <f t="shared" ca="1" si="122"/>
        <v>0</v>
      </c>
      <c r="K1540">
        <f t="shared" ca="1" si="123"/>
        <v>0</v>
      </c>
      <c r="L1540" s="65">
        <v>1534</v>
      </c>
      <c r="M1540" s="71">
        <f t="shared" ca="1" si="119"/>
        <v>1.6078274345295376</v>
      </c>
      <c r="N1540" s="65"/>
    </row>
    <row r="1541" spans="1:14" x14ac:dyDescent="0.25">
      <c r="A1541" s="2">
        <v>1535</v>
      </c>
      <c r="B1541" s="11">
        <f t="shared" ca="1" si="121"/>
        <v>0</v>
      </c>
      <c r="C1541" s="26">
        <f t="shared" ca="1" si="120"/>
        <v>0.96475626897475719</v>
      </c>
      <c r="J1541">
        <f t="shared" ca="1" si="122"/>
        <v>0</v>
      </c>
      <c r="K1541">
        <f t="shared" ca="1" si="123"/>
        <v>1</v>
      </c>
      <c r="L1541" s="65">
        <v>1535</v>
      </c>
      <c r="M1541" s="71">
        <f t="shared" ca="1" si="119"/>
        <v>0</v>
      </c>
      <c r="N1541" s="65"/>
    </row>
    <row r="1542" spans="1:14" x14ac:dyDescent="0.25">
      <c r="A1542" s="2">
        <v>1536</v>
      </c>
      <c r="B1542" s="11">
        <f t="shared" ca="1" si="121"/>
        <v>0</v>
      </c>
      <c r="C1542" s="26">
        <f t="shared" ca="1" si="120"/>
        <v>0.94691845373127959</v>
      </c>
      <c r="J1542">
        <f t="shared" ca="1" si="122"/>
        <v>0</v>
      </c>
      <c r="K1542">
        <f t="shared" ca="1" si="123"/>
        <v>0</v>
      </c>
      <c r="L1542" s="65">
        <v>1536</v>
      </c>
      <c r="M1542" s="71">
        <f t="shared" ca="1" si="119"/>
        <v>0</v>
      </c>
      <c r="N1542" s="65"/>
    </row>
    <row r="1543" spans="1:14" x14ac:dyDescent="0.25">
      <c r="A1543" s="2">
        <v>1537</v>
      </c>
      <c r="B1543" s="11">
        <f t="shared" ca="1" si="121"/>
        <v>1</v>
      </c>
      <c r="C1543" s="26">
        <f t="shared" ca="1" si="120"/>
        <v>0.14178876165925214</v>
      </c>
      <c r="J1543">
        <f t="shared" ca="1" si="122"/>
        <v>1</v>
      </c>
      <c r="K1543">
        <f t="shared" ca="1" si="123"/>
        <v>0</v>
      </c>
      <c r="L1543" s="65">
        <v>1537</v>
      </c>
      <c r="M1543" s="71">
        <f t="shared" ref="M1543:M1606" ca="1" si="124">IF(B1543&gt;0,-LN(1-(RAND()))/lambda,0)</f>
        <v>3.5892778119365212</v>
      </c>
      <c r="N1543" s="65"/>
    </row>
    <row r="1544" spans="1:14" x14ac:dyDescent="0.25">
      <c r="A1544" s="2">
        <v>1538</v>
      </c>
      <c r="B1544" s="11">
        <f t="shared" ca="1" si="121"/>
        <v>1</v>
      </c>
      <c r="C1544" s="26">
        <f t="shared" ref="C1544:C1607" ca="1" si="125">RAND()</f>
        <v>0.10907017991688905</v>
      </c>
      <c r="J1544">
        <f t="shared" ca="1" si="122"/>
        <v>0</v>
      </c>
      <c r="K1544">
        <f t="shared" ca="1" si="123"/>
        <v>0</v>
      </c>
      <c r="L1544" s="65">
        <v>1538</v>
      </c>
      <c r="M1544" s="71">
        <f t="shared" ca="1" si="124"/>
        <v>1.4311873634247718</v>
      </c>
      <c r="N1544" s="65"/>
    </row>
    <row r="1545" spans="1:14" x14ac:dyDescent="0.25">
      <c r="A1545" s="2">
        <v>1539</v>
      </c>
      <c r="B1545" s="11">
        <f t="shared" ca="1" si="121"/>
        <v>0</v>
      </c>
      <c r="C1545" s="26">
        <f t="shared" ca="1" si="125"/>
        <v>0.83123778088485556</v>
      </c>
      <c r="J1545">
        <f t="shared" ca="1" si="122"/>
        <v>0</v>
      </c>
      <c r="K1545">
        <f t="shared" ca="1" si="123"/>
        <v>0</v>
      </c>
      <c r="L1545" s="65">
        <v>1539</v>
      </c>
      <c r="M1545" s="71">
        <f t="shared" ca="1" si="124"/>
        <v>0</v>
      </c>
      <c r="N1545" s="65"/>
    </row>
    <row r="1546" spans="1:14" x14ac:dyDescent="0.25">
      <c r="A1546" s="2">
        <v>1540</v>
      </c>
      <c r="B1546" s="11">
        <f t="shared" ca="1" si="121"/>
        <v>1</v>
      </c>
      <c r="C1546" s="26">
        <f t="shared" ca="1" si="125"/>
        <v>0.15103565518460182</v>
      </c>
      <c r="J1546">
        <f t="shared" ca="1" si="122"/>
        <v>1</v>
      </c>
      <c r="K1546">
        <f t="shared" ca="1" si="123"/>
        <v>0</v>
      </c>
      <c r="L1546" s="65">
        <v>1540</v>
      </c>
      <c r="M1546" s="71">
        <f t="shared" ca="1" si="124"/>
        <v>3.6892227307744454</v>
      </c>
      <c r="N1546" s="65"/>
    </row>
    <row r="1547" spans="1:14" x14ac:dyDescent="0.25">
      <c r="A1547" s="2">
        <v>1541</v>
      </c>
      <c r="B1547" s="11">
        <f t="shared" ca="1" si="121"/>
        <v>1</v>
      </c>
      <c r="C1547" s="26">
        <f t="shared" ca="1" si="125"/>
        <v>0.28627799216967453</v>
      </c>
      <c r="J1547">
        <f t="shared" ca="1" si="122"/>
        <v>1</v>
      </c>
      <c r="K1547">
        <f t="shared" ca="1" si="123"/>
        <v>0</v>
      </c>
      <c r="L1547" s="65">
        <v>1541</v>
      </c>
      <c r="M1547" s="71">
        <f t="shared" ca="1" si="124"/>
        <v>1.0278123000297099</v>
      </c>
      <c r="N1547" s="65"/>
    </row>
    <row r="1548" spans="1:14" x14ac:dyDescent="0.25">
      <c r="A1548" s="2">
        <v>1542</v>
      </c>
      <c r="B1548" s="11">
        <f t="shared" ca="1" si="121"/>
        <v>1</v>
      </c>
      <c r="C1548" s="26">
        <f t="shared" ca="1" si="125"/>
        <v>0.23572235455819579</v>
      </c>
      <c r="J1548">
        <f t="shared" ca="1" si="122"/>
        <v>1</v>
      </c>
      <c r="K1548">
        <f t="shared" ca="1" si="123"/>
        <v>0</v>
      </c>
      <c r="L1548" s="65">
        <v>1542</v>
      </c>
      <c r="M1548" s="71">
        <f t="shared" ca="1" si="124"/>
        <v>2.5002029253318967</v>
      </c>
      <c r="N1548" s="65"/>
    </row>
    <row r="1549" spans="1:14" x14ac:dyDescent="0.25">
      <c r="A1549" s="2">
        <v>1543</v>
      </c>
      <c r="B1549" s="11">
        <f t="shared" ca="1" si="121"/>
        <v>1</v>
      </c>
      <c r="C1549" s="26">
        <f t="shared" ca="1" si="125"/>
        <v>0.66144216520538368</v>
      </c>
      <c r="J1549">
        <f t="shared" ca="1" si="122"/>
        <v>0</v>
      </c>
      <c r="K1549">
        <f t="shared" ca="1" si="123"/>
        <v>0</v>
      </c>
      <c r="L1549" s="65">
        <v>1543</v>
      </c>
      <c r="M1549" s="71">
        <f t="shared" ca="1" si="124"/>
        <v>2.9340919745120719</v>
      </c>
      <c r="N1549" s="65"/>
    </row>
    <row r="1550" spans="1:14" x14ac:dyDescent="0.25">
      <c r="A1550" s="2">
        <v>1544</v>
      </c>
      <c r="B1550" s="11">
        <f t="shared" ca="1" si="121"/>
        <v>0</v>
      </c>
      <c r="C1550" s="26">
        <f t="shared" ca="1" si="125"/>
        <v>0.93291188451271367</v>
      </c>
      <c r="J1550">
        <f t="shared" ca="1" si="122"/>
        <v>0</v>
      </c>
      <c r="K1550">
        <f t="shared" ca="1" si="123"/>
        <v>1</v>
      </c>
      <c r="L1550" s="65">
        <v>1544</v>
      </c>
      <c r="M1550" s="71">
        <f t="shared" ca="1" si="124"/>
        <v>0</v>
      </c>
      <c r="N1550" s="65"/>
    </row>
    <row r="1551" spans="1:14" x14ac:dyDescent="0.25">
      <c r="A1551" s="2">
        <v>1545</v>
      </c>
      <c r="B1551" s="11">
        <f t="shared" ca="1" si="121"/>
        <v>0</v>
      </c>
      <c r="C1551" s="26">
        <f t="shared" ca="1" si="125"/>
        <v>0.99102338755208896</v>
      </c>
      <c r="J1551">
        <f t="shared" ca="1" si="122"/>
        <v>0</v>
      </c>
      <c r="K1551">
        <f t="shared" ca="1" si="123"/>
        <v>0</v>
      </c>
      <c r="L1551" s="65">
        <v>1545</v>
      </c>
      <c r="M1551" s="71">
        <f t="shared" ca="1" si="124"/>
        <v>0</v>
      </c>
      <c r="N1551" s="65"/>
    </row>
    <row r="1552" spans="1:14" x14ac:dyDescent="0.25">
      <c r="A1552" s="2">
        <v>1546</v>
      </c>
      <c r="B1552" s="11">
        <f t="shared" ca="1" si="121"/>
        <v>1</v>
      </c>
      <c r="C1552" s="26">
        <f t="shared" ca="1" si="125"/>
        <v>0.22142477897100654</v>
      </c>
      <c r="J1552">
        <f t="shared" ca="1" si="122"/>
        <v>1</v>
      </c>
      <c r="K1552">
        <f t="shared" ca="1" si="123"/>
        <v>0</v>
      </c>
      <c r="L1552" s="65">
        <v>1546</v>
      </c>
      <c r="M1552" s="71">
        <f t="shared" ca="1" si="124"/>
        <v>1.7904076724654685</v>
      </c>
      <c r="N1552" s="65"/>
    </row>
    <row r="1553" spans="1:14" x14ac:dyDescent="0.25">
      <c r="A1553" s="2">
        <v>1547</v>
      </c>
      <c r="B1553" s="11">
        <f t="shared" ca="1" si="121"/>
        <v>1</v>
      </c>
      <c r="C1553" s="26">
        <f t="shared" ca="1" si="125"/>
        <v>0.39220188991392935</v>
      </c>
      <c r="J1553">
        <f t="shared" ca="1" si="122"/>
        <v>1</v>
      </c>
      <c r="K1553">
        <f t="shared" ca="1" si="123"/>
        <v>0</v>
      </c>
      <c r="L1553" s="65">
        <v>1547</v>
      </c>
      <c r="M1553" s="71">
        <f t="shared" ca="1" si="124"/>
        <v>4.0908285963499145</v>
      </c>
      <c r="N1553" s="65"/>
    </row>
    <row r="1554" spans="1:14" x14ac:dyDescent="0.25">
      <c r="A1554" s="2">
        <v>1548</v>
      </c>
      <c r="B1554" s="11">
        <f t="shared" ca="1" si="121"/>
        <v>1</v>
      </c>
      <c r="C1554" s="26">
        <f t="shared" ca="1" si="125"/>
        <v>0.45241318922824592</v>
      </c>
      <c r="J1554">
        <f t="shared" ca="1" si="122"/>
        <v>1</v>
      </c>
      <c r="K1554">
        <f t="shared" ca="1" si="123"/>
        <v>0</v>
      </c>
      <c r="L1554" s="65">
        <v>1548</v>
      </c>
      <c r="M1554" s="71">
        <f t="shared" ca="1" si="124"/>
        <v>0.6438419807100334</v>
      </c>
      <c r="N1554" s="65"/>
    </row>
    <row r="1555" spans="1:14" x14ac:dyDescent="0.25">
      <c r="A1555" s="2">
        <v>1549</v>
      </c>
      <c r="B1555" s="11">
        <f t="shared" ca="1" si="121"/>
        <v>1</v>
      </c>
      <c r="C1555" s="26">
        <f t="shared" ca="1" si="125"/>
        <v>0.27916005515574127</v>
      </c>
      <c r="J1555">
        <f t="shared" ca="1" si="122"/>
        <v>1</v>
      </c>
      <c r="K1555">
        <f t="shared" ca="1" si="123"/>
        <v>0</v>
      </c>
      <c r="L1555" s="65">
        <v>1549</v>
      </c>
      <c r="M1555" s="71">
        <f t="shared" ca="1" si="124"/>
        <v>3.3065225350795147</v>
      </c>
      <c r="N1555" s="65"/>
    </row>
    <row r="1556" spans="1:14" x14ac:dyDescent="0.25">
      <c r="A1556" s="2">
        <v>1550</v>
      </c>
      <c r="B1556" s="11">
        <f t="shared" ca="1" si="121"/>
        <v>1</v>
      </c>
      <c r="C1556" s="26">
        <f t="shared" ca="1" si="125"/>
        <v>0.74865047810640473</v>
      </c>
      <c r="J1556">
        <f t="shared" ca="1" si="122"/>
        <v>1</v>
      </c>
      <c r="K1556">
        <f t="shared" ca="1" si="123"/>
        <v>0</v>
      </c>
      <c r="L1556" s="65">
        <v>1550</v>
      </c>
      <c r="M1556" s="71">
        <f t="shared" ca="1" si="124"/>
        <v>1.8742085077727102</v>
      </c>
      <c r="N1556" s="65"/>
    </row>
    <row r="1557" spans="1:14" x14ac:dyDescent="0.25">
      <c r="A1557" s="2">
        <v>1551</v>
      </c>
      <c r="B1557" s="11">
        <f t="shared" ca="1" si="121"/>
        <v>1</v>
      </c>
      <c r="C1557" s="26">
        <f t="shared" ca="1" si="125"/>
        <v>0.20963138264198267</v>
      </c>
      <c r="J1557">
        <f t="shared" ca="1" si="122"/>
        <v>1</v>
      </c>
      <c r="K1557">
        <f t="shared" ca="1" si="123"/>
        <v>0</v>
      </c>
      <c r="L1557" s="65">
        <v>1551</v>
      </c>
      <c r="M1557" s="71">
        <f t="shared" ca="1" si="124"/>
        <v>3.7217528431590328</v>
      </c>
      <c r="N1557" s="65"/>
    </row>
    <row r="1558" spans="1:14" x14ac:dyDescent="0.25">
      <c r="A1558" s="2">
        <v>1552</v>
      </c>
      <c r="B1558" s="11">
        <f t="shared" ca="1" si="121"/>
        <v>1</v>
      </c>
      <c r="C1558" s="26">
        <f t="shared" ca="1" si="125"/>
        <v>0.50380297692045128</v>
      </c>
      <c r="J1558">
        <f t="shared" ca="1" si="122"/>
        <v>1</v>
      </c>
      <c r="K1558">
        <f t="shared" ca="1" si="123"/>
        <v>0</v>
      </c>
      <c r="L1558" s="65">
        <v>1552</v>
      </c>
      <c r="M1558" s="71">
        <f t="shared" ca="1" si="124"/>
        <v>2.1693605967554506</v>
      </c>
      <c r="N1558" s="65"/>
    </row>
    <row r="1559" spans="1:14" x14ac:dyDescent="0.25">
      <c r="A1559" s="2">
        <v>1553</v>
      </c>
      <c r="B1559" s="11">
        <f t="shared" ca="1" si="121"/>
        <v>1</v>
      </c>
      <c r="C1559" s="26">
        <f t="shared" ca="1" si="125"/>
        <v>0.17113193451944675</v>
      </c>
      <c r="J1559">
        <f t="shared" ca="1" si="122"/>
        <v>1</v>
      </c>
      <c r="K1559">
        <f t="shared" ca="1" si="123"/>
        <v>0</v>
      </c>
      <c r="L1559" s="65">
        <v>1553</v>
      </c>
      <c r="M1559" s="71">
        <f t="shared" ca="1" si="124"/>
        <v>1.336313693885149</v>
      </c>
      <c r="N1559" s="65"/>
    </row>
    <row r="1560" spans="1:14" x14ac:dyDescent="0.25">
      <c r="A1560" s="2">
        <v>1554</v>
      </c>
      <c r="B1560" s="11">
        <f t="shared" ca="1" si="121"/>
        <v>1</v>
      </c>
      <c r="C1560" s="26">
        <f t="shared" ca="1" si="125"/>
        <v>0.54578292478159518</v>
      </c>
      <c r="J1560">
        <f t="shared" ca="1" si="122"/>
        <v>1</v>
      </c>
      <c r="K1560">
        <f t="shared" ca="1" si="123"/>
        <v>0</v>
      </c>
      <c r="L1560" s="65">
        <v>1554</v>
      </c>
      <c r="M1560" s="71">
        <f t="shared" ca="1" si="124"/>
        <v>1.989753872073653</v>
      </c>
      <c r="N1560" s="65"/>
    </row>
    <row r="1561" spans="1:14" x14ac:dyDescent="0.25">
      <c r="A1561" s="2">
        <v>1555</v>
      </c>
      <c r="B1561" s="11">
        <f t="shared" ca="1" si="121"/>
        <v>1</v>
      </c>
      <c r="C1561" s="26">
        <f t="shared" ca="1" si="125"/>
        <v>0.54297041092913012</v>
      </c>
      <c r="J1561">
        <f t="shared" ca="1" si="122"/>
        <v>0</v>
      </c>
      <c r="K1561">
        <f t="shared" ca="1" si="123"/>
        <v>0</v>
      </c>
      <c r="L1561" s="65">
        <v>1555</v>
      </c>
      <c r="M1561" s="71">
        <f t="shared" ca="1" si="124"/>
        <v>2.871768070602875</v>
      </c>
      <c r="N1561" s="65"/>
    </row>
    <row r="1562" spans="1:14" x14ac:dyDescent="0.25">
      <c r="A1562" s="2">
        <v>1556</v>
      </c>
      <c r="B1562" s="11">
        <f t="shared" ca="1" si="121"/>
        <v>0</v>
      </c>
      <c r="C1562" s="26">
        <f t="shared" ca="1" si="125"/>
        <v>0.83292448871105718</v>
      </c>
      <c r="J1562">
        <f t="shared" ca="1" si="122"/>
        <v>0</v>
      </c>
      <c r="K1562">
        <f t="shared" ca="1" si="123"/>
        <v>1</v>
      </c>
      <c r="L1562" s="65">
        <v>1556</v>
      </c>
      <c r="M1562" s="71">
        <f t="shared" ca="1" si="124"/>
        <v>0</v>
      </c>
      <c r="N1562" s="65"/>
    </row>
    <row r="1563" spans="1:14" x14ac:dyDescent="0.25">
      <c r="A1563" s="2">
        <v>1557</v>
      </c>
      <c r="B1563" s="11">
        <f t="shared" ca="1" si="121"/>
        <v>0</v>
      </c>
      <c r="C1563" s="26">
        <f t="shared" ca="1" si="125"/>
        <v>0.84492482774401523</v>
      </c>
      <c r="J1563">
        <f t="shared" ca="1" si="122"/>
        <v>0</v>
      </c>
      <c r="K1563">
        <f t="shared" ca="1" si="123"/>
        <v>1</v>
      </c>
      <c r="L1563" s="65">
        <v>1557</v>
      </c>
      <c r="M1563" s="71">
        <f t="shared" ca="1" si="124"/>
        <v>0</v>
      </c>
      <c r="N1563" s="65"/>
    </row>
    <row r="1564" spans="1:14" x14ac:dyDescent="0.25">
      <c r="A1564" s="2">
        <v>1558</v>
      </c>
      <c r="B1564" s="11">
        <f t="shared" ca="1" si="121"/>
        <v>0</v>
      </c>
      <c r="C1564" s="26">
        <f t="shared" ca="1" si="125"/>
        <v>0.63512285185583639</v>
      </c>
      <c r="J1564">
        <f t="shared" ca="1" si="122"/>
        <v>0</v>
      </c>
      <c r="K1564">
        <f t="shared" ca="1" si="123"/>
        <v>1</v>
      </c>
      <c r="L1564" s="65">
        <v>1558</v>
      </c>
      <c r="M1564" s="71">
        <f t="shared" ca="1" si="124"/>
        <v>0</v>
      </c>
      <c r="N1564" s="65"/>
    </row>
    <row r="1565" spans="1:14" x14ac:dyDescent="0.25">
      <c r="A1565" s="2">
        <v>1559</v>
      </c>
      <c r="B1565" s="11">
        <f t="shared" ca="1" si="121"/>
        <v>0</v>
      </c>
      <c r="C1565" s="26">
        <f t="shared" ca="1" si="125"/>
        <v>0.85784166807203766</v>
      </c>
      <c r="J1565">
        <f t="shared" ca="1" si="122"/>
        <v>0</v>
      </c>
      <c r="K1565">
        <f t="shared" ca="1" si="123"/>
        <v>1</v>
      </c>
      <c r="L1565" s="65">
        <v>1559</v>
      </c>
      <c r="M1565" s="71">
        <f t="shared" ca="1" si="124"/>
        <v>0</v>
      </c>
      <c r="N1565" s="65"/>
    </row>
    <row r="1566" spans="1:14" x14ac:dyDescent="0.25">
      <c r="A1566" s="2">
        <v>1560</v>
      </c>
      <c r="B1566" s="11">
        <f t="shared" ca="1" si="121"/>
        <v>0</v>
      </c>
      <c r="C1566" s="26">
        <f t="shared" ca="1" si="125"/>
        <v>0.86152979605065327</v>
      </c>
      <c r="J1566">
        <f t="shared" ca="1" si="122"/>
        <v>0</v>
      </c>
      <c r="K1566">
        <f t="shared" ca="1" si="123"/>
        <v>1</v>
      </c>
      <c r="L1566" s="65">
        <v>1560</v>
      </c>
      <c r="M1566" s="71">
        <f t="shared" ca="1" si="124"/>
        <v>0</v>
      </c>
      <c r="N1566" s="65"/>
    </row>
    <row r="1567" spans="1:14" x14ac:dyDescent="0.25">
      <c r="A1567" s="2">
        <v>1561</v>
      </c>
      <c r="B1567" s="11">
        <f t="shared" ca="1" si="121"/>
        <v>0</v>
      </c>
      <c r="C1567" s="26">
        <f t="shared" ca="1" si="125"/>
        <v>0.44779329371308785</v>
      </c>
      <c r="J1567">
        <f t="shared" ca="1" si="122"/>
        <v>0</v>
      </c>
      <c r="K1567">
        <f t="shared" ca="1" si="123"/>
        <v>1</v>
      </c>
      <c r="L1567" s="65">
        <v>1561</v>
      </c>
      <c r="M1567" s="71">
        <f t="shared" ca="1" si="124"/>
        <v>0</v>
      </c>
      <c r="N1567" s="65"/>
    </row>
    <row r="1568" spans="1:14" x14ac:dyDescent="0.25">
      <c r="A1568" s="2">
        <v>1562</v>
      </c>
      <c r="B1568" s="11">
        <f t="shared" ca="1" si="121"/>
        <v>0</v>
      </c>
      <c r="C1568" s="26">
        <f t="shared" ca="1" si="125"/>
        <v>0.75646097073552387</v>
      </c>
      <c r="J1568">
        <f t="shared" ca="1" si="122"/>
        <v>0</v>
      </c>
      <c r="K1568">
        <f t="shared" ca="1" si="123"/>
        <v>1</v>
      </c>
      <c r="L1568" s="65">
        <v>1562</v>
      </c>
      <c r="M1568" s="71">
        <f t="shared" ca="1" si="124"/>
        <v>0</v>
      </c>
      <c r="N1568" s="65"/>
    </row>
    <row r="1569" spans="1:14" x14ac:dyDescent="0.25">
      <c r="A1569" s="2">
        <v>1563</v>
      </c>
      <c r="B1569" s="11">
        <f t="shared" ca="1" si="121"/>
        <v>0</v>
      </c>
      <c r="C1569" s="26">
        <f t="shared" ca="1" si="125"/>
        <v>0.8601506386537211</v>
      </c>
      <c r="J1569">
        <f t="shared" ca="1" si="122"/>
        <v>0</v>
      </c>
      <c r="K1569">
        <f t="shared" ca="1" si="123"/>
        <v>0</v>
      </c>
      <c r="L1569" s="65">
        <v>1563</v>
      </c>
      <c r="M1569" s="71">
        <f t="shared" ca="1" si="124"/>
        <v>0</v>
      </c>
      <c r="N1569" s="65"/>
    </row>
    <row r="1570" spans="1:14" x14ac:dyDescent="0.25">
      <c r="A1570" s="2">
        <v>1564</v>
      </c>
      <c r="B1570" s="11">
        <f t="shared" ca="1" si="121"/>
        <v>1</v>
      </c>
      <c r="C1570" s="26">
        <f t="shared" ca="1" si="125"/>
        <v>0.27952322499206672</v>
      </c>
      <c r="J1570">
        <f t="shared" ca="1" si="122"/>
        <v>1</v>
      </c>
      <c r="K1570">
        <f t="shared" ca="1" si="123"/>
        <v>0</v>
      </c>
      <c r="L1570" s="65">
        <v>1564</v>
      </c>
      <c r="M1570" s="71">
        <f t="shared" ca="1" si="124"/>
        <v>3.229108430859748</v>
      </c>
      <c r="N1570" s="65"/>
    </row>
    <row r="1571" spans="1:14" x14ac:dyDescent="0.25">
      <c r="A1571" s="2">
        <v>1565</v>
      </c>
      <c r="B1571" s="11">
        <f t="shared" ca="1" si="121"/>
        <v>1</v>
      </c>
      <c r="C1571" s="26">
        <f t="shared" ca="1" si="125"/>
        <v>0.33582090252864105</v>
      </c>
      <c r="J1571">
        <f t="shared" ca="1" si="122"/>
        <v>0</v>
      </c>
      <c r="K1571">
        <f t="shared" ca="1" si="123"/>
        <v>0</v>
      </c>
      <c r="L1571" s="65">
        <v>1565</v>
      </c>
      <c r="M1571" s="71">
        <f t="shared" ca="1" si="124"/>
        <v>2.4043668999263357</v>
      </c>
      <c r="N1571" s="65"/>
    </row>
    <row r="1572" spans="1:14" x14ac:dyDescent="0.25">
      <c r="A1572" s="2">
        <v>1566</v>
      </c>
      <c r="B1572" s="11">
        <f t="shared" ca="1" si="121"/>
        <v>0</v>
      </c>
      <c r="C1572" s="26">
        <f t="shared" ca="1" si="125"/>
        <v>0.88511359977748583</v>
      </c>
      <c r="J1572">
        <f t="shared" ca="1" si="122"/>
        <v>0</v>
      </c>
      <c r="K1572">
        <f t="shared" ca="1" si="123"/>
        <v>0</v>
      </c>
      <c r="L1572" s="65">
        <v>1566</v>
      </c>
      <c r="M1572" s="71">
        <f t="shared" ca="1" si="124"/>
        <v>0</v>
      </c>
      <c r="N1572" s="65"/>
    </row>
    <row r="1573" spans="1:14" x14ac:dyDescent="0.25">
      <c r="A1573" s="2">
        <v>1567</v>
      </c>
      <c r="B1573" s="11">
        <f t="shared" ca="1" si="121"/>
        <v>1</v>
      </c>
      <c r="C1573" s="26">
        <f t="shared" ca="1" si="125"/>
        <v>0.10519668865149456</v>
      </c>
      <c r="J1573">
        <f t="shared" ca="1" si="122"/>
        <v>1</v>
      </c>
      <c r="K1573">
        <f t="shared" ca="1" si="123"/>
        <v>0</v>
      </c>
      <c r="L1573" s="65">
        <v>1567</v>
      </c>
      <c r="M1573" s="71">
        <f t="shared" ca="1" si="124"/>
        <v>0.78292779408379642</v>
      </c>
      <c r="N1573" s="65"/>
    </row>
    <row r="1574" spans="1:14" x14ac:dyDescent="0.25">
      <c r="A1574" s="2">
        <v>1568</v>
      </c>
      <c r="B1574" s="11">
        <f t="shared" ca="1" si="121"/>
        <v>1</v>
      </c>
      <c r="C1574" s="26">
        <f t="shared" ca="1" si="125"/>
        <v>0.60415682966558393</v>
      </c>
      <c r="J1574">
        <f t="shared" ca="1" si="122"/>
        <v>1</v>
      </c>
      <c r="K1574">
        <f t="shared" ca="1" si="123"/>
        <v>0</v>
      </c>
      <c r="L1574" s="65">
        <v>1568</v>
      </c>
      <c r="M1574" s="71">
        <f t="shared" ca="1" si="124"/>
        <v>0.51468390165074851</v>
      </c>
      <c r="N1574" s="65"/>
    </row>
    <row r="1575" spans="1:14" x14ac:dyDescent="0.25">
      <c r="A1575" s="2">
        <v>1569</v>
      </c>
      <c r="B1575" s="11">
        <f t="shared" ca="1" si="121"/>
        <v>1</v>
      </c>
      <c r="C1575" s="26">
        <f t="shared" ca="1" si="125"/>
        <v>5.16587601589239E-2</v>
      </c>
      <c r="J1575">
        <f t="shared" ca="1" si="122"/>
        <v>1</v>
      </c>
      <c r="K1575">
        <f t="shared" ca="1" si="123"/>
        <v>0</v>
      </c>
      <c r="L1575" s="65">
        <v>1569</v>
      </c>
      <c r="M1575" s="71">
        <f t="shared" ca="1" si="124"/>
        <v>3.0252051306181347</v>
      </c>
      <c r="N1575" s="65"/>
    </row>
    <row r="1576" spans="1:14" x14ac:dyDescent="0.25">
      <c r="A1576" s="2">
        <v>1570</v>
      </c>
      <c r="B1576" s="11">
        <f t="shared" ca="1" si="121"/>
        <v>1</v>
      </c>
      <c r="C1576" s="26">
        <f t="shared" ca="1" si="125"/>
        <v>0.16035218188596978</v>
      </c>
      <c r="J1576">
        <f t="shared" ca="1" si="122"/>
        <v>1</v>
      </c>
      <c r="K1576">
        <f t="shared" ca="1" si="123"/>
        <v>0</v>
      </c>
      <c r="L1576" s="65">
        <v>1570</v>
      </c>
      <c r="M1576" s="71">
        <f t="shared" ca="1" si="124"/>
        <v>3.1971763304512302</v>
      </c>
      <c r="N1576" s="65"/>
    </row>
    <row r="1577" spans="1:14" x14ac:dyDescent="0.25">
      <c r="A1577" s="2">
        <v>1571</v>
      </c>
      <c r="B1577" s="11">
        <f t="shared" ca="1" si="121"/>
        <v>1</v>
      </c>
      <c r="C1577" s="26">
        <f t="shared" ca="1" si="125"/>
        <v>5.2838145237507073E-2</v>
      </c>
      <c r="J1577">
        <f t="shared" ca="1" si="122"/>
        <v>1</v>
      </c>
      <c r="K1577">
        <f t="shared" ca="1" si="123"/>
        <v>0</v>
      </c>
      <c r="L1577" s="65">
        <v>1571</v>
      </c>
      <c r="M1577" s="71">
        <f t="shared" ca="1" si="124"/>
        <v>0.45168166976173063</v>
      </c>
      <c r="N1577" s="65"/>
    </row>
    <row r="1578" spans="1:14" x14ac:dyDescent="0.25">
      <c r="A1578" s="2">
        <v>1572</v>
      </c>
      <c r="B1578" s="11">
        <f t="shared" ca="1" si="121"/>
        <v>1</v>
      </c>
      <c r="C1578" s="26">
        <f t="shared" ca="1" si="125"/>
        <v>0.33687640302257171</v>
      </c>
      <c r="J1578">
        <f t="shared" ca="1" si="122"/>
        <v>1</v>
      </c>
      <c r="K1578">
        <f t="shared" ca="1" si="123"/>
        <v>0</v>
      </c>
      <c r="L1578" s="65">
        <v>1572</v>
      </c>
      <c r="M1578" s="71">
        <f t="shared" ca="1" si="124"/>
        <v>5.1617979988903748</v>
      </c>
      <c r="N1578" s="65"/>
    </row>
    <row r="1579" spans="1:14" x14ac:dyDescent="0.25">
      <c r="A1579" s="2">
        <v>1573</v>
      </c>
      <c r="B1579" s="11">
        <f t="shared" ca="1" si="121"/>
        <v>1</v>
      </c>
      <c r="C1579" s="26">
        <f t="shared" ca="1" si="125"/>
        <v>8.1271823521887887E-2</v>
      </c>
      <c r="J1579">
        <f t="shared" ca="1" si="122"/>
        <v>1</v>
      </c>
      <c r="K1579">
        <f t="shared" ca="1" si="123"/>
        <v>0</v>
      </c>
      <c r="L1579" s="65">
        <v>1573</v>
      </c>
      <c r="M1579" s="71">
        <f t="shared" ca="1" si="124"/>
        <v>0.78508076376985336</v>
      </c>
      <c r="N1579" s="65"/>
    </row>
    <row r="1580" spans="1:14" x14ac:dyDescent="0.25">
      <c r="A1580" s="2">
        <v>1574</v>
      </c>
      <c r="B1580" s="11">
        <f t="shared" ca="1" si="121"/>
        <v>1</v>
      </c>
      <c r="C1580" s="26">
        <f t="shared" ca="1" si="125"/>
        <v>0.70666608474359094</v>
      </c>
      <c r="J1580">
        <f t="shared" ca="1" si="122"/>
        <v>1</v>
      </c>
      <c r="K1580">
        <f t="shared" ca="1" si="123"/>
        <v>0</v>
      </c>
      <c r="L1580" s="65">
        <v>1574</v>
      </c>
      <c r="M1580" s="71">
        <f t="shared" ca="1" si="124"/>
        <v>3.7771772410715054</v>
      </c>
      <c r="N1580" s="65"/>
    </row>
    <row r="1581" spans="1:14" x14ac:dyDescent="0.25">
      <c r="A1581" s="2">
        <v>1575</v>
      </c>
      <c r="B1581" s="11">
        <f t="shared" ca="1" si="121"/>
        <v>1</v>
      </c>
      <c r="C1581" s="26">
        <f t="shared" ca="1" si="125"/>
        <v>0.46053870113169515</v>
      </c>
      <c r="J1581">
        <f t="shared" ca="1" si="122"/>
        <v>1</v>
      </c>
      <c r="K1581">
        <f t="shared" ca="1" si="123"/>
        <v>0</v>
      </c>
      <c r="L1581" s="65">
        <v>1575</v>
      </c>
      <c r="M1581" s="71">
        <f t="shared" ca="1" si="124"/>
        <v>2.1028953012134215</v>
      </c>
      <c r="N1581" s="65"/>
    </row>
    <row r="1582" spans="1:14" x14ac:dyDescent="0.25">
      <c r="A1582" s="2">
        <v>1576</v>
      </c>
      <c r="B1582" s="11">
        <f t="shared" ca="1" si="121"/>
        <v>1</v>
      </c>
      <c r="C1582" s="26">
        <f t="shared" ca="1" si="125"/>
        <v>3.255184378544751E-2</v>
      </c>
      <c r="J1582">
        <f t="shared" ca="1" si="122"/>
        <v>1</v>
      </c>
      <c r="K1582">
        <f t="shared" ca="1" si="123"/>
        <v>0</v>
      </c>
      <c r="L1582" s="65">
        <v>1576</v>
      </c>
      <c r="M1582" s="71">
        <f t="shared" ca="1" si="124"/>
        <v>13.08998027663718</v>
      </c>
      <c r="N1582" s="65"/>
    </row>
    <row r="1583" spans="1:14" x14ac:dyDescent="0.25">
      <c r="A1583" s="2">
        <v>1577</v>
      </c>
      <c r="B1583" s="11">
        <f t="shared" ref="B1583:B1646" ca="1" si="126">IF(B1582&gt;0,IF(C1583&lt;pww,1,0),IF(C1583&lt;pdw,1,0))</f>
        <v>1</v>
      </c>
      <c r="C1583" s="26">
        <f t="shared" ca="1" si="125"/>
        <v>0.65007302173577686</v>
      </c>
      <c r="J1583">
        <f t="shared" ref="J1583:J1646" ca="1" si="127">IF(AND(B1583,B1584),1,0)</f>
        <v>1</v>
      </c>
      <c r="K1583">
        <f t="shared" ref="K1583:K1646" ca="1" si="128">IF(AND(NOT(B1583),NOT(B1584)),1,0)</f>
        <v>0</v>
      </c>
      <c r="L1583" s="65">
        <v>1577</v>
      </c>
      <c r="M1583" s="71">
        <f t="shared" ca="1" si="124"/>
        <v>1.4927336221060856</v>
      </c>
      <c r="N1583" s="65"/>
    </row>
    <row r="1584" spans="1:14" x14ac:dyDescent="0.25">
      <c r="A1584" s="2">
        <v>1578</v>
      </c>
      <c r="B1584" s="11">
        <f t="shared" ca="1" si="126"/>
        <v>1</v>
      </c>
      <c r="C1584" s="26">
        <f t="shared" ca="1" si="125"/>
        <v>0.73242007090067829</v>
      </c>
      <c r="J1584">
        <f t="shared" ca="1" si="127"/>
        <v>1</v>
      </c>
      <c r="K1584">
        <f t="shared" ca="1" si="128"/>
        <v>0</v>
      </c>
      <c r="L1584" s="65">
        <v>1578</v>
      </c>
      <c r="M1584" s="71">
        <f t="shared" ca="1" si="124"/>
        <v>0.3334812132341099</v>
      </c>
      <c r="N1584" s="65"/>
    </row>
    <row r="1585" spans="1:14" x14ac:dyDescent="0.25">
      <c r="A1585" s="2">
        <v>1579</v>
      </c>
      <c r="B1585" s="11">
        <f t="shared" ca="1" si="126"/>
        <v>1</v>
      </c>
      <c r="C1585" s="26">
        <f t="shared" ca="1" si="125"/>
        <v>0.53270702366202638</v>
      </c>
      <c r="J1585">
        <f t="shared" ca="1" si="127"/>
        <v>1</v>
      </c>
      <c r="K1585">
        <f t="shared" ca="1" si="128"/>
        <v>0</v>
      </c>
      <c r="L1585" s="65">
        <v>1579</v>
      </c>
      <c r="M1585" s="71">
        <f t="shared" ca="1" si="124"/>
        <v>3.5107642890896473</v>
      </c>
      <c r="N1585" s="65"/>
    </row>
    <row r="1586" spans="1:14" x14ac:dyDescent="0.25">
      <c r="A1586" s="2">
        <v>1580</v>
      </c>
      <c r="B1586" s="11">
        <f t="shared" ca="1" si="126"/>
        <v>1</v>
      </c>
      <c r="C1586" s="26">
        <f t="shared" ca="1" si="125"/>
        <v>0.13162383528731336</v>
      </c>
      <c r="J1586">
        <f t="shared" ca="1" si="127"/>
        <v>1</v>
      </c>
      <c r="K1586">
        <f t="shared" ca="1" si="128"/>
        <v>0</v>
      </c>
      <c r="L1586" s="65">
        <v>1580</v>
      </c>
      <c r="M1586" s="71">
        <f t="shared" ca="1" si="124"/>
        <v>13.074034984522168</v>
      </c>
      <c r="N1586" s="65"/>
    </row>
    <row r="1587" spans="1:14" x14ac:dyDescent="0.25">
      <c r="A1587" s="2">
        <v>1581</v>
      </c>
      <c r="B1587" s="11">
        <f t="shared" ca="1" si="126"/>
        <v>1</v>
      </c>
      <c r="C1587" s="26">
        <f t="shared" ca="1" si="125"/>
        <v>0.40095093422701378</v>
      </c>
      <c r="J1587">
        <f t="shared" ca="1" si="127"/>
        <v>0</v>
      </c>
      <c r="K1587">
        <f t="shared" ca="1" si="128"/>
        <v>0</v>
      </c>
      <c r="L1587" s="65">
        <v>1581</v>
      </c>
      <c r="M1587" s="71">
        <f t="shared" ca="1" si="124"/>
        <v>1.697540237855816</v>
      </c>
      <c r="N1587" s="65"/>
    </row>
    <row r="1588" spans="1:14" x14ac:dyDescent="0.25">
      <c r="A1588" s="2">
        <v>1582</v>
      </c>
      <c r="B1588" s="11">
        <f t="shared" ca="1" si="126"/>
        <v>0</v>
      </c>
      <c r="C1588" s="26">
        <f t="shared" ca="1" si="125"/>
        <v>0.81010384844914274</v>
      </c>
      <c r="J1588">
        <f t="shared" ca="1" si="127"/>
        <v>0</v>
      </c>
      <c r="K1588">
        <f t="shared" ca="1" si="128"/>
        <v>0</v>
      </c>
      <c r="L1588" s="65">
        <v>1582</v>
      </c>
      <c r="M1588" s="71">
        <f t="shared" ca="1" si="124"/>
        <v>0</v>
      </c>
      <c r="N1588" s="65"/>
    </row>
    <row r="1589" spans="1:14" x14ac:dyDescent="0.25">
      <c r="A1589" s="2">
        <v>1583</v>
      </c>
      <c r="B1589" s="11">
        <f t="shared" ca="1" si="126"/>
        <v>1</v>
      </c>
      <c r="C1589" s="26">
        <f t="shared" ca="1" si="125"/>
        <v>0.35152447802691267</v>
      </c>
      <c r="J1589">
        <f t="shared" ca="1" si="127"/>
        <v>1</v>
      </c>
      <c r="K1589">
        <f t="shared" ca="1" si="128"/>
        <v>0</v>
      </c>
      <c r="L1589" s="65">
        <v>1583</v>
      </c>
      <c r="M1589" s="71">
        <f t="shared" ca="1" si="124"/>
        <v>3.1864155506071046</v>
      </c>
      <c r="N1589" s="65"/>
    </row>
    <row r="1590" spans="1:14" x14ac:dyDescent="0.25">
      <c r="A1590" s="2">
        <v>1584</v>
      </c>
      <c r="B1590" s="11">
        <f t="shared" ca="1" si="126"/>
        <v>1</v>
      </c>
      <c r="C1590" s="26">
        <f t="shared" ca="1" si="125"/>
        <v>0.46933307651729628</v>
      </c>
      <c r="J1590">
        <f t="shared" ca="1" si="127"/>
        <v>1</v>
      </c>
      <c r="K1590">
        <f t="shared" ca="1" si="128"/>
        <v>0</v>
      </c>
      <c r="L1590" s="65">
        <v>1584</v>
      </c>
      <c r="M1590" s="71">
        <f t="shared" ca="1" si="124"/>
        <v>6.2957941668827969E-2</v>
      </c>
      <c r="N1590" s="65"/>
    </row>
    <row r="1591" spans="1:14" x14ac:dyDescent="0.25">
      <c r="A1591" s="2">
        <v>1585</v>
      </c>
      <c r="B1591" s="11">
        <f t="shared" ca="1" si="126"/>
        <v>1</v>
      </c>
      <c r="C1591" s="26">
        <f t="shared" ca="1" si="125"/>
        <v>0.30060152021034459</v>
      </c>
      <c r="J1591">
        <f t="shared" ca="1" si="127"/>
        <v>0</v>
      </c>
      <c r="K1591">
        <f t="shared" ca="1" si="128"/>
        <v>0</v>
      </c>
      <c r="L1591" s="65">
        <v>1585</v>
      </c>
      <c r="M1591" s="71">
        <f t="shared" ca="1" si="124"/>
        <v>2.0286434985189565</v>
      </c>
      <c r="N1591" s="65"/>
    </row>
    <row r="1592" spans="1:14" x14ac:dyDescent="0.25">
      <c r="A1592" s="2">
        <v>1586</v>
      </c>
      <c r="B1592" s="11">
        <f t="shared" ca="1" si="126"/>
        <v>0</v>
      </c>
      <c r="C1592" s="26">
        <f t="shared" ca="1" si="125"/>
        <v>0.87040134807597003</v>
      </c>
      <c r="J1592">
        <f t="shared" ca="1" si="127"/>
        <v>0</v>
      </c>
      <c r="K1592">
        <f t="shared" ca="1" si="128"/>
        <v>1</v>
      </c>
      <c r="L1592" s="65">
        <v>1586</v>
      </c>
      <c r="M1592" s="71">
        <f t="shared" ca="1" si="124"/>
        <v>0</v>
      </c>
      <c r="N1592" s="65"/>
    </row>
    <row r="1593" spans="1:14" x14ac:dyDescent="0.25">
      <c r="A1593" s="2">
        <v>1587</v>
      </c>
      <c r="B1593" s="11">
        <f t="shared" ca="1" si="126"/>
        <v>0</v>
      </c>
      <c r="C1593" s="26">
        <f t="shared" ca="1" si="125"/>
        <v>0.51301070702138218</v>
      </c>
      <c r="J1593">
        <f t="shared" ca="1" si="127"/>
        <v>0</v>
      </c>
      <c r="K1593">
        <f t="shared" ca="1" si="128"/>
        <v>1</v>
      </c>
      <c r="L1593" s="65">
        <v>1587</v>
      </c>
      <c r="M1593" s="71">
        <f t="shared" ca="1" si="124"/>
        <v>0</v>
      </c>
      <c r="N1593" s="65"/>
    </row>
    <row r="1594" spans="1:14" x14ac:dyDescent="0.25">
      <c r="A1594" s="2">
        <v>1588</v>
      </c>
      <c r="B1594" s="11">
        <f t="shared" ca="1" si="126"/>
        <v>0</v>
      </c>
      <c r="C1594" s="26">
        <f t="shared" ca="1" si="125"/>
        <v>0.68289962811256244</v>
      </c>
      <c r="J1594">
        <f t="shared" ca="1" si="127"/>
        <v>0</v>
      </c>
      <c r="K1594">
        <f t="shared" ca="1" si="128"/>
        <v>1</v>
      </c>
      <c r="L1594" s="65">
        <v>1588</v>
      </c>
      <c r="M1594" s="71">
        <f t="shared" ca="1" si="124"/>
        <v>0</v>
      </c>
      <c r="N1594" s="65"/>
    </row>
    <row r="1595" spans="1:14" x14ac:dyDescent="0.25">
      <c r="A1595" s="2">
        <v>1589</v>
      </c>
      <c r="B1595" s="11">
        <f t="shared" ca="1" si="126"/>
        <v>0</v>
      </c>
      <c r="C1595" s="26">
        <f t="shared" ca="1" si="125"/>
        <v>0.79743845817596437</v>
      </c>
      <c r="J1595">
        <f t="shared" ca="1" si="127"/>
        <v>0</v>
      </c>
      <c r="K1595">
        <f t="shared" ca="1" si="128"/>
        <v>1</v>
      </c>
      <c r="L1595" s="65">
        <v>1589</v>
      </c>
      <c r="M1595" s="71">
        <f t="shared" ca="1" si="124"/>
        <v>0</v>
      </c>
      <c r="N1595" s="65"/>
    </row>
    <row r="1596" spans="1:14" x14ac:dyDescent="0.25">
      <c r="A1596" s="2">
        <v>1590</v>
      </c>
      <c r="B1596" s="11">
        <f t="shared" ca="1" si="126"/>
        <v>0</v>
      </c>
      <c r="C1596" s="26">
        <f t="shared" ca="1" si="125"/>
        <v>0.6784450064346117</v>
      </c>
      <c r="J1596">
        <f t="shared" ca="1" si="127"/>
        <v>0</v>
      </c>
      <c r="K1596">
        <f t="shared" ca="1" si="128"/>
        <v>1</v>
      </c>
      <c r="L1596" s="65">
        <v>1590</v>
      </c>
      <c r="M1596" s="71">
        <f t="shared" ca="1" si="124"/>
        <v>0</v>
      </c>
      <c r="N1596" s="65"/>
    </row>
    <row r="1597" spans="1:14" x14ac:dyDescent="0.25">
      <c r="A1597" s="2">
        <v>1591</v>
      </c>
      <c r="B1597" s="11">
        <f t="shared" ca="1" si="126"/>
        <v>0</v>
      </c>
      <c r="C1597" s="26">
        <f t="shared" ca="1" si="125"/>
        <v>0.59285245411062248</v>
      </c>
      <c r="J1597">
        <f t="shared" ca="1" si="127"/>
        <v>0</v>
      </c>
      <c r="K1597">
        <f t="shared" ca="1" si="128"/>
        <v>1</v>
      </c>
      <c r="L1597" s="65">
        <v>1591</v>
      </c>
      <c r="M1597" s="71">
        <f t="shared" ca="1" si="124"/>
        <v>0</v>
      </c>
      <c r="N1597" s="65"/>
    </row>
    <row r="1598" spans="1:14" x14ac:dyDescent="0.25">
      <c r="A1598" s="2">
        <v>1592</v>
      </c>
      <c r="B1598" s="11">
        <f t="shared" ca="1" si="126"/>
        <v>0</v>
      </c>
      <c r="C1598" s="26">
        <f t="shared" ca="1" si="125"/>
        <v>0.93642880717728494</v>
      </c>
      <c r="J1598">
        <f t="shared" ca="1" si="127"/>
        <v>0</v>
      </c>
      <c r="K1598">
        <f t="shared" ca="1" si="128"/>
        <v>1</v>
      </c>
      <c r="L1598" s="65">
        <v>1592</v>
      </c>
      <c r="M1598" s="71">
        <f t="shared" ca="1" si="124"/>
        <v>0</v>
      </c>
      <c r="N1598" s="65"/>
    </row>
    <row r="1599" spans="1:14" x14ac:dyDescent="0.25">
      <c r="A1599" s="2">
        <v>1593</v>
      </c>
      <c r="B1599" s="11">
        <f t="shared" ca="1" si="126"/>
        <v>0</v>
      </c>
      <c r="C1599" s="26">
        <f t="shared" ca="1" si="125"/>
        <v>0.99779377351719523</v>
      </c>
      <c r="J1599">
        <f t="shared" ca="1" si="127"/>
        <v>0</v>
      </c>
      <c r="K1599">
        <f t="shared" ca="1" si="128"/>
        <v>0</v>
      </c>
      <c r="L1599" s="65">
        <v>1593</v>
      </c>
      <c r="M1599" s="71">
        <f t="shared" ca="1" si="124"/>
        <v>0</v>
      </c>
      <c r="N1599" s="65"/>
    </row>
    <row r="1600" spans="1:14" x14ac:dyDescent="0.25">
      <c r="A1600" s="2">
        <v>1594</v>
      </c>
      <c r="B1600" s="11">
        <f t="shared" ca="1" si="126"/>
        <v>1</v>
      </c>
      <c r="C1600" s="26">
        <f t="shared" ca="1" si="125"/>
        <v>0.24595636793749587</v>
      </c>
      <c r="J1600">
        <f t="shared" ca="1" si="127"/>
        <v>1</v>
      </c>
      <c r="K1600">
        <f t="shared" ca="1" si="128"/>
        <v>0</v>
      </c>
      <c r="L1600" s="65">
        <v>1594</v>
      </c>
      <c r="M1600" s="71">
        <f t="shared" ca="1" si="124"/>
        <v>4.5611626310835982</v>
      </c>
      <c r="N1600" s="65"/>
    </row>
    <row r="1601" spans="1:14" x14ac:dyDescent="0.25">
      <c r="A1601" s="2">
        <v>1595</v>
      </c>
      <c r="B1601" s="11">
        <f t="shared" ca="1" si="126"/>
        <v>1</v>
      </c>
      <c r="C1601" s="26">
        <f t="shared" ca="1" si="125"/>
        <v>0.20742473354008528</v>
      </c>
      <c r="J1601">
        <f t="shared" ca="1" si="127"/>
        <v>1</v>
      </c>
      <c r="K1601">
        <f t="shared" ca="1" si="128"/>
        <v>0</v>
      </c>
      <c r="L1601" s="65">
        <v>1595</v>
      </c>
      <c r="M1601" s="71">
        <f t="shared" ca="1" si="124"/>
        <v>2.39720563927477</v>
      </c>
      <c r="N1601" s="65"/>
    </row>
    <row r="1602" spans="1:14" x14ac:dyDescent="0.25">
      <c r="A1602" s="2">
        <v>1596</v>
      </c>
      <c r="B1602" s="11">
        <f t="shared" ca="1" si="126"/>
        <v>1</v>
      </c>
      <c r="C1602" s="26">
        <f t="shared" ca="1" si="125"/>
        <v>0.62708997604009942</v>
      </c>
      <c r="J1602">
        <f t="shared" ca="1" si="127"/>
        <v>0</v>
      </c>
      <c r="K1602">
        <f t="shared" ca="1" si="128"/>
        <v>0</v>
      </c>
      <c r="L1602" s="65">
        <v>1596</v>
      </c>
      <c r="M1602" s="71">
        <f t="shared" ca="1" si="124"/>
        <v>3.1914779809289908</v>
      </c>
      <c r="N1602" s="65"/>
    </row>
    <row r="1603" spans="1:14" x14ac:dyDescent="0.25">
      <c r="A1603" s="2">
        <v>1597</v>
      </c>
      <c r="B1603" s="11">
        <f t="shared" ca="1" si="126"/>
        <v>0</v>
      </c>
      <c r="C1603" s="26">
        <f t="shared" ca="1" si="125"/>
        <v>0.85255307623337806</v>
      </c>
      <c r="J1603">
        <f t="shared" ca="1" si="127"/>
        <v>0</v>
      </c>
      <c r="K1603">
        <f t="shared" ca="1" si="128"/>
        <v>1</v>
      </c>
      <c r="L1603" s="65">
        <v>1597</v>
      </c>
      <c r="M1603" s="71">
        <f t="shared" ca="1" si="124"/>
        <v>0</v>
      </c>
      <c r="N1603" s="65"/>
    </row>
    <row r="1604" spans="1:14" x14ac:dyDescent="0.25">
      <c r="A1604" s="2">
        <v>1598</v>
      </c>
      <c r="B1604" s="11">
        <f t="shared" ca="1" si="126"/>
        <v>0</v>
      </c>
      <c r="C1604" s="26">
        <f t="shared" ca="1" si="125"/>
        <v>0.48943458616847824</v>
      </c>
      <c r="J1604">
        <f t="shared" ca="1" si="127"/>
        <v>0</v>
      </c>
      <c r="K1604">
        <f t="shared" ca="1" si="128"/>
        <v>0</v>
      </c>
      <c r="L1604" s="65">
        <v>1598</v>
      </c>
      <c r="M1604" s="71">
        <f t="shared" ca="1" si="124"/>
        <v>0</v>
      </c>
      <c r="N1604" s="65"/>
    </row>
    <row r="1605" spans="1:14" x14ac:dyDescent="0.25">
      <c r="A1605" s="2">
        <v>1599</v>
      </c>
      <c r="B1605" s="11">
        <f t="shared" ca="1" si="126"/>
        <v>1</v>
      </c>
      <c r="C1605" s="26">
        <f t="shared" ca="1" si="125"/>
        <v>0.22549414715457572</v>
      </c>
      <c r="J1605">
        <f t="shared" ca="1" si="127"/>
        <v>1</v>
      </c>
      <c r="K1605">
        <f t="shared" ca="1" si="128"/>
        <v>0</v>
      </c>
      <c r="L1605" s="65">
        <v>1599</v>
      </c>
      <c r="M1605" s="71">
        <f t="shared" ca="1" si="124"/>
        <v>3.2456038468707979</v>
      </c>
      <c r="N1605" s="65"/>
    </row>
    <row r="1606" spans="1:14" x14ac:dyDescent="0.25">
      <c r="A1606" s="2">
        <v>1600</v>
      </c>
      <c r="B1606" s="11">
        <f t="shared" ca="1" si="126"/>
        <v>1</v>
      </c>
      <c r="C1606" s="26">
        <f t="shared" ca="1" si="125"/>
        <v>0.39816971117518407</v>
      </c>
      <c r="J1606">
        <f t="shared" ca="1" si="127"/>
        <v>1</v>
      </c>
      <c r="K1606">
        <f t="shared" ca="1" si="128"/>
        <v>0</v>
      </c>
      <c r="L1606" s="65">
        <v>1600</v>
      </c>
      <c r="M1606" s="71">
        <f t="shared" ca="1" si="124"/>
        <v>0.16050641053009271</v>
      </c>
      <c r="N1606" s="65"/>
    </row>
    <row r="1607" spans="1:14" x14ac:dyDescent="0.25">
      <c r="A1607" s="2">
        <v>1601</v>
      </c>
      <c r="B1607" s="11">
        <f t="shared" ca="1" si="126"/>
        <v>1</v>
      </c>
      <c r="C1607" s="26">
        <f t="shared" ca="1" si="125"/>
        <v>0.57303095392951298</v>
      </c>
      <c r="J1607">
        <f t="shared" ca="1" si="127"/>
        <v>1</v>
      </c>
      <c r="K1607">
        <f t="shared" ca="1" si="128"/>
        <v>0</v>
      </c>
      <c r="L1607" s="65">
        <v>1601</v>
      </c>
      <c r="M1607" s="71">
        <f t="shared" ref="M1607:M1670" ca="1" si="129">IF(B1607&gt;0,-LN(1-(RAND()))/lambda,0)</f>
        <v>3.0115607500165691</v>
      </c>
      <c r="N1607" s="65"/>
    </row>
    <row r="1608" spans="1:14" x14ac:dyDescent="0.25">
      <c r="A1608" s="2">
        <v>1602</v>
      </c>
      <c r="B1608" s="11">
        <f t="shared" ca="1" si="126"/>
        <v>1</v>
      </c>
      <c r="C1608" s="26">
        <f t="shared" ref="C1608:C1671" ca="1" si="130">RAND()</f>
        <v>0.43175452039430218</v>
      </c>
      <c r="J1608">
        <f t="shared" ca="1" si="127"/>
        <v>0</v>
      </c>
      <c r="K1608">
        <f t="shared" ca="1" si="128"/>
        <v>0</v>
      </c>
      <c r="L1608" s="65">
        <v>1602</v>
      </c>
      <c r="M1608" s="71">
        <f t="shared" ca="1" si="129"/>
        <v>1.9992388715896479</v>
      </c>
      <c r="N1608" s="65"/>
    </row>
    <row r="1609" spans="1:14" x14ac:dyDescent="0.25">
      <c r="A1609" s="2">
        <v>1603</v>
      </c>
      <c r="B1609" s="11">
        <f t="shared" ca="1" si="126"/>
        <v>0</v>
      </c>
      <c r="C1609" s="26">
        <f t="shared" ca="1" si="130"/>
        <v>0.78384090586855193</v>
      </c>
      <c r="J1609">
        <f t="shared" ca="1" si="127"/>
        <v>0</v>
      </c>
      <c r="K1609">
        <f t="shared" ca="1" si="128"/>
        <v>1</v>
      </c>
      <c r="L1609" s="65">
        <v>1603</v>
      </c>
      <c r="M1609" s="71">
        <f t="shared" ca="1" si="129"/>
        <v>0</v>
      </c>
      <c r="N1609" s="65"/>
    </row>
    <row r="1610" spans="1:14" x14ac:dyDescent="0.25">
      <c r="A1610" s="2">
        <v>1604</v>
      </c>
      <c r="B1610" s="11">
        <f t="shared" ca="1" si="126"/>
        <v>0</v>
      </c>
      <c r="C1610" s="26">
        <f t="shared" ca="1" si="130"/>
        <v>0.67407543045658835</v>
      </c>
      <c r="J1610">
        <f t="shared" ca="1" si="127"/>
        <v>0</v>
      </c>
      <c r="K1610">
        <f t="shared" ca="1" si="128"/>
        <v>1</v>
      </c>
      <c r="L1610" s="65">
        <v>1604</v>
      </c>
      <c r="M1610" s="71">
        <f t="shared" ca="1" si="129"/>
        <v>0</v>
      </c>
      <c r="N1610" s="65"/>
    </row>
    <row r="1611" spans="1:14" x14ac:dyDescent="0.25">
      <c r="A1611" s="2">
        <v>1605</v>
      </c>
      <c r="B1611" s="11">
        <f t="shared" ca="1" si="126"/>
        <v>0</v>
      </c>
      <c r="C1611" s="26">
        <f t="shared" ca="1" si="130"/>
        <v>0.86445623099122937</v>
      </c>
      <c r="J1611">
        <f t="shared" ca="1" si="127"/>
        <v>0</v>
      </c>
      <c r="K1611">
        <f t="shared" ca="1" si="128"/>
        <v>0</v>
      </c>
      <c r="L1611" s="65">
        <v>1605</v>
      </c>
      <c r="M1611" s="71">
        <f t="shared" ca="1" si="129"/>
        <v>0</v>
      </c>
      <c r="N1611" s="65"/>
    </row>
    <row r="1612" spans="1:14" x14ac:dyDescent="0.25">
      <c r="A1612" s="2">
        <v>1606</v>
      </c>
      <c r="B1612" s="11">
        <f t="shared" ca="1" si="126"/>
        <v>1</v>
      </c>
      <c r="C1612" s="26">
        <f t="shared" ca="1" si="130"/>
        <v>1.2107004849515879E-2</v>
      </c>
      <c r="J1612">
        <f t="shared" ca="1" si="127"/>
        <v>0</v>
      </c>
      <c r="K1612">
        <f t="shared" ca="1" si="128"/>
        <v>0</v>
      </c>
      <c r="L1612" s="65">
        <v>1606</v>
      </c>
      <c r="M1612" s="71">
        <f t="shared" ca="1" si="129"/>
        <v>0.67872046817396992</v>
      </c>
      <c r="N1612" s="65"/>
    </row>
    <row r="1613" spans="1:14" x14ac:dyDescent="0.25">
      <c r="A1613" s="2">
        <v>1607</v>
      </c>
      <c r="B1613" s="11">
        <f t="shared" ca="1" si="126"/>
        <v>0</v>
      </c>
      <c r="C1613" s="26">
        <f t="shared" ca="1" si="130"/>
        <v>0.86697233308995314</v>
      </c>
      <c r="J1613">
        <f t="shared" ca="1" si="127"/>
        <v>0</v>
      </c>
      <c r="K1613">
        <f t="shared" ca="1" si="128"/>
        <v>1</v>
      </c>
      <c r="L1613" s="65">
        <v>1607</v>
      </c>
      <c r="M1613" s="71">
        <f t="shared" ca="1" si="129"/>
        <v>0</v>
      </c>
      <c r="N1613" s="65"/>
    </row>
    <row r="1614" spans="1:14" x14ac:dyDescent="0.25">
      <c r="A1614" s="2">
        <v>1608</v>
      </c>
      <c r="B1614" s="11">
        <f t="shared" ca="1" si="126"/>
        <v>0</v>
      </c>
      <c r="C1614" s="26">
        <f t="shared" ca="1" si="130"/>
        <v>0.94134518146631307</v>
      </c>
      <c r="J1614">
        <f t="shared" ca="1" si="127"/>
        <v>0</v>
      </c>
      <c r="K1614">
        <f t="shared" ca="1" si="128"/>
        <v>1</v>
      </c>
      <c r="L1614" s="65">
        <v>1608</v>
      </c>
      <c r="M1614" s="71">
        <f t="shared" ca="1" si="129"/>
        <v>0</v>
      </c>
      <c r="N1614" s="65"/>
    </row>
    <row r="1615" spans="1:14" x14ac:dyDescent="0.25">
      <c r="A1615" s="2">
        <v>1609</v>
      </c>
      <c r="B1615" s="11">
        <f t="shared" ca="1" si="126"/>
        <v>0</v>
      </c>
      <c r="C1615" s="26">
        <f t="shared" ca="1" si="130"/>
        <v>0.88664930653300378</v>
      </c>
      <c r="J1615">
        <f t="shared" ca="1" si="127"/>
        <v>0</v>
      </c>
      <c r="K1615">
        <f t="shared" ca="1" si="128"/>
        <v>1</v>
      </c>
      <c r="L1615" s="65">
        <v>1609</v>
      </c>
      <c r="M1615" s="71">
        <f t="shared" ca="1" si="129"/>
        <v>0</v>
      </c>
      <c r="N1615" s="65"/>
    </row>
    <row r="1616" spans="1:14" x14ac:dyDescent="0.25">
      <c r="A1616" s="2">
        <v>1610</v>
      </c>
      <c r="B1616" s="11">
        <f t="shared" ca="1" si="126"/>
        <v>0</v>
      </c>
      <c r="C1616" s="26">
        <f t="shared" ca="1" si="130"/>
        <v>0.52595377331671134</v>
      </c>
      <c r="J1616">
        <f t="shared" ca="1" si="127"/>
        <v>0</v>
      </c>
      <c r="K1616">
        <f t="shared" ca="1" si="128"/>
        <v>1</v>
      </c>
      <c r="L1616" s="65">
        <v>1610</v>
      </c>
      <c r="M1616" s="71">
        <f t="shared" ca="1" si="129"/>
        <v>0</v>
      </c>
      <c r="N1616" s="65"/>
    </row>
    <row r="1617" spans="1:14" x14ac:dyDescent="0.25">
      <c r="A1617" s="2">
        <v>1611</v>
      </c>
      <c r="B1617" s="11">
        <f t="shared" ca="1" si="126"/>
        <v>0</v>
      </c>
      <c r="C1617" s="26">
        <f t="shared" ca="1" si="130"/>
        <v>0.667466661466389</v>
      </c>
      <c r="J1617">
        <f t="shared" ca="1" si="127"/>
        <v>0</v>
      </c>
      <c r="K1617">
        <f t="shared" ca="1" si="128"/>
        <v>1</v>
      </c>
      <c r="L1617" s="65">
        <v>1611</v>
      </c>
      <c r="M1617" s="71">
        <f t="shared" ca="1" si="129"/>
        <v>0</v>
      </c>
      <c r="N1617" s="65"/>
    </row>
    <row r="1618" spans="1:14" x14ac:dyDescent="0.25">
      <c r="A1618" s="2">
        <v>1612</v>
      </c>
      <c r="B1618" s="11">
        <f t="shared" ca="1" si="126"/>
        <v>0</v>
      </c>
      <c r="C1618" s="26">
        <f t="shared" ca="1" si="130"/>
        <v>0.60547875642500315</v>
      </c>
      <c r="J1618">
        <f t="shared" ca="1" si="127"/>
        <v>0</v>
      </c>
      <c r="K1618">
        <f t="shared" ca="1" si="128"/>
        <v>0</v>
      </c>
      <c r="L1618" s="65">
        <v>1612</v>
      </c>
      <c r="M1618" s="71">
        <f t="shared" ca="1" si="129"/>
        <v>0</v>
      </c>
      <c r="N1618" s="65"/>
    </row>
    <row r="1619" spans="1:14" x14ac:dyDescent="0.25">
      <c r="A1619" s="2">
        <v>1613</v>
      </c>
      <c r="B1619" s="11">
        <f t="shared" ca="1" si="126"/>
        <v>1</v>
      </c>
      <c r="C1619" s="26">
        <f t="shared" ca="1" si="130"/>
        <v>0.18073201867408073</v>
      </c>
      <c r="J1619">
        <f t="shared" ca="1" si="127"/>
        <v>1</v>
      </c>
      <c r="K1619">
        <f t="shared" ca="1" si="128"/>
        <v>0</v>
      </c>
      <c r="L1619" s="65">
        <v>1613</v>
      </c>
      <c r="M1619" s="71">
        <f t="shared" ca="1" si="129"/>
        <v>9.5962445471900626</v>
      </c>
      <c r="N1619" s="65"/>
    </row>
    <row r="1620" spans="1:14" x14ac:dyDescent="0.25">
      <c r="A1620" s="2">
        <v>1614</v>
      </c>
      <c r="B1620" s="11">
        <f t="shared" ca="1" si="126"/>
        <v>1</v>
      </c>
      <c r="C1620" s="26">
        <f t="shared" ca="1" si="130"/>
        <v>9.4141007726572523E-2</v>
      </c>
      <c r="J1620">
        <f t="shared" ca="1" si="127"/>
        <v>1</v>
      </c>
      <c r="K1620">
        <f t="shared" ca="1" si="128"/>
        <v>0</v>
      </c>
      <c r="L1620" s="65">
        <v>1614</v>
      </c>
      <c r="M1620" s="71">
        <f t="shared" ca="1" si="129"/>
        <v>3.441997966054211</v>
      </c>
      <c r="N1620" s="65"/>
    </row>
    <row r="1621" spans="1:14" x14ac:dyDescent="0.25">
      <c r="A1621" s="2">
        <v>1615</v>
      </c>
      <c r="B1621" s="11">
        <f t="shared" ca="1" si="126"/>
        <v>1</v>
      </c>
      <c r="C1621" s="26">
        <f t="shared" ca="1" si="130"/>
        <v>0.10802243214069351</v>
      </c>
      <c r="J1621">
        <f t="shared" ca="1" si="127"/>
        <v>1</v>
      </c>
      <c r="K1621">
        <f t="shared" ca="1" si="128"/>
        <v>0</v>
      </c>
      <c r="L1621" s="65">
        <v>1615</v>
      </c>
      <c r="M1621" s="71">
        <f t="shared" ca="1" si="129"/>
        <v>3.8103660530738459</v>
      </c>
      <c r="N1621" s="65"/>
    </row>
    <row r="1622" spans="1:14" x14ac:dyDescent="0.25">
      <c r="A1622" s="2">
        <v>1616</v>
      </c>
      <c r="B1622" s="11">
        <f t="shared" ca="1" si="126"/>
        <v>1</v>
      </c>
      <c r="C1622" s="26">
        <f t="shared" ca="1" si="130"/>
        <v>0.53444082841671725</v>
      </c>
      <c r="J1622">
        <f t="shared" ca="1" si="127"/>
        <v>1</v>
      </c>
      <c r="K1622">
        <f t="shared" ca="1" si="128"/>
        <v>0</v>
      </c>
      <c r="L1622" s="65">
        <v>1616</v>
      </c>
      <c r="M1622" s="71">
        <f t="shared" ca="1" si="129"/>
        <v>5.8170559967172482</v>
      </c>
      <c r="N1622" s="65"/>
    </row>
    <row r="1623" spans="1:14" x14ac:dyDescent="0.25">
      <c r="A1623" s="2">
        <v>1617</v>
      </c>
      <c r="B1623" s="11">
        <f t="shared" ca="1" si="126"/>
        <v>1</v>
      </c>
      <c r="C1623" s="26">
        <f t="shared" ca="1" si="130"/>
        <v>0.35200611195909959</v>
      </c>
      <c r="J1623">
        <f t="shared" ca="1" si="127"/>
        <v>1</v>
      </c>
      <c r="K1623">
        <f t="shared" ca="1" si="128"/>
        <v>0</v>
      </c>
      <c r="L1623" s="65">
        <v>1617</v>
      </c>
      <c r="M1623" s="71">
        <f t="shared" ca="1" si="129"/>
        <v>5.3743987996877403</v>
      </c>
      <c r="N1623" s="65"/>
    </row>
    <row r="1624" spans="1:14" x14ac:dyDescent="0.25">
      <c r="A1624" s="2">
        <v>1618</v>
      </c>
      <c r="B1624" s="11">
        <f t="shared" ca="1" si="126"/>
        <v>1</v>
      </c>
      <c r="C1624" s="26">
        <f t="shared" ca="1" si="130"/>
        <v>0.17343276395427898</v>
      </c>
      <c r="J1624">
        <f t="shared" ca="1" si="127"/>
        <v>1</v>
      </c>
      <c r="K1624">
        <f t="shared" ca="1" si="128"/>
        <v>0</v>
      </c>
      <c r="L1624" s="65">
        <v>1618</v>
      </c>
      <c r="M1624" s="71">
        <f t="shared" ca="1" si="129"/>
        <v>3.9537409906815606</v>
      </c>
      <c r="N1624" s="65"/>
    </row>
    <row r="1625" spans="1:14" x14ac:dyDescent="0.25">
      <c r="A1625" s="2">
        <v>1619</v>
      </c>
      <c r="B1625" s="11">
        <f t="shared" ca="1" si="126"/>
        <v>1</v>
      </c>
      <c r="C1625" s="26">
        <f t="shared" ca="1" si="130"/>
        <v>7.0865380413030254E-2</v>
      </c>
      <c r="J1625">
        <f t="shared" ca="1" si="127"/>
        <v>1</v>
      </c>
      <c r="K1625">
        <f t="shared" ca="1" si="128"/>
        <v>0</v>
      </c>
      <c r="L1625" s="65">
        <v>1619</v>
      </c>
      <c r="M1625" s="71">
        <f t="shared" ca="1" si="129"/>
        <v>0.32917452118559937</v>
      </c>
      <c r="N1625" s="65"/>
    </row>
    <row r="1626" spans="1:14" x14ac:dyDescent="0.25">
      <c r="A1626" s="2">
        <v>1620</v>
      </c>
      <c r="B1626" s="11">
        <f t="shared" ca="1" si="126"/>
        <v>1</v>
      </c>
      <c r="C1626" s="26">
        <f t="shared" ca="1" si="130"/>
        <v>0.3883256796680854</v>
      </c>
      <c r="J1626">
        <f t="shared" ca="1" si="127"/>
        <v>0</v>
      </c>
      <c r="K1626">
        <f t="shared" ca="1" si="128"/>
        <v>0</v>
      </c>
      <c r="L1626" s="65">
        <v>1620</v>
      </c>
      <c r="M1626" s="71">
        <f t="shared" ca="1" si="129"/>
        <v>0.40929730237175932</v>
      </c>
      <c r="N1626" s="65"/>
    </row>
    <row r="1627" spans="1:14" x14ac:dyDescent="0.25">
      <c r="A1627" s="2">
        <v>1621</v>
      </c>
      <c r="B1627" s="11">
        <f t="shared" ca="1" si="126"/>
        <v>0</v>
      </c>
      <c r="C1627" s="26">
        <f t="shared" ca="1" si="130"/>
        <v>0.8279277333292191</v>
      </c>
      <c r="J1627">
        <f t="shared" ca="1" si="127"/>
        <v>0</v>
      </c>
      <c r="K1627">
        <f t="shared" ca="1" si="128"/>
        <v>0</v>
      </c>
      <c r="L1627" s="65">
        <v>1621</v>
      </c>
      <c r="M1627" s="71">
        <f t="shared" ca="1" si="129"/>
        <v>0</v>
      </c>
      <c r="N1627" s="65"/>
    </row>
    <row r="1628" spans="1:14" x14ac:dyDescent="0.25">
      <c r="A1628" s="2">
        <v>1622</v>
      </c>
      <c r="B1628" s="11">
        <f t="shared" ca="1" si="126"/>
        <v>1</v>
      </c>
      <c r="C1628" s="26">
        <f t="shared" ca="1" si="130"/>
        <v>1.5647714256540657E-2</v>
      </c>
      <c r="J1628">
        <f t="shared" ca="1" si="127"/>
        <v>1</v>
      </c>
      <c r="K1628">
        <f t="shared" ca="1" si="128"/>
        <v>0</v>
      </c>
      <c r="L1628" s="65">
        <v>1622</v>
      </c>
      <c r="M1628" s="71">
        <f t="shared" ca="1" si="129"/>
        <v>2.4554749948283541</v>
      </c>
      <c r="N1628" s="65"/>
    </row>
    <row r="1629" spans="1:14" x14ac:dyDescent="0.25">
      <c r="A1629" s="2">
        <v>1623</v>
      </c>
      <c r="B1629" s="11">
        <f t="shared" ca="1" si="126"/>
        <v>1</v>
      </c>
      <c r="C1629" s="26">
        <f t="shared" ca="1" si="130"/>
        <v>0.46580649826628528</v>
      </c>
      <c r="J1629">
        <f t="shared" ca="1" si="127"/>
        <v>1</v>
      </c>
      <c r="K1629">
        <f t="shared" ca="1" si="128"/>
        <v>0</v>
      </c>
      <c r="L1629" s="65">
        <v>1623</v>
      </c>
      <c r="M1629" s="71">
        <f t="shared" ca="1" si="129"/>
        <v>1.1646708512853448</v>
      </c>
      <c r="N1629" s="65"/>
    </row>
    <row r="1630" spans="1:14" x14ac:dyDescent="0.25">
      <c r="A1630" s="2">
        <v>1624</v>
      </c>
      <c r="B1630" s="11">
        <f t="shared" ca="1" si="126"/>
        <v>1</v>
      </c>
      <c r="C1630" s="26">
        <f t="shared" ca="1" si="130"/>
        <v>0.47037815411144479</v>
      </c>
      <c r="J1630">
        <f t="shared" ca="1" si="127"/>
        <v>1</v>
      </c>
      <c r="K1630">
        <f t="shared" ca="1" si="128"/>
        <v>0</v>
      </c>
      <c r="L1630" s="65">
        <v>1624</v>
      </c>
      <c r="M1630" s="71">
        <f t="shared" ca="1" si="129"/>
        <v>5.9123687617225658</v>
      </c>
      <c r="N1630" s="65"/>
    </row>
    <row r="1631" spans="1:14" x14ac:dyDescent="0.25">
      <c r="A1631" s="2">
        <v>1625</v>
      </c>
      <c r="B1631" s="11">
        <f t="shared" ca="1" si="126"/>
        <v>1</v>
      </c>
      <c r="C1631" s="26">
        <f t="shared" ca="1" si="130"/>
        <v>6.5106085729381258E-2</v>
      </c>
      <c r="J1631">
        <f t="shared" ca="1" si="127"/>
        <v>0</v>
      </c>
      <c r="K1631">
        <f t="shared" ca="1" si="128"/>
        <v>0</v>
      </c>
      <c r="L1631" s="65">
        <v>1625</v>
      </c>
      <c r="M1631" s="71">
        <f t="shared" ca="1" si="129"/>
        <v>0.51689918726121165</v>
      </c>
      <c r="N1631" s="65"/>
    </row>
    <row r="1632" spans="1:14" x14ac:dyDescent="0.25">
      <c r="A1632" s="2">
        <v>1626</v>
      </c>
      <c r="B1632" s="11">
        <f t="shared" ca="1" si="126"/>
        <v>0</v>
      </c>
      <c r="C1632" s="26">
        <f t="shared" ca="1" si="130"/>
        <v>0.88672888352408485</v>
      </c>
      <c r="J1632">
        <f t="shared" ca="1" si="127"/>
        <v>0</v>
      </c>
      <c r="K1632">
        <f t="shared" ca="1" si="128"/>
        <v>1</v>
      </c>
      <c r="L1632" s="65">
        <v>1626</v>
      </c>
      <c r="M1632" s="71">
        <f t="shared" ca="1" si="129"/>
        <v>0</v>
      </c>
      <c r="N1632" s="65"/>
    </row>
    <row r="1633" spans="1:14" x14ac:dyDescent="0.25">
      <c r="A1633" s="2">
        <v>1627</v>
      </c>
      <c r="B1633" s="11">
        <f t="shared" ca="1" si="126"/>
        <v>0</v>
      </c>
      <c r="C1633" s="26">
        <f t="shared" ca="1" si="130"/>
        <v>0.98500618803615481</v>
      </c>
      <c r="J1633">
        <f t="shared" ca="1" si="127"/>
        <v>0</v>
      </c>
      <c r="K1633">
        <f t="shared" ca="1" si="128"/>
        <v>1</v>
      </c>
      <c r="L1633" s="65">
        <v>1627</v>
      </c>
      <c r="M1633" s="71">
        <f t="shared" ca="1" si="129"/>
        <v>0</v>
      </c>
      <c r="N1633" s="65"/>
    </row>
    <row r="1634" spans="1:14" x14ac:dyDescent="0.25">
      <c r="A1634" s="2">
        <v>1628</v>
      </c>
      <c r="B1634" s="11">
        <f t="shared" ca="1" si="126"/>
        <v>0</v>
      </c>
      <c r="C1634" s="26">
        <f t="shared" ca="1" si="130"/>
        <v>0.58584120953397878</v>
      </c>
      <c r="J1634">
        <f t="shared" ca="1" si="127"/>
        <v>0</v>
      </c>
      <c r="K1634">
        <f t="shared" ca="1" si="128"/>
        <v>1</v>
      </c>
      <c r="L1634" s="65">
        <v>1628</v>
      </c>
      <c r="M1634" s="71">
        <f t="shared" ca="1" si="129"/>
        <v>0</v>
      </c>
      <c r="N1634" s="65"/>
    </row>
    <row r="1635" spans="1:14" x14ac:dyDescent="0.25">
      <c r="A1635" s="2">
        <v>1629</v>
      </c>
      <c r="B1635" s="11">
        <f t="shared" ca="1" si="126"/>
        <v>0</v>
      </c>
      <c r="C1635" s="26">
        <f t="shared" ca="1" si="130"/>
        <v>0.81304762910445416</v>
      </c>
      <c r="J1635">
        <f t="shared" ca="1" si="127"/>
        <v>0</v>
      </c>
      <c r="K1635">
        <f t="shared" ca="1" si="128"/>
        <v>1</v>
      </c>
      <c r="L1635" s="65">
        <v>1629</v>
      </c>
      <c r="M1635" s="71">
        <f t="shared" ca="1" si="129"/>
        <v>0</v>
      </c>
      <c r="N1635" s="65"/>
    </row>
    <row r="1636" spans="1:14" x14ac:dyDescent="0.25">
      <c r="A1636" s="2">
        <v>1630</v>
      </c>
      <c r="B1636" s="11">
        <f t="shared" ca="1" si="126"/>
        <v>0</v>
      </c>
      <c r="C1636" s="26">
        <f t="shared" ca="1" si="130"/>
        <v>0.39129952332615692</v>
      </c>
      <c r="J1636">
        <f t="shared" ca="1" si="127"/>
        <v>0</v>
      </c>
      <c r="K1636">
        <f t="shared" ca="1" si="128"/>
        <v>1</v>
      </c>
      <c r="L1636" s="65">
        <v>1630</v>
      </c>
      <c r="M1636" s="71">
        <f t="shared" ca="1" si="129"/>
        <v>0</v>
      </c>
      <c r="N1636" s="65"/>
    </row>
    <row r="1637" spans="1:14" x14ac:dyDescent="0.25">
      <c r="A1637" s="2">
        <v>1631</v>
      </c>
      <c r="B1637" s="11">
        <f t="shared" ca="1" si="126"/>
        <v>0</v>
      </c>
      <c r="C1637" s="26">
        <f t="shared" ca="1" si="130"/>
        <v>0.64654368141366181</v>
      </c>
      <c r="J1637">
        <f t="shared" ca="1" si="127"/>
        <v>0</v>
      </c>
      <c r="K1637">
        <f t="shared" ca="1" si="128"/>
        <v>0</v>
      </c>
      <c r="L1637" s="65">
        <v>1631</v>
      </c>
      <c r="M1637" s="71">
        <f t="shared" ca="1" si="129"/>
        <v>0</v>
      </c>
      <c r="N1637" s="65"/>
    </row>
    <row r="1638" spans="1:14" x14ac:dyDescent="0.25">
      <c r="A1638" s="2">
        <v>1632</v>
      </c>
      <c r="B1638" s="11">
        <f t="shared" ca="1" si="126"/>
        <v>1</v>
      </c>
      <c r="C1638" s="26">
        <f t="shared" ca="1" si="130"/>
        <v>0.19496875888830545</v>
      </c>
      <c r="J1638">
        <f t="shared" ca="1" si="127"/>
        <v>1</v>
      </c>
      <c r="K1638">
        <f t="shared" ca="1" si="128"/>
        <v>0</v>
      </c>
      <c r="L1638" s="65">
        <v>1632</v>
      </c>
      <c r="M1638" s="71">
        <f t="shared" ca="1" si="129"/>
        <v>7.4409268841209455</v>
      </c>
      <c r="N1638" s="65"/>
    </row>
    <row r="1639" spans="1:14" x14ac:dyDescent="0.25">
      <c r="A1639" s="2">
        <v>1633</v>
      </c>
      <c r="B1639" s="11">
        <f t="shared" ca="1" si="126"/>
        <v>1</v>
      </c>
      <c r="C1639" s="26">
        <f t="shared" ca="1" si="130"/>
        <v>0.48179905397327105</v>
      </c>
      <c r="J1639">
        <f t="shared" ca="1" si="127"/>
        <v>1</v>
      </c>
      <c r="K1639">
        <f t="shared" ca="1" si="128"/>
        <v>0</v>
      </c>
      <c r="L1639" s="65">
        <v>1633</v>
      </c>
      <c r="M1639" s="71">
        <f t="shared" ca="1" si="129"/>
        <v>3.5430444148161757</v>
      </c>
      <c r="N1639" s="65"/>
    </row>
    <row r="1640" spans="1:14" x14ac:dyDescent="0.25">
      <c r="A1640" s="2">
        <v>1634</v>
      </c>
      <c r="B1640" s="11">
        <f t="shared" ca="1" si="126"/>
        <v>1</v>
      </c>
      <c r="C1640" s="26">
        <f t="shared" ca="1" si="130"/>
        <v>0.20497830516502935</v>
      </c>
      <c r="J1640">
        <f t="shared" ca="1" si="127"/>
        <v>1</v>
      </c>
      <c r="K1640">
        <f t="shared" ca="1" si="128"/>
        <v>0</v>
      </c>
      <c r="L1640" s="65">
        <v>1634</v>
      </c>
      <c r="M1640" s="71">
        <f t="shared" ca="1" si="129"/>
        <v>4.9721063942145607</v>
      </c>
      <c r="N1640" s="65"/>
    </row>
    <row r="1641" spans="1:14" x14ac:dyDescent="0.25">
      <c r="A1641" s="2">
        <v>1635</v>
      </c>
      <c r="B1641" s="11">
        <f t="shared" ca="1" si="126"/>
        <v>1</v>
      </c>
      <c r="C1641" s="26">
        <f t="shared" ca="1" si="130"/>
        <v>0.27950033782870476</v>
      </c>
      <c r="J1641">
        <f t="shared" ca="1" si="127"/>
        <v>1</v>
      </c>
      <c r="K1641">
        <f t="shared" ca="1" si="128"/>
        <v>0</v>
      </c>
      <c r="L1641" s="65">
        <v>1635</v>
      </c>
      <c r="M1641" s="71">
        <f t="shared" ca="1" si="129"/>
        <v>4.7150263162519126</v>
      </c>
      <c r="N1641" s="65"/>
    </row>
    <row r="1642" spans="1:14" x14ac:dyDescent="0.25">
      <c r="A1642" s="2">
        <v>1636</v>
      </c>
      <c r="B1642" s="11">
        <f t="shared" ca="1" si="126"/>
        <v>1</v>
      </c>
      <c r="C1642" s="26">
        <f t="shared" ca="1" si="130"/>
        <v>1.472904645953621E-2</v>
      </c>
      <c r="J1642">
        <f t="shared" ca="1" si="127"/>
        <v>0</v>
      </c>
      <c r="K1642">
        <f t="shared" ca="1" si="128"/>
        <v>0</v>
      </c>
      <c r="L1642" s="65">
        <v>1636</v>
      </c>
      <c r="M1642" s="71">
        <f t="shared" ca="1" si="129"/>
        <v>5.738116065178815</v>
      </c>
      <c r="N1642" s="65"/>
    </row>
    <row r="1643" spans="1:14" x14ac:dyDescent="0.25">
      <c r="A1643" s="2">
        <v>1637</v>
      </c>
      <c r="B1643" s="11">
        <f t="shared" ca="1" si="126"/>
        <v>0</v>
      </c>
      <c r="C1643" s="26">
        <f t="shared" ca="1" si="130"/>
        <v>0.76942566201581286</v>
      </c>
      <c r="J1643">
        <f t="shared" ca="1" si="127"/>
        <v>0</v>
      </c>
      <c r="K1643">
        <f t="shared" ca="1" si="128"/>
        <v>1</v>
      </c>
      <c r="L1643" s="65">
        <v>1637</v>
      </c>
      <c r="M1643" s="71">
        <f t="shared" ca="1" si="129"/>
        <v>0</v>
      </c>
      <c r="N1643" s="65"/>
    </row>
    <row r="1644" spans="1:14" x14ac:dyDescent="0.25">
      <c r="A1644" s="2">
        <v>1638</v>
      </c>
      <c r="B1644" s="11">
        <f t="shared" ca="1" si="126"/>
        <v>0</v>
      </c>
      <c r="C1644" s="26">
        <f t="shared" ca="1" si="130"/>
        <v>0.95847899351569943</v>
      </c>
      <c r="J1644">
        <f t="shared" ca="1" si="127"/>
        <v>0</v>
      </c>
      <c r="K1644">
        <f t="shared" ca="1" si="128"/>
        <v>1</v>
      </c>
      <c r="L1644" s="65">
        <v>1638</v>
      </c>
      <c r="M1644" s="71">
        <f t="shared" ca="1" si="129"/>
        <v>0</v>
      </c>
      <c r="N1644" s="65"/>
    </row>
    <row r="1645" spans="1:14" x14ac:dyDescent="0.25">
      <c r="A1645" s="2">
        <v>1639</v>
      </c>
      <c r="B1645" s="11">
        <f t="shared" ca="1" si="126"/>
        <v>0</v>
      </c>
      <c r="C1645" s="26">
        <f t="shared" ca="1" si="130"/>
        <v>0.76200547428180876</v>
      </c>
      <c r="J1645">
        <f t="shared" ca="1" si="127"/>
        <v>0</v>
      </c>
      <c r="K1645">
        <f t="shared" ca="1" si="128"/>
        <v>1</v>
      </c>
      <c r="L1645" s="65">
        <v>1639</v>
      </c>
      <c r="M1645" s="71">
        <f t="shared" ca="1" si="129"/>
        <v>0</v>
      </c>
      <c r="N1645" s="65"/>
    </row>
    <row r="1646" spans="1:14" x14ac:dyDescent="0.25">
      <c r="A1646" s="2">
        <v>1640</v>
      </c>
      <c r="B1646" s="11">
        <f t="shared" ca="1" si="126"/>
        <v>0</v>
      </c>
      <c r="C1646" s="26">
        <f t="shared" ca="1" si="130"/>
        <v>0.6470204265055759</v>
      </c>
      <c r="J1646">
        <f t="shared" ca="1" si="127"/>
        <v>0</v>
      </c>
      <c r="K1646">
        <f t="shared" ca="1" si="128"/>
        <v>0</v>
      </c>
      <c r="L1646" s="65">
        <v>1640</v>
      </c>
      <c r="M1646" s="71">
        <f t="shared" ca="1" si="129"/>
        <v>0</v>
      </c>
      <c r="N1646" s="65"/>
    </row>
    <row r="1647" spans="1:14" x14ac:dyDescent="0.25">
      <c r="A1647" s="2">
        <v>1641</v>
      </c>
      <c r="B1647" s="11">
        <f t="shared" ref="B1647:B1710" ca="1" si="131">IF(B1646&gt;0,IF(C1647&lt;pww,1,0),IF(C1647&lt;pdw,1,0))</f>
        <v>1</v>
      </c>
      <c r="C1647" s="26">
        <f t="shared" ca="1" si="130"/>
        <v>0.32601230876449483</v>
      </c>
      <c r="J1647">
        <f t="shared" ref="J1647:J1710" ca="1" si="132">IF(AND(B1647,B1648),1,0)</f>
        <v>1</v>
      </c>
      <c r="K1647">
        <f t="shared" ref="K1647:K1710" ca="1" si="133">IF(AND(NOT(B1647),NOT(B1648)),1,0)</f>
        <v>0</v>
      </c>
      <c r="L1647" s="65">
        <v>1641</v>
      </c>
      <c r="M1647" s="71">
        <f t="shared" ca="1" si="129"/>
        <v>9.773868320600787</v>
      </c>
      <c r="N1647" s="65"/>
    </row>
    <row r="1648" spans="1:14" x14ac:dyDescent="0.25">
      <c r="A1648" s="2">
        <v>1642</v>
      </c>
      <c r="B1648" s="11">
        <f t="shared" ca="1" si="131"/>
        <v>1</v>
      </c>
      <c r="C1648" s="26">
        <f t="shared" ca="1" si="130"/>
        <v>0.56768874384000578</v>
      </c>
      <c r="J1648">
        <f t="shared" ca="1" si="132"/>
        <v>1</v>
      </c>
      <c r="K1648">
        <f t="shared" ca="1" si="133"/>
        <v>0</v>
      </c>
      <c r="L1648" s="65">
        <v>1642</v>
      </c>
      <c r="M1648" s="71">
        <f t="shared" ca="1" si="129"/>
        <v>3.1889704086772168</v>
      </c>
      <c r="N1648" s="65"/>
    </row>
    <row r="1649" spans="1:14" x14ac:dyDescent="0.25">
      <c r="A1649" s="2">
        <v>1643</v>
      </c>
      <c r="B1649" s="11">
        <f t="shared" ca="1" si="131"/>
        <v>1</v>
      </c>
      <c r="C1649" s="26">
        <f t="shared" ca="1" si="130"/>
        <v>0.34677363149237805</v>
      </c>
      <c r="J1649">
        <f t="shared" ca="1" si="132"/>
        <v>1</v>
      </c>
      <c r="K1649">
        <f t="shared" ca="1" si="133"/>
        <v>0</v>
      </c>
      <c r="L1649" s="65">
        <v>1643</v>
      </c>
      <c r="M1649" s="71">
        <f t="shared" ca="1" si="129"/>
        <v>2.0621044384749938</v>
      </c>
      <c r="N1649" s="65"/>
    </row>
    <row r="1650" spans="1:14" x14ac:dyDescent="0.25">
      <c r="A1650" s="2">
        <v>1644</v>
      </c>
      <c r="B1650" s="11">
        <f t="shared" ca="1" si="131"/>
        <v>1</v>
      </c>
      <c r="C1650" s="26">
        <f t="shared" ca="1" si="130"/>
        <v>0.74429685839598148</v>
      </c>
      <c r="J1650">
        <f t="shared" ca="1" si="132"/>
        <v>0</v>
      </c>
      <c r="K1650">
        <f t="shared" ca="1" si="133"/>
        <v>0</v>
      </c>
      <c r="L1650" s="65">
        <v>1644</v>
      </c>
      <c r="M1650" s="71">
        <f t="shared" ca="1" si="129"/>
        <v>13.457873213707565</v>
      </c>
      <c r="N1650" s="65"/>
    </row>
    <row r="1651" spans="1:14" x14ac:dyDescent="0.25">
      <c r="A1651" s="2">
        <v>1645</v>
      </c>
      <c r="B1651" s="11">
        <f t="shared" ca="1" si="131"/>
        <v>0</v>
      </c>
      <c r="C1651" s="26">
        <f t="shared" ca="1" si="130"/>
        <v>0.83519412896863021</v>
      </c>
      <c r="J1651">
        <f t="shared" ca="1" si="132"/>
        <v>0</v>
      </c>
      <c r="K1651">
        <f t="shared" ca="1" si="133"/>
        <v>0</v>
      </c>
      <c r="L1651" s="65">
        <v>1645</v>
      </c>
      <c r="M1651" s="71">
        <f t="shared" ca="1" si="129"/>
        <v>0</v>
      </c>
      <c r="N1651" s="65"/>
    </row>
    <row r="1652" spans="1:14" x14ac:dyDescent="0.25">
      <c r="A1652" s="2">
        <v>1646</v>
      </c>
      <c r="B1652" s="11">
        <f t="shared" ca="1" si="131"/>
        <v>1</v>
      </c>
      <c r="C1652" s="26">
        <f t="shared" ca="1" si="130"/>
        <v>4.1928751660450181E-2</v>
      </c>
      <c r="J1652">
        <f t="shared" ca="1" si="132"/>
        <v>1</v>
      </c>
      <c r="K1652">
        <f t="shared" ca="1" si="133"/>
        <v>0</v>
      </c>
      <c r="L1652" s="65">
        <v>1646</v>
      </c>
      <c r="M1652" s="71">
        <f t="shared" ca="1" si="129"/>
        <v>1.3189222301663288</v>
      </c>
      <c r="N1652" s="65"/>
    </row>
    <row r="1653" spans="1:14" x14ac:dyDescent="0.25">
      <c r="A1653" s="2">
        <v>1647</v>
      </c>
      <c r="B1653" s="11">
        <f t="shared" ca="1" si="131"/>
        <v>1</v>
      </c>
      <c r="C1653" s="26">
        <f t="shared" ca="1" si="130"/>
        <v>0.40899310453767779</v>
      </c>
      <c r="J1653">
        <f t="shared" ca="1" si="132"/>
        <v>1</v>
      </c>
      <c r="K1653">
        <f t="shared" ca="1" si="133"/>
        <v>0</v>
      </c>
      <c r="L1653" s="65">
        <v>1647</v>
      </c>
      <c r="M1653" s="71">
        <f t="shared" ca="1" si="129"/>
        <v>2.6039806147154541</v>
      </c>
      <c r="N1653" s="65"/>
    </row>
    <row r="1654" spans="1:14" x14ac:dyDescent="0.25">
      <c r="A1654" s="2">
        <v>1648</v>
      </c>
      <c r="B1654" s="11">
        <f t="shared" ca="1" si="131"/>
        <v>1</v>
      </c>
      <c r="C1654" s="26">
        <f t="shared" ca="1" si="130"/>
        <v>0.48958056695607843</v>
      </c>
      <c r="J1654">
        <f t="shared" ca="1" si="132"/>
        <v>1</v>
      </c>
      <c r="K1654">
        <f t="shared" ca="1" si="133"/>
        <v>0</v>
      </c>
      <c r="L1654" s="65">
        <v>1648</v>
      </c>
      <c r="M1654" s="71">
        <f t="shared" ca="1" si="129"/>
        <v>2.2112780950300013</v>
      </c>
      <c r="N1654" s="65"/>
    </row>
    <row r="1655" spans="1:14" x14ac:dyDescent="0.25">
      <c r="A1655" s="2">
        <v>1649</v>
      </c>
      <c r="B1655" s="11">
        <f t="shared" ca="1" si="131"/>
        <v>1</v>
      </c>
      <c r="C1655" s="26">
        <f t="shared" ca="1" si="130"/>
        <v>0.38118575932363585</v>
      </c>
      <c r="J1655">
        <f t="shared" ca="1" si="132"/>
        <v>1</v>
      </c>
      <c r="K1655">
        <f t="shared" ca="1" si="133"/>
        <v>0</v>
      </c>
      <c r="L1655" s="65">
        <v>1649</v>
      </c>
      <c r="M1655" s="71">
        <f t="shared" ca="1" si="129"/>
        <v>6.8938559794156546</v>
      </c>
      <c r="N1655" s="65"/>
    </row>
    <row r="1656" spans="1:14" x14ac:dyDescent="0.25">
      <c r="A1656" s="2">
        <v>1650</v>
      </c>
      <c r="B1656" s="11">
        <f t="shared" ca="1" si="131"/>
        <v>1</v>
      </c>
      <c r="C1656" s="26">
        <f t="shared" ca="1" si="130"/>
        <v>0.49596533186974956</v>
      </c>
      <c r="J1656">
        <f t="shared" ca="1" si="132"/>
        <v>1</v>
      </c>
      <c r="K1656">
        <f t="shared" ca="1" si="133"/>
        <v>0</v>
      </c>
      <c r="L1656" s="65">
        <v>1650</v>
      </c>
      <c r="M1656" s="71">
        <f t="shared" ca="1" si="129"/>
        <v>1.410417353496993</v>
      </c>
      <c r="N1656" s="65"/>
    </row>
    <row r="1657" spans="1:14" x14ac:dyDescent="0.25">
      <c r="A1657" s="2">
        <v>1651</v>
      </c>
      <c r="B1657" s="11">
        <f t="shared" ca="1" si="131"/>
        <v>1</v>
      </c>
      <c r="C1657" s="26">
        <f t="shared" ca="1" si="130"/>
        <v>4.7838069034274899E-2</v>
      </c>
      <c r="J1657">
        <f t="shared" ca="1" si="132"/>
        <v>1</v>
      </c>
      <c r="K1657">
        <f t="shared" ca="1" si="133"/>
        <v>0</v>
      </c>
      <c r="L1657" s="65">
        <v>1651</v>
      </c>
      <c r="M1657" s="71">
        <f t="shared" ca="1" si="129"/>
        <v>2.5279724464244122</v>
      </c>
      <c r="N1657" s="65"/>
    </row>
    <row r="1658" spans="1:14" x14ac:dyDescent="0.25">
      <c r="A1658" s="2">
        <v>1652</v>
      </c>
      <c r="B1658" s="11">
        <f t="shared" ca="1" si="131"/>
        <v>1</v>
      </c>
      <c r="C1658" s="26">
        <f t="shared" ca="1" si="130"/>
        <v>0.22638739330489244</v>
      </c>
      <c r="J1658">
        <f t="shared" ca="1" si="132"/>
        <v>1</v>
      </c>
      <c r="K1658">
        <f t="shared" ca="1" si="133"/>
        <v>0</v>
      </c>
      <c r="L1658" s="65">
        <v>1652</v>
      </c>
      <c r="M1658" s="71">
        <f t="shared" ca="1" si="129"/>
        <v>7.7955311341013118</v>
      </c>
      <c r="N1658" s="65"/>
    </row>
    <row r="1659" spans="1:14" x14ac:dyDescent="0.25">
      <c r="A1659" s="2">
        <v>1653</v>
      </c>
      <c r="B1659" s="11">
        <f t="shared" ca="1" si="131"/>
        <v>1</v>
      </c>
      <c r="C1659" s="26">
        <f t="shared" ca="1" si="130"/>
        <v>0.31161465762137142</v>
      </c>
      <c r="J1659">
        <f t="shared" ca="1" si="132"/>
        <v>1</v>
      </c>
      <c r="K1659">
        <f t="shared" ca="1" si="133"/>
        <v>0</v>
      </c>
      <c r="L1659" s="65">
        <v>1653</v>
      </c>
      <c r="M1659" s="71">
        <f t="shared" ca="1" si="129"/>
        <v>1.0326570310445862</v>
      </c>
      <c r="N1659" s="65"/>
    </row>
    <row r="1660" spans="1:14" x14ac:dyDescent="0.25">
      <c r="A1660" s="2">
        <v>1654</v>
      </c>
      <c r="B1660" s="11">
        <f t="shared" ca="1" si="131"/>
        <v>1</v>
      </c>
      <c r="C1660" s="26">
        <f t="shared" ca="1" si="130"/>
        <v>7.358032100951406E-2</v>
      </c>
      <c r="J1660">
        <f t="shared" ca="1" si="132"/>
        <v>1</v>
      </c>
      <c r="K1660">
        <f t="shared" ca="1" si="133"/>
        <v>0</v>
      </c>
      <c r="L1660" s="65">
        <v>1654</v>
      </c>
      <c r="M1660" s="71">
        <f t="shared" ca="1" si="129"/>
        <v>15.092947821210863</v>
      </c>
      <c r="N1660" s="65"/>
    </row>
    <row r="1661" spans="1:14" x14ac:dyDescent="0.25">
      <c r="A1661" s="2">
        <v>1655</v>
      </c>
      <c r="B1661" s="11">
        <f t="shared" ca="1" si="131"/>
        <v>1</v>
      </c>
      <c r="C1661" s="26">
        <f t="shared" ca="1" si="130"/>
        <v>0.64502531206344527</v>
      </c>
      <c r="J1661">
        <f t="shared" ca="1" si="132"/>
        <v>1</v>
      </c>
      <c r="K1661">
        <f t="shared" ca="1" si="133"/>
        <v>0</v>
      </c>
      <c r="L1661" s="65">
        <v>1655</v>
      </c>
      <c r="M1661" s="71">
        <f t="shared" ca="1" si="129"/>
        <v>8.1692173253640181</v>
      </c>
      <c r="N1661" s="65"/>
    </row>
    <row r="1662" spans="1:14" x14ac:dyDescent="0.25">
      <c r="A1662" s="2">
        <v>1656</v>
      </c>
      <c r="B1662" s="11">
        <f t="shared" ca="1" si="131"/>
        <v>1</v>
      </c>
      <c r="C1662" s="26">
        <f t="shared" ca="1" si="130"/>
        <v>0.65974397069961077</v>
      </c>
      <c r="J1662">
        <f t="shared" ca="1" si="132"/>
        <v>0</v>
      </c>
      <c r="K1662">
        <f t="shared" ca="1" si="133"/>
        <v>0</v>
      </c>
      <c r="L1662" s="65">
        <v>1656</v>
      </c>
      <c r="M1662" s="71">
        <f t="shared" ca="1" si="129"/>
        <v>0.70734209808776871</v>
      </c>
      <c r="N1662" s="65"/>
    </row>
    <row r="1663" spans="1:14" x14ac:dyDescent="0.25">
      <c r="A1663" s="2">
        <v>1657</v>
      </c>
      <c r="B1663" s="11">
        <f t="shared" ca="1" si="131"/>
        <v>0</v>
      </c>
      <c r="C1663" s="26">
        <f t="shared" ca="1" si="130"/>
        <v>0.94132309939923797</v>
      </c>
      <c r="J1663">
        <f t="shared" ca="1" si="132"/>
        <v>0</v>
      </c>
      <c r="K1663">
        <f t="shared" ca="1" si="133"/>
        <v>0</v>
      </c>
      <c r="L1663" s="65">
        <v>1657</v>
      </c>
      <c r="M1663" s="71">
        <f t="shared" ca="1" si="129"/>
        <v>0</v>
      </c>
      <c r="N1663" s="65"/>
    </row>
    <row r="1664" spans="1:14" x14ac:dyDescent="0.25">
      <c r="A1664" s="2">
        <v>1658</v>
      </c>
      <c r="B1664" s="11">
        <f t="shared" ca="1" si="131"/>
        <v>1</v>
      </c>
      <c r="C1664" s="26">
        <f t="shared" ca="1" si="130"/>
        <v>0.30713782263797795</v>
      </c>
      <c r="J1664">
        <f t="shared" ca="1" si="132"/>
        <v>1</v>
      </c>
      <c r="K1664">
        <f t="shared" ca="1" si="133"/>
        <v>0</v>
      </c>
      <c r="L1664" s="65">
        <v>1658</v>
      </c>
      <c r="M1664" s="71">
        <f t="shared" ca="1" si="129"/>
        <v>1.0030728148411618</v>
      </c>
      <c r="N1664" s="65"/>
    </row>
    <row r="1665" spans="1:14" x14ac:dyDescent="0.25">
      <c r="A1665" s="2">
        <v>1659</v>
      </c>
      <c r="B1665" s="11">
        <f t="shared" ca="1" si="131"/>
        <v>1</v>
      </c>
      <c r="C1665" s="26">
        <f t="shared" ca="1" si="130"/>
        <v>0.73377355167247804</v>
      </c>
      <c r="J1665">
        <f t="shared" ca="1" si="132"/>
        <v>0</v>
      </c>
      <c r="K1665">
        <f t="shared" ca="1" si="133"/>
        <v>0</v>
      </c>
      <c r="L1665" s="65">
        <v>1659</v>
      </c>
      <c r="M1665" s="71">
        <f t="shared" ca="1" si="129"/>
        <v>2.1780442177890689</v>
      </c>
      <c r="N1665" s="65"/>
    </row>
    <row r="1666" spans="1:14" x14ac:dyDescent="0.25">
      <c r="A1666" s="2">
        <v>1660</v>
      </c>
      <c r="B1666" s="11">
        <f t="shared" ca="1" si="131"/>
        <v>0</v>
      </c>
      <c r="C1666" s="26">
        <f t="shared" ca="1" si="130"/>
        <v>0.86471012940968772</v>
      </c>
      <c r="J1666">
        <f t="shared" ca="1" si="132"/>
        <v>0</v>
      </c>
      <c r="K1666">
        <f t="shared" ca="1" si="133"/>
        <v>0</v>
      </c>
      <c r="L1666" s="65">
        <v>1660</v>
      </c>
      <c r="M1666" s="71">
        <f t="shared" ca="1" si="129"/>
        <v>0</v>
      </c>
      <c r="N1666" s="65"/>
    </row>
    <row r="1667" spans="1:14" x14ac:dyDescent="0.25">
      <c r="A1667" s="2">
        <v>1661</v>
      </c>
      <c r="B1667" s="11">
        <f t="shared" ca="1" si="131"/>
        <v>1</v>
      </c>
      <c r="C1667" s="26">
        <f t="shared" ca="1" si="130"/>
        <v>0.23402229213601522</v>
      </c>
      <c r="J1667">
        <f t="shared" ca="1" si="132"/>
        <v>1</v>
      </c>
      <c r="K1667">
        <f t="shared" ca="1" si="133"/>
        <v>0</v>
      </c>
      <c r="L1667" s="65">
        <v>1661</v>
      </c>
      <c r="M1667" s="71">
        <f t="shared" ca="1" si="129"/>
        <v>5.4475873569003506</v>
      </c>
      <c r="N1667" s="65"/>
    </row>
    <row r="1668" spans="1:14" x14ac:dyDescent="0.25">
      <c r="A1668" s="2">
        <v>1662</v>
      </c>
      <c r="B1668" s="11">
        <f t="shared" ca="1" si="131"/>
        <v>1</v>
      </c>
      <c r="C1668" s="26">
        <f t="shared" ca="1" si="130"/>
        <v>0.37089773705397311</v>
      </c>
      <c r="J1668">
        <f t="shared" ca="1" si="132"/>
        <v>0</v>
      </c>
      <c r="K1668">
        <f t="shared" ca="1" si="133"/>
        <v>0</v>
      </c>
      <c r="L1668" s="65">
        <v>1662</v>
      </c>
      <c r="M1668" s="71">
        <f t="shared" ca="1" si="129"/>
        <v>2.2632828839450161</v>
      </c>
      <c r="N1668" s="65"/>
    </row>
    <row r="1669" spans="1:14" x14ac:dyDescent="0.25">
      <c r="A1669" s="2">
        <v>1663</v>
      </c>
      <c r="B1669" s="11">
        <f t="shared" ca="1" si="131"/>
        <v>0</v>
      </c>
      <c r="C1669" s="26">
        <f t="shared" ca="1" si="130"/>
        <v>0.85212660246230276</v>
      </c>
      <c r="J1669">
        <f t="shared" ca="1" si="132"/>
        <v>0</v>
      </c>
      <c r="K1669">
        <f t="shared" ca="1" si="133"/>
        <v>1</v>
      </c>
      <c r="L1669" s="65">
        <v>1663</v>
      </c>
      <c r="M1669" s="71">
        <f t="shared" ca="1" si="129"/>
        <v>0</v>
      </c>
      <c r="N1669" s="65"/>
    </row>
    <row r="1670" spans="1:14" x14ac:dyDescent="0.25">
      <c r="A1670" s="2">
        <v>1664</v>
      </c>
      <c r="B1670" s="11">
        <f t="shared" ca="1" si="131"/>
        <v>0</v>
      </c>
      <c r="C1670" s="26">
        <f t="shared" ca="1" si="130"/>
        <v>0.86114670411838468</v>
      </c>
      <c r="J1670">
        <f t="shared" ca="1" si="132"/>
        <v>0</v>
      </c>
      <c r="K1670">
        <f t="shared" ca="1" si="133"/>
        <v>1</v>
      </c>
      <c r="L1670" s="65">
        <v>1664</v>
      </c>
      <c r="M1670" s="71">
        <f t="shared" ca="1" si="129"/>
        <v>0</v>
      </c>
      <c r="N1670" s="65"/>
    </row>
    <row r="1671" spans="1:14" x14ac:dyDescent="0.25">
      <c r="A1671" s="2">
        <v>1665</v>
      </c>
      <c r="B1671" s="11">
        <f t="shared" ca="1" si="131"/>
        <v>0</v>
      </c>
      <c r="C1671" s="26">
        <f t="shared" ca="1" si="130"/>
        <v>0.94648701465845031</v>
      </c>
      <c r="J1671">
        <f t="shared" ca="1" si="132"/>
        <v>0</v>
      </c>
      <c r="K1671">
        <f t="shared" ca="1" si="133"/>
        <v>0</v>
      </c>
      <c r="L1671" s="65">
        <v>1665</v>
      </c>
      <c r="M1671" s="71">
        <f t="shared" ref="M1671:M1734" ca="1" si="134">IF(B1671&gt;0,-LN(1-(RAND()))/lambda,0)</f>
        <v>0</v>
      </c>
      <c r="N1671" s="65"/>
    </row>
    <row r="1672" spans="1:14" x14ac:dyDescent="0.25">
      <c r="A1672" s="2">
        <v>1666</v>
      </c>
      <c r="B1672" s="11">
        <f t="shared" ca="1" si="131"/>
        <v>1</v>
      </c>
      <c r="C1672" s="26">
        <f t="shared" ref="C1672:C1735" ca="1" si="135">RAND()</f>
        <v>2.841853944210615E-2</v>
      </c>
      <c r="J1672">
        <f t="shared" ca="1" si="132"/>
        <v>1</v>
      </c>
      <c r="K1672">
        <f t="shared" ca="1" si="133"/>
        <v>0</v>
      </c>
      <c r="L1672" s="65">
        <v>1666</v>
      </c>
      <c r="M1672" s="71">
        <f t="shared" ca="1" si="134"/>
        <v>0.67072136648647496</v>
      </c>
      <c r="N1672" s="65"/>
    </row>
    <row r="1673" spans="1:14" x14ac:dyDescent="0.25">
      <c r="A1673" s="2">
        <v>1667</v>
      </c>
      <c r="B1673" s="11">
        <f t="shared" ca="1" si="131"/>
        <v>1</v>
      </c>
      <c r="C1673" s="26">
        <f t="shared" ca="1" si="135"/>
        <v>0.53785606599820657</v>
      </c>
      <c r="J1673">
        <f t="shared" ca="1" si="132"/>
        <v>0</v>
      </c>
      <c r="K1673">
        <f t="shared" ca="1" si="133"/>
        <v>0</v>
      </c>
      <c r="L1673" s="65">
        <v>1667</v>
      </c>
      <c r="M1673" s="71">
        <f t="shared" ca="1" si="134"/>
        <v>2.7081150072169775</v>
      </c>
      <c r="N1673" s="65"/>
    </row>
    <row r="1674" spans="1:14" x14ac:dyDescent="0.25">
      <c r="A1674" s="2">
        <v>1668</v>
      </c>
      <c r="B1674" s="11">
        <f t="shared" ca="1" si="131"/>
        <v>0</v>
      </c>
      <c r="C1674" s="26">
        <f t="shared" ca="1" si="135"/>
        <v>0.76866306248321403</v>
      </c>
      <c r="J1674">
        <f t="shared" ca="1" si="132"/>
        <v>0</v>
      </c>
      <c r="K1674">
        <f t="shared" ca="1" si="133"/>
        <v>0</v>
      </c>
      <c r="L1674" s="65">
        <v>1668</v>
      </c>
      <c r="M1674" s="71">
        <f t="shared" ca="1" si="134"/>
        <v>0</v>
      </c>
      <c r="N1674" s="65"/>
    </row>
    <row r="1675" spans="1:14" x14ac:dyDescent="0.25">
      <c r="A1675" s="2">
        <v>1669</v>
      </c>
      <c r="B1675" s="11">
        <f t="shared" ca="1" si="131"/>
        <v>1</v>
      </c>
      <c r="C1675" s="26">
        <f t="shared" ca="1" si="135"/>
        <v>5.1663647093806886E-2</v>
      </c>
      <c r="J1675">
        <f t="shared" ca="1" si="132"/>
        <v>1</v>
      </c>
      <c r="K1675">
        <f t="shared" ca="1" si="133"/>
        <v>0</v>
      </c>
      <c r="L1675" s="65">
        <v>1669</v>
      </c>
      <c r="M1675" s="71">
        <f t="shared" ca="1" si="134"/>
        <v>5.0545511282069224</v>
      </c>
      <c r="N1675" s="65"/>
    </row>
    <row r="1676" spans="1:14" x14ac:dyDescent="0.25">
      <c r="A1676" s="2">
        <v>1670</v>
      </c>
      <c r="B1676" s="11">
        <f t="shared" ca="1" si="131"/>
        <v>1</v>
      </c>
      <c r="C1676" s="26">
        <f t="shared" ca="1" si="135"/>
        <v>0.30209056297399794</v>
      </c>
      <c r="J1676">
        <f t="shared" ca="1" si="132"/>
        <v>1</v>
      </c>
      <c r="K1676">
        <f t="shared" ca="1" si="133"/>
        <v>0</v>
      </c>
      <c r="L1676" s="65">
        <v>1670</v>
      </c>
      <c r="M1676" s="71">
        <f t="shared" ca="1" si="134"/>
        <v>4.1302755507593947</v>
      </c>
      <c r="N1676" s="65"/>
    </row>
    <row r="1677" spans="1:14" x14ac:dyDescent="0.25">
      <c r="A1677" s="2">
        <v>1671</v>
      </c>
      <c r="B1677" s="11">
        <f t="shared" ca="1" si="131"/>
        <v>1</v>
      </c>
      <c r="C1677" s="26">
        <f t="shared" ca="1" si="135"/>
        <v>0.19210840439496291</v>
      </c>
      <c r="J1677">
        <f t="shared" ca="1" si="132"/>
        <v>1</v>
      </c>
      <c r="K1677">
        <f t="shared" ca="1" si="133"/>
        <v>0</v>
      </c>
      <c r="L1677" s="65">
        <v>1671</v>
      </c>
      <c r="M1677" s="71">
        <f t="shared" ca="1" si="134"/>
        <v>9.4694789284743131</v>
      </c>
      <c r="N1677" s="65"/>
    </row>
    <row r="1678" spans="1:14" x14ac:dyDescent="0.25">
      <c r="A1678" s="2">
        <v>1672</v>
      </c>
      <c r="B1678" s="11">
        <f t="shared" ca="1" si="131"/>
        <v>1</v>
      </c>
      <c r="C1678" s="26">
        <f t="shared" ca="1" si="135"/>
        <v>0.58717337597089025</v>
      </c>
      <c r="J1678">
        <f t="shared" ca="1" si="132"/>
        <v>0</v>
      </c>
      <c r="K1678">
        <f t="shared" ca="1" si="133"/>
        <v>0</v>
      </c>
      <c r="L1678" s="65">
        <v>1672</v>
      </c>
      <c r="M1678" s="71">
        <f t="shared" ca="1" si="134"/>
        <v>2.8460278907675489</v>
      </c>
      <c r="N1678" s="65"/>
    </row>
    <row r="1679" spans="1:14" x14ac:dyDescent="0.25">
      <c r="A1679" s="2">
        <v>1673</v>
      </c>
      <c r="B1679" s="11">
        <f t="shared" ca="1" si="131"/>
        <v>0</v>
      </c>
      <c r="C1679" s="26">
        <f t="shared" ca="1" si="135"/>
        <v>0.96863906530043842</v>
      </c>
      <c r="J1679">
        <f t="shared" ca="1" si="132"/>
        <v>0</v>
      </c>
      <c r="K1679">
        <f t="shared" ca="1" si="133"/>
        <v>1</v>
      </c>
      <c r="L1679" s="65">
        <v>1673</v>
      </c>
      <c r="M1679" s="71">
        <f t="shared" ca="1" si="134"/>
        <v>0</v>
      </c>
      <c r="N1679" s="65"/>
    </row>
    <row r="1680" spans="1:14" x14ac:dyDescent="0.25">
      <c r="A1680" s="2">
        <v>1674</v>
      </c>
      <c r="B1680" s="11">
        <f t="shared" ca="1" si="131"/>
        <v>0</v>
      </c>
      <c r="C1680" s="26">
        <f t="shared" ca="1" si="135"/>
        <v>0.78425417311695012</v>
      </c>
      <c r="J1680">
        <f t="shared" ca="1" si="132"/>
        <v>0</v>
      </c>
      <c r="K1680">
        <f t="shared" ca="1" si="133"/>
        <v>0</v>
      </c>
      <c r="L1680" s="65">
        <v>1674</v>
      </c>
      <c r="M1680" s="71">
        <f t="shared" ca="1" si="134"/>
        <v>0</v>
      </c>
      <c r="N1680" s="65"/>
    </row>
    <row r="1681" spans="1:14" x14ac:dyDescent="0.25">
      <c r="A1681" s="2">
        <v>1675</v>
      </c>
      <c r="B1681" s="11">
        <f t="shared" ca="1" si="131"/>
        <v>1</v>
      </c>
      <c r="C1681" s="26">
        <f t="shared" ca="1" si="135"/>
        <v>4.0905999498971113E-2</v>
      </c>
      <c r="J1681">
        <f t="shared" ca="1" si="132"/>
        <v>1</v>
      </c>
      <c r="K1681">
        <f t="shared" ca="1" si="133"/>
        <v>0</v>
      </c>
      <c r="L1681" s="65">
        <v>1675</v>
      </c>
      <c r="M1681" s="71">
        <f t="shared" ca="1" si="134"/>
        <v>1.3641913354336279</v>
      </c>
      <c r="N1681" s="65"/>
    </row>
    <row r="1682" spans="1:14" x14ac:dyDescent="0.25">
      <c r="A1682" s="2">
        <v>1676</v>
      </c>
      <c r="B1682" s="11">
        <f t="shared" ca="1" si="131"/>
        <v>1</v>
      </c>
      <c r="C1682" s="26">
        <f t="shared" ca="1" si="135"/>
        <v>1.4218681638935582E-2</v>
      </c>
      <c r="J1682">
        <f t="shared" ca="1" si="132"/>
        <v>0</v>
      </c>
      <c r="K1682">
        <f t="shared" ca="1" si="133"/>
        <v>0</v>
      </c>
      <c r="L1682" s="65">
        <v>1676</v>
      </c>
      <c r="M1682" s="71">
        <f t="shared" ca="1" si="134"/>
        <v>1.1317202508353281</v>
      </c>
      <c r="N1682" s="65"/>
    </row>
    <row r="1683" spans="1:14" x14ac:dyDescent="0.25">
      <c r="A1683" s="2">
        <v>1677</v>
      </c>
      <c r="B1683" s="11">
        <f t="shared" ca="1" si="131"/>
        <v>0</v>
      </c>
      <c r="C1683" s="26">
        <f t="shared" ca="1" si="135"/>
        <v>0.86931189433574696</v>
      </c>
      <c r="J1683">
        <f t="shared" ca="1" si="132"/>
        <v>0</v>
      </c>
      <c r="K1683">
        <f t="shared" ca="1" si="133"/>
        <v>1</v>
      </c>
      <c r="L1683" s="65">
        <v>1677</v>
      </c>
      <c r="M1683" s="71">
        <f t="shared" ca="1" si="134"/>
        <v>0</v>
      </c>
      <c r="N1683" s="65"/>
    </row>
    <row r="1684" spans="1:14" x14ac:dyDescent="0.25">
      <c r="A1684" s="2">
        <v>1678</v>
      </c>
      <c r="B1684" s="11">
        <f t="shared" ca="1" si="131"/>
        <v>0</v>
      </c>
      <c r="C1684" s="26">
        <f t="shared" ca="1" si="135"/>
        <v>0.87632595273351099</v>
      </c>
      <c r="J1684">
        <f t="shared" ca="1" si="132"/>
        <v>0</v>
      </c>
      <c r="K1684">
        <f t="shared" ca="1" si="133"/>
        <v>1</v>
      </c>
      <c r="L1684" s="65">
        <v>1678</v>
      </c>
      <c r="M1684" s="71">
        <f t="shared" ca="1" si="134"/>
        <v>0</v>
      </c>
      <c r="N1684" s="65"/>
    </row>
    <row r="1685" spans="1:14" x14ac:dyDescent="0.25">
      <c r="A1685" s="2">
        <v>1679</v>
      </c>
      <c r="B1685" s="11">
        <f t="shared" ca="1" si="131"/>
        <v>0</v>
      </c>
      <c r="C1685" s="26">
        <f t="shared" ca="1" si="135"/>
        <v>0.63597371832165772</v>
      </c>
      <c r="J1685">
        <f t="shared" ca="1" si="132"/>
        <v>0</v>
      </c>
      <c r="K1685">
        <f t="shared" ca="1" si="133"/>
        <v>0</v>
      </c>
      <c r="L1685" s="65">
        <v>1679</v>
      </c>
      <c r="M1685" s="71">
        <f t="shared" ca="1" si="134"/>
        <v>0</v>
      </c>
      <c r="N1685" s="65"/>
    </row>
    <row r="1686" spans="1:14" x14ac:dyDescent="0.25">
      <c r="A1686" s="2">
        <v>1680</v>
      </c>
      <c r="B1686" s="11">
        <f t="shared" ca="1" si="131"/>
        <v>1</v>
      </c>
      <c r="C1686" s="26">
        <f t="shared" ca="1" si="135"/>
        <v>0.38392192568932304</v>
      </c>
      <c r="J1686">
        <f t="shared" ca="1" si="132"/>
        <v>0</v>
      </c>
      <c r="K1686">
        <f t="shared" ca="1" si="133"/>
        <v>0</v>
      </c>
      <c r="L1686" s="65">
        <v>1680</v>
      </c>
      <c r="M1686" s="71">
        <f t="shared" ca="1" si="134"/>
        <v>0.38570982497223993</v>
      </c>
      <c r="N1686" s="65"/>
    </row>
    <row r="1687" spans="1:14" x14ac:dyDescent="0.25">
      <c r="A1687" s="2">
        <v>1681</v>
      </c>
      <c r="B1687" s="11">
        <f t="shared" ca="1" si="131"/>
        <v>0</v>
      </c>
      <c r="C1687" s="26">
        <f t="shared" ca="1" si="135"/>
        <v>0.94235176902242546</v>
      </c>
      <c r="J1687">
        <f t="shared" ca="1" si="132"/>
        <v>0</v>
      </c>
      <c r="K1687">
        <f t="shared" ca="1" si="133"/>
        <v>0</v>
      </c>
      <c r="L1687" s="65">
        <v>1681</v>
      </c>
      <c r="M1687" s="71">
        <f t="shared" ca="1" si="134"/>
        <v>0</v>
      </c>
      <c r="N1687" s="65"/>
    </row>
    <row r="1688" spans="1:14" x14ac:dyDescent="0.25">
      <c r="A1688" s="2">
        <v>1682</v>
      </c>
      <c r="B1688" s="11">
        <f t="shared" ca="1" si="131"/>
        <v>1</v>
      </c>
      <c r="C1688" s="26">
        <f t="shared" ca="1" si="135"/>
        <v>0.31689527102156789</v>
      </c>
      <c r="J1688">
        <f t="shared" ca="1" si="132"/>
        <v>0</v>
      </c>
      <c r="K1688">
        <f t="shared" ca="1" si="133"/>
        <v>0</v>
      </c>
      <c r="L1688" s="65">
        <v>1682</v>
      </c>
      <c r="M1688" s="71">
        <f t="shared" ca="1" si="134"/>
        <v>6.3513240057243223</v>
      </c>
      <c r="N1688" s="65"/>
    </row>
    <row r="1689" spans="1:14" x14ac:dyDescent="0.25">
      <c r="A1689" s="2">
        <v>1683</v>
      </c>
      <c r="B1689" s="11">
        <f t="shared" ca="1" si="131"/>
        <v>0</v>
      </c>
      <c r="C1689" s="26">
        <f t="shared" ca="1" si="135"/>
        <v>0.79966487786820151</v>
      </c>
      <c r="J1689">
        <f t="shared" ca="1" si="132"/>
        <v>0</v>
      </c>
      <c r="K1689">
        <f t="shared" ca="1" si="133"/>
        <v>1</v>
      </c>
      <c r="L1689" s="65">
        <v>1683</v>
      </c>
      <c r="M1689" s="71">
        <f t="shared" ca="1" si="134"/>
        <v>0</v>
      </c>
      <c r="N1689" s="65"/>
    </row>
    <row r="1690" spans="1:14" x14ac:dyDescent="0.25">
      <c r="A1690" s="2">
        <v>1684</v>
      </c>
      <c r="B1690" s="11">
        <f t="shared" ca="1" si="131"/>
        <v>0</v>
      </c>
      <c r="C1690" s="26">
        <f t="shared" ca="1" si="135"/>
        <v>0.40686888764353346</v>
      </c>
      <c r="J1690">
        <f t="shared" ca="1" si="132"/>
        <v>0</v>
      </c>
      <c r="K1690">
        <f t="shared" ca="1" si="133"/>
        <v>1</v>
      </c>
      <c r="L1690" s="65">
        <v>1684</v>
      </c>
      <c r="M1690" s="71">
        <f t="shared" ca="1" si="134"/>
        <v>0</v>
      </c>
      <c r="N1690" s="65"/>
    </row>
    <row r="1691" spans="1:14" x14ac:dyDescent="0.25">
      <c r="A1691" s="2">
        <v>1685</v>
      </c>
      <c r="B1691" s="11">
        <f t="shared" ca="1" si="131"/>
        <v>0</v>
      </c>
      <c r="C1691" s="26">
        <f t="shared" ca="1" si="135"/>
        <v>0.72128662685011813</v>
      </c>
      <c r="J1691">
        <f t="shared" ca="1" si="132"/>
        <v>0</v>
      </c>
      <c r="K1691">
        <f t="shared" ca="1" si="133"/>
        <v>0</v>
      </c>
      <c r="L1691" s="65">
        <v>1685</v>
      </c>
      <c r="M1691" s="71">
        <f t="shared" ca="1" si="134"/>
        <v>0</v>
      </c>
      <c r="N1691" s="65"/>
    </row>
    <row r="1692" spans="1:14" x14ac:dyDescent="0.25">
      <c r="A1692" s="2">
        <v>1686</v>
      </c>
      <c r="B1692" s="11">
        <f t="shared" ca="1" si="131"/>
        <v>1</v>
      </c>
      <c r="C1692" s="26">
        <f t="shared" ca="1" si="135"/>
        <v>0.26265513723055534</v>
      </c>
      <c r="J1692">
        <f t="shared" ca="1" si="132"/>
        <v>0</v>
      </c>
      <c r="K1692">
        <f t="shared" ca="1" si="133"/>
        <v>0</v>
      </c>
      <c r="L1692" s="65">
        <v>1686</v>
      </c>
      <c r="M1692" s="71">
        <f t="shared" ca="1" si="134"/>
        <v>0.51768503350388262</v>
      </c>
      <c r="N1692" s="65"/>
    </row>
    <row r="1693" spans="1:14" x14ac:dyDescent="0.25">
      <c r="A1693" s="2">
        <v>1687</v>
      </c>
      <c r="B1693" s="11">
        <f t="shared" ca="1" si="131"/>
        <v>0</v>
      </c>
      <c r="C1693" s="26">
        <f t="shared" ca="1" si="135"/>
        <v>0.94919309273767205</v>
      </c>
      <c r="J1693">
        <f t="shared" ca="1" si="132"/>
        <v>0</v>
      </c>
      <c r="K1693">
        <f t="shared" ca="1" si="133"/>
        <v>1</v>
      </c>
      <c r="L1693" s="65">
        <v>1687</v>
      </c>
      <c r="M1693" s="71">
        <f t="shared" ca="1" si="134"/>
        <v>0</v>
      </c>
      <c r="N1693" s="65"/>
    </row>
    <row r="1694" spans="1:14" x14ac:dyDescent="0.25">
      <c r="A1694" s="2">
        <v>1688</v>
      </c>
      <c r="B1694" s="11">
        <f t="shared" ca="1" si="131"/>
        <v>0</v>
      </c>
      <c r="C1694" s="26">
        <f t="shared" ca="1" si="135"/>
        <v>0.40034752612214264</v>
      </c>
      <c r="J1694">
        <f t="shared" ca="1" si="132"/>
        <v>0</v>
      </c>
      <c r="K1694">
        <f t="shared" ca="1" si="133"/>
        <v>1</v>
      </c>
      <c r="L1694" s="65">
        <v>1688</v>
      </c>
      <c r="M1694" s="71">
        <f t="shared" ca="1" si="134"/>
        <v>0</v>
      </c>
      <c r="N1694" s="65"/>
    </row>
    <row r="1695" spans="1:14" x14ac:dyDescent="0.25">
      <c r="A1695" s="2">
        <v>1689</v>
      </c>
      <c r="B1695" s="11">
        <f t="shared" ca="1" si="131"/>
        <v>0</v>
      </c>
      <c r="C1695" s="26">
        <f t="shared" ca="1" si="135"/>
        <v>0.53567459021430597</v>
      </c>
      <c r="J1695">
        <f t="shared" ca="1" si="132"/>
        <v>0</v>
      </c>
      <c r="K1695">
        <f t="shared" ca="1" si="133"/>
        <v>1</v>
      </c>
      <c r="L1695" s="65">
        <v>1689</v>
      </c>
      <c r="M1695" s="71">
        <f t="shared" ca="1" si="134"/>
        <v>0</v>
      </c>
      <c r="N1695" s="65"/>
    </row>
    <row r="1696" spans="1:14" x14ac:dyDescent="0.25">
      <c r="A1696" s="2">
        <v>1690</v>
      </c>
      <c r="B1696" s="11">
        <f t="shared" ca="1" si="131"/>
        <v>0</v>
      </c>
      <c r="C1696" s="26">
        <f t="shared" ca="1" si="135"/>
        <v>0.56046518556807079</v>
      </c>
      <c r="J1696">
        <f t="shared" ca="1" si="132"/>
        <v>0</v>
      </c>
      <c r="K1696">
        <f t="shared" ca="1" si="133"/>
        <v>1</v>
      </c>
      <c r="L1696" s="65">
        <v>1690</v>
      </c>
      <c r="M1696" s="71">
        <f t="shared" ca="1" si="134"/>
        <v>0</v>
      </c>
      <c r="N1696" s="65"/>
    </row>
    <row r="1697" spans="1:14" x14ac:dyDescent="0.25">
      <c r="A1697" s="2">
        <v>1691</v>
      </c>
      <c r="B1697" s="11">
        <f t="shared" ca="1" si="131"/>
        <v>0</v>
      </c>
      <c r="C1697" s="26">
        <f t="shared" ca="1" si="135"/>
        <v>0.60076162456710924</v>
      </c>
      <c r="J1697">
        <f t="shared" ca="1" si="132"/>
        <v>0</v>
      </c>
      <c r="K1697">
        <f t="shared" ca="1" si="133"/>
        <v>1</v>
      </c>
      <c r="L1697" s="65">
        <v>1691</v>
      </c>
      <c r="M1697" s="71">
        <f t="shared" ca="1" si="134"/>
        <v>0</v>
      </c>
      <c r="N1697" s="65"/>
    </row>
    <row r="1698" spans="1:14" x14ac:dyDescent="0.25">
      <c r="A1698" s="2">
        <v>1692</v>
      </c>
      <c r="B1698" s="11">
        <f t="shared" ca="1" si="131"/>
        <v>0</v>
      </c>
      <c r="C1698" s="26">
        <f t="shared" ca="1" si="135"/>
        <v>0.48164670046861013</v>
      </c>
      <c r="J1698">
        <f t="shared" ca="1" si="132"/>
        <v>0</v>
      </c>
      <c r="K1698">
        <f t="shared" ca="1" si="133"/>
        <v>1</v>
      </c>
      <c r="L1698" s="65">
        <v>1692</v>
      </c>
      <c r="M1698" s="71">
        <f t="shared" ca="1" si="134"/>
        <v>0</v>
      </c>
      <c r="N1698" s="65"/>
    </row>
    <row r="1699" spans="1:14" x14ac:dyDescent="0.25">
      <c r="A1699" s="2">
        <v>1693</v>
      </c>
      <c r="B1699" s="11">
        <f t="shared" ca="1" si="131"/>
        <v>0</v>
      </c>
      <c r="C1699" s="26">
        <f t="shared" ca="1" si="135"/>
        <v>0.83628555240832037</v>
      </c>
      <c r="J1699">
        <f t="shared" ca="1" si="132"/>
        <v>0</v>
      </c>
      <c r="K1699">
        <f t="shared" ca="1" si="133"/>
        <v>1</v>
      </c>
      <c r="L1699" s="65">
        <v>1693</v>
      </c>
      <c r="M1699" s="71">
        <f t="shared" ca="1" si="134"/>
        <v>0</v>
      </c>
      <c r="N1699" s="65"/>
    </row>
    <row r="1700" spans="1:14" x14ac:dyDescent="0.25">
      <c r="A1700" s="2">
        <v>1694</v>
      </c>
      <c r="B1700" s="11">
        <f t="shared" ca="1" si="131"/>
        <v>0</v>
      </c>
      <c r="C1700" s="26">
        <f t="shared" ca="1" si="135"/>
        <v>0.53992324931782099</v>
      </c>
      <c r="J1700">
        <f t="shared" ca="1" si="132"/>
        <v>0</v>
      </c>
      <c r="K1700">
        <f t="shared" ca="1" si="133"/>
        <v>0</v>
      </c>
      <c r="L1700" s="65">
        <v>1694</v>
      </c>
      <c r="M1700" s="71">
        <f t="shared" ca="1" si="134"/>
        <v>0</v>
      </c>
      <c r="N1700" s="65"/>
    </row>
    <row r="1701" spans="1:14" x14ac:dyDescent="0.25">
      <c r="A1701" s="2">
        <v>1695</v>
      </c>
      <c r="B1701" s="11">
        <f t="shared" ca="1" si="131"/>
        <v>1</v>
      </c>
      <c r="C1701" s="26">
        <f t="shared" ca="1" si="135"/>
        <v>2.6454217375187494E-2</v>
      </c>
      <c r="J1701">
        <f t="shared" ca="1" si="132"/>
        <v>1</v>
      </c>
      <c r="K1701">
        <f t="shared" ca="1" si="133"/>
        <v>0</v>
      </c>
      <c r="L1701" s="65">
        <v>1695</v>
      </c>
      <c r="M1701" s="71">
        <f t="shared" ca="1" si="134"/>
        <v>0.51711938464543905</v>
      </c>
      <c r="N1701" s="65"/>
    </row>
    <row r="1702" spans="1:14" x14ac:dyDescent="0.25">
      <c r="A1702" s="2">
        <v>1696</v>
      </c>
      <c r="B1702" s="11">
        <f t="shared" ca="1" si="131"/>
        <v>1</v>
      </c>
      <c r="C1702" s="26">
        <f t="shared" ca="1" si="135"/>
        <v>6.0558132426529965E-2</v>
      </c>
      <c r="J1702">
        <f t="shared" ca="1" si="132"/>
        <v>1</v>
      </c>
      <c r="K1702">
        <f t="shared" ca="1" si="133"/>
        <v>0</v>
      </c>
      <c r="L1702" s="65">
        <v>1696</v>
      </c>
      <c r="M1702" s="71">
        <f t="shared" ca="1" si="134"/>
        <v>2.4440562501288513E-2</v>
      </c>
      <c r="N1702" s="65"/>
    </row>
    <row r="1703" spans="1:14" x14ac:dyDescent="0.25">
      <c r="A1703" s="2">
        <v>1697</v>
      </c>
      <c r="B1703" s="11">
        <f t="shared" ca="1" si="131"/>
        <v>1</v>
      </c>
      <c r="C1703" s="26">
        <f t="shared" ca="1" si="135"/>
        <v>0.1032890359767823</v>
      </c>
      <c r="J1703">
        <f t="shared" ca="1" si="132"/>
        <v>0</v>
      </c>
      <c r="K1703">
        <f t="shared" ca="1" si="133"/>
        <v>0</v>
      </c>
      <c r="L1703" s="65">
        <v>1697</v>
      </c>
      <c r="M1703" s="71">
        <f t="shared" ca="1" si="134"/>
        <v>5.6382638034110331</v>
      </c>
      <c r="N1703" s="65"/>
    </row>
    <row r="1704" spans="1:14" x14ac:dyDescent="0.25">
      <c r="A1704" s="2">
        <v>1698</v>
      </c>
      <c r="B1704" s="11">
        <f t="shared" ca="1" si="131"/>
        <v>0</v>
      </c>
      <c r="C1704" s="26">
        <f t="shared" ca="1" si="135"/>
        <v>0.88285738387146229</v>
      </c>
      <c r="J1704">
        <f t="shared" ca="1" si="132"/>
        <v>0</v>
      </c>
      <c r="K1704">
        <f t="shared" ca="1" si="133"/>
        <v>0</v>
      </c>
      <c r="L1704" s="65">
        <v>1698</v>
      </c>
      <c r="M1704" s="71">
        <f t="shared" ca="1" si="134"/>
        <v>0</v>
      </c>
      <c r="N1704" s="65"/>
    </row>
    <row r="1705" spans="1:14" x14ac:dyDescent="0.25">
      <c r="A1705" s="2">
        <v>1699</v>
      </c>
      <c r="B1705" s="11">
        <f t="shared" ca="1" si="131"/>
        <v>1</v>
      </c>
      <c r="C1705" s="26">
        <f t="shared" ca="1" si="135"/>
        <v>0.34783683545478494</v>
      </c>
      <c r="J1705">
        <f t="shared" ca="1" si="132"/>
        <v>1</v>
      </c>
      <c r="K1705">
        <f t="shared" ca="1" si="133"/>
        <v>0</v>
      </c>
      <c r="L1705" s="65">
        <v>1699</v>
      </c>
      <c r="M1705" s="71">
        <f t="shared" ca="1" si="134"/>
        <v>1.3625888963743884</v>
      </c>
      <c r="N1705" s="65"/>
    </row>
    <row r="1706" spans="1:14" x14ac:dyDescent="0.25">
      <c r="A1706" s="2">
        <v>1700</v>
      </c>
      <c r="B1706" s="11">
        <f t="shared" ca="1" si="131"/>
        <v>1</v>
      </c>
      <c r="C1706" s="26">
        <f t="shared" ca="1" si="135"/>
        <v>0.55393744868793138</v>
      </c>
      <c r="J1706">
        <f t="shared" ca="1" si="132"/>
        <v>0</v>
      </c>
      <c r="K1706">
        <f t="shared" ca="1" si="133"/>
        <v>0</v>
      </c>
      <c r="L1706" s="65">
        <v>1700</v>
      </c>
      <c r="M1706" s="71">
        <f t="shared" ca="1" si="134"/>
        <v>0.81686876953839138</v>
      </c>
      <c r="N1706" s="65"/>
    </row>
    <row r="1707" spans="1:14" x14ac:dyDescent="0.25">
      <c r="A1707" s="2">
        <v>1701</v>
      </c>
      <c r="B1707" s="11">
        <f t="shared" ca="1" si="131"/>
        <v>0</v>
      </c>
      <c r="C1707" s="26">
        <f t="shared" ca="1" si="135"/>
        <v>0.79926640284514461</v>
      </c>
      <c r="J1707">
        <f t="shared" ca="1" si="132"/>
        <v>0</v>
      </c>
      <c r="K1707">
        <f t="shared" ca="1" si="133"/>
        <v>1</v>
      </c>
      <c r="L1707" s="65">
        <v>1701</v>
      </c>
      <c r="M1707" s="71">
        <f t="shared" ca="1" si="134"/>
        <v>0</v>
      </c>
      <c r="N1707" s="65"/>
    </row>
    <row r="1708" spans="1:14" x14ac:dyDescent="0.25">
      <c r="A1708" s="2">
        <v>1702</v>
      </c>
      <c r="B1708" s="11">
        <f t="shared" ca="1" si="131"/>
        <v>0</v>
      </c>
      <c r="C1708" s="26">
        <f t="shared" ca="1" si="135"/>
        <v>0.8541685138384093</v>
      </c>
      <c r="J1708">
        <f t="shared" ca="1" si="132"/>
        <v>0</v>
      </c>
      <c r="K1708">
        <f t="shared" ca="1" si="133"/>
        <v>1</v>
      </c>
      <c r="L1708" s="65">
        <v>1702</v>
      </c>
      <c r="M1708" s="71">
        <f t="shared" ca="1" si="134"/>
        <v>0</v>
      </c>
      <c r="N1708" s="65"/>
    </row>
    <row r="1709" spans="1:14" x14ac:dyDescent="0.25">
      <c r="A1709" s="2">
        <v>1703</v>
      </c>
      <c r="B1709" s="11">
        <f t="shared" ca="1" si="131"/>
        <v>0</v>
      </c>
      <c r="C1709" s="26">
        <f t="shared" ca="1" si="135"/>
        <v>0.42254009492179079</v>
      </c>
      <c r="J1709">
        <f t="shared" ca="1" si="132"/>
        <v>0</v>
      </c>
      <c r="K1709">
        <f t="shared" ca="1" si="133"/>
        <v>1</v>
      </c>
      <c r="L1709" s="65">
        <v>1703</v>
      </c>
      <c r="M1709" s="71">
        <f t="shared" ca="1" si="134"/>
        <v>0</v>
      </c>
      <c r="N1709" s="65"/>
    </row>
    <row r="1710" spans="1:14" x14ac:dyDescent="0.25">
      <c r="A1710" s="2">
        <v>1704</v>
      </c>
      <c r="B1710" s="11">
        <f t="shared" ca="1" si="131"/>
        <v>0</v>
      </c>
      <c r="C1710" s="26">
        <f t="shared" ca="1" si="135"/>
        <v>0.88779105695940075</v>
      </c>
      <c r="J1710">
        <f t="shared" ca="1" si="132"/>
        <v>0</v>
      </c>
      <c r="K1710">
        <f t="shared" ca="1" si="133"/>
        <v>1</v>
      </c>
      <c r="L1710" s="65">
        <v>1704</v>
      </c>
      <c r="M1710" s="71">
        <f t="shared" ca="1" si="134"/>
        <v>0</v>
      </c>
      <c r="N1710" s="65"/>
    </row>
    <row r="1711" spans="1:14" x14ac:dyDescent="0.25">
      <c r="A1711" s="2">
        <v>1705</v>
      </c>
      <c r="B1711" s="11">
        <f t="shared" ref="B1711:B1774" ca="1" si="136">IF(B1710&gt;0,IF(C1711&lt;pww,1,0),IF(C1711&lt;pdw,1,0))</f>
        <v>0</v>
      </c>
      <c r="C1711" s="26">
        <f t="shared" ca="1" si="135"/>
        <v>0.43471829261044392</v>
      </c>
      <c r="J1711">
        <f t="shared" ref="J1711:J1774" ca="1" si="137">IF(AND(B1711,B1712),1,0)</f>
        <v>0</v>
      </c>
      <c r="K1711">
        <f t="shared" ref="K1711:K1774" ca="1" si="138">IF(AND(NOT(B1711),NOT(B1712)),1,0)</f>
        <v>0</v>
      </c>
      <c r="L1711" s="65">
        <v>1705</v>
      </c>
      <c r="M1711" s="71">
        <f t="shared" ca="1" si="134"/>
        <v>0</v>
      </c>
      <c r="N1711" s="65"/>
    </row>
    <row r="1712" spans="1:14" x14ac:dyDescent="0.25">
      <c r="A1712" s="2">
        <v>1706</v>
      </c>
      <c r="B1712" s="11">
        <f t="shared" ca="1" si="136"/>
        <v>1</v>
      </c>
      <c r="C1712" s="26">
        <f t="shared" ca="1" si="135"/>
        <v>0.16217659420217811</v>
      </c>
      <c r="J1712">
        <f t="shared" ca="1" si="137"/>
        <v>1</v>
      </c>
      <c r="K1712">
        <f t="shared" ca="1" si="138"/>
        <v>0</v>
      </c>
      <c r="L1712" s="65">
        <v>1706</v>
      </c>
      <c r="M1712" s="71">
        <f t="shared" ca="1" si="134"/>
        <v>2.0229824309951785</v>
      </c>
      <c r="N1712" s="65"/>
    </row>
    <row r="1713" spans="1:14" x14ac:dyDescent="0.25">
      <c r="A1713" s="2">
        <v>1707</v>
      </c>
      <c r="B1713" s="11">
        <f t="shared" ca="1" si="136"/>
        <v>1</v>
      </c>
      <c r="C1713" s="26">
        <f t="shared" ca="1" si="135"/>
        <v>0.19095521332958665</v>
      </c>
      <c r="J1713">
        <f t="shared" ca="1" si="137"/>
        <v>1</v>
      </c>
      <c r="K1713">
        <f t="shared" ca="1" si="138"/>
        <v>0</v>
      </c>
      <c r="L1713" s="65">
        <v>1707</v>
      </c>
      <c r="M1713" s="71">
        <f t="shared" ca="1" si="134"/>
        <v>4.4828981692689149</v>
      </c>
      <c r="N1713" s="65"/>
    </row>
    <row r="1714" spans="1:14" x14ac:dyDescent="0.25">
      <c r="A1714" s="2">
        <v>1708</v>
      </c>
      <c r="B1714" s="11">
        <f t="shared" ca="1" si="136"/>
        <v>1</v>
      </c>
      <c r="C1714" s="26">
        <f t="shared" ca="1" si="135"/>
        <v>0.31702947557435601</v>
      </c>
      <c r="J1714">
        <f t="shared" ca="1" si="137"/>
        <v>1</v>
      </c>
      <c r="K1714">
        <f t="shared" ca="1" si="138"/>
        <v>0</v>
      </c>
      <c r="L1714" s="65">
        <v>1708</v>
      </c>
      <c r="M1714" s="71">
        <f t="shared" ca="1" si="134"/>
        <v>0.58242205810451109</v>
      </c>
      <c r="N1714" s="65"/>
    </row>
    <row r="1715" spans="1:14" x14ac:dyDescent="0.25">
      <c r="A1715" s="2">
        <v>1709</v>
      </c>
      <c r="B1715" s="11">
        <f t="shared" ca="1" si="136"/>
        <v>1</v>
      </c>
      <c r="C1715" s="26">
        <f t="shared" ca="1" si="135"/>
        <v>0.6704772290561356</v>
      </c>
      <c r="J1715">
        <f t="shared" ca="1" si="137"/>
        <v>1</v>
      </c>
      <c r="K1715">
        <f t="shared" ca="1" si="138"/>
        <v>0</v>
      </c>
      <c r="L1715" s="65">
        <v>1709</v>
      </c>
      <c r="M1715" s="71">
        <f t="shared" ca="1" si="134"/>
        <v>1.7348336943794149</v>
      </c>
      <c r="N1715" s="65"/>
    </row>
    <row r="1716" spans="1:14" x14ac:dyDescent="0.25">
      <c r="A1716" s="2">
        <v>1710</v>
      </c>
      <c r="B1716" s="11">
        <f t="shared" ca="1" si="136"/>
        <v>1</v>
      </c>
      <c r="C1716" s="26">
        <f t="shared" ca="1" si="135"/>
        <v>0.15663974073972586</v>
      </c>
      <c r="J1716">
        <f t="shared" ca="1" si="137"/>
        <v>1</v>
      </c>
      <c r="K1716">
        <f t="shared" ca="1" si="138"/>
        <v>0</v>
      </c>
      <c r="L1716" s="65">
        <v>1710</v>
      </c>
      <c r="M1716" s="71">
        <f t="shared" ca="1" si="134"/>
        <v>4.3486333404113582</v>
      </c>
      <c r="N1716" s="65"/>
    </row>
    <row r="1717" spans="1:14" x14ac:dyDescent="0.25">
      <c r="A1717" s="2">
        <v>1711</v>
      </c>
      <c r="B1717" s="11">
        <f t="shared" ca="1" si="136"/>
        <v>1</v>
      </c>
      <c r="C1717" s="26">
        <f t="shared" ca="1" si="135"/>
        <v>0.51532842191057948</v>
      </c>
      <c r="J1717">
        <f t="shared" ca="1" si="137"/>
        <v>1</v>
      </c>
      <c r="K1717">
        <f t="shared" ca="1" si="138"/>
        <v>0</v>
      </c>
      <c r="L1717" s="65">
        <v>1711</v>
      </c>
      <c r="M1717" s="71">
        <f t="shared" ca="1" si="134"/>
        <v>1.7533051257968482</v>
      </c>
      <c r="N1717" s="65"/>
    </row>
    <row r="1718" spans="1:14" x14ac:dyDescent="0.25">
      <c r="A1718" s="2">
        <v>1712</v>
      </c>
      <c r="B1718" s="11">
        <f t="shared" ca="1" si="136"/>
        <v>1</v>
      </c>
      <c r="C1718" s="26">
        <f t="shared" ca="1" si="135"/>
        <v>0.72717403893930221</v>
      </c>
      <c r="J1718">
        <f t="shared" ca="1" si="137"/>
        <v>1</v>
      </c>
      <c r="K1718">
        <f t="shared" ca="1" si="138"/>
        <v>0</v>
      </c>
      <c r="L1718" s="65">
        <v>1712</v>
      </c>
      <c r="M1718" s="71">
        <f t="shared" ca="1" si="134"/>
        <v>3.4751825564909899</v>
      </c>
      <c r="N1718" s="65"/>
    </row>
    <row r="1719" spans="1:14" x14ac:dyDescent="0.25">
      <c r="A1719" s="2">
        <v>1713</v>
      </c>
      <c r="B1719" s="11">
        <f t="shared" ca="1" si="136"/>
        <v>1</v>
      </c>
      <c r="C1719" s="26">
        <f t="shared" ca="1" si="135"/>
        <v>0.27008102851524207</v>
      </c>
      <c r="J1719">
        <f t="shared" ca="1" si="137"/>
        <v>1</v>
      </c>
      <c r="K1719">
        <f t="shared" ca="1" si="138"/>
        <v>0</v>
      </c>
      <c r="L1719" s="65">
        <v>1713</v>
      </c>
      <c r="M1719" s="71">
        <f t="shared" ca="1" si="134"/>
        <v>8.1594935132833477</v>
      </c>
      <c r="N1719" s="65"/>
    </row>
    <row r="1720" spans="1:14" x14ac:dyDescent="0.25">
      <c r="A1720" s="2">
        <v>1714</v>
      </c>
      <c r="B1720" s="11">
        <f t="shared" ca="1" si="136"/>
        <v>1</v>
      </c>
      <c r="C1720" s="26">
        <f t="shared" ca="1" si="135"/>
        <v>0.66879969577922083</v>
      </c>
      <c r="J1720">
        <f t="shared" ca="1" si="137"/>
        <v>0</v>
      </c>
      <c r="K1720">
        <f t="shared" ca="1" si="138"/>
        <v>0</v>
      </c>
      <c r="L1720" s="65">
        <v>1714</v>
      </c>
      <c r="M1720" s="71">
        <f t="shared" ca="1" si="134"/>
        <v>4.1521529563732775</v>
      </c>
      <c r="N1720" s="65"/>
    </row>
    <row r="1721" spans="1:14" x14ac:dyDescent="0.25">
      <c r="A1721" s="2">
        <v>1715</v>
      </c>
      <c r="B1721" s="11">
        <f t="shared" ca="1" si="136"/>
        <v>0</v>
      </c>
      <c r="C1721" s="26">
        <f t="shared" ca="1" si="135"/>
        <v>0.87002538715204292</v>
      </c>
      <c r="J1721">
        <f t="shared" ca="1" si="137"/>
        <v>0</v>
      </c>
      <c r="K1721">
        <f t="shared" ca="1" si="138"/>
        <v>0</v>
      </c>
      <c r="L1721" s="65">
        <v>1715</v>
      </c>
      <c r="M1721" s="71">
        <f t="shared" ca="1" si="134"/>
        <v>0</v>
      </c>
      <c r="N1721" s="65"/>
    </row>
    <row r="1722" spans="1:14" x14ac:dyDescent="0.25">
      <c r="A1722" s="2">
        <v>1716</v>
      </c>
      <c r="B1722" s="11">
        <f t="shared" ca="1" si="136"/>
        <v>1</v>
      </c>
      <c r="C1722" s="26">
        <f t="shared" ca="1" si="135"/>
        <v>1.8969115785394175E-2</v>
      </c>
      <c r="J1722">
        <f t="shared" ca="1" si="137"/>
        <v>0</v>
      </c>
      <c r="K1722">
        <f t="shared" ca="1" si="138"/>
        <v>0</v>
      </c>
      <c r="L1722" s="65">
        <v>1716</v>
      </c>
      <c r="M1722" s="71">
        <f t="shared" ca="1" si="134"/>
        <v>5.5119534286703908</v>
      </c>
      <c r="N1722" s="65"/>
    </row>
    <row r="1723" spans="1:14" x14ac:dyDescent="0.25">
      <c r="A1723" s="2">
        <v>1717</v>
      </c>
      <c r="B1723" s="11">
        <f t="shared" ca="1" si="136"/>
        <v>0</v>
      </c>
      <c r="C1723" s="26">
        <f t="shared" ca="1" si="135"/>
        <v>0.90853518473236694</v>
      </c>
      <c r="J1723">
        <f t="shared" ca="1" si="137"/>
        <v>0</v>
      </c>
      <c r="K1723">
        <f t="shared" ca="1" si="138"/>
        <v>1</v>
      </c>
      <c r="L1723" s="65">
        <v>1717</v>
      </c>
      <c r="M1723" s="71">
        <f t="shared" ca="1" si="134"/>
        <v>0</v>
      </c>
      <c r="N1723" s="65"/>
    </row>
    <row r="1724" spans="1:14" x14ac:dyDescent="0.25">
      <c r="A1724" s="2">
        <v>1718</v>
      </c>
      <c r="B1724" s="11">
        <f t="shared" ca="1" si="136"/>
        <v>0</v>
      </c>
      <c r="C1724" s="26">
        <f t="shared" ca="1" si="135"/>
        <v>0.99518458976272428</v>
      </c>
      <c r="J1724">
        <f t="shared" ca="1" si="137"/>
        <v>0</v>
      </c>
      <c r="K1724">
        <f t="shared" ca="1" si="138"/>
        <v>0</v>
      </c>
      <c r="L1724" s="65">
        <v>1718</v>
      </c>
      <c r="M1724" s="71">
        <f t="shared" ca="1" si="134"/>
        <v>0</v>
      </c>
      <c r="N1724" s="65"/>
    </row>
    <row r="1725" spans="1:14" x14ac:dyDescent="0.25">
      <c r="A1725" s="2">
        <v>1719</v>
      </c>
      <c r="B1725" s="11">
        <f t="shared" ca="1" si="136"/>
        <v>1</v>
      </c>
      <c r="C1725" s="26">
        <f t="shared" ca="1" si="135"/>
        <v>0.36231412202419999</v>
      </c>
      <c r="J1725">
        <f t="shared" ca="1" si="137"/>
        <v>1</v>
      </c>
      <c r="K1725">
        <f t="shared" ca="1" si="138"/>
        <v>0</v>
      </c>
      <c r="L1725" s="65">
        <v>1719</v>
      </c>
      <c r="M1725" s="71">
        <f t="shared" ca="1" si="134"/>
        <v>0.13182503697739892</v>
      </c>
      <c r="N1725" s="65"/>
    </row>
    <row r="1726" spans="1:14" x14ac:dyDescent="0.25">
      <c r="A1726" s="2">
        <v>1720</v>
      </c>
      <c r="B1726" s="11">
        <f t="shared" ca="1" si="136"/>
        <v>1</v>
      </c>
      <c r="C1726" s="26">
        <f t="shared" ca="1" si="135"/>
        <v>0.36135699124287202</v>
      </c>
      <c r="J1726">
        <f t="shared" ca="1" si="137"/>
        <v>1</v>
      </c>
      <c r="K1726">
        <f t="shared" ca="1" si="138"/>
        <v>0</v>
      </c>
      <c r="L1726" s="65">
        <v>1720</v>
      </c>
      <c r="M1726" s="71">
        <f t="shared" ca="1" si="134"/>
        <v>3.4656623168779821</v>
      </c>
      <c r="N1726" s="65"/>
    </row>
    <row r="1727" spans="1:14" x14ac:dyDescent="0.25">
      <c r="A1727" s="2">
        <v>1721</v>
      </c>
      <c r="B1727" s="11">
        <f t="shared" ca="1" si="136"/>
        <v>1</v>
      </c>
      <c r="C1727" s="26">
        <f t="shared" ca="1" si="135"/>
        <v>2.3535686508391884E-2</v>
      </c>
      <c r="J1727">
        <f t="shared" ca="1" si="137"/>
        <v>1</v>
      </c>
      <c r="K1727">
        <f t="shared" ca="1" si="138"/>
        <v>0</v>
      </c>
      <c r="L1727" s="65">
        <v>1721</v>
      </c>
      <c r="M1727" s="71">
        <f t="shared" ca="1" si="134"/>
        <v>12.096082059802752</v>
      </c>
      <c r="N1727" s="65"/>
    </row>
    <row r="1728" spans="1:14" x14ac:dyDescent="0.25">
      <c r="A1728" s="2">
        <v>1722</v>
      </c>
      <c r="B1728" s="11">
        <f t="shared" ca="1" si="136"/>
        <v>1</v>
      </c>
      <c r="C1728" s="26">
        <f t="shared" ca="1" si="135"/>
        <v>0.71498967237935784</v>
      </c>
      <c r="J1728">
        <f t="shared" ca="1" si="137"/>
        <v>1</v>
      </c>
      <c r="K1728">
        <f t="shared" ca="1" si="138"/>
        <v>0</v>
      </c>
      <c r="L1728" s="65">
        <v>1722</v>
      </c>
      <c r="M1728" s="71">
        <f t="shared" ca="1" si="134"/>
        <v>2.8230180292228435</v>
      </c>
      <c r="N1728" s="65"/>
    </row>
    <row r="1729" spans="1:14" x14ac:dyDescent="0.25">
      <c r="A1729" s="2">
        <v>1723</v>
      </c>
      <c r="B1729" s="11">
        <f t="shared" ca="1" si="136"/>
        <v>1</v>
      </c>
      <c r="C1729" s="26">
        <f t="shared" ca="1" si="135"/>
        <v>0.34171834547593904</v>
      </c>
      <c r="J1729">
        <f t="shared" ca="1" si="137"/>
        <v>1</v>
      </c>
      <c r="K1729">
        <f t="shared" ca="1" si="138"/>
        <v>0</v>
      </c>
      <c r="L1729" s="65">
        <v>1723</v>
      </c>
      <c r="M1729" s="71">
        <f t="shared" ca="1" si="134"/>
        <v>0.88367626585760806</v>
      </c>
      <c r="N1729" s="65"/>
    </row>
    <row r="1730" spans="1:14" x14ac:dyDescent="0.25">
      <c r="A1730" s="2">
        <v>1724</v>
      </c>
      <c r="B1730" s="11">
        <f t="shared" ca="1" si="136"/>
        <v>1</v>
      </c>
      <c r="C1730" s="26">
        <f t="shared" ca="1" si="135"/>
        <v>0.50703202910107781</v>
      </c>
      <c r="J1730">
        <f t="shared" ca="1" si="137"/>
        <v>1</v>
      </c>
      <c r="K1730">
        <f t="shared" ca="1" si="138"/>
        <v>0</v>
      </c>
      <c r="L1730" s="65">
        <v>1724</v>
      </c>
      <c r="M1730" s="71">
        <f t="shared" ca="1" si="134"/>
        <v>0.74478803007521788</v>
      </c>
      <c r="N1730" s="65"/>
    </row>
    <row r="1731" spans="1:14" x14ac:dyDescent="0.25">
      <c r="A1731" s="2">
        <v>1725</v>
      </c>
      <c r="B1731" s="11">
        <f t="shared" ca="1" si="136"/>
        <v>1</v>
      </c>
      <c r="C1731" s="26">
        <f t="shared" ca="1" si="135"/>
        <v>3.6368343328875175E-2</v>
      </c>
      <c r="J1731">
        <f t="shared" ca="1" si="137"/>
        <v>1</v>
      </c>
      <c r="K1731">
        <f t="shared" ca="1" si="138"/>
        <v>0</v>
      </c>
      <c r="L1731" s="65">
        <v>1725</v>
      </c>
      <c r="M1731" s="71">
        <f t="shared" ca="1" si="134"/>
        <v>1.4492288130301278</v>
      </c>
      <c r="N1731" s="65"/>
    </row>
    <row r="1732" spans="1:14" x14ac:dyDescent="0.25">
      <c r="A1732" s="2">
        <v>1726</v>
      </c>
      <c r="B1732" s="11">
        <f t="shared" ca="1" si="136"/>
        <v>1</v>
      </c>
      <c r="C1732" s="26">
        <f t="shared" ca="1" si="135"/>
        <v>0.57142308081918025</v>
      </c>
      <c r="J1732">
        <f t="shared" ca="1" si="137"/>
        <v>1</v>
      </c>
      <c r="K1732">
        <f t="shared" ca="1" si="138"/>
        <v>0</v>
      </c>
      <c r="L1732" s="65">
        <v>1726</v>
      </c>
      <c r="M1732" s="71">
        <f t="shared" ca="1" si="134"/>
        <v>1.9027821492343564E-3</v>
      </c>
      <c r="N1732" s="65"/>
    </row>
    <row r="1733" spans="1:14" x14ac:dyDescent="0.25">
      <c r="A1733" s="2">
        <v>1727</v>
      </c>
      <c r="B1733" s="11">
        <f t="shared" ca="1" si="136"/>
        <v>1</v>
      </c>
      <c r="C1733" s="26">
        <f t="shared" ca="1" si="135"/>
        <v>0.35532405866737815</v>
      </c>
      <c r="J1733">
        <f t="shared" ca="1" si="137"/>
        <v>1</v>
      </c>
      <c r="K1733">
        <f t="shared" ca="1" si="138"/>
        <v>0</v>
      </c>
      <c r="L1733" s="65">
        <v>1727</v>
      </c>
      <c r="M1733" s="71">
        <f t="shared" ca="1" si="134"/>
        <v>4.146708686230399</v>
      </c>
      <c r="N1733" s="65"/>
    </row>
    <row r="1734" spans="1:14" x14ac:dyDescent="0.25">
      <c r="A1734" s="2">
        <v>1728</v>
      </c>
      <c r="B1734" s="11">
        <f t="shared" ca="1" si="136"/>
        <v>1</v>
      </c>
      <c r="C1734" s="26">
        <f t="shared" ca="1" si="135"/>
        <v>0.2598849098421594</v>
      </c>
      <c r="J1734">
        <f t="shared" ca="1" si="137"/>
        <v>1</v>
      </c>
      <c r="K1734">
        <f t="shared" ca="1" si="138"/>
        <v>0</v>
      </c>
      <c r="L1734" s="65">
        <v>1728</v>
      </c>
      <c r="M1734" s="71">
        <f t="shared" ca="1" si="134"/>
        <v>3.0355744250830705</v>
      </c>
      <c r="N1734" s="65"/>
    </row>
    <row r="1735" spans="1:14" x14ac:dyDescent="0.25">
      <c r="A1735" s="2">
        <v>1729</v>
      </c>
      <c r="B1735" s="11">
        <f t="shared" ca="1" si="136"/>
        <v>1</v>
      </c>
      <c r="C1735" s="26">
        <f t="shared" ca="1" si="135"/>
        <v>0.12253583396500189</v>
      </c>
      <c r="J1735">
        <f t="shared" ca="1" si="137"/>
        <v>1</v>
      </c>
      <c r="K1735">
        <f t="shared" ca="1" si="138"/>
        <v>0</v>
      </c>
      <c r="L1735" s="65">
        <v>1729</v>
      </c>
      <c r="M1735" s="71">
        <f t="shared" ref="M1735:M1798" ca="1" si="139">IF(B1735&gt;0,-LN(1-(RAND()))/lambda,0)</f>
        <v>2.4513371693645949</v>
      </c>
      <c r="N1735" s="65"/>
    </row>
    <row r="1736" spans="1:14" x14ac:dyDescent="0.25">
      <c r="A1736" s="2">
        <v>1730</v>
      </c>
      <c r="B1736" s="11">
        <f t="shared" ca="1" si="136"/>
        <v>1</v>
      </c>
      <c r="C1736" s="26">
        <f t="shared" ref="C1736:C1799" ca="1" si="140">RAND()</f>
        <v>0.65505293353254124</v>
      </c>
      <c r="J1736">
        <f t="shared" ca="1" si="137"/>
        <v>1</v>
      </c>
      <c r="K1736">
        <f t="shared" ca="1" si="138"/>
        <v>0</v>
      </c>
      <c r="L1736" s="65">
        <v>1730</v>
      </c>
      <c r="M1736" s="71">
        <f t="shared" ca="1" si="139"/>
        <v>5.1771615651955434E-2</v>
      </c>
      <c r="N1736" s="65"/>
    </row>
    <row r="1737" spans="1:14" x14ac:dyDescent="0.25">
      <c r="A1737" s="2">
        <v>1731</v>
      </c>
      <c r="B1737" s="11">
        <f t="shared" ca="1" si="136"/>
        <v>1</v>
      </c>
      <c r="C1737" s="26">
        <f t="shared" ca="1" si="140"/>
        <v>0.2438550711137808</v>
      </c>
      <c r="J1737">
        <f t="shared" ca="1" si="137"/>
        <v>1</v>
      </c>
      <c r="K1737">
        <f t="shared" ca="1" si="138"/>
        <v>0</v>
      </c>
      <c r="L1737" s="65">
        <v>1731</v>
      </c>
      <c r="M1737" s="71">
        <f t="shared" ca="1" si="139"/>
        <v>8.1138372976269704</v>
      </c>
      <c r="N1737" s="65"/>
    </row>
    <row r="1738" spans="1:14" x14ac:dyDescent="0.25">
      <c r="A1738" s="2">
        <v>1732</v>
      </c>
      <c r="B1738" s="11">
        <f t="shared" ca="1" si="136"/>
        <v>1</v>
      </c>
      <c r="C1738" s="26">
        <f t="shared" ca="1" si="140"/>
        <v>0.39217221897977439</v>
      </c>
      <c r="J1738">
        <f t="shared" ca="1" si="137"/>
        <v>1</v>
      </c>
      <c r="K1738">
        <f t="shared" ca="1" si="138"/>
        <v>0</v>
      </c>
      <c r="L1738" s="65">
        <v>1732</v>
      </c>
      <c r="M1738" s="71">
        <f t="shared" ca="1" si="139"/>
        <v>0.55739092123773037</v>
      </c>
      <c r="N1738" s="65"/>
    </row>
    <row r="1739" spans="1:14" x14ac:dyDescent="0.25">
      <c r="A1739" s="2">
        <v>1733</v>
      </c>
      <c r="B1739" s="11">
        <f t="shared" ca="1" si="136"/>
        <v>1</v>
      </c>
      <c r="C1739" s="26">
        <f t="shared" ca="1" si="140"/>
        <v>0.43153564116138587</v>
      </c>
      <c r="J1739">
        <f t="shared" ca="1" si="137"/>
        <v>1</v>
      </c>
      <c r="K1739">
        <f t="shared" ca="1" si="138"/>
        <v>0</v>
      </c>
      <c r="L1739" s="65">
        <v>1733</v>
      </c>
      <c r="M1739" s="71">
        <f t="shared" ca="1" si="139"/>
        <v>1.987702271101929</v>
      </c>
      <c r="N1739" s="65"/>
    </row>
    <row r="1740" spans="1:14" x14ac:dyDescent="0.25">
      <c r="A1740" s="2">
        <v>1734</v>
      </c>
      <c r="B1740" s="11">
        <f t="shared" ca="1" si="136"/>
        <v>1</v>
      </c>
      <c r="C1740" s="26">
        <f t="shared" ca="1" si="140"/>
        <v>0.50359197447040938</v>
      </c>
      <c r="J1740">
        <f t="shared" ca="1" si="137"/>
        <v>0</v>
      </c>
      <c r="K1740">
        <f t="shared" ca="1" si="138"/>
        <v>0</v>
      </c>
      <c r="L1740" s="65">
        <v>1734</v>
      </c>
      <c r="M1740" s="71">
        <f t="shared" ca="1" si="139"/>
        <v>0.12296131147463135</v>
      </c>
      <c r="N1740" s="65"/>
    </row>
    <row r="1741" spans="1:14" x14ac:dyDescent="0.25">
      <c r="A1741" s="2">
        <v>1735</v>
      </c>
      <c r="B1741" s="11">
        <f t="shared" ca="1" si="136"/>
        <v>0</v>
      </c>
      <c r="C1741" s="26">
        <f t="shared" ca="1" si="140"/>
        <v>0.89594436954074697</v>
      </c>
      <c r="J1741">
        <f t="shared" ca="1" si="137"/>
        <v>0</v>
      </c>
      <c r="K1741">
        <f t="shared" ca="1" si="138"/>
        <v>0</v>
      </c>
      <c r="L1741" s="65">
        <v>1735</v>
      </c>
      <c r="M1741" s="71">
        <f t="shared" ca="1" si="139"/>
        <v>0</v>
      </c>
      <c r="N1741" s="65"/>
    </row>
    <row r="1742" spans="1:14" x14ac:dyDescent="0.25">
      <c r="A1742" s="2">
        <v>1736</v>
      </c>
      <c r="B1742" s="11">
        <f t="shared" ca="1" si="136"/>
        <v>1</v>
      </c>
      <c r="C1742" s="26">
        <f t="shared" ca="1" si="140"/>
        <v>0.18418008126854435</v>
      </c>
      <c r="J1742">
        <f t="shared" ca="1" si="137"/>
        <v>1</v>
      </c>
      <c r="K1742">
        <f t="shared" ca="1" si="138"/>
        <v>0</v>
      </c>
      <c r="L1742" s="65">
        <v>1736</v>
      </c>
      <c r="M1742" s="71">
        <f t="shared" ca="1" si="139"/>
        <v>5.7519156487289553</v>
      </c>
      <c r="N1742" s="65"/>
    </row>
    <row r="1743" spans="1:14" x14ac:dyDescent="0.25">
      <c r="A1743" s="2">
        <v>1737</v>
      </c>
      <c r="B1743" s="11">
        <f t="shared" ca="1" si="136"/>
        <v>1</v>
      </c>
      <c r="C1743" s="26">
        <f t="shared" ca="1" si="140"/>
        <v>0.70255795877022231</v>
      </c>
      <c r="J1743">
        <f t="shared" ca="1" si="137"/>
        <v>1</v>
      </c>
      <c r="K1743">
        <f t="shared" ca="1" si="138"/>
        <v>0</v>
      </c>
      <c r="L1743" s="65">
        <v>1737</v>
      </c>
      <c r="M1743" s="71">
        <f t="shared" ca="1" si="139"/>
        <v>1.7032398964189381</v>
      </c>
      <c r="N1743" s="65"/>
    </row>
    <row r="1744" spans="1:14" x14ac:dyDescent="0.25">
      <c r="A1744" s="2">
        <v>1738</v>
      </c>
      <c r="B1744" s="11">
        <f t="shared" ca="1" si="136"/>
        <v>1</v>
      </c>
      <c r="C1744" s="26">
        <f t="shared" ca="1" si="140"/>
        <v>0.13193213786943658</v>
      </c>
      <c r="J1744">
        <f t="shared" ca="1" si="137"/>
        <v>1</v>
      </c>
      <c r="K1744">
        <f t="shared" ca="1" si="138"/>
        <v>0</v>
      </c>
      <c r="L1744" s="65">
        <v>1738</v>
      </c>
      <c r="M1744" s="71">
        <f t="shared" ca="1" si="139"/>
        <v>4.4928584378341512</v>
      </c>
      <c r="N1744" s="65"/>
    </row>
    <row r="1745" spans="1:14" x14ac:dyDescent="0.25">
      <c r="A1745" s="2">
        <v>1739</v>
      </c>
      <c r="B1745" s="11">
        <f t="shared" ca="1" si="136"/>
        <v>1</v>
      </c>
      <c r="C1745" s="26">
        <f t="shared" ca="1" si="140"/>
        <v>1.563672087354484E-2</v>
      </c>
      <c r="J1745">
        <f t="shared" ca="1" si="137"/>
        <v>0</v>
      </c>
      <c r="K1745">
        <f t="shared" ca="1" si="138"/>
        <v>0</v>
      </c>
      <c r="L1745" s="65">
        <v>1739</v>
      </c>
      <c r="M1745" s="71">
        <f t="shared" ca="1" si="139"/>
        <v>0.26264452652436404</v>
      </c>
      <c r="N1745" s="65"/>
    </row>
    <row r="1746" spans="1:14" x14ac:dyDescent="0.25">
      <c r="A1746" s="2">
        <v>1740</v>
      </c>
      <c r="B1746" s="11">
        <f t="shared" ca="1" si="136"/>
        <v>0</v>
      </c>
      <c r="C1746" s="26">
        <f t="shared" ca="1" si="140"/>
        <v>0.84455701976637376</v>
      </c>
      <c r="J1746">
        <f t="shared" ca="1" si="137"/>
        <v>0</v>
      </c>
      <c r="K1746">
        <f t="shared" ca="1" si="138"/>
        <v>1</v>
      </c>
      <c r="L1746" s="65">
        <v>1740</v>
      </c>
      <c r="M1746" s="71">
        <f t="shared" ca="1" si="139"/>
        <v>0</v>
      </c>
      <c r="N1746" s="65"/>
    </row>
    <row r="1747" spans="1:14" x14ac:dyDescent="0.25">
      <c r="A1747" s="2">
        <v>1741</v>
      </c>
      <c r="B1747" s="11">
        <f t="shared" ca="1" si="136"/>
        <v>0</v>
      </c>
      <c r="C1747" s="26">
        <f t="shared" ca="1" si="140"/>
        <v>0.41314779608604146</v>
      </c>
      <c r="J1747">
        <f t="shared" ca="1" si="137"/>
        <v>0</v>
      </c>
      <c r="K1747">
        <f t="shared" ca="1" si="138"/>
        <v>0</v>
      </c>
      <c r="L1747" s="65">
        <v>1741</v>
      </c>
      <c r="M1747" s="71">
        <f t="shared" ca="1" si="139"/>
        <v>0</v>
      </c>
      <c r="N1747" s="65"/>
    </row>
    <row r="1748" spans="1:14" x14ac:dyDescent="0.25">
      <c r="A1748" s="2">
        <v>1742</v>
      </c>
      <c r="B1748" s="11">
        <f t="shared" ca="1" si="136"/>
        <v>1</v>
      </c>
      <c r="C1748" s="26">
        <f t="shared" ca="1" si="140"/>
        <v>0.22209338671891954</v>
      </c>
      <c r="J1748">
        <f t="shared" ca="1" si="137"/>
        <v>1</v>
      </c>
      <c r="K1748">
        <f t="shared" ca="1" si="138"/>
        <v>0</v>
      </c>
      <c r="L1748" s="65">
        <v>1742</v>
      </c>
      <c r="M1748" s="71">
        <f t="shared" ca="1" si="139"/>
        <v>1.382100732747457</v>
      </c>
      <c r="N1748" s="65"/>
    </row>
    <row r="1749" spans="1:14" x14ac:dyDescent="0.25">
      <c r="A1749" s="2">
        <v>1743</v>
      </c>
      <c r="B1749" s="11">
        <f t="shared" ca="1" si="136"/>
        <v>1</v>
      </c>
      <c r="C1749" s="26">
        <f t="shared" ca="1" si="140"/>
        <v>0.42615631587686464</v>
      </c>
      <c r="J1749">
        <f t="shared" ca="1" si="137"/>
        <v>1</v>
      </c>
      <c r="K1749">
        <f t="shared" ca="1" si="138"/>
        <v>0</v>
      </c>
      <c r="L1749" s="65">
        <v>1743</v>
      </c>
      <c r="M1749" s="71">
        <f t="shared" ca="1" si="139"/>
        <v>1.3118744274577443</v>
      </c>
      <c r="N1749" s="65"/>
    </row>
    <row r="1750" spans="1:14" x14ac:dyDescent="0.25">
      <c r="A1750" s="2">
        <v>1744</v>
      </c>
      <c r="B1750" s="11">
        <f t="shared" ca="1" si="136"/>
        <v>1</v>
      </c>
      <c r="C1750" s="26">
        <f t="shared" ca="1" si="140"/>
        <v>0.67021781617337695</v>
      </c>
      <c r="J1750">
        <f t="shared" ca="1" si="137"/>
        <v>1</v>
      </c>
      <c r="K1750">
        <f t="shared" ca="1" si="138"/>
        <v>0</v>
      </c>
      <c r="L1750" s="65">
        <v>1744</v>
      </c>
      <c r="M1750" s="71">
        <f t="shared" ca="1" si="139"/>
        <v>0.16040294937238739</v>
      </c>
      <c r="N1750" s="65"/>
    </row>
    <row r="1751" spans="1:14" x14ac:dyDescent="0.25">
      <c r="A1751" s="2">
        <v>1745</v>
      </c>
      <c r="B1751" s="11">
        <f t="shared" ca="1" si="136"/>
        <v>1</v>
      </c>
      <c r="C1751" s="26">
        <f t="shared" ca="1" si="140"/>
        <v>0.3140821590475682</v>
      </c>
      <c r="J1751">
        <f t="shared" ca="1" si="137"/>
        <v>1</v>
      </c>
      <c r="K1751">
        <f t="shared" ca="1" si="138"/>
        <v>0</v>
      </c>
      <c r="L1751" s="65">
        <v>1745</v>
      </c>
      <c r="M1751" s="71">
        <f t="shared" ca="1" si="139"/>
        <v>15.465299430621913</v>
      </c>
      <c r="N1751" s="65"/>
    </row>
    <row r="1752" spans="1:14" x14ac:dyDescent="0.25">
      <c r="A1752" s="2">
        <v>1746</v>
      </c>
      <c r="B1752" s="11">
        <f t="shared" ca="1" si="136"/>
        <v>1</v>
      </c>
      <c r="C1752" s="26">
        <f t="shared" ca="1" si="140"/>
        <v>0.49130765580757396</v>
      </c>
      <c r="J1752">
        <f t="shared" ca="1" si="137"/>
        <v>1</v>
      </c>
      <c r="K1752">
        <f t="shared" ca="1" si="138"/>
        <v>0</v>
      </c>
      <c r="L1752" s="65">
        <v>1746</v>
      </c>
      <c r="M1752" s="71">
        <f t="shared" ca="1" si="139"/>
        <v>0.1423452402423524</v>
      </c>
      <c r="N1752" s="65"/>
    </row>
    <row r="1753" spans="1:14" x14ac:dyDescent="0.25">
      <c r="A1753" s="2">
        <v>1747</v>
      </c>
      <c r="B1753" s="11">
        <f t="shared" ca="1" si="136"/>
        <v>1</v>
      </c>
      <c r="C1753" s="26">
        <f t="shared" ca="1" si="140"/>
        <v>1.4448067870058146E-2</v>
      </c>
      <c r="J1753">
        <f t="shared" ca="1" si="137"/>
        <v>0</v>
      </c>
      <c r="K1753">
        <f t="shared" ca="1" si="138"/>
        <v>0</v>
      </c>
      <c r="L1753" s="65">
        <v>1747</v>
      </c>
      <c r="M1753" s="71">
        <f t="shared" ca="1" si="139"/>
        <v>10.641234088053183</v>
      </c>
      <c r="N1753" s="65"/>
    </row>
    <row r="1754" spans="1:14" x14ac:dyDescent="0.25">
      <c r="A1754" s="2">
        <v>1748</v>
      </c>
      <c r="B1754" s="11">
        <f t="shared" ca="1" si="136"/>
        <v>0</v>
      </c>
      <c r="C1754" s="26">
        <f t="shared" ca="1" si="140"/>
        <v>0.97407137625998208</v>
      </c>
      <c r="J1754">
        <f t="shared" ca="1" si="137"/>
        <v>0</v>
      </c>
      <c r="K1754">
        <f t="shared" ca="1" si="138"/>
        <v>1</v>
      </c>
      <c r="L1754" s="65">
        <v>1748</v>
      </c>
      <c r="M1754" s="71">
        <f t="shared" ca="1" si="139"/>
        <v>0</v>
      </c>
      <c r="N1754" s="65"/>
    </row>
    <row r="1755" spans="1:14" x14ac:dyDescent="0.25">
      <c r="A1755" s="2">
        <v>1749</v>
      </c>
      <c r="B1755" s="11">
        <f t="shared" ca="1" si="136"/>
        <v>0</v>
      </c>
      <c r="C1755" s="26">
        <f t="shared" ca="1" si="140"/>
        <v>0.74767906245318494</v>
      </c>
      <c r="J1755">
        <f t="shared" ca="1" si="137"/>
        <v>0</v>
      </c>
      <c r="K1755">
        <f t="shared" ca="1" si="138"/>
        <v>1</v>
      </c>
      <c r="L1755" s="65">
        <v>1749</v>
      </c>
      <c r="M1755" s="71">
        <f t="shared" ca="1" si="139"/>
        <v>0</v>
      </c>
      <c r="N1755" s="65"/>
    </row>
    <row r="1756" spans="1:14" x14ac:dyDescent="0.25">
      <c r="A1756" s="2">
        <v>1750</v>
      </c>
      <c r="B1756" s="11">
        <f t="shared" ca="1" si="136"/>
        <v>0</v>
      </c>
      <c r="C1756" s="26">
        <f t="shared" ca="1" si="140"/>
        <v>0.82717351903815939</v>
      </c>
      <c r="J1756">
        <f t="shared" ca="1" si="137"/>
        <v>0</v>
      </c>
      <c r="K1756">
        <f t="shared" ca="1" si="138"/>
        <v>1</v>
      </c>
      <c r="L1756" s="65">
        <v>1750</v>
      </c>
      <c r="M1756" s="71">
        <f t="shared" ca="1" si="139"/>
        <v>0</v>
      </c>
      <c r="N1756" s="65"/>
    </row>
    <row r="1757" spans="1:14" x14ac:dyDescent="0.25">
      <c r="A1757" s="2">
        <v>1751</v>
      </c>
      <c r="B1757" s="11">
        <f t="shared" ca="1" si="136"/>
        <v>0</v>
      </c>
      <c r="C1757" s="26">
        <f t="shared" ca="1" si="140"/>
        <v>0.80203745339562738</v>
      </c>
      <c r="J1757">
        <f t="shared" ca="1" si="137"/>
        <v>0</v>
      </c>
      <c r="K1757">
        <f t="shared" ca="1" si="138"/>
        <v>0</v>
      </c>
      <c r="L1757" s="65">
        <v>1751</v>
      </c>
      <c r="M1757" s="71">
        <f t="shared" ca="1" si="139"/>
        <v>0</v>
      </c>
      <c r="N1757" s="65"/>
    </row>
    <row r="1758" spans="1:14" x14ac:dyDescent="0.25">
      <c r="A1758" s="2">
        <v>1752</v>
      </c>
      <c r="B1758" s="11">
        <f t="shared" ca="1" si="136"/>
        <v>1</v>
      </c>
      <c r="C1758" s="26">
        <f t="shared" ca="1" si="140"/>
        <v>0.18418526770561328</v>
      </c>
      <c r="J1758">
        <f t="shared" ca="1" si="137"/>
        <v>1</v>
      </c>
      <c r="K1758">
        <f t="shared" ca="1" si="138"/>
        <v>0</v>
      </c>
      <c r="L1758" s="65">
        <v>1752</v>
      </c>
      <c r="M1758" s="71">
        <f t="shared" ca="1" si="139"/>
        <v>5.4930121607883473</v>
      </c>
      <c r="N1758" s="65"/>
    </row>
    <row r="1759" spans="1:14" x14ac:dyDescent="0.25">
      <c r="A1759" s="2">
        <v>1753</v>
      </c>
      <c r="B1759" s="11">
        <f t="shared" ca="1" si="136"/>
        <v>1</v>
      </c>
      <c r="C1759" s="26">
        <f t="shared" ca="1" si="140"/>
        <v>0.35813667638666979</v>
      </c>
      <c r="J1759">
        <f t="shared" ca="1" si="137"/>
        <v>1</v>
      </c>
      <c r="K1759">
        <f t="shared" ca="1" si="138"/>
        <v>0</v>
      </c>
      <c r="L1759" s="65">
        <v>1753</v>
      </c>
      <c r="M1759" s="71">
        <f t="shared" ca="1" si="139"/>
        <v>1.1369726608039525</v>
      </c>
      <c r="N1759" s="65"/>
    </row>
    <row r="1760" spans="1:14" x14ac:dyDescent="0.25">
      <c r="A1760" s="2">
        <v>1754</v>
      </c>
      <c r="B1760" s="11">
        <f t="shared" ca="1" si="136"/>
        <v>1</v>
      </c>
      <c r="C1760" s="26">
        <f t="shared" ca="1" si="140"/>
        <v>0.5260135630220294</v>
      </c>
      <c r="J1760">
        <f t="shared" ca="1" si="137"/>
        <v>1</v>
      </c>
      <c r="K1760">
        <f t="shared" ca="1" si="138"/>
        <v>0</v>
      </c>
      <c r="L1760" s="65">
        <v>1754</v>
      </c>
      <c r="M1760" s="71">
        <f t="shared" ca="1" si="139"/>
        <v>9.5970250881970823E-2</v>
      </c>
      <c r="N1760" s="65"/>
    </row>
    <row r="1761" spans="1:14" x14ac:dyDescent="0.25">
      <c r="A1761" s="2">
        <v>1755</v>
      </c>
      <c r="B1761" s="11">
        <f t="shared" ca="1" si="136"/>
        <v>1</v>
      </c>
      <c r="C1761" s="26">
        <f t="shared" ca="1" si="140"/>
        <v>0.55485919157868602</v>
      </c>
      <c r="J1761">
        <f t="shared" ca="1" si="137"/>
        <v>0</v>
      </c>
      <c r="K1761">
        <f t="shared" ca="1" si="138"/>
        <v>0</v>
      </c>
      <c r="L1761" s="65">
        <v>1755</v>
      </c>
      <c r="M1761" s="71">
        <f t="shared" ca="1" si="139"/>
        <v>1.4575746979567124</v>
      </c>
      <c r="N1761" s="65"/>
    </row>
    <row r="1762" spans="1:14" x14ac:dyDescent="0.25">
      <c r="A1762" s="2">
        <v>1756</v>
      </c>
      <c r="B1762" s="11">
        <f t="shared" ca="1" si="136"/>
        <v>0</v>
      </c>
      <c r="C1762" s="26">
        <f t="shared" ca="1" si="140"/>
        <v>0.76654094439639708</v>
      </c>
      <c r="J1762">
        <f t="shared" ca="1" si="137"/>
        <v>0</v>
      </c>
      <c r="K1762">
        <f t="shared" ca="1" si="138"/>
        <v>0</v>
      </c>
      <c r="L1762" s="65">
        <v>1756</v>
      </c>
      <c r="M1762" s="71">
        <f t="shared" ca="1" si="139"/>
        <v>0</v>
      </c>
      <c r="N1762" s="65"/>
    </row>
    <row r="1763" spans="1:14" x14ac:dyDescent="0.25">
      <c r="A1763" s="2">
        <v>1757</v>
      </c>
      <c r="B1763" s="11">
        <f t="shared" ca="1" si="136"/>
        <v>1</v>
      </c>
      <c r="C1763" s="26">
        <f t="shared" ca="1" si="140"/>
        <v>2.7691031381704923E-2</v>
      </c>
      <c r="J1763">
        <f t="shared" ca="1" si="137"/>
        <v>0</v>
      </c>
      <c r="K1763">
        <f t="shared" ca="1" si="138"/>
        <v>0</v>
      </c>
      <c r="L1763" s="65">
        <v>1757</v>
      </c>
      <c r="M1763" s="71">
        <f t="shared" ca="1" si="139"/>
        <v>7.4555217510783214</v>
      </c>
      <c r="N1763" s="65"/>
    </row>
    <row r="1764" spans="1:14" x14ac:dyDescent="0.25">
      <c r="A1764" s="2">
        <v>1758</v>
      </c>
      <c r="B1764" s="11">
        <f t="shared" ca="1" si="136"/>
        <v>0</v>
      </c>
      <c r="C1764" s="26">
        <f t="shared" ca="1" si="140"/>
        <v>0.81684400910922783</v>
      </c>
      <c r="J1764">
        <f t="shared" ca="1" si="137"/>
        <v>0</v>
      </c>
      <c r="K1764">
        <f t="shared" ca="1" si="138"/>
        <v>1</v>
      </c>
      <c r="L1764" s="65">
        <v>1758</v>
      </c>
      <c r="M1764" s="71">
        <f t="shared" ca="1" si="139"/>
        <v>0</v>
      </c>
      <c r="N1764" s="65"/>
    </row>
    <row r="1765" spans="1:14" x14ac:dyDescent="0.25">
      <c r="A1765" s="2">
        <v>1759</v>
      </c>
      <c r="B1765" s="11">
        <f t="shared" ca="1" si="136"/>
        <v>0</v>
      </c>
      <c r="C1765" s="26">
        <f t="shared" ca="1" si="140"/>
        <v>0.65047981937981092</v>
      </c>
      <c r="J1765">
        <f t="shared" ca="1" si="137"/>
        <v>0</v>
      </c>
      <c r="K1765">
        <f t="shared" ca="1" si="138"/>
        <v>1</v>
      </c>
      <c r="L1765" s="65">
        <v>1759</v>
      </c>
      <c r="M1765" s="71">
        <f t="shared" ca="1" si="139"/>
        <v>0</v>
      </c>
      <c r="N1765" s="65"/>
    </row>
    <row r="1766" spans="1:14" x14ac:dyDescent="0.25">
      <c r="A1766" s="2">
        <v>1760</v>
      </c>
      <c r="B1766" s="11">
        <f t="shared" ca="1" si="136"/>
        <v>0</v>
      </c>
      <c r="C1766" s="26">
        <f t="shared" ca="1" si="140"/>
        <v>0.93817357578664251</v>
      </c>
      <c r="J1766">
        <f t="shared" ca="1" si="137"/>
        <v>0</v>
      </c>
      <c r="K1766">
        <f t="shared" ca="1" si="138"/>
        <v>0</v>
      </c>
      <c r="L1766" s="65">
        <v>1760</v>
      </c>
      <c r="M1766" s="71">
        <f t="shared" ca="1" si="139"/>
        <v>0</v>
      </c>
      <c r="N1766" s="65"/>
    </row>
    <row r="1767" spans="1:14" x14ac:dyDescent="0.25">
      <c r="A1767" s="2">
        <v>1761</v>
      </c>
      <c r="B1767" s="11">
        <f t="shared" ca="1" si="136"/>
        <v>1</v>
      </c>
      <c r="C1767" s="26">
        <f t="shared" ca="1" si="140"/>
        <v>6.7443809588368375E-2</v>
      </c>
      <c r="J1767">
        <f t="shared" ca="1" si="137"/>
        <v>1</v>
      </c>
      <c r="K1767">
        <f t="shared" ca="1" si="138"/>
        <v>0</v>
      </c>
      <c r="L1767" s="65">
        <v>1761</v>
      </c>
      <c r="M1767" s="71">
        <f t="shared" ca="1" si="139"/>
        <v>8.3386860620300443</v>
      </c>
      <c r="N1767" s="65"/>
    </row>
    <row r="1768" spans="1:14" x14ac:dyDescent="0.25">
      <c r="A1768" s="2">
        <v>1762</v>
      </c>
      <c r="B1768" s="11">
        <f t="shared" ca="1" si="136"/>
        <v>1</v>
      </c>
      <c r="C1768" s="26">
        <f t="shared" ca="1" si="140"/>
        <v>4.8275914563196354E-2</v>
      </c>
      <c r="J1768">
        <f t="shared" ca="1" si="137"/>
        <v>1</v>
      </c>
      <c r="K1768">
        <f t="shared" ca="1" si="138"/>
        <v>0</v>
      </c>
      <c r="L1768" s="65">
        <v>1762</v>
      </c>
      <c r="M1768" s="71">
        <f t="shared" ca="1" si="139"/>
        <v>1.1002242106211471</v>
      </c>
      <c r="N1768" s="65"/>
    </row>
    <row r="1769" spans="1:14" x14ac:dyDescent="0.25">
      <c r="A1769" s="2">
        <v>1763</v>
      </c>
      <c r="B1769" s="11">
        <f t="shared" ca="1" si="136"/>
        <v>1</v>
      </c>
      <c r="C1769" s="26">
        <f t="shared" ca="1" si="140"/>
        <v>5.8333270104262591E-2</v>
      </c>
      <c r="J1769">
        <f t="shared" ca="1" si="137"/>
        <v>0</v>
      </c>
      <c r="K1769">
        <f t="shared" ca="1" si="138"/>
        <v>0</v>
      </c>
      <c r="L1769" s="65">
        <v>1763</v>
      </c>
      <c r="M1769" s="71">
        <f t="shared" ca="1" si="139"/>
        <v>2.5468533851786543</v>
      </c>
      <c r="N1769" s="65"/>
    </row>
    <row r="1770" spans="1:14" x14ac:dyDescent="0.25">
      <c r="A1770" s="2">
        <v>1764</v>
      </c>
      <c r="B1770" s="11">
        <f t="shared" ca="1" si="136"/>
        <v>0</v>
      </c>
      <c r="C1770" s="26">
        <f t="shared" ca="1" si="140"/>
        <v>0.9076643933107702</v>
      </c>
      <c r="J1770">
        <f t="shared" ca="1" si="137"/>
        <v>0</v>
      </c>
      <c r="K1770">
        <f t="shared" ca="1" si="138"/>
        <v>0</v>
      </c>
      <c r="L1770" s="65">
        <v>1764</v>
      </c>
      <c r="M1770" s="71">
        <f t="shared" ca="1" si="139"/>
        <v>0</v>
      </c>
      <c r="N1770" s="65"/>
    </row>
    <row r="1771" spans="1:14" x14ac:dyDescent="0.25">
      <c r="A1771" s="2">
        <v>1765</v>
      </c>
      <c r="B1771" s="11">
        <f t="shared" ca="1" si="136"/>
        <v>1</v>
      </c>
      <c r="C1771" s="26">
        <f t="shared" ca="1" si="140"/>
        <v>0.29190850904364019</v>
      </c>
      <c r="J1771">
        <f t="shared" ca="1" si="137"/>
        <v>1</v>
      </c>
      <c r="K1771">
        <f t="shared" ca="1" si="138"/>
        <v>0</v>
      </c>
      <c r="L1771" s="65">
        <v>1765</v>
      </c>
      <c r="M1771" s="71">
        <f t="shared" ca="1" si="139"/>
        <v>1.5974648676970244</v>
      </c>
      <c r="N1771" s="65"/>
    </row>
    <row r="1772" spans="1:14" x14ac:dyDescent="0.25">
      <c r="A1772" s="2">
        <v>1766</v>
      </c>
      <c r="B1772" s="11">
        <f t="shared" ca="1" si="136"/>
        <v>1</v>
      </c>
      <c r="C1772" s="26">
        <f t="shared" ca="1" si="140"/>
        <v>1.7349766482856244E-2</v>
      </c>
      <c r="J1772">
        <f t="shared" ca="1" si="137"/>
        <v>0</v>
      </c>
      <c r="K1772">
        <f t="shared" ca="1" si="138"/>
        <v>0</v>
      </c>
      <c r="L1772" s="65">
        <v>1766</v>
      </c>
      <c r="M1772" s="71">
        <f t="shared" ca="1" si="139"/>
        <v>1.540894407440236</v>
      </c>
      <c r="N1772" s="65"/>
    </row>
    <row r="1773" spans="1:14" x14ac:dyDescent="0.25">
      <c r="A1773" s="2">
        <v>1767</v>
      </c>
      <c r="B1773" s="11">
        <f t="shared" ca="1" si="136"/>
        <v>0</v>
      </c>
      <c r="C1773" s="26">
        <f t="shared" ca="1" si="140"/>
        <v>0.8421486314371055</v>
      </c>
      <c r="J1773">
        <f t="shared" ca="1" si="137"/>
        <v>0</v>
      </c>
      <c r="K1773">
        <f t="shared" ca="1" si="138"/>
        <v>1</v>
      </c>
      <c r="L1773" s="65">
        <v>1767</v>
      </c>
      <c r="M1773" s="71">
        <f t="shared" ca="1" si="139"/>
        <v>0</v>
      </c>
      <c r="N1773" s="65"/>
    </row>
    <row r="1774" spans="1:14" x14ac:dyDescent="0.25">
      <c r="A1774" s="2">
        <v>1768</v>
      </c>
      <c r="B1774" s="11">
        <f t="shared" ca="1" si="136"/>
        <v>0</v>
      </c>
      <c r="C1774" s="26">
        <f t="shared" ca="1" si="140"/>
        <v>0.95876969809930435</v>
      </c>
      <c r="J1774">
        <f t="shared" ca="1" si="137"/>
        <v>0</v>
      </c>
      <c r="K1774">
        <f t="shared" ca="1" si="138"/>
        <v>0</v>
      </c>
      <c r="L1774" s="65">
        <v>1768</v>
      </c>
      <c r="M1774" s="71">
        <f t="shared" ca="1" si="139"/>
        <v>0</v>
      </c>
      <c r="N1774" s="65"/>
    </row>
    <row r="1775" spans="1:14" x14ac:dyDescent="0.25">
      <c r="A1775" s="2">
        <v>1769</v>
      </c>
      <c r="B1775" s="11">
        <f t="shared" ref="B1775:B1838" ca="1" si="141">IF(B1774&gt;0,IF(C1775&lt;pww,1,0),IF(C1775&lt;pdw,1,0))</f>
        <v>1</v>
      </c>
      <c r="C1775" s="26">
        <f t="shared" ca="1" si="140"/>
        <v>9.588545730297382E-2</v>
      </c>
      <c r="J1775">
        <f t="shared" ref="J1775:J1838" ca="1" si="142">IF(AND(B1775,B1776),1,0)</f>
        <v>1</v>
      </c>
      <c r="K1775">
        <f t="shared" ref="K1775:K1838" ca="1" si="143">IF(AND(NOT(B1775),NOT(B1776)),1,0)</f>
        <v>0</v>
      </c>
      <c r="L1775" s="65">
        <v>1769</v>
      </c>
      <c r="M1775" s="71">
        <f t="shared" ca="1" si="139"/>
        <v>0.29250981054434422</v>
      </c>
      <c r="N1775" s="65"/>
    </row>
    <row r="1776" spans="1:14" x14ac:dyDescent="0.25">
      <c r="A1776" s="2">
        <v>1770</v>
      </c>
      <c r="B1776" s="11">
        <f t="shared" ca="1" si="141"/>
        <v>1</v>
      </c>
      <c r="C1776" s="26">
        <f t="shared" ca="1" si="140"/>
        <v>0.49309465260986929</v>
      </c>
      <c r="J1776">
        <f t="shared" ca="1" si="142"/>
        <v>1</v>
      </c>
      <c r="K1776">
        <f t="shared" ca="1" si="143"/>
        <v>0</v>
      </c>
      <c r="L1776" s="65">
        <v>1770</v>
      </c>
      <c r="M1776" s="71">
        <f t="shared" ca="1" si="139"/>
        <v>10.050512384152432</v>
      </c>
      <c r="N1776" s="65"/>
    </row>
    <row r="1777" spans="1:14" x14ac:dyDescent="0.25">
      <c r="A1777" s="2">
        <v>1771</v>
      </c>
      <c r="B1777" s="11">
        <f t="shared" ca="1" si="141"/>
        <v>1</v>
      </c>
      <c r="C1777" s="26">
        <f t="shared" ca="1" si="140"/>
        <v>5.6508005512574067E-2</v>
      </c>
      <c r="J1777">
        <f t="shared" ca="1" si="142"/>
        <v>1</v>
      </c>
      <c r="K1777">
        <f t="shared" ca="1" si="143"/>
        <v>0</v>
      </c>
      <c r="L1777" s="65">
        <v>1771</v>
      </c>
      <c r="M1777" s="71">
        <f t="shared" ca="1" si="139"/>
        <v>3.5774334066020574</v>
      </c>
      <c r="N1777" s="65"/>
    </row>
    <row r="1778" spans="1:14" x14ac:dyDescent="0.25">
      <c r="A1778" s="2">
        <v>1772</v>
      </c>
      <c r="B1778" s="11">
        <f t="shared" ca="1" si="141"/>
        <v>1</v>
      </c>
      <c r="C1778" s="26">
        <f t="shared" ca="1" si="140"/>
        <v>0.20265080177310235</v>
      </c>
      <c r="J1778">
        <f t="shared" ca="1" si="142"/>
        <v>1</v>
      </c>
      <c r="K1778">
        <f t="shared" ca="1" si="143"/>
        <v>0</v>
      </c>
      <c r="L1778" s="65">
        <v>1772</v>
      </c>
      <c r="M1778" s="71">
        <f t="shared" ca="1" si="139"/>
        <v>8.3770189026865829</v>
      </c>
      <c r="N1778" s="65"/>
    </row>
    <row r="1779" spans="1:14" x14ac:dyDescent="0.25">
      <c r="A1779" s="2">
        <v>1773</v>
      </c>
      <c r="B1779" s="11">
        <f t="shared" ca="1" si="141"/>
        <v>1</v>
      </c>
      <c r="C1779" s="26">
        <f t="shared" ca="1" si="140"/>
        <v>0.49341206121244396</v>
      </c>
      <c r="J1779">
        <f t="shared" ca="1" si="142"/>
        <v>1</v>
      </c>
      <c r="K1779">
        <f t="shared" ca="1" si="143"/>
        <v>0</v>
      </c>
      <c r="L1779" s="65">
        <v>1773</v>
      </c>
      <c r="M1779" s="71">
        <f t="shared" ca="1" si="139"/>
        <v>1.8122265802525468</v>
      </c>
      <c r="N1779" s="65"/>
    </row>
    <row r="1780" spans="1:14" x14ac:dyDescent="0.25">
      <c r="A1780" s="2">
        <v>1774</v>
      </c>
      <c r="B1780" s="11">
        <f t="shared" ca="1" si="141"/>
        <v>1</v>
      </c>
      <c r="C1780" s="26">
        <f t="shared" ca="1" si="140"/>
        <v>0.62084075774833225</v>
      </c>
      <c r="J1780">
        <f t="shared" ca="1" si="142"/>
        <v>1</v>
      </c>
      <c r="K1780">
        <f t="shared" ca="1" si="143"/>
        <v>0</v>
      </c>
      <c r="L1780" s="65">
        <v>1774</v>
      </c>
      <c r="M1780" s="71">
        <f t="shared" ca="1" si="139"/>
        <v>0.21319009248906906</v>
      </c>
      <c r="N1780" s="65"/>
    </row>
    <row r="1781" spans="1:14" x14ac:dyDescent="0.25">
      <c r="A1781" s="2">
        <v>1775</v>
      </c>
      <c r="B1781" s="11">
        <f t="shared" ca="1" si="141"/>
        <v>1</v>
      </c>
      <c r="C1781" s="26">
        <f t="shared" ca="1" si="140"/>
        <v>0.46423742176367344</v>
      </c>
      <c r="J1781">
        <f t="shared" ca="1" si="142"/>
        <v>1</v>
      </c>
      <c r="K1781">
        <f t="shared" ca="1" si="143"/>
        <v>0</v>
      </c>
      <c r="L1781" s="65">
        <v>1775</v>
      </c>
      <c r="M1781" s="71">
        <f t="shared" ca="1" si="139"/>
        <v>2.5755446257596297</v>
      </c>
      <c r="N1781" s="65"/>
    </row>
    <row r="1782" spans="1:14" x14ac:dyDescent="0.25">
      <c r="A1782" s="2">
        <v>1776</v>
      </c>
      <c r="B1782" s="11">
        <f t="shared" ca="1" si="141"/>
        <v>1</v>
      </c>
      <c r="C1782" s="26">
        <f t="shared" ca="1" si="140"/>
        <v>0.55028740338080762</v>
      </c>
      <c r="J1782">
        <f t="shared" ca="1" si="142"/>
        <v>1</v>
      </c>
      <c r="K1782">
        <f t="shared" ca="1" si="143"/>
        <v>0</v>
      </c>
      <c r="L1782" s="65">
        <v>1776</v>
      </c>
      <c r="M1782" s="71">
        <f t="shared" ca="1" si="139"/>
        <v>0.28869001671832145</v>
      </c>
      <c r="N1782" s="65"/>
    </row>
    <row r="1783" spans="1:14" x14ac:dyDescent="0.25">
      <c r="A1783" s="2">
        <v>1777</v>
      </c>
      <c r="B1783" s="11">
        <f t="shared" ca="1" si="141"/>
        <v>1</v>
      </c>
      <c r="C1783" s="26">
        <f t="shared" ca="1" si="140"/>
        <v>0.19778309709563269</v>
      </c>
      <c r="J1783">
        <f t="shared" ca="1" si="142"/>
        <v>0</v>
      </c>
      <c r="K1783">
        <f t="shared" ca="1" si="143"/>
        <v>0</v>
      </c>
      <c r="L1783" s="65">
        <v>1777</v>
      </c>
      <c r="M1783" s="71">
        <f t="shared" ca="1" si="139"/>
        <v>0.45375146225101404</v>
      </c>
      <c r="N1783" s="65"/>
    </row>
    <row r="1784" spans="1:14" x14ac:dyDescent="0.25">
      <c r="A1784" s="2">
        <v>1778</v>
      </c>
      <c r="B1784" s="11">
        <f t="shared" ca="1" si="141"/>
        <v>0</v>
      </c>
      <c r="C1784" s="26">
        <f t="shared" ca="1" si="140"/>
        <v>0.88885740591914775</v>
      </c>
      <c r="J1784">
        <f t="shared" ca="1" si="142"/>
        <v>0</v>
      </c>
      <c r="K1784">
        <f t="shared" ca="1" si="143"/>
        <v>1</v>
      </c>
      <c r="L1784" s="65">
        <v>1778</v>
      </c>
      <c r="M1784" s="71">
        <f t="shared" ca="1" si="139"/>
        <v>0</v>
      </c>
      <c r="N1784" s="65"/>
    </row>
    <row r="1785" spans="1:14" x14ac:dyDescent="0.25">
      <c r="A1785" s="2">
        <v>1779</v>
      </c>
      <c r="B1785" s="11">
        <f t="shared" ca="1" si="141"/>
        <v>0</v>
      </c>
      <c r="C1785" s="26">
        <f t="shared" ca="1" si="140"/>
        <v>0.39000630651240586</v>
      </c>
      <c r="J1785">
        <f t="shared" ca="1" si="142"/>
        <v>0</v>
      </c>
      <c r="K1785">
        <f t="shared" ca="1" si="143"/>
        <v>0</v>
      </c>
      <c r="L1785" s="65">
        <v>1779</v>
      </c>
      <c r="M1785" s="71">
        <f t="shared" ca="1" si="139"/>
        <v>0</v>
      </c>
      <c r="N1785" s="65"/>
    </row>
    <row r="1786" spans="1:14" x14ac:dyDescent="0.25">
      <c r="A1786" s="2">
        <v>1780</v>
      </c>
      <c r="B1786" s="11">
        <f t="shared" ca="1" si="141"/>
        <v>1</v>
      </c>
      <c r="C1786" s="26">
        <f t="shared" ca="1" si="140"/>
        <v>0.29835181682613754</v>
      </c>
      <c r="J1786">
        <f t="shared" ca="1" si="142"/>
        <v>0</v>
      </c>
      <c r="K1786">
        <f t="shared" ca="1" si="143"/>
        <v>0</v>
      </c>
      <c r="L1786" s="65">
        <v>1780</v>
      </c>
      <c r="M1786" s="71">
        <f t="shared" ca="1" si="139"/>
        <v>5.4114011645776303</v>
      </c>
      <c r="N1786" s="65"/>
    </row>
    <row r="1787" spans="1:14" x14ac:dyDescent="0.25">
      <c r="A1787" s="2">
        <v>1781</v>
      </c>
      <c r="B1787" s="11">
        <f t="shared" ca="1" si="141"/>
        <v>0</v>
      </c>
      <c r="C1787" s="26">
        <f t="shared" ca="1" si="140"/>
        <v>0.89433028628055633</v>
      </c>
      <c r="J1787">
        <f t="shared" ca="1" si="142"/>
        <v>0</v>
      </c>
      <c r="K1787">
        <f t="shared" ca="1" si="143"/>
        <v>1</v>
      </c>
      <c r="L1787" s="65">
        <v>1781</v>
      </c>
      <c r="M1787" s="71">
        <f t="shared" ca="1" si="139"/>
        <v>0</v>
      </c>
      <c r="N1787" s="65"/>
    </row>
    <row r="1788" spans="1:14" x14ac:dyDescent="0.25">
      <c r="A1788" s="2">
        <v>1782</v>
      </c>
      <c r="B1788" s="11">
        <f t="shared" ca="1" si="141"/>
        <v>0</v>
      </c>
      <c r="C1788" s="26">
        <f t="shared" ca="1" si="140"/>
        <v>0.68228392366930257</v>
      </c>
      <c r="J1788">
        <f t="shared" ca="1" si="142"/>
        <v>0</v>
      </c>
      <c r="K1788">
        <f t="shared" ca="1" si="143"/>
        <v>1</v>
      </c>
      <c r="L1788" s="65">
        <v>1782</v>
      </c>
      <c r="M1788" s="71">
        <f t="shared" ca="1" si="139"/>
        <v>0</v>
      </c>
      <c r="N1788" s="65"/>
    </row>
    <row r="1789" spans="1:14" x14ac:dyDescent="0.25">
      <c r="A1789" s="2">
        <v>1783</v>
      </c>
      <c r="B1789" s="11">
        <f t="shared" ca="1" si="141"/>
        <v>0</v>
      </c>
      <c r="C1789" s="26">
        <f t="shared" ca="1" si="140"/>
        <v>0.61201312770391536</v>
      </c>
      <c r="J1789">
        <f t="shared" ca="1" si="142"/>
        <v>0</v>
      </c>
      <c r="K1789">
        <f t="shared" ca="1" si="143"/>
        <v>0</v>
      </c>
      <c r="L1789" s="65">
        <v>1783</v>
      </c>
      <c r="M1789" s="71">
        <f t="shared" ca="1" si="139"/>
        <v>0</v>
      </c>
      <c r="N1789" s="65"/>
    </row>
    <row r="1790" spans="1:14" x14ac:dyDescent="0.25">
      <c r="A1790" s="2">
        <v>1784</v>
      </c>
      <c r="B1790" s="11">
        <f t="shared" ca="1" si="141"/>
        <v>1</v>
      </c>
      <c r="C1790" s="26">
        <f t="shared" ca="1" si="140"/>
        <v>0.3057192921999492</v>
      </c>
      <c r="J1790">
        <f t="shared" ca="1" si="142"/>
        <v>0</v>
      </c>
      <c r="K1790">
        <f t="shared" ca="1" si="143"/>
        <v>0</v>
      </c>
      <c r="L1790" s="65">
        <v>1784</v>
      </c>
      <c r="M1790" s="71">
        <f t="shared" ca="1" si="139"/>
        <v>2.8714319974639624</v>
      </c>
      <c r="N1790" s="65"/>
    </row>
    <row r="1791" spans="1:14" x14ac:dyDescent="0.25">
      <c r="A1791" s="2">
        <v>1785</v>
      </c>
      <c r="B1791" s="11">
        <f t="shared" ca="1" si="141"/>
        <v>0</v>
      </c>
      <c r="C1791" s="26">
        <f t="shared" ca="1" si="140"/>
        <v>0.92903376251298919</v>
      </c>
      <c r="J1791">
        <f t="shared" ca="1" si="142"/>
        <v>0</v>
      </c>
      <c r="K1791">
        <f t="shared" ca="1" si="143"/>
        <v>1</v>
      </c>
      <c r="L1791" s="65">
        <v>1785</v>
      </c>
      <c r="M1791" s="71">
        <f t="shared" ca="1" si="139"/>
        <v>0</v>
      </c>
      <c r="N1791" s="65"/>
    </row>
    <row r="1792" spans="1:14" x14ac:dyDescent="0.25">
      <c r="A1792" s="2">
        <v>1786</v>
      </c>
      <c r="B1792" s="11">
        <f t="shared" ca="1" si="141"/>
        <v>0</v>
      </c>
      <c r="C1792" s="26">
        <f t="shared" ca="1" si="140"/>
        <v>0.60026937294011806</v>
      </c>
      <c r="J1792">
        <f t="shared" ca="1" si="142"/>
        <v>0</v>
      </c>
      <c r="K1792">
        <f t="shared" ca="1" si="143"/>
        <v>1</v>
      </c>
      <c r="L1792" s="65">
        <v>1786</v>
      </c>
      <c r="M1792" s="71">
        <f t="shared" ca="1" si="139"/>
        <v>0</v>
      </c>
      <c r="N1792" s="65"/>
    </row>
    <row r="1793" spans="1:14" x14ac:dyDescent="0.25">
      <c r="A1793" s="2">
        <v>1787</v>
      </c>
      <c r="B1793" s="11">
        <f t="shared" ca="1" si="141"/>
        <v>0</v>
      </c>
      <c r="C1793" s="26">
        <f t="shared" ca="1" si="140"/>
        <v>0.86268893930826662</v>
      </c>
      <c r="J1793">
        <f t="shared" ca="1" si="142"/>
        <v>0</v>
      </c>
      <c r="K1793">
        <f t="shared" ca="1" si="143"/>
        <v>1</v>
      </c>
      <c r="L1793" s="65">
        <v>1787</v>
      </c>
      <c r="M1793" s="71">
        <f t="shared" ca="1" si="139"/>
        <v>0</v>
      </c>
      <c r="N1793" s="65"/>
    </row>
    <row r="1794" spans="1:14" x14ac:dyDescent="0.25">
      <c r="A1794" s="2">
        <v>1788</v>
      </c>
      <c r="B1794" s="11">
        <f t="shared" ca="1" si="141"/>
        <v>0</v>
      </c>
      <c r="C1794" s="26">
        <f t="shared" ca="1" si="140"/>
        <v>0.70748562483504351</v>
      </c>
      <c r="J1794">
        <f t="shared" ca="1" si="142"/>
        <v>0</v>
      </c>
      <c r="K1794">
        <f t="shared" ca="1" si="143"/>
        <v>0</v>
      </c>
      <c r="L1794" s="65">
        <v>1788</v>
      </c>
      <c r="M1794" s="71">
        <f t="shared" ca="1" si="139"/>
        <v>0</v>
      </c>
      <c r="N1794" s="65"/>
    </row>
    <row r="1795" spans="1:14" x14ac:dyDescent="0.25">
      <c r="A1795" s="2">
        <v>1789</v>
      </c>
      <c r="B1795" s="11">
        <f t="shared" ca="1" si="141"/>
        <v>1</v>
      </c>
      <c r="C1795" s="26">
        <f t="shared" ca="1" si="140"/>
        <v>8.6210135040092895E-2</v>
      </c>
      <c r="J1795">
        <f t="shared" ca="1" si="142"/>
        <v>1</v>
      </c>
      <c r="K1795">
        <f t="shared" ca="1" si="143"/>
        <v>0</v>
      </c>
      <c r="L1795" s="65">
        <v>1789</v>
      </c>
      <c r="M1795" s="71">
        <f t="shared" ca="1" si="139"/>
        <v>3.4550777127421828</v>
      </c>
      <c r="N1795" s="65"/>
    </row>
    <row r="1796" spans="1:14" x14ac:dyDescent="0.25">
      <c r="A1796" s="2">
        <v>1790</v>
      </c>
      <c r="B1796" s="11">
        <f t="shared" ca="1" si="141"/>
        <v>1</v>
      </c>
      <c r="C1796" s="26">
        <f t="shared" ca="1" si="140"/>
        <v>0.23844712265864787</v>
      </c>
      <c r="J1796">
        <f t="shared" ca="1" si="142"/>
        <v>1</v>
      </c>
      <c r="K1796">
        <f t="shared" ca="1" si="143"/>
        <v>0</v>
      </c>
      <c r="L1796" s="65">
        <v>1790</v>
      </c>
      <c r="M1796" s="71">
        <f t="shared" ca="1" si="139"/>
        <v>2.6668766252211427</v>
      </c>
      <c r="N1796" s="65"/>
    </row>
    <row r="1797" spans="1:14" x14ac:dyDescent="0.25">
      <c r="A1797" s="2">
        <v>1791</v>
      </c>
      <c r="B1797" s="11">
        <f t="shared" ca="1" si="141"/>
        <v>1</v>
      </c>
      <c r="C1797" s="26">
        <f t="shared" ca="1" si="140"/>
        <v>0.30045501041884726</v>
      </c>
      <c r="J1797">
        <f t="shared" ca="1" si="142"/>
        <v>1</v>
      </c>
      <c r="K1797">
        <f t="shared" ca="1" si="143"/>
        <v>0</v>
      </c>
      <c r="L1797" s="65">
        <v>1791</v>
      </c>
      <c r="M1797" s="71">
        <f t="shared" ca="1" si="139"/>
        <v>3.7527039762543368</v>
      </c>
      <c r="N1797" s="65"/>
    </row>
    <row r="1798" spans="1:14" x14ac:dyDescent="0.25">
      <c r="A1798" s="2">
        <v>1792</v>
      </c>
      <c r="B1798" s="11">
        <f t="shared" ca="1" si="141"/>
        <v>1</v>
      </c>
      <c r="C1798" s="26">
        <f t="shared" ca="1" si="140"/>
        <v>0.57307772774527699</v>
      </c>
      <c r="J1798">
        <f t="shared" ca="1" si="142"/>
        <v>0</v>
      </c>
      <c r="K1798">
        <f t="shared" ca="1" si="143"/>
        <v>0</v>
      </c>
      <c r="L1798" s="65">
        <v>1792</v>
      </c>
      <c r="M1798" s="71">
        <f t="shared" ca="1" si="139"/>
        <v>0.8430057228206348</v>
      </c>
      <c r="N1798" s="65"/>
    </row>
    <row r="1799" spans="1:14" x14ac:dyDescent="0.25">
      <c r="A1799" s="2">
        <v>1793</v>
      </c>
      <c r="B1799" s="11">
        <f t="shared" ca="1" si="141"/>
        <v>0</v>
      </c>
      <c r="C1799" s="26">
        <f t="shared" ca="1" si="140"/>
        <v>0.99815995765667376</v>
      </c>
      <c r="J1799">
        <f t="shared" ca="1" si="142"/>
        <v>0</v>
      </c>
      <c r="K1799">
        <f t="shared" ca="1" si="143"/>
        <v>1</v>
      </c>
      <c r="L1799" s="65">
        <v>1793</v>
      </c>
      <c r="M1799" s="71">
        <f t="shared" ref="M1799:M1862" ca="1" si="144">IF(B1799&gt;0,-LN(1-(RAND()))/lambda,0)</f>
        <v>0</v>
      </c>
      <c r="N1799" s="65"/>
    </row>
    <row r="1800" spans="1:14" x14ac:dyDescent="0.25">
      <c r="A1800" s="2">
        <v>1794</v>
      </c>
      <c r="B1800" s="11">
        <f t="shared" ca="1" si="141"/>
        <v>0</v>
      </c>
      <c r="C1800" s="26">
        <f t="shared" ref="C1800:C1863" ca="1" si="145">RAND()</f>
        <v>0.91098781336069756</v>
      </c>
      <c r="J1800">
        <f t="shared" ca="1" si="142"/>
        <v>0</v>
      </c>
      <c r="K1800">
        <f t="shared" ca="1" si="143"/>
        <v>1</v>
      </c>
      <c r="L1800" s="65">
        <v>1794</v>
      </c>
      <c r="M1800" s="71">
        <f t="shared" ca="1" si="144"/>
        <v>0</v>
      </c>
      <c r="N1800" s="65"/>
    </row>
    <row r="1801" spans="1:14" x14ac:dyDescent="0.25">
      <c r="A1801" s="2">
        <v>1795</v>
      </c>
      <c r="B1801" s="11">
        <f t="shared" ca="1" si="141"/>
        <v>0</v>
      </c>
      <c r="C1801" s="26">
        <f t="shared" ca="1" si="145"/>
        <v>0.59485295614478551</v>
      </c>
      <c r="J1801">
        <f t="shared" ca="1" si="142"/>
        <v>0</v>
      </c>
      <c r="K1801">
        <f t="shared" ca="1" si="143"/>
        <v>0</v>
      </c>
      <c r="L1801" s="65">
        <v>1795</v>
      </c>
      <c r="M1801" s="71">
        <f t="shared" ca="1" si="144"/>
        <v>0</v>
      </c>
      <c r="N1801" s="65"/>
    </row>
    <row r="1802" spans="1:14" x14ac:dyDescent="0.25">
      <c r="A1802" s="2">
        <v>1796</v>
      </c>
      <c r="B1802" s="11">
        <f t="shared" ca="1" si="141"/>
        <v>1</v>
      </c>
      <c r="C1802" s="26">
        <f t="shared" ca="1" si="145"/>
        <v>2.2075254683327161E-2</v>
      </c>
      <c r="J1802">
        <f t="shared" ca="1" si="142"/>
        <v>0</v>
      </c>
      <c r="K1802">
        <f t="shared" ca="1" si="143"/>
        <v>0</v>
      </c>
      <c r="L1802" s="65">
        <v>1796</v>
      </c>
      <c r="M1802" s="71">
        <f t="shared" ca="1" si="144"/>
        <v>1.2072209771811904</v>
      </c>
      <c r="N1802" s="65"/>
    </row>
    <row r="1803" spans="1:14" x14ac:dyDescent="0.25">
      <c r="A1803" s="2">
        <v>1797</v>
      </c>
      <c r="B1803" s="11">
        <f t="shared" ca="1" si="141"/>
        <v>0</v>
      </c>
      <c r="C1803" s="26">
        <f t="shared" ca="1" si="145"/>
        <v>0.9081988869697476</v>
      </c>
      <c r="J1803">
        <f t="shared" ca="1" si="142"/>
        <v>0</v>
      </c>
      <c r="K1803">
        <f t="shared" ca="1" si="143"/>
        <v>1</v>
      </c>
      <c r="L1803" s="65">
        <v>1797</v>
      </c>
      <c r="M1803" s="71">
        <f t="shared" ca="1" si="144"/>
        <v>0</v>
      </c>
      <c r="N1803" s="65"/>
    </row>
    <row r="1804" spans="1:14" x14ac:dyDescent="0.25">
      <c r="A1804" s="2">
        <v>1798</v>
      </c>
      <c r="B1804" s="11">
        <f t="shared" ca="1" si="141"/>
        <v>0</v>
      </c>
      <c r="C1804" s="26">
        <f t="shared" ca="1" si="145"/>
        <v>0.8413767663386712</v>
      </c>
      <c r="J1804">
        <f t="shared" ca="1" si="142"/>
        <v>0</v>
      </c>
      <c r="K1804">
        <f t="shared" ca="1" si="143"/>
        <v>1</v>
      </c>
      <c r="L1804" s="65">
        <v>1798</v>
      </c>
      <c r="M1804" s="71">
        <f t="shared" ca="1" si="144"/>
        <v>0</v>
      </c>
      <c r="N1804" s="65"/>
    </row>
    <row r="1805" spans="1:14" x14ac:dyDescent="0.25">
      <c r="A1805" s="2">
        <v>1799</v>
      </c>
      <c r="B1805" s="11">
        <f t="shared" ca="1" si="141"/>
        <v>0</v>
      </c>
      <c r="C1805" s="26">
        <f t="shared" ca="1" si="145"/>
        <v>0.85114136215308689</v>
      </c>
      <c r="J1805">
        <f t="shared" ca="1" si="142"/>
        <v>0</v>
      </c>
      <c r="K1805">
        <f t="shared" ca="1" si="143"/>
        <v>0</v>
      </c>
      <c r="L1805" s="65">
        <v>1799</v>
      </c>
      <c r="M1805" s="71">
        <f t="shared" ca="1" si="144"/>
        <v>0</v>
      </c>
      <c r="N1805" s="65"/>
    </row>
    <row r="1806" spans="1:14" x14ac:dyDescent="0.25">
      <c r="A1806" s="2">
        <v>1800</v>
      </c>
      <c r="B1806" s="11">
        <f t="shared" ca="1" si="141"/>
        <v>1</v>
      </c>
      <c r="C1806" s="26">
        <f t="shared" ca="1" si="145"/>
        <v>0.1474323025060138</v>
      </c>
      <c r="J1806">
        <f t="shared" ca="1" si="142"/>
        <v>1</v>
      </c>
      <c r="K1806">
        <f t="shared" ca="1" si="143"/>
        <v>0</v>
      </c>
      <c r="L1806" s="65">
        <v>1800</v>
      </c>
      <c r="M1806" s="71">
        <f t="shared" ca="1" si="144"/>
        <v>4.982820217482347</v>
      </c>
      <c r="N1806" s="65"/>
    </row>
    <row r="1807" spans="1:14" x14ac:dyDescent="0.25">
      <c r="A1807" s="2">
        <v>1801</v>
      </c>
      <c r="B1807" s="11">
        <f t="shared" ca="1" si="141"/>
        <v>1</v>
      </c>
      <c r="C1807" s="26">
        <f t="shared" ca="1" si="145"/>
        <v>0.2281686854564462</v>
      </c>
      <c r="J1807">
        <f t="shared" ca="1" si="142"/>
        <v>1</v>
      </c>
      <c r="K1807">
        <f t="shared" ca="1" si="143"/>
        <v>0</v>
      </c>
      <c r="L1807" s="65">
        <v>1801</v>
      </c>
      <c r="M1807" s="71">
        <f t="shared" ca="1" si="144"/>
        <v>1.1644345554513971</v>
      </c>
      <c r="N1807" s="65"/>
    </row>
    <row r="1808" spans="1:14" x14ac:dyDescent="0.25">
      <c r="A1808" s="2">
        <v>1802</v>
      </c>
      <c r="B1808" s="11">
        <f t="shared" ca="1" si="141"/>
        <v>1</v>
      </c>
      <c r="C1808" s="26">
        <f t="shared" ca="1" si="145"/>
        <v>0.36278960062582477</v>
      </c>
      <c r="J1808">
        <f t="shared" ca="1" si="142"/>
        <v>1</v>
      </c>
      <c r="K1808">
        <f t="shared" ca="1" si="143"/>
        <v>0</v>
      </c>
      <c r="L1808" s="65">
        <v>1802</v>
      </c>
      <c r="M1808" s="71">
        <f t="shared" ca="1" si="144"/>
        <v>5.6186208140921741E-2</v>
      </c>
      <c r="N1808" s="65"/>
    </row>
    <row r="1809" spans="1:14" x14ac:dyDescent="0.25">
      <c r="A1809" s="2">
        <v>1803</v>
      </c>
      <c r="B1809" s="11">
        <f t="shared" ca="1" si="141"/>
        <v>1</v>
      </c>
      <c r="C1809" s="26">
        <f t="shared" ca="1" si="145"/>
        <v>8.9580029821187179E-2</v>
      </c>
      <c r="J1809">
        <f t="shared" ca="1" si="142"/>
        <v>0</v>
      </c>
      <c r="K1809">
        <f t="shared" ca="1" si="143"/>
        <v>0</v>
      </c>
      <c r="L1809" s="65">
        <v>1803</v>
      </c>
      <c r="M1809" s="71">
        <f t="shared" ca="1" si="144"/>
        <v>1.2859410349613913</v>
      </c>
      <c r="N1809" s="65"/>
    </row>
    <row r="1810" spans="1:14" x14ac:dyDescent="0.25">
      <c r="A1810" s="2">
        <v>1804</v>
      </c>
      <c r="B1810" s="11">
        <f t="shared" ca="1" si="141"/>
        <v>0</v>
      </c>
      <c r="C1810" s="26">
        <f t="shared" ca="1" si="145"/>
        <v>0.95624686872825204</v>
      </c>
      <c r="J1810">
        <f t="shared" ca="1" si="142"/>
        <v>0</v>
      </c>
      <c r="K1810">
        <f t="shared" ca="1" si="143"/>
        <v>1</v>
      </c>
      <c r="L1810" s="65">
        <v>1804</v>
      </c>
      <c r="M1810" s="71">
        <f t="shared" ca="1" si="144"/>
        <v>0</v>
      </c>
      <c r="N1810" s="65"/>
    </row>
    <row r="1811" spans="1:14" x14ac:dyDescent="0.25">
      <c r="A1811" s="2">
        <v>1805</v>
      </c>
      <c r="B1811" s="11">
        <f t="shared" ca="1" si="141"/>
        <v>0</v>
      </c>
      <c r="C1811" s="26">
        <f t="shared" ca="1" si="145"/>
        <v>0.81452491484672362</v>
      </c>
      <c r="J1811">
        <f t="shared" ca="1" si="142"/>
        <v>0</v>
      </c>
      <c r="K1811">
        <f t="shared" ca="1" si="143"/>
        <v>1</v>
      </c>
      <c r="L1811" s="65">
        <v>1805</v>
      </c>
      <c r="M1811" s="71">
        <f t="shared" ca="1" si="144"/>
        <v>0</v>
      </c>
      <c r="N1811" s="65"/>
    </row>
    <row r="1812" spans="1:14" x14ac:dyDescent="0.25">
      <c r="A1812" s="2">
        <v>1806</v>
      </c>
      <c r="B1812" s="11">
        <f t="shared" ca="1" si="141"/>
        <v>0</v>
      </c>
      <c r="C1812" s="26">
        <f t="shared" ca="1" si="145"/>
        <v>0.45235960653408092</v>
      </c>
      <c r="J1812">
        <f t="shared" ca="1" si="142"/>
        <v>0</v>
      </c>
      <c r="K1812">
        <f t="shared" ca="1" si="143"/>
        <v>1</v>
      </c>
      <c r="L1812" s="65">
        <v>1806</v>
      </c>
      <c r="M1812" s="71">
        <f t="shared" ca="1" si="144"/>
        <v>0</v>
      </c>
      <c r="N1812" s="65"/>
    </row>
    <row r="1813" spans="1:14" x14ac:dyDescent="0.25">
      <c r="A1813" s="2">
        <v>1807</v>
      </c>
      <c r="B1813" s="11">
        <f t="shared" ca="1" si="141"/>
        <v>0</v>
      </c>
      <c r="C1813" s="26">
        <f t="shared" ca="1" si="145"/>
        <v>0.664861526494408</v>
      </c>
      <c r="J1813">
        <f t="shared" ca="1" si="142"/>
        <v>0</v>
      </c>
      <c r="K1813">
        <f t="shared" ca="1" si="143"/>
        <v>0</v>
      </c>
      <c r="L1813" s="65">
        <v>1807</v>
      </c>
      <c r="M1813" s="71">
        <f t="shared" ca="1" si="144"/>
        <v>0</v>
      </c>
      <c r="N1813" s="65"/>
    </row>
    <row r="1814" spans="1:14" x14ac:dyDescent="0.25">
      <c r="A1814" s="2">
        <v>1808</v>
      </c>
      <c r="B1814" s="11">
        <f t="shared" ca="1" si="141"/>
        <v>1</v>
      </c>
      <c r="C1814" s="26">
        <f t="shared" ca="1" si="145"/>
        <v>3.7243501751024866E-2</v>
      </c>
      <c r="J1814">
        <f t="shared" ca="1" si="142"/>
        <v>0</v>
      </c>
      <c r="K1814">
        <f t="shared" ca="1" si="143"/>
        <v>0</v>
      </c>
      <c r="L1814" s="65">
        <v>1808</v>
      </c>
      <c r="M1814" s="71">
        <f t="shared" ca="1" si="144"/>
        <v>2.1610652571622824</v>
      </c>
      <c r="N1814" s="65"/>
    </row>
    <row r="1815" spans="1:14" x14ac:dyDescent="0.25">
      <c r="A1815" s="2">
        <v>1809</v>
      </c>
      <c r="B1815" s="11">
        <f t="shared" ca="1" si="141"/>
        <v>0</v>
      </c>
      <c r="C1815" s="26">
        <f t="shared" ca="1" si="145"/>
        <v>0.78852049551597081</v>
      </c>
      <c r="J1815">
        <f t="shared" ca="1" si="142"/>
        <v>0</v>
      </c>
      <c r="K1815">
        <f t="shared" ca="1" si="143"/>
        <v>0</v>
      </c>
      <c r="L1815" s="65">
        <v>1809</v>
      </c>
      <c r="M1815" s="71">
        <f t="shared" ca="1" si="144"/>
        <v>0</v>
      </c>
      <c r="N1815" s="65"/>
    </row>
    <row r="1816" spans="1:14" x14ac:dyDescent="0.25">
      <c r="A1816" s="2">
        <v>1810</v>
      </c>
      <c r="B1816" s="11">
        <f t="shared" ca="1" si="141"/>
        <v>1</v>
      </c>
      <c r="C1816" s="26">
        <f t="shared" ca="1" si="145"/>
        <v>0.15561193360689518</v>
      </c>
      <c r="J1816">
        <f t="shared" ca="1" si="142"/>
        <v>1</v>
      </c>
      <c r="K1816">
        <f t="shared" ca="1" si="143"/>
        <v>0</v>
      </c>
      <c r="L1816" s="65">
        <v>1810</v>
      </c>
      <c r="M1816" s="71">
        <f t="shared" ca="1" si="144"/>
        <v>5.0239663470314779</v>
      </c>
      <c r="N1816" s="65"/>
    </row>
    <row r="1817" spans="1:14" x14ac:dyDescent="0.25">
      <c r="A1817" s="2">
        <v>1811</v>
      </c>
      <c r="B1817" s="11">
        <f t="shared" ca="1" si="141"/>
        <v>1</v>
      </c>
      <c r="C1817" s="26">
        <f t="shared" ca="1" si="145"/>
        <v>0.38902056219020054</v>
      </c>
      <c r="J1817">
        <f t="shared" ca="1" si="142"/>
        <v>1</v>
      </c>
      <c r="K1817">
        <f t="shared" ca="1" si="143"/>
        <v>0</v>
      </c>
      <c r="L1817" s="65">
        <v>1811</v>
      </c>
      <c r="M1817" s="71">
        <f t="shared" ca="1" si="144"/>
        <v>7.0218841560671097E-2</v>
      </c>
      <c r="N1817" s="65"/>
    </row>
    <row r="1818" spans="1:14" x14ac:dyDescent="0.25">
      <c r="A1818" s="2">
        <v>1812</v>
      </c>
      <c r="B1818" s="11">
        <f t="shared" ca="1" si="141"/>
        <v>1</v>
      </c>
      <c r="C1818" s="26">
        <f t="shared" ca="1" si="145"/>
        <v>0.63046229298968315</v>
      </c>
      <c r="J1818">
        <f t="shared" ca="1" si="142"/>
        <v>0</v>
      </c>
      <c r="K1818">
        <f t="shared" ca="1" si="143"/>
        <v>0</v>
      </c>
      <c r="L1818" s="65">
        <v>1812</v>
      </c>
      <c r="M1818" s="71">
        <f t="shared" ca="1" si="144"/>
        <v>1.2014343586485428</v>
      </c>
      <c r="N1818" s="65"/>
    </row>
    <row r="1819" spans="1:14" x14ac:dyDescent="0.25">
      <c r="A1819" s="2">
        <v>1813</v>
      </c>
      <c r="B1819" s="11">
        <f t="shared" ca="1" si="141"/>
        <v>0</v>
      </c>
      <c r="C1819" s="26">
        <f t="shared" ca="1" si="145"/>
        <v>0.83164603280277938</v>
      </c>
      <c r="J1819">
        <f t="shared" ca="1" si="142"/>
        <v>0</v>
      </c>
      <c r="K1819">
        <f t="shared" ca="1" si="143"/>
        <v>1</v>
      </c>
      <c r="L1819" s="65">
        <v>1813</v>
      </c>
      <c r="M1819" s="71">
        <f t="shared" ca="1" si="144"/>
        <v>0</v>
      </c>
      <c r="N1819" s="65"/>
    </row>
    <row r="1820" spans="1:14" x14ac:dyDescent="0.25">
      <c r="A1820" s="2">
        <v>1814</v>
      </c>
      <c r="B1820" s="11">
        <f t="shared" ca="1" si="141"/>
        <v>0</v>
      </c>
      <c r="C1820" s="26">
        <f t="shared" ca="1" si="145"/>
        <v>0.60012715688760809</v>
      </c>
      <c r="J1820">
        <f t="shared" ca="1" si="142"/>
        <v>0</v>
      </c>
      <c r="K1820">
        <f t="shared" ca="1" si="143"/>
        <v>1</v>
      </c>
      <c r="L1820" s="65">
        <v>1814</v>
      </c>
      <c r="M1820" s="71">
        <f t="shared" ca="1" si="144"/>
        <v>0</v>
      </c>
      <c r="N1820" s="65"/>
    </row>
    <row r="1821" spans="1:14" x14ac:dyDescent="0.25">
      <c r="A1821" s="2">
        <v>1815</v>
      </c>
      <c r="B1821" s="11">
        <f t="shared" ca="1" si="141"/>
        <v>0</v>
      </c>
      <c r="C1821" s="26">
        <f t="shared" ca="1" si="145"/>
        <v>0.59505168402305686</v>
      </c>
      <c r="J1821">
        <f t="shared" ca="1" si="142"/>
        <v>0</v>
      </c>
      <c r="K1821">
        <f t="shared" ca="1" si="143"/>
        <v>0</v>
      </c>
      <c r="L1821" s="65">
        <v>1815</v>
      </c>
      <c r="M1821" s="71">
        <f t="shared" ca="1" si="144"/>
        <v>0</v>
      </c>
      <c r="N1821" s="65"/>
    </row>
    <row r="1822" spans="1:14" x14ac:dyDescent="0.25">
      <c r="A1822" s="2">
        <v>1816</v>
      </c>
      <c r="B1822" s="11">
        <f t="shared" ca="1" si="141"/>
        <v>1</v>
      </c>
      <c r="C1822" s="26">
        <f t="shared" ca="1" si="145"/>
        <v>0.22415003327341154</v>
      </c>
      <c r="J1822">
        <f t="shared" ca="1" si="142"/>
        <v>1</v>
      </c>
      <c r="K1822">
        <f t="shared" ca="1" si="143"/>
        <v>0</v>
      </c>
      <c r="L1822" s="65">
        <v>1816</v>
      </c>
      <c r="M1822" s="71">
        <f t="shared" ca="1" si="144"/>
        <v>4.3097304600430126</v>
      </c>
      <c r="N1822" s="65"/>
    </row>
    <row r="1823" spans="1:14" x14ac:dyDescent="0.25">
      <c r="A1823" s="2">
        <v>1817</v>
      </c>
      <c r="B1823" s="11">
        <f t="shared" ca="1" si="141"/>
        <v>1</v>
      </c>
      <c r="C1823" s="26">
        <f t="shared" ca="1" si="145"/>
        <v>0.13890388398322628</v>
      </c>
      <c r="J1823">
        <f t="shared" ca="1" si="142"/>
        <v>1</v>
      </c>
      <c r="K1823">
        <f t="shared" ca="1" si="143"/>
        <v>0</v>
      </c>
      <c r="L1823" s="65">
        <v>1817</v>
      </c>
      <c r="M1823" s="71">
        <f t="shared" ca="1" si="144"/>
        <v>1.4043551982904838</v>
      </c>
      <c r="N1823" s="65"/>
    </row>
    <row r="1824" spans="1:14" x14ac:dyDescent="0.25">
      <c r="A1824" s="2">
        <v>1818</v>
      </c>
      <c r="B1824" s="11">
        <f t="shared" ca="1" si="141"/>
        <v>1</v>
      </c>
      <c r="C1824" s="26">
        <f t="shared" ca="1" si="145"/>
        <v>0.51506773981930942</v>
      </c>
      <c r="J1824">
        <f t="shared" ca="1" si="142"/>
        <v>1</v>
      </c>
      <c r="K1824">
        <f t="shared" ca="1" si="143"/>
        <v>0</v>
      </c>
      <c r="L1824" s="65">
        <v>1818</v>
      </c>
      <c r="M1824" s="71">
        <f t="shared" ca="1" si="144"/>
        <v>0.44687752844942641</v>
      </c>
      <c r="N1824" s="65"/>
    </row>
    <row r="1825" spans="1:14" x14ac:dyDescent="0.25">
      <c r="A1825" s="2">
        <v>1819</v>
      </c>
      <c r="B1825" s="11">
        <f t="shared" ca="1" si="141"/>
        <v>1</v>
      </c>
      <c r="C1825" s="26">
        <f t="shared" ca="1" si="145"/>
        <v>0.34546976409720409</v>
      </c>
      <c r="J1825">
        <f t="shared" ca="1" si="142"/>
        <v>1</v>
      </c>
      <c r="K1825">
        <f t="shared" ca="1" si="143"/>
        <v>0</v>
      </c>
      <c r="L1825" s="65">
        <v>1819</v>
      </c>
      <c r="M1825" s="71">
        <f t="shared" ca="1" si="144"/>
        <v>0.30665039868639066</v>
      </c>
      <c r="N1825" s="65"/>
    </row>
    <row r="1826" spans="1:14" x14ac:dyDescent="0.25">
      <c r="A1826" s="2">
        <v>1820</v>
      </c>
      <c r="B1826" s="11">
        <f t="shared" ca="1" si="141"/>
        <v>1</v>
      </c>
      <c r="C1826" s="26">
        <f t="shared" ca="1" si="145"/>
        <v>0.11136977803920911</v>
      </c>
      <c r="J1826">
        <f t="shared" ca="1" si="142"/>
        <v>0</v>
      </c>
      <c r="K1826">
        <f t="shared" ca="1" si="143"/>
        <v>0</v>
      </c>
      <c r="L1826" s="65">
        <v>1820</v>
      </c>
      <c r="M1826" s="71">
        <f t="shared" ca="1" si="144"/>
        <v>1.3121775602096637E-3</v>
      </c>
      <c r="N1826" s="65"/>
    </row>
    <row r="1827" spans="1:14" x14ac:dyDescent="0.25">
      <c r="A1827" s="2">
        <v>1821</v>
      </c>
      <c r="B1827" s="11">
        <f t="shared" ca="1" si="141"/>
        <v>0</v>
      </c>
      <c r="C1827" s="26">
        <f t="shared" ca="1" si="145"/>
        <v>0.82955942784626435</v>
      </c>
      <c r="J1827">
        <f t="shared" ca="1" si="142"/>
        <v>0</v>
      </c>
      <c r="K1827">
        <f t="shared" ca="1" si="143"/>
        <v>1</v>
      </c>
      <c r="L1827" s="65">
        <v>1821</v>
      </c>
      <c r="M1827" s="71">
        <f t="shared" ca="1" si="144"/>
        <v>0</v>
      </c>
      <c r="N1827" s="65"/>
    </row>
    <row r="1828" spans="1:14" x14ac:dyDescent="0.25">
      <c r="A1828" s="2">
        <v>1822</v>
      </c>
      <c r="B1828" s="11">
        <f t="shared" ca="1" si="141"/>
        <v>0</v>
      </c>
      <c r="C1828" s="26">
        <f t="shared" ca="1" si="145"/>
        <v>0.99257906099286175</v>
      </c>
      <c r="J1828">
        <f t="shared" ca="1" si="142"/>
        <v>0</v>
      </c>
      <c r="K1828">
        <f t="shared" ca="1" si="143"/>
        <v>0</v>
      </c>
      <c r="L1828" s="65">
        <v>1822</v>
      </c>
      <c r="M1828" s="71">
        <f t="shared" ca="1" si="144"/>
        <v>0</v>
      </c>
      <c r="N1828" s="65"/>
    </row>
    <row r="1829" spans="1:14" x14ac:dyDescent="0.25">
      <c r="A1829" s="2">
        <v>1823</v>
      </c>
      <c r="B1829" s="11">
        <f t="shared" ca="1" si="141"/>
        <v>1</v>
      </c>
      <c r="C1829" s="26">
        <f t="shared" ca="1" si="145"/>
        <v>0.25568283536598502</v>
      </c>
      <c r="J1829">
        <f t="shared" ca="1" si="142"/>
        <v>0</v>
      </c>
      <c r="K1829">
        <f t="shared" ca="1" si="143"/>
        <v>0</v>
      </c>
      <c r="L1829" s="65">
        <v>1823</v>
      </c>
      <c r="M1829" s="71">
        <f t="shared" ca="1" si="144"/>
        <v>5.3646298415727456</v>
      </c>
      <c r="N1829" s="65"/>
    </row>
    <row r="1830" spans="1:14" x14ac:dyDescent="0.25">
      <c r="A1830" s="2">
        <v>1824</v>
      </c>
      <c r="B1830" s="11">
        <f t="shared" ca="1" si="141"/>
        <v>0</v>
      </c>
      <c r="C1830" s="26">
        <f t="shared" ca="1" si="145"/>
        <v>0.75412585679911315</v>
      </c>
      <c r="J1830">
        <f t="shared" ca="1" si="142"/>
        <v>0</v>
      </c>
      <c r="K1830">
        <f t="shared" ca="1" si="143"/>
        <v>1</v>
      </c>
      <c r="L1830" s="65">
        <v>1824</v>
      </c>
      <c r="M1830" s="71">
        <f t="shared" ca="1" si="144"/>
        <v>0</v>
      </c>
      <c r="N1830" s="65"/>
    </row>
    <row r="1831" spans="1:14" x14ac:dyDescent="0.25">
      <c r="A1831" s="2">
        <v>1825</v>
      </c>
      <c r="B1831" s="11">
        <f t="shared" ca="1" si="141"/>
        <v>0</v>
      </c>
      <c r="C1831" s="26">
        <f t="shared" ca="1" si="145"/>
        <v>0.70582939988893079</v>
      </c>
      <c r="J1831">
        <f t="shared" ca="1" si="142"/>
        <v>0</v>
      </c>
      <c r="K1831">
        <f t="shared" ca="1" si="143"/>
        <v>1</v>
      </c>
      <c r="L1831" s="65">
        <v>1825</v>
      </c>
      <c r="M1831" s="71">
        <f t="shared" ca="1" si="144"/>
        <v>0</v>
      </c>
      <c r="N1831" s="65"/>
    </row>
    <row r="1832" spans="1:14" x14ac:dyDescent="0.25">
      <c r="A1832" s="2">
        <v>1826</v>
      </c>
      <c r="B1832" s="11">
        <f t="shared" ca="1" si="141"/>
        <v>0</v>
      </c>
      <c r="C1832" s="26">
        <f t="shared" ca="1" si="145"/>
        <v>0.95575906321048953</v>
      </c>
      <c r="J1832">
        <f t="shared" ca="1" si="142"/>
        <v>0</v>
      </c>
      <c r="K1832">
        <f t="shared" ca="1" si="143"/>
        <v>1</v>
      </c>
      <c r="L1832" s="65">
        <v>1826</v>
      </c>
      <c r="M1832" s="71">
        <f t="shared" ca="1" si="144"/>
        <v>0</v>
      </c>
      <c r="N1832" s="65"/>
    </row>
    <row r="1833" spans="1:14" x14ac:dyDescent="0.25">
      <c r="A1833" s="2">
        <v>1827</v>
      </c>
      <c r="B1833" s="11">
        <f t="shared" ca="1" si="141"/>
        <v>0</v>
      </c>
      <c r="C1833" s="26">
        <f t="shared" ca="1" si="145"/>
        <v>0.96827116158319515</v>
      </c>
      <c r="J1833">
        <f t="shared" ca="1" si="142"/>
        <v>0</v>
      </c>
      <c r="K1833">
        <f t="shared" ca="1" si="143"/>
        <v>1</v>
      </c>
      <c r="L1833" s="65">
        <v>1827</v>
      </c>
      <c r="M1833" s="71">
        <f t="shared" ca="1" si="144"/>
        <v>0</v>
      </c>
      <c r="N1833" s="65"/>
    </row>
    <row r="1834" spans="1:14" x14ac:dyDescent="0.25">
      <c r="A1834" s="2">
        <v>1828</v>
      </c>
      <c r="B1834" s="11">
        <f t="shared" ca="1" si="141"/>
        <v>0</v>
      </c>
      <c r="C1834" s="26">
        <f t="shared" ca="1" si="145"/>
        <v>0.7908731950567025</v>
      </c>
      <c r="J1834">
        <f t="shared" ca="1" si="142"/>
        <v>0</v>
      </c>
      <c r="K1834">
        <f t="shared" ca="1" si="143"/>
        <v>0</v>
      </c>
      <c r="L1834" s="65">
        <v>1828</v>
      </c>
      <c r="M1834" s="71">
        <f t="shared" ca="1" si="144"/>
        <v>0</v>
      </c>
      <c r="N1834" s="65"/>
    </row>
    <row r="1835" spans="1:14" x14ac:dyDescent="0.25">
      <c r="A1835" s="2">
        <v>1829</v>
      </c>
      <c r="B1835" s="11">
        <f t="shared" ca="1" si="141"/>
        <v>1</v>
      </c>
      <c r="C1835" s="26">
        <f t="shared" ca="1" si="145"/>
        <v>0.27819356531932771</v>
      </c>
      <c r="J1835">
        <f t="shared" ca="1" si="142"/>
        <v>1</v>
      </c>
      <c r="K1835">
        <f t="shared" ca="1" si="143"/>
        <v>0</v>
      </c>
      <c r="L1835" s="65">
        <v>1829</v>
      </c>
      <c r="M1835" s="71">
        <f t="shared" ca="1" si="144"/>
        <v>0.70420554720038964</v>
      </c>
      <c r="N1835" s="65"/>
    </row>
    <row r="1836" spans="1:14" x14ac:dyDescent="0.25">
      <c r="A1836" s="2">
        <v>1830</v>
      </c>
      <c r="B1836" s="11">
        <f t="shared" ca="1" si="141"/>
        <v>1</v>
      </c>
      <c r="C1836" s="26">
        <f t="shared" ca="1" si="145"/>
        <v>0.17571896368169382</v>
      </c>
      <c r="J1836">
        <f t="shared" ca="1" si="142"/>
        <v>1</v>
      </c>
      <c r="K1836">
        <f t="shared" ca="1" si="143"/>
        <v>0</v>
      </c>
      <c r="L1836" s="65">
        <v>1830</v>
      </c>
      <c r="M1836" s="71">
        <f t="shared" ca="1" si="144"/>
        <v>1.9694430254193742</v>
      </c>
      <c r="N1836" s="65"/>
    </row>
    <row r="1837" spans="1:14" x14ac:dyDescent="0.25">
      <c r="A1837" s="2">
        <v>1831</v>
      </c>
      <c r="B1837" s="11">
        <f t="shared" ca="1" si="141"/>
        <v>1</v>
      </c>
      <c r="C1837" s="26">
        <f t="shared" ca="1" si="145"/>
        <v>0.29420902262870385</v>
      </c>
      <c r="J1837">
        <f t="shared" ca="1" si="142"/>
        <v>1</v>
      </c>
      <c r="K1837">
        <f t="shared" ca="1" si="143"/>
        <v>0</v>
      </c>
      <c r="L1837" s="65">
        <v>1831</v>
      </c>
      <c r="M1837" s="71">
        <f t="shared" ca="1" si="144"/>
        <v>6.8021976278874448</v>
      </c>
      <c r="N1837" s="65"/>
    </row>
    <row r="1838" spans="1:14" x14ac:dyDescent="0.25">
      <c r="A1838" s="2">
        <v>1832</v>
      </c>
      <c r="B1838" s="11">
        <f t="shared" ca="1" si="141"/>
        <v>1</v>
      </c>
      <c r="C1838" s="26">
        <f t="shared" ca="1" si="145"/>
        <v>0.48047668991444559</v>
      </c>
      <c r="J1838">
        <f t="shared" ca="1" si="142"/>
        <v>1</v>
      </c>
      <c r="K1838">
        <f t="shared" ca="1" si="143"/>
        <v>0</v>
      </c>
      <c r="L1838" s="65">
        <v>1832</v>
      </c>
      <c r="M1838" s="71">
        <f t="shared" ca="1" si="144"/>
        <v>10.845885644406657</v>
      </c>
      <c r="N1838" s="65"/>
    </row>
    <row r="1839" spans="1:14" x14ac:dyDescent="0.25">
      <c r="A1839" s="2">
        <v>1833</v>
      </c>
      <c r="B1839" s="11">
        <f t="shared" ref="B1839:B1902" ca="1" si="146">IF(B1838&gt;0,IF(C1839&lt;pww,1,0),IF(C1839&lt;pdw,1,0))</f>
        <v>1</v>
      </c>
      <c r="C1839" s="26">
        <f t="shared" ca="1" si="145"/>
        <v>0.67196144987118789</v>
      </c>
      <c r="J1839">
        <f t="shared" ref="J1839:J1902" ca="1" si="147">IF(AND(B1839,B1840),1,0)</f>
        <v>1</v>
      </c>
      <c r="K1839">
        <f t="shared" ref="K1839:K1902" ca="1" si="148">IF(AND(NOT(B1839),NOT(B1840)),1,0)</f>
        <v>0</v>
      </c>
      <c r="L1839" s="65">
        <v>1833</v>
      </c>
      <c r="M1839" s="71">
        <f t="shared" ca="1" si="144"/>
        <v>4.6750139388504142</v>
      </c>
      <c r="N1839" s="65"/>
    </row>
    <row r="1840" spans="1:14" x14ac:dyDescent="0.25">
      <c r="A1840" s="2">
        <v>1834</v>
      </c>
      <c r="B1840" s="11">
        <f t="shared" ca="1" si="146"/>
        <v>1</v>
      </c>
      <c r="C1840" s="26">
        <f t="shared" ca="1" si="145"/>
        <v>0.43599985926294582</v>
      </c>
      <c r="J1840">
        <f t="shared" ca="1" si="147"/>
        <v>1</v>
      </c>
      <c r="K1840">
        <f t="shared" ca="1" si="148"/>
        <v>0</v>
      </c>
      <c r="L1840" s="65">
        <v>1834</v>
      </c>
      <c r="M1840" s="71">
        <f t="shared" ca="1" si="144"/>
        <v>4.873871875173208</v>
      </c>
      <c r="N1840" s="65"/>
    </row>
    <row r="1841" spans="1:14" x14ac:dyDescent="0.25">
      <c r="A1841" s="2">
        <v>1835</v>
      </c>
      <c r="B1841" s="11">
        <f t="shared" ca="1" si="146"/>
        <v>1</v>
      </c>
      <c r="C1841" s="26">
        <f t="shared" ca="1" si="145"/>
        <v>0.12369456941878565</v>
      </c>
      <c r="J1841">
        <f t="shared" ca="1" si="147"/>
        <v>0</v>
      </c>
      <c r="K1841">
        <f t="shared" ca="1" si="148"/>
        <v>0</v>
      </c>
      <c r="L1841" s="65">
        <v>1835</v>
      </c>
      <c r="M1841" s="71">
        <f t="shared" ca="1" si="144"/>
        <v>5.1017939202667417</v>
      </c>
      <c r="N1841" s="65"/>
    </row>
    <row r="1842" spans="1:14" x14ac:dyDescent="0.25">
      <c r="A1842" s="2">
        <v>1836</v>
      </c>
      <c r="B1842" s="11">
        <f t="shared" ca="1" si="146"/>
        <v>0</v>
      </c>
      <c r="C1842" s="26">
        <f t="shared" ca="1" si="145"/>
        <v>0.90691723172140337</v>
      </c>
      <c r="J1842">
        <f t="shared" ca="1" si="147"/>
        <v>0</v>
      </c>
      <c r="K1842">
        <f t="shared" ca="1" si="148"/>
        <v>0</v>
      </c>
      <c r="L1842" s="65">
        <v>1836</v>
      </c>
      <c r="M1842" s="71">
        <f t="shared" ca="1" si="144"/>
        <v>0</v>
      </c>
      <c r="N1842" s="65"/>
    </row>
    <row r="1843" spans="1:14" x14ac:dyDescent="0.25">
      <c r="A1843" s="2">
        <v>1837</v>
      </c>
      <c r="B1843" s="11">
        <f t="shared" ca="1" si="146"/>
        <v>1</v>
      </c>
      <c r="C1843" s="26">
        <f t="shared" ca="1" si="145"/>
        <v>0.18022800177270026</v>
      </c>
      <c r="J1843">
        <f t="shared" ca="1" si="147"/>
        <v>0</v>
      </c>
      <c r="K1843">
        <f t="shared" ca="1" si="148"/>
        <v>0</v>
      </c>
      <c r="L1843" s="65">
        <v>1837</v>
      </c>
      <c r="M1843" s="71">
        <f t="shared" ca="1" si="144"/>
        <v>0.9232715162394689</v>
      </c>
      <c r="N1843" s="65"/>
    </row>
    <row r="1844" spans="1:14" x14ac:dyDescent="0.25">
      <c r="A1844" s="2">
        <v>1838</v>
      </c>
      <c r="B1844" s="11">
        <f t="shared" ca="1" si="146"/>
        <v>0</v>
      </c>
      <c r="C1844" s="26">
        <f t="shared" ca="1" si="145"/>
        <v>0.83440088977257654</v>
      </c>
      <c r="J1844">
        <f t="shared" ca="1" si="147"/>
        <v>0</v>
      </c>
      <c r="K1844">
        <f t="shared" ca="1" si="148"/>
        <v>1</v>
      </c>
      <c r="L1844" s="65">
        <v>1838</v>
      </c>
      <c r="M1844" s="71">
        <f t="shared" ca="1" si="144"/>
        <v>0</v>
      </c>
      <c r="N1844" s="65"/>
    </row>
    <row r="1845" spans="1:14" x14ac:dyDescent="0.25">
      <c r="A1845" s="2">
        <v>1839</v>
      </c>
      <c r="B1845" s="11">
        <f t="shared" ca="1" si="146"/>
        <v>0</v>
      </c>
      <c r="C1845" s="26">
        <f t="shared" ca="1" si="145"/>
        <v>0.8766878022143072</v>
      </c>
      <c r="J1845">
        <f t="shared" ca="1" si="147"/>
        <v>0</v>
      </c>
      <c r="K1845">
        <f t="shared" ca="1" si="148"/>
        <v>1</v>
      </c>
      <c r="L1845" s="65">
        <v>1839</v>
      </c>
      <c r="M1845" s="71">
        <f t="shared" ca="1" si="144"/>
        <v>0</v>
      </c>
      <c r="N1845" s="65"/>
    </row>
    <row r="1846" spans="1:14" x14ac:dyDescent="0.25">
      <c r="A1846" s="2">
        <v>1840</v>
      </c>
      <c r="B1846" s="11">
        <f t="shared" ca="1" si="146"/>
        <v>0</v>
      </c>
      <c r="C1846" s="26">
        <f t="shared" ca="1" si="145"/>
        <v>0.5418593719058703</v>
      </c>
      <c r="J1846">
        <f t="shared" ca="1" si="147"/>
        <v>0</v>
      </c>
      <c r="K1846">
        <f t="shared" ca="1" si="148"/>
        <v>0</v>
      </c>
      <c r="L1846" s="65">
        <v>1840</v>
      </c>
      <c r="M1846" s="71">
        <f t="shared" ca="1" si="144"/>
        <v>0</v>
      </c>
      <c r="N1846" s="65"/>
    </row>
    <row r="1847" spans="1:14" x14ac:dyDescent="0.25">
      <c r="A1847" s="2">
        <v>1841</v>
      </c>
      <c r="B1847" s="11">
        <f t="shared" ca="1" si="146"/>
        <v>1</v>
      </c>
      <c r="C1847" s="26">
        <f t="shared" ca="1" si="145"/>
        <v>0.37431878316673695</v>
      </c>
      <c r="J1847">
        <f t="shared" ca="1" si="147"/>
        <v>1</v>
      </c>
      <c r="K1847">
        <f t="shared" ca="1" si="148"/>
        <v>0</v>
      </c>
      <c r="L1847" s="65">
        <v>1841</v>
      </c>
      <c r="M1847" s="71">
        <f t="shared" ca="1" si="144"/>
        <v>1.1609027201979045</v>
      </c>
      <c r="N1847" s="65"/>
    </row>
    <row r="1848" spans="1:14" x14ac:dyDescent="0.25">
      <c r="A1848" s="2">
        <v>1842</v>
      </c>
      <c r="B1848" s="11">
        <f t="shared" ca="1" si="146"/>
        <v>1</v>
      </c>
      <c r="C1848" s="26">
        <f t="shared" ca="1" si="145"/>
        <v>8.2395939749067115E-2</v>
      </c>
      <c r="J1848">
        <f t="shared" ca="1" si="147"/>
        <v>0</v>
      </c>
      <c r="K1848">
        <f t="shared" ca="1" si="148"/>
        <v>0</v>
      </c>
      <c r="L1848" s="65">
        <v>1842</v>
      </c>
      <c r="M1848" s="71">
        <f t="shared" ca="1" si="144"/>
        <v>4.3065426720791393</v>
      </c>
      <c r="N1848" s="65"/>
    </row>
    <row r="1849" spans="1:14" x14ac:dyDescent="0.25">
      <c r="A1849" s="2">
        <v>1843</v>
      </c>
      <c r="B1849" s="11">
        <f t="shared" ca="1" si="146"/>
        <v>0</v>
      </c>
      <c r="C1849" s="26">
        <f t="shared" ca="1" si="145"/>
        <v>0.95632756418979858</v>
      </c>
      <c r="J1849">
        <f t="shared" ca="1" si="147"/>
        <v>0</v>
      </c>
      <c r="K1849">
        <f t="shared" ca="1" si="148"/>
        <v>1</v>
      </c>
      <c r="L1849" s="65">
        <v>1843</v>
      </c>
      <c r="M1849" s="71">
        <f t="shared" ca="1" si="144"/>
        <v>0</v>
      </c>
      <c r="N1849" s="65"/>
    </row>
    <row r="1850" spans="1:14" x14ac:dyDescent="0.25">
      <c r="A1850" s="2">
        <v>1844</v>
      </c>
      <c r="B1850" s="11">
        <f t="shared" ca="1" si="146"/>
        <v>0</v>
      </c>
      <c r="C1850" s="26">
        <f t="shared" ca="1" si="145"/>
        <v>0.54965733370483916</v>
      </c>
      <c r="J1850">
        <f t="shared" ca="1" si="147"/>
        <v>0</v>
      </c>
      <c r="K1850">
        <f t="shared" ca="1" si="148"/>
        <v>0</v>
      </c>
      <c r="L1850" s="65">
        <v>1844</v>
      </c>
      <c r="M1850" s="71">
        <f t="shared" ca="1" si="144"/>
        <v>0</v>
      </c>
      <c r="N1850" s="65"/>
    </row>
    <row r="1851" spans="1:14" x14ac:dyDescent="0.25">
      <c r="A1851" s="2">
        <v>1845</v>
      </c>
      <c r="B1851" s="11">
        <f t="shared" ca="1" si="146"/>
        <v>1</v>
      </c>
      <c r="C1851" s="26">
        <f t="shared" ca="1" si="145"/>
        <v>0.18708648980201481</v>
      </c>
      <c r="J1851">
        <f t="shared" ca="1" si="147"/>
        <v>1</v>
      </c>
      <c r="K1851">
        <f t="shared" ca="1" si="148"/>
        <v>0</v>
      </c>
      <c r="L1851" s="65">
        <v>1845</v>
      </c>
      <c r="M1851" s="71">
        <f t="shared" ca="1" si="144"/>
        <v>1.4949522561940614</v>
      </c>
      <c r="N1851" s="65"/>
    </row>
    <row r="1852" spans="1:14" x14ac:dyDescent="0.25">
      <c r="A1852" s="2">
        <v>1846</v>
      </c>
      <c r="B1852" s="11">
        <f t="shared" ca="1" si="146"/>
        <v>1</v>
      </c>
      <c r="C1852" s="26">
        <f t="shared" ca="1" si="145"/>
        <v>0.15796943842368849</v>
      </c>
      <c r="J1852">
        <f t="shared" ca="1" si="147"/>
        <v>1</v>
      </c>
      <c r="K1852">
        <f t="shared" ca="1" si="148"/>
        <v>0</v>
      </c>
      <c r="L1852" s="65">
        <v>1846</v>
      </c>
      <c r="M1852" s="71">
        <f t="shared" ca="1" si="144"/>
        <v>0.16357195756765225</v>
      </c>
      <c r="N1852" s="65"/>
    </row>
    <row r="1853" spans="1:14" x14ac:dyDescent="0.25">
      <c r="A1853" s="2">
        <v>1847</v>
      </c>
      <c r="B1853" s="11">
        <f t="shared" ca="1" si="146"/>
        <v>1</v>
      </c>
      <c r="C1853" s="26">
        <f t="shared" ca="1" si="145"/>
        <v>0.504462025343973</v>
      </c>
      <c r="J1853">
        <f t="shared" ca="1" si="147"/>
        <v>1</v>
      </c>
      <c r="K1853">
        <f t="shared" ca="1" si="148"/>
        <v>0</v>
      </c>
      <c r="L1853" s="65">
        <v>1847</v>
      </c>
      <c r="M1853" s="71">
        <f t="shared" ca="1" si="144"/>
        <v>2.3285320616725009</v>
      </c>
      <c r="N1853" s="65"/>
    </row>
    <row r="1854" spans="1:14" x14ac:dyDescent="0.25">
      <c r="A1854" s="2">
        <v>1848</v>
      </c>
      <c r="B1854" s="11">
        <f t="shared" ca="1" si="146"/>
        <v>1</v>
      </c>
      <c r="C1854" s="26">
        <f t="shared" ca="1" si="145"/>
        <v>0.22147559851090926</v>
      </c>
      <c r="J1854">
        <f t="shared" ca="1" si="147"/>
        <v>1</v>
      </c>
      <c r="K1854">
        <f t="shared" ca="1" si="148"/>
        <v>0</v>
      </c>
      <c r="L1854" s="65">
        <v>1848</v>
      </c>
      <c r="M1854" s="71">
        <f t="shared" ca="1" si="144"/>
        <v>1.3444708408669164</v>
      </c>
      <c r="N1854" s="65"/>
    </row>
    <row r="1855" spans="1:14" x14ac:dyDescent="0.25">
      <c r="A1855" s="2">
        <v>1849</v>
      </c>
      <c r="B1855" s="11">
        <f t="shared" ca="1" si="146"/>
        <v>1</v>
      </c>
      <c r="C1855" s="26">
        <f t="shared" ca="1" si="145"/>
        <v>0.41415140405210016</v>
      </c>
      <c r="J1855">
        <f t="shared" ca="1" si="147"/>
        <v>1</v>
      </c>
      <c r="K1855">
        <f t="shared" ca="1" si="148"/>
        <v>0</v>
      </c>
      <c r="L1855" s="65">
        <v>1849</v>
      </c>
      <c r="M1855" s="71">
        <f t="shared" ca="1" si="144"/>
        <v>1.0911003171861826</v>
      </c>
      <c r="N1855" s="65"/>
    </row>
    <row r="1856" spans="1:14" x14ac:dyDescent="0.25">
      <c r="A1856" s="2">
        <v>1850</v>
      </c>
      <c r="B1856" s="11">
        <f t="shared" ca="1" si="146"/>
        <v>1</v>
      </c>
      <c r="C1856" s="26">
        <f t="shared" ca="1" si="145"/>
        <v>0.60338219819541827</v>
      </c>
      <c r="J1856">
        <f t="shared" ca="1" si="147"/>
        <v>1</v>
      </c>
      <c r="K1856">
        <f t="shared" ca="1" si="148"/>
        <v>0</v>
      </c>
      <c r="L1856" s="65">
        <v>1850</v>
      </c>
      <c r="M1856" s="71">
        <f t="shared" ca="1" si="144"/>
        <v>14.276169002298458</v>
      </c>
      <c r="N1856" s="65"/>
    </row>
    <row r="1857" spans="1:14" x14ac:dyDescent="0.25">
      <c r="A1857" s="2">
        <v>1851</v>
      </c>
      <c r="B1857" s="11">
        <f t="shared" ca="1" si="146"/>
        <v>1</v>
      </c>
      <c r="C1857" s="26">
        <f t="shared" ca="1" si="145"/>
        <v>0.129742203771954</v>
      </c>
      <c r="J1857">
        <f t="shared" ca="1" si="147"/>
        <v>1</v>
      </c>
      <c r="K1857">
        <f t="shared" ca="1" si="148"/>
        <v>0</v>
      </c>
      <c r="L1857" s="65">
        <v>1851</v>
      </c>
      <c r="M1857" s="71">
        <f t="shared" ca="1" si="144"/>
        <v>1.2637781910963894</v>
      </c>
      <c r="N1857" s="65"/>
    </row>
    <row r="1858" spans="1:14" x14ac:dyDescent="0.25">
      <c r="A1858" s="2">
        <v>1852</v>
      </c>
      <c r="B1858" s="11">
        <f t="shared" ca="1" si="146"/>
        <v>1</v>
      </c>
      <c r="C1858" s="26">
        <f t="shared" ca="1" si="145"/>
        <v>0.26391375783309545</v>
      </c>
      <c r="J1858">
        <f t="shared" ca="1" si="147"/>
        <v>1</v>
      </c>
      <c r="K1858">
        <f t="shared" ca="1" si="148"/>
        <v>0</v>
      </c>
      <c r="L1858" s="65">
        <v>1852</v>
      </c>
      <c r="M1858" s="71">
        <f t="shared" ca="1" si="144"/>
        <v>0.48885715256409917</v>
      </c>
      <c r="N1858" s="65"/>
    </row>
    <row r="1859" spans="1:14" x14ac:dyDescent="0.25">
      <c r="A1859" s="2">
        <v>1853</v>
      </c>
      <c r="B1859" s="11">
        <f t="shared" ca="1" si="146"/>
        <v>1</v>
      </c>
      <c r="C1859" s="26">
        <f t="shared" ca="1" si="145"/>
        <v>0.53646650340433721</v>
      </c>
      <c r="J1859">
        <f t="shared" ca="1" si="147"/>
        <v>1</v>
      </c>
      <c r="K1859">
        <f t="shared" ca="1" si="148"/>
        <v>0</v>
      </c>
      <c r="L1859" s="65">
        <v>1853</v>
      </c>
      <c r="M1859" s="71">
        <f t="shared" ca="1" si="144"/>
        <v>6.6340406194528532</v>
      </c>
      <c r="N1859" s="65"/>
    </row>
    <row r="1860" spans="1:14" x14ac:dyDescent="0.25">
      <c r="A1860" s="2">
        <v>1854</v>
      </c>
      <c r="B1860" s="11">
        <f t="shared" ca="1" si="146"/>
        <v>1</v>
      </c>
      <c r="C1860" s="26">
        <f t="shared" ca="1" si="145"/>
        <v>0.48614873039637163</v>
      </c>
      <c r="J1860">
        <f t="shared" ca="1" si="147"/>
        <v>0</v>
      </c>
      <c r="K1860">
        <f t="shared" ca="1" si="148"/>
        <v>0</v>
      </c>
      <c r="L1860" s="65">
        <v>1854</v>
      </c>
      <c r="M1860" s="71">
        <f t="shared" ca="1" si="144"/>
        <v>6.5487178822892789</v>
      </c>
      <c r="N1860" s="65"/>
    </row>
    <row r="1861" spans="1:14" x14ac:dyDescent="0.25">
      <c r="A1861" s="2">
        <v>1855</v>
      </c>
      <c r="B1861" s="11">
        <f t="shared" ca="1" si="146"/>
        <v>0</v>
      </c>
      <c r="C1861" s="26">
        <f t="shared" ca="1" si="145"/>
        <v>0.78043303852130264</v>
      </c>
      <c r="J1861">
        <f t="shared" ca="1" si="147"/>
        <v>0</v>
      </c>
      <c r="K1861">
        <f t="shared" ca="1" si="148"/>
        <v>1</v>
      </c>
      <c r="L1861" s="65">
        <v>1855</v>
      </c>
      <c r="M1861" s="71">
        <f t="shared" ca="1" si="144"/>
        <v>0</v>
      </c>
      <c r="N1861" s="65"/>
    </row>
    <row r="1862" spans="1:14" x14ac:dyDescent="0.25">
      <c r="A1862" s="2">
        <v>1856</v>
      </c>
      <c r="B1862" s="11">
        <f t="shared" ca="1" si="146"/>
        <v>0</v>
      </c>
      <c r="C1862" s="26">
        <f t="shared" ca="1" si="145"/>
        <v>0.97273174624144976</v>
      </c>
      <c r="J1862">
        <f t="shared" ca="1" si="147"/>
        <v>0</v>
      </c>
      <c r="K1862">
        <f t="shared" ca="1" si="148"/>
        <v>0</v>
      </c>
      <c r="L1862" s="65">
        <v>1856</v>
      </c>
      <c r="M1862" s="71">
        <f t="shared" ca="1" si="144"/>
        <v>0</v>
      </c>
      <c r="N1862" s="65"/>
    </row>
    <row r="1863" spans="1:14" x14ac:dyDescent="0.25">
      <c r="A1863" s="2">
        <v>1857</v>
      </c>
      <c r="B1863" s="11">
        <f t="shared" ca="1" si="146"/>
        <v>1</v>
      </c>
      <c r="C1863" s="26">
        <f t="shared" ca="1" si="145"/>
        <v>7.910221411887286E-2</v>
      </c>
      <c r="J1863">
        <f t="shared" ca="1" si="147"/>
        <v>0</v>
      </c>
      <c r="K1863">
        <f t="shared" ca="1" si="148"/>
        <v>0</v>
      </c>
      <c r="L1863" s="65">
        <v>1857</v>
      </c>
      <c r="M1863" s="71">
        <f t="shared" ref="M1863:M1926" ca="1" si="149">IF(B1863&gt;0,-LN(1-(RAND()))/lambda,0)</f>
        <v>1.9459612905369428</v>
      </c>
      <c r="N1863" s="65"/>
    </row>
    <row r="1864" spans="1:14" x14ac:dyDescent="0.25">
      <c r="A1864" s="2">
        <v>1858</v>
      </c>
      <c r="B1864" s="11">
        <f t="shared" ca="1" si="146"/>
        <v>0</v>
      </c>
      <c r="C1864" s="26">
        <f t="shared" ref="C1864:C1927" ca="1" si="150">RAND()</f>
        <v>0.76291866270572761</v>
      </c>
      <c r="J1864">
        <f t="shared" ca="1" si="147"/>
        <v>0</v>
      </c>
      <c r="K1864">
        <f t="shared" ca="1" si="148"/>
        <v>1</v>
      </c>
      <c r="L1864" s="65">
        <v>1858</v>
      </c>
      <c r="M1864" s="71">
        <f t="shared" ca="1" si="149"/>
        <v>0</v>
      </c>
      <c r="N1864" s="65"/>
    </row>
    <row r="1865" spans="1:14" x14ac:dyDescent="0.25">
      <c r="A1865" s="2">
        <v>1859</v>
      </c>
      <c r="B1865" s="11">
        <f t="shared" ca="1" si="146"/>
        <v>0</v>
      </c>
      <c r="C1865" s="26">
        <f t="shared" ca="1" si="150"/>
        <v>0.81489356238640198</v>
      </c>
      <c r="J1865">
        <f t="shared" ca="1" si="147"/>
        <v>0</v>
      </c>
      <c r="K1865">
        <f t="shared" ca="1" si="148"/>
        <v>0</v>
      </c>
      <c r="L1865" s="65">
        <v>1859</v>
      </c>
      <c r="M1865" s="71">
        <f t="shared" ca="1" si="149"/>
        <v>0</v>
      </c>
      <c r="N1865" s="65"/>
    </row>
    <row r="1866" spans="1:14" x14ac:dyDescent="0.25">
      <c r="A1866" s="2">
        <v>1860</v>
      </c>
      <c r="B1866" s="11">
        <f t="shared" ca="1" si="146"/>
        <v>1</v>
      </c>
      <c r="C1866" s="26">
        <f t="shared" ca="1" si="150"/>
        <v>7.7555560707601723E-2</v>
      </c>
      <c r="J1866">
        <f t="shared" ca="1" si="147"/>
        <v>0</v>
      </c>
      <c r="K1866">
        <f t="shared" ca="1" si="148"/>
        <v>0</v>
      </c>
      <c r="L1866" s="65">
        <v>1860</v>
      </c>
      <c r="M1866" s="71">
        <f t="shared" ca="1" si="149"/>
        <v>1.6002054562789974</v>
      </c>
      <c r="N1866" s="65"/>
    </row>
    <row r="1867" spans="1:14" x14ac:dyDescent="0.25">
      <c r="A1867" s="2">
        <v>1861</v>
      </c>
      <c r="B1867" s="11">
        <f t="shared" ca="1" si="146"/>
        <v>0</v>
      </c>
      <c r="C1867" s="26">
        <f t="shared" ca="1" si="150"/>
        <v>0.9491434169833286</v>
      </c>
      <c r="J1867">
        <f t="shared" ca="1" si="147"/>
        <v>0</v>
      </c>
      <c r="K1867">
        <f t="shared" ca="1" si="148"/>
        <v>0</v>
      </c>
      <c r="L1867" s="65">
        <v>1861</v>
      </c>
      <c r="M1867" s="71">
        <f t="shared" ca="1" si="149"/>
        <v>0</v>
      </c>
      <c r="N1867" s="65"/>
    </row>
    <row r="1868" spans="1:14" x14ac:dyDescent="0.25">
      <c r="A1868" s="2">
        <v>1862</v>
      </c>
      <c r="B1868" s="11">
        <f t="shared" ca="1" si="146"/>
        <v>1</v>
      </c>
      <c r="C1868" s="26">
        <f t="shared" ca="1" si="150"/>
        <v>0.17320427039411357</v>
      </c>
      <c r="J1868">
        <f t="shared" ca="1" si="147"/>
        <v>0</v>
      </c>
      <c r="K1868">
        <f t="shared" ca="1" si="148"/>
        <v>0</v>
      </c>
      <c r="L1868" s="65">
        <v>1862</v>
      </c>
      <c r="M1868" s="71">
        <f t="shared" ca="1" si="149"/>
        <v>2.0351251063186098</v>
      </c>
      <c r="N1868" s="65"/>
    </row>
    <row r="1869" spans="1:14" x14ac:dyDescent="0.25">
      <c r="A1869" s="2">
        <v>1863</v>
      </c>
      <c r="B1869" s="11">
        <f t="shared" ca="1" si="146"/>
        <v>0</v>
      </c>
      <c r="C1869" s="26">
        <f t="shared" ca="1" si="150"/>
        <v>0.9336408314569451</v>
      </c>
      <c r="J1869">
        <f t="shared" ca="1" si="147"/>
        <v>0</v>
      </c>
      <c r="K1869">
        <f t="shared" ca="1" si="148"/>
        <v>0</v>
      </c>
      <c r="L1869" s="65">
        <v>1863</v>
      </c>
      <c r="M1869" s="71">
        <f t="shared" ca="1" si="149"/>
        <v>0</v>
      </c>
      <c r="N1869" s="65"/>
    </row>
    <row r="1870" spans="1:14" x14ac:dyDescent="0.25">
      <c r="A1870" s="2">
        <v>1864</v>
      </c>
      <c r="B1870" s="11">
        <f t="shared" ca="1" si="146"/>
        <v>1</v>
      </c>
      <c r="C1870" s="26">
        <f t="shared" ca="1" si="150"/>
        <v>0.29135452825870778</v>
      </c>
      <c r="J1870">
        <f t="shared" ca="1" si="147"/>
        <v>1</v>
      </c>
      <c r="K1870">
        <f t="shared" ca="1" si="148"/>
        <v>0</v>
      </c>
      <c r="L1870" s="65">
        <v>1864</v>
      </c>
      <c r="M1870" s="71">
        <f t="shared" ca="1" si="149"/>
        <v>1.4605281276322792</v>
      </c>
      <c r="N1870" s="65"/>
    </row>
    <row r="1871" spans="1:14" x14ac:dyDescent="0.25">
      <c r="A1871" s="2">
        <v>1865</v>
      </c>
      <c r="B1871" s="11">
        <f t="shared" ca="1" si="146"/>
        <v>1</v>
      </c>
      <c r="C1871" s="26">
        <f t="shared" ca="1" si="150"/>
        <v>0.44561722069895904</v>
      </c>
      <c r="J1871">
        <f t="shared" ca="1" si="147"/>
        <v>1</v>
      </c>
      <c r="K1871">
        <f t="shared" ca="1" si="148"/>
        <v>0</v>
      </c>
      <c r="L1871" s="65">
        <v>1865</v>
      </c>
      <c r="M1871" s="71">
        <f t="shared" ca="1" si="149"/>
        <v>1.4524888077374296</v>
      </c>
      <c r="N1871" s="65"/>
    </row>
    <row r="1872" spans="1:14" x14ac:dyDescent="0.25">
      <c r="A1872" s="2">
        <v>1866</v>
      </c>
      <c r="B1872" s="11">
        <f t="shared" ca="1" si="146"/>
        <v>1</v>
      </c>
      <c r="C1872" s="26">
        <f t="shared" ca="1" si="150"/>
        <v>0.20657713889285301</v>
      </c>
      <c r="J1872">
        <f t="shared" ca="1" si="147"/>
        <v>0</v>
      </c>
      <c r="K1872">
        <f t="shared" ca="1" si="148"/>
        <v>0</v>
      </c>
      <c r="L1872" s="65">
        <v>1866</v>
      </c>
      <c r="M1872" s="71">
        <f t="shared" ca="1" si="149"/>
        <v>0.10448825194034575</v>
      </c>
      <c r="N1872" s="65"/>
    </row>
    <row r="1873" spans="1:14" x14ac:dyDescent="0.25">
      <c r="A1873" s="2">
        <v>1867</v>
      </c>
      <c r="B1873" s="11">
        <f t="shared" ca="1" si="146"/>
        <v>0</v>
      </c>
      <c r="C1873" s="26">
        <f t="shared" ca="1" si="150"/>
        <v>0.94519514920534642</v>
      </c>
      <c r="J1873">
        <f t="shared" ca="1" si="147"/>
        <v>0</v>
      </c>
      <c r="K1873">
        <f t="shared" ca="1" si="148"/>
        <v>1</v>
      </c>
      <c r="L1873" s="65">
        <v>1867</v>
      </c>
      <c r="M1873" s="71">
        <f t="shared" ca="1" si="149"/>
        <v>0</v>
      </c>
      <c r="N1873" s="65"/>
    </row>
    <row r="1874" spans="1:14" x14ac:dyDescent="0.25">
      <c r="A1874" s="2">
        <v>1868</v>
      </c>
      <c r="B1874" s="11">
        <f t="shared" ca="1" si="146"/>
        <v>0</v>
      </c>
      <c r="C1874" s="26">
        <f t="shared" ca="1" si="150"/>
        <v>0.68504826442298017</v>
      </c>
      <c r="J1874">
        <f t="shared" ca="1" si="147"/>
        <v>0</v>
      </c>
      <c r="K1874">
        <f t="shared" ca="1" si="148"/>
        <v>1</v>
      </c>
      <c r="L1874" s="65">
        <v>1868</v>
      </c>
      <c r="M1874" s="71">
        <f t="shared" ca="1" si="149"/>
        <v>0</v>
      </c>
      <c r="N1874" s="65"/>
    </row>
    <row r="1875" spans="1:14" x14ac:dyDescent="0.25">
      <c r="A1875" s="2">
        <v>1869</v>
      </c>
      <c r="B1875" s="11">
        <f t="shared" ca="1" si="146"/>
        <v>0</v>
      </c>
      <c r="C1875" s="26">
        <f t="shared" ca="1" si="150"/>
        <v>0.41134531287751364</v>
      </c>
      <c r="J1875">
        <f t="shared" ca="1" si="147"/>
        <v>0</v>
      </c>
      <c r="K1875">
        <f t="shared" ca="1" si="148"/>
        <v>1</v>
      </c>
      <c r="L1875" s="65">
        <v>1869</v>
      </c>
      <c r="M1875" s="71">
        <f t="shared" ca="1" si="149"/>
        <v>0</v>
      </c>
      <c r="N1875" s="65"/>
    </row>
    <row r="1876" spans="1:14" x14ac:dyDescent="0.25">
      <c r="A1876" s="2">
        <v>1870</v>
      </c>
      <c r="B1876" s="11">
        <f t="shared" ca="1" si="146"/>
        <v>0</v>
      </c>
      <c r="C1876" s="26">
        <f t="shared" ca="1" si="150"/>
        <v>0.50256016395712699</v>
      </c>
      <c r="J1876">
        <f t="shared" ca="1" si="147"/>
        <v>0</v>
      </c>
      <c r="K1876">
        <f t="shared" ca="1" si="148"/>
        <v>1</v>
      </c>
      <c r="L1876" s="65">
        <v>1870</v>
      </c>
      <c r="M1876" s="71">
        <f t="shared" ca="1" si="149"/>
        <v>0</v>
      </c>
      <c r="N1876" s="65"/>
    </row>
    <row r="1877" spans="1:14" x14ac:dyDescent="0.25">
      <c r="A1877" s="2">
        <v>1871</v>
      </c>
      <c r="B1877" s="11">
        <f t="shared" ca="1" si="146"/>
        <v>0</v>
      </c>
      <c r="C1877" s="26">
        <f t="shared" ca="1" si="150"/>
        <v>0.99559528607644898</v>
      </c>
      <c r="J1877">
        <f t="shared" ca="1" si="147"/>
        <v>0</v>
      </c>
      <c r="K1877">
        <f t="shared" ca="1" si="148"/>
        <v>1</v>
      </c>
      <c r="L1877" s="65">
        <v>1871</v>
      </c>
      <c r="M1877" s="71">
        <f t="shared" ca="1" si="149"/>
        <v>0</v>
      </c>
      <c r="N1877" s="65"/>
    </row>
    <row r="1878" spans="1:14" x14ac:dyDescent="0.25">
      <c r="A1878" s="2">
        <v>1872</v>
      </c>
      <c r="B1878" s="11">
        <f t="shared" ca="1" si="146"/>
        <v>0</v>
      </c>
      <c r="C1878" s="26">
        <f t="shared" ca="1" si="150"/>
        <v>0.50636116175046697</v>
      </c>
      <c r="J1878">
        <f t="shared" ca="1" si="147"/>
        <v>0</v>
      </c>
      <c r="K1878">
        <f t="shared" ca="1" si="148"/>
        <v>1</v>
      </c>
      <c r="L1878" s="65">
        <v>1872</v>
      </c>
      <c r="M1878" s="71">
        <f t="shared" ca="1" si="149"/>
        <v>0</v>
      </c>
      <c r="N1878" s="65"/>
    </row>
    <row r="1879" spans="1:14" x14ac:dyDescent="0.25">
      <c r="A1879" s="2">
        <v>1873</v>
      </c>
      <c r="B1879" s="11">
        <f t="shared" ca="1" si="146"/>
        <v>0</v>
      </c>
      <c r="C1879" s="26">
        <f t="shared" ca="1" si="150"/>
        <v>0.99976321338511387</v>
      </c>
      <c r="J1879">
        <f t="shared" ca="1" si="147"/>
        <v>0</v>
      </c>
      <c r="K1879">
        <f t="shared" ca="1" si="148"/>
        <v>0</v>
      </c>
      <c r="L1879" s="65">
        <v>1873</v>
      </c>
      <c r="M1879" s="71">
        <f t="shared" ca="1" si="149"/>
        <v>0</v>
      </c>
      <c r="N1879" s="65"/>
    </row>
    <row r="1880" spans="1:14" x14ac:dyDescent="0.25">
      <c r="A1880" s="2">
        <v>1874</v>
      </c>
      <c r="B1880" s="11">
        <f t="shared" ca="1" si="146"/>
        <v>1</v>
      </c>
      <c r="C1880" s="26">
        <f t="shared" ca="1" si="150"/>
        <v>0.16350918960394012</v>
      </c>
      <c r="J1880">
        <f t="shared" ca="1" si="147"/>
        <v>1</v>
      </c>
      <c r="K1880">
        <f t="shared" ca="1" si="148"/>
        <v>0</v>
      </c>
      <c r="L1880" s="65">
        <v>1874</v>
      </c>
      <c r="M1880" s="71">
        <f t="shared" ca="1" si="149"/>
        <v>3.0163631205470929</v>
      </c>
      <c r="N1880" s="65"/>
    </row>
    <row r="1881" spans="1:14" x14ac:dyDescent="0.25">
      <c r="A1881" s="2">
        <v>1875</v>
      </c>
      <c r="B1881" s="11">
        <f t="shared" ca="1" si="146"/>
        <v>1</v>
      </c>
      <c r="C1881" s="26">
        <f t="shared" ca="1" si="150"/>
        <v>0.6296738110003306</v>
      </c>
      <c r="J1881">
        <f t="shared" ca="1" si="147"/>
        <v>1</v>
      </c>
      <c r="K1881">
        <f t="shared" ca="1" si="148"/>
        <v>0</v>
      </c>
      <c r="L1881" s="65">
        <v>1875</v>
      </c>
      <c r="M1881" s="71">
        <f t="shared" ca="1" si="149"/>
        <v>3.6419710880798268</v>
      </c>
      <c r="N1881" s="65"/>
    </row>
    <row r="1882" spans="1:14" x14ac:dyDescent="0.25">
      <c r="A1882" s="2">
        <v>1876</v>
      </c>
      <c r="B1882" s="11">
        <f t="shared" ca="1" si="146"/>
        <v>1</v>
      </c>
      <c r="C1882" s="26">
        <f t="shared" ca="1" si="150"/>
        <v>0.53054073084359221</v>
      </c>
      <c r="J1882">
        <f t="shared" ca="1" si="147"/>
        <v>1</v>
      </c>
      <c r="K1882">
        <f t="shared" ca="1" si="148"/>
        <v>0</v>
      </c>
      <c r="L1882" s="65">
        <v>1876</v>
      </c>
      <c r="M1882" s="71">
        <f t="shared" ca="1" si="149"/>
        <v>1.7342589991488646</v>
      </c>
      <c r="N1882" s="65"/>
    </row>
    <row r="1883" spans="1:14" x14ac:dyDescent="0.25">
      <c r="A1883" s="2">
        <v>1877</v>
      </c>
      <c r="B1883" s="11">
        <f t="shared" ca="1" si="146"/>
        <v>1</v>
      </c>
      <c r="C1883" s="26">
        <f t="shared" ca="1" si="150"/>
        <v>0.66348419886063092</v>
      </c>
      <c r="J1883">
        <f t="shared" ca="1" si="147"/>
        <v>1</v>
      </c>
      <c r="K1883">
        <f t="shared" ca="1" si="148"/>
        <v>0</v>
      </c>
      <c r="L1883" s="65">
        <v>1877</v>
      </c>
      <c r="M1883" s="71">
        <f t="shared" ca="1" si="149"/>
        <v>2.3618577258466562</v>
      </c>
      <c r="N1883" s="65"/>
    </row>
    <row r="1884" spans="1:14" x14ac:dyDescent="0.25">
      <c r="A1884" s="2">
        <v>1878</v>
      </c>
      <c r="B1884" s="11">
        <f t="shared" ca="1" si="146"/>
        <v>1</v>
      </c>
      <c r="C1884" s="26">
        <f t="shared" ca="1" si="150"/>
        <v>0.61605819863234779</v>
      </c>
      <c r="J1884">
        <f t="shared" ca="1" si="147"/>
        <v>0</v>
      </c>
      <c r="K1884">
        <f t="shared" ca="1" si="148"/>
        <v>0</v>
      </c>
      <c r="L1884" s="65">
        <v>1878</v>
      </c>
      <c r="M1884" s="71">
        <f t="shared" ca="1" si="149"/>
        <v>3.2943081246031318</v>
      </c>
      <c r="N1884" s="65"/>
    </row>
    <row r="1885" spans="1:14" x14ac:dyDescent="0.25">
      <c r="A1885" s="2">
        <v>1879</v>
      </c>
      <c r="B1885" s="11">
        <f t="shared" ca="1" si="146"/>
        <v>0</v>
      </c>
      <c r="C1885" s="26">
        <f t="shared" ca="1" si="150"/>
        <v>0.97521234209790675</v>
      </c>
      <c r="J1885">
        <f t="shared" ca="1" si="147"/>
        <v>0</v>
      </c>
      <c r="K1885">
        <f t="shared" ca="1" si="148"/>
        <v>0</v>
      </c>
      <c r="L1885" s="65">
        <v>1879</v>
      </c>
      <c r="M1885" s="71">
        <f t="shared" ca="1" si="149"/>
        <v>0</v>
      </c>
      <c r="N1885" s="65"/>
    </row>
    <row r="1886" spans="1:14" x14ac:dyDescent="0.25">
      <c r="A1886" s="2">
        <v>1880</v>
      </c>
      <c r="B1886" s="11">
        <f t="shared" ca="1" si="146"/>
        <v>1</v>
      </c>
      <c r="C1886" s="26">
        <f t="shared" ca="1" si="150"/>
        <v>2.1417231270769554E-2</v>
      </c>
      <c r="J1886">
        <f t="shared" ca="1" si="147"/>
        <v>0</v>
      </c>
      <c r="K1886">
        <f t="shared" ca="1" si="148"/>
        <v>0</v>
      </c>
      <c r="L1886" s="65">
        <v>1880</v>
      </c>
      <c r="M1886" s="71">
        <f t="shared" ca="1" si="149"/>
        <v>11.76721700273513</v>
      </c>
      <c r="N1886" s="65"/>
    </row>
    <row r="1887" spans="1:14" x14ac:dyDescent="0.25">
      <c r="A1887" s="2">
        <v>1881</v>
      </c>
      <c r="B1887" s="11">
        <f t="shared" ca="1" si="146"/>
        <v>0</v>
      </c>
      <c r="C1887" s="26">
        <f t="shared" ca="1" si="150"/>
        <v>0.9279043593545887</v>
      </c>
      <c r="J1887">
        <f t="shared" ca="1" si="147"/>
        <v>0</v>
      </c>
      <c r="K1887">
        <f t="shared" ca="1" si="148"/>
        <v>0</v>
      </c>
      <c r="L1887" s="65">
        <v>1881</v>
      </c>
      <c r="M1887" s="71">
        <f t="shared" ca="1" si="149"/>
        <v>0</v>
      </c>
      <c r="N1887" s="65"/>
    </row>
    <row r="1888" spans="1:14" x14ac:dyDescent="0.25">
      <c r="A1888" s="2">
        <v>1882</v>
      </c>
      <c r="B1888" s="11">
        <f t="shared" ca="1" si="146"/>
        <v>1</v>
      </c>
      <c r="C1888" s="26">
        <f t="shared" ca="1" si="150"/>
        <v>3.4530506721565879E-2</v>
      </c>
      <c r="J1888">
        <f t="shared" ca="1" si="147"/>
        <v>1</v>
      </c>
      <c r="K1888">
        <f t="shared" ca="1" si="148"/>
        <v>0</v>
      </c>
      <c r="L1888" s="65">
        <v>1882</v>
      </c>
      <c r="M1888" s="71">
        <f t="shared" ca="1" si="149"/>
        <v>1.4067885975016103</v>
      </c>
      <c r="N1888" s="65"/>
    </row>
    <row r="1889" spans="1:14" x14ac:dyDescent="0.25">
      <c r="A1889" s="2">
        <v>1883</v>
      </c>
      <c r="B1889" s="11">
        <f t="shared" ca="1" si="146"/>
        <v>1</v>
      </c>
      <c r="C1889" s="26">
        <f t="shared" ca="1" si="150"/>
        <v>0.63365600594157823</v>
      </c>
      <c r="J1889">
        <f t="shared" ca="1" si="147"/>
        <v>1</v>
      </c>
      <c r="K1889">
        <f t="shared" ca="1" si="148"/>
        <v>0</v>
      </c>
      <c r="L1889" s="65">
        <v>1883</v>
      </c>
      <c r="M1889" s="71">
        <f t="shared" ca="1" si="149"/>
        <v>0.73673332695582505</v>
      </c>
      <c r="N1889" s="65"/>
    </row>
    <row r="1890" spans="1:14" x14ac:dyDescent="0.25">
      <c r="A1890" s="2">
        <v>1884</v>
      </c>
      <c r="B1890" s="11">
        <f t="shared" ca="1" si="146"/>
        <v>1</v>
      </c>
      <c r="C1890" s="26">
        <f t="shared" ca="1" si="150"/>
        <v>5.9276847808340194E-2</v>
      </c>
      <c r="J1890">
        <f t="shared" ca="1" si="147"/>
        <v>1</v>
      </c>
      <c r="K1890">
        <f t="shared" ca="1" si="148"/>
        <v>0</v>
      </c>
      <c r="L1890" s="65">
        <v>1884</v>
      </c>
      <c r="M1890" s="71">
        <f t="shared" ca="1" si="149"/>
        <v>1.3284857217044266</v>
      </c>
      <c r="N1890" s="65"/>
    </row>
    <row r="1891" spans="1:14" x14ac:dyDescent="0.25">
      <c r="A1891" s="2">
        <v>1885</v>
      </c>
      <c r="B1891" s="11">
        <f t="shared" ca="1" si="146"/>
        <v>1</v>
      </c>
      <c r="C1891" s="26">
        <f t="shared" ca="1" si="150"/>
        <v>0.37506244277779732</v>
      </c>
      <c r="J1891">
        <f t="shared" ca="1" si="147"/>
        <v>1</v>
      </c>
      <c r="K1891">
        <f t="shared" ca="1" si="148"/>
        <v>0</v>
      </c>
      <c r="L1891" s="65">
        <v>1885</v>
      </c>
      <c r="M1891" s="71">
        <f t="shared" ca="1" si="149"/>
        <v>0.41929311125223961</v>
      </c>
      <c r="N1891" s="65"/>
    </row>
    <row r="1892" spans="1:14" x14ac:dyDescent="0.25">
      <c r="A1892" s="2">
        <v>1886</v>
      </c>
      <c r="B1892" s="11">
        <f t="shared" ca="1" si="146"/>
        <v>1</v>
      </c>
      <c r="C1892" s="26">
        <f t="shared" ca="1" si="150"/>
        <v>0.51059636921523366</v>
      </c>
      <c r="J1892">
        <f t="shared" ca="1" si="147"/>
        <v>1</v>
      </c>
      <c r="K1892">
        <f t="shared" ca="1" si="148"/>
        <v>0</v>
      </c>
      <c r="L1892" s="65">
        <v>1886</v>
      </c>
      <c r="M1892" s="71">
        <f t="shared" ca="1" si="149"/>
        <v>8.661482215074459</v>
      </c>
      <c r="N1892" s="65"/>
    </row>
    <row r="1893" spans="1:14" x14ac:dyDescent="0.25">
      <c r="A1893" s="2">
        <v>1887</v>
      </c>
      <c r="B1893" s="11">
        <f t="shared" ca="1" si="146"/>
        <v>1</v>
      </c>
      <c r="C1893" s="26">
        <f t="shared" ca="1" si="150"/>
        <v>0.56812108831005048</v>
      </c>
      <c r="J1893">
        <f t="shared" ca="1" si="147"/>
        <v>1</v>
      </c>
      <c r="K1893">
        <f t="shared" ca="1" si="148"/>
        <v>0</v>
      </c>
      <c r="L1893" s="65">
        <v>1887</v>
      </c>
      <c r="M1893" s="71">
        <f t="shared" ca="1" si="149"/>
        <v>0.87285786443169999</v>
      </c>
      <c r="N1893" s="65"/>
    </row>
    <row r="1894" spans="1:14" x14ac:dyDescent="0.25">
      <c r="A1894" s="2">
        <v>1888</v>
      </c>
      <c r="B1894" s="11">
        <f t="shared" ca="1" si="146"/>
        <v>1</v>
      </c>
      <c r="C1894" s="26">
        <f t="shared" ca="1" si="150"/>
        <v>0.36017774097888278</v>
      </c>
      <c r="J1894">
        <f t="shared" ca="1" si="147"/>
        <v>1</v>
      </c>
      <c r="K1894">
        <f t="shared" ca="1" si="148"/>
        <v>0</v>
      </c>
      <c r="L1894" s="65">
        <v>1888</v>
      </c>
      <c r="M1894" s="71">
        <f t="shared" ca="1" si="149"/>
        <v>0.47700221653466385</v>
      </c>
      <c r="N1894" s="65"/>
    </row>
    <row r="1895" spans="1:14" x14ac:dyDescent="0.25">
      <c r="A1895" s="2">
        <v>1889</v>
      </c>
      <c r="B1895" s="11">
        <f t="shared" ca="1" si="146"/>
        <v>1</v>
      </c>
      <c r="C1895" s="26">
        <f t="shared" ca="1" si="150"/>
        <v>6.6386548665068101E-2</v>
      </c>
      <c r="J1895">
        <f t="shared" ca="1" si="147"/>
        <v>0</v>
      </c>
      <c r="K1895">
        <f t="shared" ca="1" si="148"/>
        <v>0</v>
      </c>
      <c r="L1895" s="65">
        <v>1889</v>
      </c>
      <c r="M1895" s="71">
        <f t="shared" ca="1" si="149"/>
        <v>4.2598266272160998</v>
      </c>
      <c r="N1895" s="65"/>
    </row>
    <row r="1896" spans="1:14" x14ac:dyDescent="0.25">
      <c r="A1896" s="2">
        <v>1890</v>
      </c>
      <c r="B1896" s="11">
        <f t="shared" ca="1" si="146"/>
        <v>0</v>
      </c>
      <c r="C1896" s="26">
        <f t="shared" ca="1" si="150"/>
        <v>0.92934769500506675</v>
      </c>
      <c r="J1896">
        <f t="shared" ca="1" si="147"/>
        <v>0</v>
      </c>
      <c r="K1896">
        <f t="shared" ca="1" si="148"/>
        <v>0</v>
      </c>
      <c r="L1896" s="65">
        <v>1890</v>
      </c>
      <c r="M1896" s="71">
        <f t="shared" ca="1" si="149"/>
        <v>0</v>
      </c>
      <c r="N1896" s="65"/>
    </row>
    <row r="1897" spans="1:14" x14ac:dyDescent="0.25">
      <c r="A1897" s="2">
        <v>1891</v>
      </c>
      <c r="B1897" s="11">
        <f t="shared" ca="1" si="146"/>
        <v>1</v>
      </c>
      <c r="C1897" s="26">
        <f t="shared" ca="1" si="150"/>
        <v>0.35856875501941299</v>
      </c>
      <c r="J1897">
        <f t="shared" ca="1" si="147"/>
        <v>1</v>
      </c>
      <c r="K1897">
        <f t="shared" ca="1" si="148"/>
        <v>0</v>
      </c>
      <c r="L1897" s="65">
        <v>1891</v>
      </c>
      <c r="M1897" s="71">
        <f t="shared" ca="1" si="149"/>
        <v>9.9299584935816636</v>
      </c>
      <c r="N1897" s="65"/>
    </row>
    <row r="1898" spans="1:14" x14ac:dyDescent="0.25">
      <c r="A1898" s="2">
        <v>1892</v>
      </c>
      <c r="B1898" s="11">
        <f t="shared" ca="1" si="146"/>
        <v>1</v>
      </c>
      <c r="C1898" s="26">
        <f t="shared" ca="1" si="150"/>
        <v>0.51481321643978162</v>
      </c>
      <c r="J1898">
        <f t="shared" ca="1" si="147"/>
        <v>1</v>
      </c>
      <c r="K1898">
        <f t="shared" ca="1" si="148"/>
        <v>0</v>
      </c>
      <c r="L1898" s="65">
        <v>1892</v>
      </c>
      <c r="M1898" s="71">
        <f t="shared" ca="1" si="149"/>
        <v>3.3697930121962929</v>
      </c>
      <c r="N1898" s="65"/>
    </row>
    <row r="1899" spans="1:14" x14ac:dyDescent="0.25">
      <c r="A1899" s="2">
        <v>1893</v>
      </c>
      <c r="B1899" s="11">
        <f t="shared" ca="1" si="146"/>
        <v>1</v>
      </c>
      <c r="C1899" s="26">
        <f t="shared" ca="1" si="150"/>
        <v>0.48283094397109061</v>
      </c>
      <c r="J1899">
        <f t="shared" ca="1" si="147"/>
        <v>1</v>
      </c>
      <c r="K1899">
        <f t="shared" ca="1" si="148"/>
        <v>0</v>
      </c>
      <c r="L1899" s="65">
        <v>1893</v>
      </c>
      <c r="M1899" s="71">
        <f t="shared" ca="1" si="149"/>
        <v>0.22779903722564898</v>
      </c>
      <c r="N1899" s="65"/>
    </row>
    <row r="1900" spans="1:14" x14ac:dyDescent="0.25">
      <c r="A1900" s="2">
        <v>1894</v>
      </c>
      <c r="B1900" s="11">
        <f t="shared" ca="1" si="146"/>
        <v>1</v>
      </c>
      <c r="C1900" s="26">
        <f t="shared" ca="1" si="150"/>
        <v>0.18202351640923153</v>
      </c>
      <c r="J1900">
        <f t="shared" ca="1" si="147"/>
        <v>0</v>
      </c>
      <c r="K1900">
        <f t="shared" ca="1" si="148"/>
        <v>0</v>
      </c>
      <c r="L1900" s="65">
        <v>1894</v>
      </c>
      <c r="M1900" s="71">
        <f t="shared" ca="1" si="149"/>
        <v>0.79974259207161247</v>
      </c>
      <c r="N1900" s="65"/>
    </row>
    <row r="1901" spans="1:14" x14ac:dyDescent="0.25">
      <c r="A1901" s="2">
        <v>1895</v>
      </c>
      <c r="B1901" s="11">
        <f t="shared" ca="1" si="146"/>
        <v>0</v>
      </c>
      <c r="C1901" s="26">
        <f t="shared" ca="1" si="150"/>
        <v>0.85110392364843723</v>
      </c>
      <c r="J1901">
        <f t="shared" ca="1" si="147"/>
        <v>0</v>
      </c>
      <c r="K1901">
        <f t="shared" ca="1" si="148"/>
        <v>0</v>
      </c>
      <c r="L1901" s="65">
        <v>1895</v>
      </c>
      <c r="M1901" s="71">
        <f t="shared" ca="1" si="149"/>
        <v>0</v>
      </c>
      <c r="N1901" s="65"/>
    </row>
    <row r="1902" spans="1:14" x14ac:dyDescent="0.25">
      <c r="A1902" s="2">
        <v>1896</v>
      </c>
      <c r="B1902" s="11">
        <f t="shared" ca="1" si="146"/>
        <v>1</v>
      </c>
      <c r="C1902" s="26">
        <f t="shared" ca="1" si="150"/>
        <v>0.16026869784141884</v>
      </c>
      <c r="J1902">
        <f t="shared" ca="1" si="147"/>
        <v>1</v>
      </c>
      <c r="K1902">
        <f t="shared" ca="1" si="148"/>
        <v>0</v>
      </c>
      <c r="L1902" s="65">
        <v>1896</v>
      </c>
      <c r="M1902" s="71">
        <f t="shared" ca="1" si="149"/>
        <v>1.716848764758687</v>
      </c>
      <c r="N1902" s="65"/>
    </row>
    <row r="1903" spans="1:14" x14ac:dyDescent="0.25">
      <c r="A1903" s="2">
        <v>1897</v>
      </c>
      <c r="B1903" s="11">
        <f t="shared" ref="B1903:B1966" ca="1" si="151">IF(B1902&gt;0,IF(C1903&lt;pww,1,0),IF(C1903&lt;pdw,1,0))</f>
        <v>1</v>
      </c>
      <c r="C1903" s="26">
        <f t="shared" ca="1" si="150"/>
        <v>0.59313375407137692</v>
      </c>
      <c r="J1903">
        <f t="shared" ref="J1903:J1966" ca="1" si="152">IF(AND(B1903,B1904),1,0)</f>
        <v>1</v>
      </c>
      <c r="K1903">
        <f t="shared" ref="K1903:K1966" ca="1" si="153">IF(AND(NOT(B1903),NOT(B1904)),1,0)</f>
        <v>0</v>
      </c>
      <c r="L1903" s="65">
        <v>1897</v>
      </c>
      <c r="M1903" s="71">
        <f t="shared" ca="1" si="149"/>
        <v>1.7082311756610624</v>
      </c>
      <c r="N1903" s="65"/>
    </row>
    <row r="1904" spans="1:14" x14ac:dyDescent="0.25">
      <c r="A1904" s="2">
        <v>1898</v>
      </c>
      <c r="B1904" s="11">
        <f t="shared" ca="1" si="151"/>
        <v>1</v>
      </c>
      <c r="C1904" s="26">
        <f t="shared" ca="1" si="150"/>
        <v>0.57796739945787512</v>
      </c>
      <c r="J1904">
        <f t="shared" ca="1" si="152"/>
        <v>1</v>
      </c>
      <c r="K1904">
        <f t="shared" ca="1" si="153"/>
        <v>0</v>
      </c>
      <c r="L1904" s="65">
        <v>1898</v>
      </c>
      <c r="M1904" s="71">
        <f t="shared" ca="1" si="149"/>
        <v>2.7450641826018232</v>
      </c>
      <c r="N1904" s="65"/>
    </row>
    <row r="1905" spans="1:14" x14ac:dyDescent="0.25">
      <c r="A1905" s="2">
        <v>1899</v>
      </c>
      <c r="B1905" s="11">
        <f t="shared" ca="1" si="151"/>
        <v>1</v>
      </c>
      <c r="C1905" s="26">
        <f t="shared" ca="1" si="150"/>
        <v>0.40068925712001868</v>
      </c>
      <c r="J1905">
        <f t="shared" ca="1" si="152"/>
        <v>0</v>
      </c>
      <c r="K1905">
        <f t="shared" ca="1" si="153"/>
        <v>0</v>
      </c>
      <c r="L1905" s="65">
        <v>1899</v>
      </c>
      <c r="M1905" s="71">
        <f t="shared" ca="1" si="149"/>
        <v>7.8085836593526903</v>
      </c>
      <c r="N1905" s="65"/>
    </row>
    <row r="1906" spans="1:14" x14ac:dyDescent="0.25">
      <c r="A1906" s="2">
        <v>1900</v>
      </c>
      <c r="B1906" s="11">
        <f t="shared" ca="1" si="151"/>
        <v>0</v>
      </c>
      <c r="C1906" s="26">
        <f t="shared" ca="1" si="150"/>
        <v>0.98071973582037031</v>
      </c>
      <c r="J1906">
        <f t="shared" ca="1" si="152"/>
        <v>0</v>
      </c>
      <c r="K1906">
        <f t="shared" ca="1" si="153"/>
        <v>1</v>
      </c>
      <c r="L1906" s="65">
        <v>1900</v>
      </c>
      <c r="M1906" s="71">
        <f t="shared" ca="1" si="149"/>
        <v>0</v>
      </c>
      <c r="N1906" s="65"/>
    </row>
    <row r="1907" spans="1:14" x14ac:dyDescent="0.25">
      <c r="A1907" s="2">
        <v>1901</v>
      </c>
      <c r="B1907" s="11">
        <f t="shared" ca="1" si="151"/>
        <v>0</v>
      </c>
      <c r="C1907" s="26">
        <f t="shared" ca="1" si="150"/>
        <v>0.8114686673928011</v>
      </c>
      <c r="J1907">
        <f t="shared" ca="1" si="152"/>
        <v>0</v>
      </c>
      <c r="K1907">
        <f t="shared" ca="1" si="153"/>
        <v>1</v>
      </c>
      <c r="L1907" s="65">
        <v>1901</v>
      </c>
      <c r="M1907" s="71">
        <f t="shared" ca="1" si="149"/>
        <v>0</v>
      </c>
      <c r="N1907" s="65"/>
    </row>
    <row r="1908" spans="1:14" x14ac:dyDescent="0.25">
      <c r="A1908" s="2">
        <v>1902</v>
      </c>
      <c r="B1908" s="11">
        <f t="shared" ca="1" si="151"/>
        <v>0</v>
      </c>
      <c r="C1908" s="26">
        <f t="shared" ca="1" si="150"/>
        <v>0.81333751522161402</v>
      </c>
      <c r="J1908">
        <f t="shared" ca="1" si="152"/>
        <v>0</v>
      </c>
      <c r="K1908">
        <f t="shared" ca="1" si="153"/>
        <v>0</v>
      </c>
      <c r="L1908" s="65">
        <v>1902</v>
      </c>
      <c r="M1908" s="71">
        <f t="shared" ca="1" si="149"/>
        <v>0</v>
      </c>
      <c r="N1908" s="65"/>
    </row>
    <row r="1909" spans="1:14" x14ac:dyDescent="0.25">
      <c r="A1909" s="2">
        <v>1903</v>
      </c>
      <c r="B1909" s="11">
        <f t="shared" ca="1" si="151"/>
        <v>1</v>
      </c>
      <c r="C1909" s="26">
        <f t="shared" ca="1" si="150"/>
        <v>0.17227013267840063</v>
      </c>
      <c r="J1909">
        <f t="shared" ca="1" si="152"/>
        <v>1</v>
      </c>
      <c r="K1909">
        <f t="shared" ca="1" si="153"/>
        <v>0</v>
      </c>
      <c r="L1909" s="65">
        <v>1903</v>
      </c>
      <c r="M1909" s="71">
        <f t="shared" ca="1" si="149"/>
        <v>3.2074229849093641</v>
      </c>
      <c r="N1909" s="65"/>
    </row>
    <row r="1910" spans="1:14" x14ac:dyDescent="0.25">
      <c r="A1910" s="2">
        <v>1904</v>
      </c>
      <c r="B1910" s="11">
        <f t="shared" ca="1" si="151"/>
        <v>1</v>
      </c>
      <c r="C1910" s="26">
        <f t="shared" ca="1" si="150"/>
        <v>0.59126243974938764</v>
      </c>
      <c r="J1910">
        <f t="shared" ca="1" si="152"/>
        <v>1</v>
      </c>
      <c r="K1910">
        <f t="shared" ca="1" si="153"/>
        <v>0</v>
      </c>
      <c r="L1910" s="65">
        <v>1904</v>
      </c>
      <c r="M1910" s="71">
        <f t="shared" ca="1" si="149"/>
        <v>4.3533846872327349</v>
      </c>
      <c r="N1910" s="65"/>
    </row>
    <row r="1911" spans="1:14" x14ac:dyDescent="0.25">
      <c r="A1911" s="2">
        <v>1905</v>
      </c>
      <c r="B1911" s="11">
        <f t="shared" ca="1" si="151"/>
        <v>1</v>
      </c>
      <c r="C1911" s="26">
        <f t="shared" ca="1" si="150"/>
        <v>0.11408940634102382</v>
      </c>
      <c r="J1911">
        <f t="shared" ca="1" si="152"/>
        <v>1</v>
      </c>
      <c r="K1911">
        <f t="shared" ca="1" si="153"/>
        <v>0</v>
      </c>
      <c r="L1911" s="65">
        <v>1905</v>
      </c>
      <c r="M1911" s="71">
        <f t="shared" ca="1" si="149"/>
        <v>3.1966458468878889</v>
      </c>
      <c r="N1911" s="65"/>
    </row>
    <row r="1912" spans="1:14" x14ac:dyDescent="0.25">
      <c r="A1912" s="2">
        <v>1906</v>
      </c>
      <c r="B1912" s="11">
        <f t="shared" ca="1" si="151"/>
        <v>1</v>
      </c>
      <c r="C1912" s="26">
        <f t="shared" ca="1" si="150"/>
        <v>0.50495569665261286</v>
      </c>
      <c r="J1912">
        <f t="shared" ca="1" si="152"/>
        <v>1</v>
      </c>
      <c r="K1912">
        <f t="shared" ca="1" si="153"/>
        <v>0</v>
      </c>
      <c r="L1912" s="65">
        <v>1906</v>
      </c>
      <c r="M1912" s="71">
        <f t="shared" ca="1" si="149"/>
        <v>6.4183606080660729</v>
      </c>
      <c r="N1912" s="65"/>
    </row>
    <row r="1913" spans="1:14" x14ac:dyDescent="0.25">
      <c r="A1913" s="2">
        <v>1907</v>
      </c>
      <c r="B1913" s="11">
        <f t="shared" ca="1" si="151"/>
        <v>1</v>
      </c>
      <c r="C1913" s="26">
        <f t="shared" ca="1" si="150"/>
        <v>0.5862602348246283</v>
      </c>
      <c r="J1913">
        <f t="shared" ca="1" si="152"/>
        <v>0</v>
      </c>
      <c r="K1913">
        <f t="shared" ca="1" si="153"/>
        <v>0</v>
      </c>
      <c r="L1913" s="65">
        <v>1907</v>
      </c>
      <c r="M1913" s="71">
        <f t="shared" ca="1" si="149"/>
        <v>1.6359869648032102</v>
      </c>
      <c r="N1913" s="65"/>
    </row>
    <row r="1914" spans="1:14" x14ac:dyDescent="0.25">
      <c r="A1914" s="2">
        <v>1908</v>
      </c>
      <c r="B1914" s="11">
        <f t="shared" ca="1" si="151"/>
        <v>0</v>
      </c>
      <c r="C1914" s="26">
        <f t="shared" ca="1" si="150"/>
        <v>0.89914161290208316</v>
      </c>
      <c r="J1914">
        <f t="shared" ca="1" si="152"/>
        <v>0</v>
      </c>
      <c r="K1914">
        <f t="shared" ca="1" si="153"/>
        <v>1</v>
      </c>
      <c r="L1914" s="65">
        <v>1908</v>
      </c>
      <c r="M1914" s="71">
        <f t="shared" ca="1" si="149"/>
        <v>0</v>
      </c>
      <c r="N1914" s="65"/>
    </row>
    <row r="1915" spans="1:14" x14ac:dyDescent="0.25">
      <c r="A1915" s="2">
        <v>1909</v>
      </c>
      <c r="B1915" s="11">
        <f t="shared" ca="1" si="151"/>
        <v>0</v>
      </c>
      <c r="C1915" s="26">
        <f t="shared" ca="1" si="150"/>
        <v>0.55281176444721059</v>
      </c>
      <c r="J1915">
        <f t="shared" ca="1" si="152"/>
        <v>0</v>
      </c>
      <c r="K1915">
        <f t="shared" ca="1" si="153"/>
        <v>0</v>
      </c>
      <c r="L1915" s="65">
        <v>1909</v>
      </c>
      <c r="M1915" s="71">
        <f t="shared" ca="1" si="149"/>
        <v>0</v>
      </c>
      <c r="N1915" s="65"/>
    </row>
    <row r="1916" spans="1:14" x14ac:dyDescent="0.25">
      <c r="A1916" s="2">
        <v>1910</v>
      </c>
      <c r="B1916" s="11">
        <f t="shared" ca="1" si="151"/>
        <v>1</v>
      </c>
      <c r="C1916" s="26">
        <f t="shared" ca="1" si="150"/>
        <v>0.22154375653211023</v>
      </c>
      <c r="J1916">
        <f t="shared" ca="1" si="152"/>
        <v>1</v>
      </c>
      <c r="K1916">
        <f t="shared" ca="1" si="153"/>
        <v>0</v>
      </c>
      <c r="L1916" s="65">
        <v>1910</v>
      </c>
      <c r="M1916" s="71">
        <f t="shared" ca="1" si="149"/>
        <v>1.8391063418166615</v>
      </c>
      <c r="N1916" s="65"/>
    </row>
    <row r="1917" spans="1:14" x14ac:dyDescent="0.25">
      <c r="A1917" s="2">
        <v>1911</v>
      </c>
      <c r="B1917" s="11">
        <f t="shared" ca="1" si="151"/>
        <v>1</v>
      </c>
      <c r="C1917" s="26">
        <f t="shared" ca="1" si="150"/>
        <v>0.61024964701684303</v>
      </c>
      <c r="J1917">
        <f t="shared" ca="1" si="152"/>
        <v>1</v>
      </c>
      <c r="K1917">
        <f t="shared" ca="1" si="153"/>
        <v>0</v>
      </c>
      <c r="L1917" s="65">
        <v>1911</v>
      </c>
      <c r="M1917" s="71">
        <f t="shared" ca="1" si="149"/>
        <v>4.6267513387122845</v>
      </c>
      <c r="N1917" s="65"/>
    </row>
    <row r="1918" spans="1:14" x14ac:dyDescent="0.25">
      <c r="A1918" s="2">
        <v>1912</v>
      </c>
      <c r="B1918" s="11">
        <f t="shared" ca="1" si="151"/>
        <v>1</v>
      </c>
      <c r="C1918" s="26">
        <f t="shared" ca="1" si="150"/>
        <v>0.30058566342871884</v>
      </c>
      <c r="J1918">
        <f t="shared" ca="1" si="152"/>
        <v>1</v>
      </c>
      <c r="K1918">
        <f t="shared" ca="1" si="153"/>
        <v>0</v>
      </c>
      <c r="L1918" s="65">
        <v>1912</v>
      </c>
      <c r="M1918" s="71">
        <f t="shared" ca="1" si="149"/>
        <v>0.33626973487286616</v>
      </c>
      <c r="N1918" s="65"/>
    </row>
    <row r="1919" spans="1:14" x14ac:dyDescent="0.25">
      <c r="A1919" s="2">
        <v>1913</v>
      </c>
      <c r="B1919" s="11">
        <f t="shared" ca="1" si="151"/>
        <v>1</v>
      </c>
      <c r="C1919" s="26">
        <f t="shared" ca="1" si="150"/>
        <v>0.26707721761433112</v>
      </c>
      <c r="J1919">
        <f t="shared" ca="1" si="152"/>
        <v>1</v>
      </c>
      <c r="K1919">
        <f t="shared" ca="1" si="153"/>
        <v>0</v>
      </c>
      <c r="L1919" s="65">
        <v>1913</v>
      </c>
      <c r="M1919" s="71">
        <f t="shared" ca="1" si="149"/>
        <v>6.7424960625996544</v>
      </c>
      <c r="N1919" s="65"/>
    </row>
    <row r="1920" spans="1:14" x14ac:dyDescent="0.25">
      <c r="A1920" s="2">
        <v>1914</v>
      </c>
      <c r="B1920" s="11">
        <f t="shared" ca="1" si="151"/>
        <v>1</v>
      </c>
      <c r="C1920" s="26">
        <f t="shared" ca="1" si="150"/>
        <v>0.52288806026208112</v>
      </c>
      <c r="J1920">
        <f t="shared" ca="1" si="152"/>
        <v>1</v>
      </c>
      <c r="K1920">
        <f t="shared" ca="1" si="153"/>
        <v>0</v>
      </c>
      <c r="L1920" s="65">
        <v>1914</v>
      </c>
      <c r="M1920" s="71">
        <f t="shared" ca="1" si="149"/>
        <v>4.2392542620829499</v>
      </c>
      <c r="N1920" s="65"/>
    </row>
    <row r="1921" spans="1:14" x14ac:dyDescent="0.25">
      <c r="A1921" s="2">
        <v>1915</v>
      </c>
      <c r="B1921" s="11">
        <f t="shared" ca="1" si="151"/>
        <v>1</v>
      </c>
      <c r="C1921" s="26">
        <f t="shared" ca="1" si="150"/>
        <v>0.66327748210416548</v>
      </c>
      <c r="J1921">
        <f t="shared" ca="1" si="152"/>
        <v>1</v>
      </c>
      <c r="K1921">
        <f t="shared" ca="1" si="153"/>
        <v>0</v>
      </c>
      <c r="L1921" s="65">
        <v>1915</v>
      </c>
      <c r="M1921" s="71">
        <f t="shared" ca="1" si="149"/>
        <v>2.3375397691530995</v>
      </c>
      <c r="N1921" s="65"/>
    </row>
    <row r="1922" spans="1:14" x14ac:dyDescent="0.25">
      <c r="A1922" s="2">
        <v>1916</v>
      </c>
      <c r="B1922" s="11">
        <f t="shared" ca="1" si="151"/>
        <v>1</v>
      </c>
      <c r="C1922" s="26">
        <f t="shared" ca="1" si="150"/>
        <v>1.4932335542978681E-3</v>
      </c>
      <c r="J1922">
        <f t="shared" ca="1" si="152"/>
        <v>1</v>
      </c>
      <c r="K1922">
        <f t="shared" ca="1" si="153"/>
        <v>0</v>
      </c>
      <c r="L1922" s="65">
        <v>1916</v>
      </c>
      <c r="M1922" s="71">
        <f t="shared" ca="1" si="149"/>
        <v>4.4382308142707503</v>
      </c>
      <c r="N1922" s="65"/>
    </row>
    <row r="1923" spans="1:14" x14ac:dyDescent="0.25">
      <c r="A1923" s="2">
        <v>1917</v>
      </c>
      <c r="B1923" s="11">
        <f t="shared" ca="1" si="151"/>
        <v>1</v>
      </c>
      <c r="C1923" s="26">
        <f t="shared" ca="1" si="150"/>
        <v>0.39022193765555424</v>
      </c>
      <c r="J1923">
        <f t="shared" ca="1" si="152"/>
        <v>0</v>
      </c>
      <c r="K1923">
        <f t="shared" ca="1" si="153"/>
        <v>0</v>
      </c>
      <c r="L1923" s="65">
        <v>1917</v>
      </c>
      <c r="M1923" s="71">
        <f t="shared" ca="1" si="149"/>
        <v>2.3578711046426517</v>
      </c>
      <c r="N1923" s="65"/>
    </row>
    <row r="1924" spans="1:14" x14ac:dyDescent="0.25">
      <c r="A1924" s="2">
        <v>1918</v>
      </c>
      <c r="B1924" s="11">
        <f t="shared" ca="1" si="151"/>
        <v>0</v>
      </c>
      <c r="C1924" s="26">
        <f t="shared" ca="1" si="150"/>
        <v>0.99148460590865706</v>
      </c>
      <c r="J1924">
        <f t="shared" ca="1" si="152"/>
        <v>0</v>
      </c>
      <c r="K1924">
        <f t="shared" ca="1" si="153"/>
        <v>1</v>
      </c>
      <c r="L1924" s="65">
        <v>1918</v>
      </c>
      <c r="M1924" s="71">
        <f t="shared" ca="1" si="149"/>
        <v>0</v>
      </c>
      <c r="N1924" s="65"/>
    </row>
    <row r="1925" spans="1:14" x14ac:dyDescent="0.25">
      <c r="A1925" s="2">
        <v>1919</v>
      </c>
      <c r="B1925" s="11">
        <f t="shared" ca="1" si="151"/>
        <v>0</v>
      </c>
      <c r="C1925" s="26">
        <f t="shared" ca="1" si="150"/>
        <v>0.85102360862820514</v>
      </c>
      <c r="J1925">
        <f t="shared" ca="1" si="152"/>
        <v>0</v>
      </c>
      <c r="K1925">
        <f t="shared" ca="1" si="153"/>
        <v>1</v>
      </c>
      <c r="L1925" s="65">
        <v>1919</v>
      </c>
      <c r="M1925" s="71">
        <f t="shared" ca="1" si="149"/>
        <v>0</v>
      </c>
      <c r="N1925" s="65"/>
    </row>
    <row r="1926" spans="1:14" x14ac:dyDescent="0.25">
      <c r="A1926" s="2">
        <v>1920</v>
      </c>
      <c r="B1926" s="11">
        <f t="shared" ca="1" si="151"/>
        <v>0</v>
      </c>
      <c r="C1926" s="26">
        <f t="shared" ca="1" si="150"/>
        <v>0.91434886070661636</v>
      </c>
      <c r="J1926">
        <f t="shared" ca="1" si="152"/>
        <v>0</v>
      </c>
      <c r="K1926">
        <f t="shared" ca="1" si="153"/>
        <v>0</v>
      </c>
      <c r="L1926" s="65">
        <v>1920</v>
      </c>
      <c r="M1926" s="71">
        <f t="shared" ca="1" si="149"/>
        <v>0</v>
      </c>
      <c r="N1926" s="65"/>
    </row>
    <row r="1927" spans="1:14" x14ac:dyDescent="0.25">
      <c r="A1927" s="2">
        <v>1921</v>
      </c>
      <c r="B1927" s="11">
        <f t="shared" ca="1" si="151"/>
        <v>1</v>
      </c>
      <c r="C1927" s="26">
        <f t="shared" ca="1" si="150"/>
        <v>0.35936016071607524</v>
      </c>
      <c r="J1927">
        <f t="shared" ca="1" si="152"/>
        <v>1</v>
      </c>
      <c r="K1927">
        <f t="shared" ca="1" si="153"/>
        <v>0</v>
      </c>
      <c r="L1927" s="65">
        <v>1921</v>
      </c>
      <c r="M1927" s="71">
        <f t="shared" ref="M1927:M1990" ca="1" si="154">IF(B1927&gt;0,-LN(1-(RAND()))/lambda,0)</f>
        <v>5.8957294005302954</v>
      </c>
      <c r="N1927" s="65"/>
    </row>
    <row r="1928" spans="1:14" x14ac:dyDescent="0.25">
      <c r="A1928" s="2">
        <v>1922</v>
      </c>
      <c r="B1928" s="11">
        <f t="shared" ca="1" si="151"/>
        <v>1</v>
      </c>
      <c r="C1928" s="26">
        <f t="shared" ref="C1928:C1991" ca="1" si="155">RAND()</f>
        <v>0.314189978036298</v>
      </c>
      <c r="J1928">
        <f t="shared" ca="1" si="152"/>
        <v>1</v>
      </c>
      <c r="K1928">
        <f t="shared" ca="1" si="153"/>
        <v>0</v>
      </c>
      <c r="L1928" s="65">
        <v>1922</v>
      </c>
      <c r="M1928" s="71">
        <f t="shared" ca="1" si="154"/>
        <v>1.5836892457259947E-2</v>
      </c>
      <c r="N1928" s="65"/>
    </row>
    <row r="1929" spans="1:14" x14ac:dyDescent="0.25">
      <c r="A1929" s="2">
        <v>1923</v>
      </c>
      <c r="B1929" s="11">
        <f t="shared" ca="1" si="151"/>
        <v>1</v>
      </c>
      <c r="C1929" s="26">
        <f t="shared" ca="1" si="155"/>
        <v>0.6432579631137233</v>
      </c>
      <c r="J1929">
        <f t="shared" ca="1" si="152"/>
        <v>1</v>
      </c>
      <c r="K1929">
        <f t="shared" ca="1" si="153"/>
        <v>0</v>
      </c>
      <c r="L1929" s="65">
        <v>1923</v>
      </c>
      <c r="M1929" s="71">
        <f t="shared" ca="1" si="154"/>
        <v>1.6342356372907241</v>
      </c>
      <c r="N1929" s="65"/>
    </row>
    <row r="1930" spans="1:14" x14ac:dyDescent="0.25">
      <c r="A1930" s="2">
        <v>1924</v>
      </c>
      <c r="B1930" s="11">
        <f t="shared" ca="1" si="151"/>
        <v>1</v>
      </c>
      <c r="C1930" s="26">
        <f t="shared" ca="1" si="155"/>
        <v>0.1622963497430886</v>
      </c>
      <c r="J1930">
        <f t="shared" ca="1" si="152"/>
        <v>1</v>
      </c>
      <c r="K1930">
        <f t="shared" ca="1" si="153"/>
        <v>0</v>
      </c>
      <c r="L1930" s="65">
        <v>1924</v>
      </c>
      <c r="M1930" s="71">
        <f t="shared" ca="1" si="154"/>
        <v>2.7141716650614796</v>
      </c>
      <c r="N1930" s="65"/>
    </row>
    <row r="1931" spans="1:14" x14ac:dyDescent="0.25">
      <c r="A1931" s="2">
        <v>1925</v>
      </c>
      <c r="B1931" s="11">
        <f t="shared" ca="1" si="151"/>
        <v>1</v>
      </c>
      <c r="C1931" s="26">
        <f t="shared" ca="1" si="155"/>
        <v>0.13702497360609878</v>
      </c>
      <c r="J1931">
        <f t="shared" ca="1" si="152"/>
        <v>1</v>
      </c>
      <c r="K1931">
        <f t="shared" ca="1" si="153"/>
        <v>0</v>
      </c>
      <c r="L1931" s="65">
        <v>1925</v>
      </c>
      <c r="M1931" s="71">
        <f t="shared" ca="1" si="154"/>
        <v>1.1628950737165029</v>
      </c>
      <c r="N1931" s="65"/>
    </row>
    <row r="1932" spans="1:14" x14ac:dyDescent="0.25">
      <c r="A1932" s="2">
        <v>1926</v>
      </c>
      <c r="B1932" s="11">
        <f t="shared" ca="1" si="151"/>
        <v>1</v>
      </c>
      <c r="C1932" s="26">
        <f t="shared" ca="1" si="155"/>
        <v>0.48599475486459853</v>
      </c>
      <c r="J1932">
        <f t="shared" ca="1" si="152"/>
        <v>1</v>
      </c>
      <c r="K1932">
        <f t="shared" ca="1" si="153"/>
        <v>0</v>
      </c>
      <c r="L1932" s="65">
        <v>1926</v>
      </c>
      <c r="M1932" s="71">
        <f t="shared" ca="1" si="154"/>
        <v>0.52236324931550926</v>
      </c>
      <c r="N1932" s="65"/>
    </row>
    <row r="1933" spans="1:14" x14ac:dyDescent="0.25">
      <c r="A1933" s="2">
        <v>1927</v>
      </c>
      <c r="B1933" s="11">
        <f t="shared" ca="1" si="151"/>
        <v>1</v>
      </c>
      <c r="C1933" s="26">
        <f t="shared" ca="1" si="155"/>
        <v>0.1546342184328966</v>
      </c>
      <c r="J1933">
        <f t="shared" ca="1" si="152"/>
        <v>1</v>
      </c>
      <c r="K1933">
        <f t="shared" ca="1" si="153"/>
        <v>0</v>
      </c>
      <c r="L1933" s="65">
        <v>1927</v>
      </c>
      <c r="M1933" s="71">
        <f t="shared" ca="1" si="154"/>
        <v>0.48371764650447313</v>
      </c>
      <c r="N1933" s="65"/>
    </row>
    <row r="1934" spans="1:14" x14ac:dyDescent="0.25">
      <c r="A1934" s="2"/>
      <c r="B1934" s="11"/>
      <c r="C1934" s="26"/>
      <c r="L1934" s="65"/>
      <c r="M1934" s="71"/>
      <c r="N1934" s="65"/>
    </row>
    <row r="1935" spans="1:14" x14ac:dyDescent="0.25">
      <c r="A1935" s="2"/>
      <c r="B1935" s="11"/>
      <c r="C1935" s="26"/>
      <c r="L1935" s="65"/>
      <c r="M1935" s="71"/>
      <c r="N1935" s="65"/>
    </row>
    <row r="1936" spans="1:14" x14ac:dyDescent="0.25">
      <c r="A1936" s="2"/>
      <c r="B1936" s="11"/>
      <c r="C1936" s="26"/>
      <c r="L1936" s="65"/>
      <c r="M1936" s="71"/>
      <c r="N1936" s="65"/>
    </row>
    <row r="1937" spans="1:14" x14ac:dyDescent="0.25">
      <c r="A1937" s="2"/>
      <c r="B1937" s="11"/>
      <c r="C1937" s="26"/>
      <c r="L1937" s="65"/>
      <c r="M1937" s="71"/>
      <c r="N1937" s="65"/>
    </row>
    <row r="1938" spans="1:14" x14ac:dyDescent="0.25">
      <c r="A1938" s="2"/>
      <c r="B1938" s="11"/>
      <c r="C1938" s="26"/>
      <c r="L1938" s="65"/>
      <c r="M1938" s="71"/>
      <c r="N1938" s="65"/>
    </row>
    <row r="1939" spans="1:14" x14ac:dyDescent="0.25">
      <c r="A1939" s="2"/>
      <c r="B1939" s="11"/>
      <c r="C1939" s="26"/>
      <c r="L1939" s="65"/>
      <c r="M1939" s="71"/>
      <c r="N1939" s="65"/>
    </row>
    <row r="1940" spans="1:14" x14ac:dyDescent="0.25">
      <c r="A1940" s="2"/>
      <c r="B1940" s="11"/>
      <c r="C1940" s="26"/>
      <c r="L1940" s="65"/>
      <c r="M1940" s="71"/>
      <c r="N1940" s="65"/>
    </row>
    <row r="1941" spans="1:14" x14ac:dyDescent="0.25">
      <c r="A1941" s="2"/>
      <c r="B1941" s="11"/>
      <c r="C1941" s="26"/>
      <c r="L1941" s="65"/>
      <c r="M1941" s="71"/>
      <c r="N1941" s="65"/>
    </row>
    <row r="1942" spans="1:14" x14ac:dyDescent="0.25">
      <c r="A1942" s="2"/>
      <c r="B1942" s="11"/>
      <c r="C1942" s="26"/>
      <c r="L1942" s="65"/>
      <c r="M1942" s="71"/>
      <c r="N1942" s="65"/>
    </row>
    <row r="1943" spans="1:14" x14ac:dyDescent="0.25">
      <c r="A1943" s="2"/>
      <c r="B1943" s="11"/>
      <c r="C1943" s="26"/>
      <c r="L1943" s="65"/>
      <c r="M1943" s="71"/>
      <c r="N1943" s="65"/>
    </row>
    <row r="1944" spans="1:14" x14ac:dyDescent="0.25">
      <c r="A1944" s="2"/>
      <c r="B1944" s="11"/>
      <c r="C1944" s="26"/>
      <c r="L1944" s="65"/>
      <c r="M1944" s="71"/>
      <c r="N1944" s="65"/>
    </row>
    <row r="1945" spans="1:14" x14ac:dyDescent="0.25">
      <c r="A1945" s="2"/>
      <c r="B1945" s="11"/>
      <c r="C1945" s="26"/>
      <c r="L1945" s="65"/>
      <c r="M1945" s="71"/>
      <c r="N1945" s="65"/>
    </row>
    <row r="1946" spans="1:14" x14ac:dyDescent="0.25">
      <c r="A1946" s="2"/>
      <c r="B1946" s="11"/>
      <c r="C1946" s="26"/>
      <c r="L1946" s="65"/>
      <c r="M1946" s="71"/>
      <c r="N1946" s="65"/>
    </row>
    <row r="1947" spans="1:14" x14ac:dyDescent="0.25">
      <c r="A1947" s="2"/>
      <c r="B1947" s="11"/>
      <c r="C1947" s="26"/>
      <c r="L1947" s="65"/>
      <c r="M1947" s="71"/>
      <c r="N1947" s="65"/>
    </row>
    <row r="1948" spans="1:14" x14ac:dyDescent="0.25">
      <c r="A1948" s="2"/>
      <c r="B1948" s="11"/>
      <c r="C1948" s="26"/>
      <c r="L1948" s="65"/>
      <c r="M1948" s="71"/>
      <c r="N1948" s="65"/>
    </row>
    <row r="1949" spans="1:14" x14ac:dyDescent="0.25">
      <c r="A1949" s="2"/>
      <c r="B1949" s="11"/>
      <c r="C1949" s="26"/>
      <c r="L1949" s="65"/>
      <c r="M1949" s="71"/>
      <c r="N1949" s="65"/>
    </row>
    <row r="1950" spans="1:14" x14ac:dyDescent="0.25">
      <c r="A1950" s="2"/>
      <c r="B1950" s="11"/>
      <c r="C1950" s="26"/>
      <c r="L1950" s="65"/>
      <c r="M1950" s="71"/>
      <c r="N1950" s="65"/>
    </row>
    <row r="1951" spans="1:14" x14ac:dyDescent="0.25">
      <c r="A1951" s="2"/>
      <c r="B1951" s="11"/>
      <c r="C1951" s="26"/>
      <c r="L1951" s="65"/>
      <c r="M1951" s="71"/>
      <c r="N1951" s="65"/>
    </row>
    <row r="1952" spans="1:14" x14ac:dyDescent="0.25">
      <c r="A1952" s="2"/>
      <c r="B1952" s="11"/>
      <c r="C1952" s="26"/>
      <c r="L1952" s="65"/>
      <c r="M1952" s="71"/>
      <c r="N1952" s="65"/>
    </row>
    <row r="1953" spans="1:14" x14ac:dyDescent="0.25">
      <c r="A1953" s="2"/>
      <c r="B1953" s="11"/>
      <c r="C1953" s="26"/>
      <c r="L1953" s="65"/>
      <c r="M1953" s="71"/>
      <c r="N1953" s="65"/>
    </row>
    <row r="1954" spans="1:14" x14ac:dyDescent="0.25">
      <c r="A1954" s="2"/>
      <c r="B1954" s="11"/>
      <c r="C1954" s="26"/>
      <c r="L1954" s="65"/>
      <c r="M1954" s="71"/>
      <c r="N1954" s="65"/>
    </row>
    <row r="1955" spans="1:14" x14ac:dyDescent="0.25">
      <c r="A1955" s="2"/>
      <c r="B1955" s="11"/>
      <c r="C1955" s="26"/>
      <c r="L1955" s="65"/>
      <c r="M1955" s="71"/>
      <c r="N1955" s="65"/>
    </row>
    <row r="1956" spans="1:14" x14ac:dyDescent="0.25">
      <c r="A1956" s="2"/>
      <c r="B1956" s="11"/>
      <c r="C1956" s="26"/>
      <c r="L1956" s="65"/>
      <c r="M1956" s="71"/>
      <c r="N1956" s="65"/>
    </row>
    <row r="1957" spans="1:14" x14ac:dyDescent="0.25">
      <c r="A1957" s="2"/>
      <c r="B1957" s="11"/>
      <c r="C1957" s="26"/>
      <c r="L1957" s="65"/>
      <c r="M1957" s="71"/>
      <c r="N1957" s="65"/>
    </row>
    <row r="1958" spans="1:14" x14ac:dyDescent="0.25">
      <c r="A1958" s="2"/>
      <c r="B1958" s="11"/>
      <c r="C1958" s="26"/>
      <c r="L1958" s="65"/>
      <c r="M1958" s="71"/>
      <c r="N1958" s="65"/>
    </row>
    <row r="1959" spans="1:14" x14ac:dyDescent="0.25">
      <c r="A1959" s="2"/>
      <c r="B1959" s="11"/>
      <c r="C1959" s="26"/>
      <c r="L1959" s="65"/>
      <c r="M1959" s="71"/>
      <c r="N1959" s="65"/>
    </row>
    <row r="1960" spans="1:14" x14ac:dyDescent="0.25">
      <c r="A1960" s="2"/>
      <c r="B1960" s="11"/>
      <c r="C1960" s="26"/>
      <c r="L1960" s="65"/>
      <c r="M1960" s="71"/>
      <c r="N1960" s="65"/>
    </row>
    <row r="1961" spans="1:14" x14ac:dyDescent="0.25">
      <c r="A1961" s="2"/>
      <c r="B1961" s="11"/>
      <c r="C1961" s="26"/>
      <c r="L1961" s="65"/>
      <c r="M1961" s="71"/>
      <c r="N1961" s="65"/>
    </row>
    <row r="1962" spans="1:14" x14ac:dyDescent="0.25">
      <c r="A1962" s="2"/>
      <c r="B1962" s="11"/>
      <c r="C1962" s="26"/>
      <c r="L1962" s="65"/>
      <c r="M1962" s="71"/>
      <c r="N1962" s="65"/>
    </row>
    <row r="1963" spans="1:14" x14ac:dyDescent="0.25">
      <c r="A1963" s="2"/>
      <c r="B1963" s="11"/>
      <c r="C1963" s="26"/>
      <c r="L1963" s="65"/>
      <c r="M1963" s="71"/>
      <c r="N1963" s="65"/>
    </row>
    <row r="1964" spans="1:14" x14ac:dyDescent="0.25">
      <c r="A1964" s="2"/>
      <c r="B1964" s="11"/>
      <c r="C1964" s="26"/>
      <c r="L1964" s="65"/>
      <c r="M1964" s="71"/>
      <c r="N1964" s="65"/>
    </row>
    <row r="1965" spans="1:14" x14ac:dyDescent="0.25">
      <c r="A1965" s="2"/>
      <c r="B1965" s="11"/>
      <c r="C1965" s="26"/>
      <c r="L1965" s="65"/>
      <c r="M1965" s="71"/>
      <c r="N1965" s="65"/>
    </row>
    <row r="1966" spans="1:14" x14ac:dyDescent="0.25">
      <c r="A1966" s="2"/>
      <c r="B1966" s="11"/>
      <c r="C1966" s="26"/>
      <c r="L1966" s="65"/>
      <c r="M1966" s="71"/>
      <c r="N1966" s="65"/>
    </row>
    <row r="1967" spans="1:14" x14ac:dyDescent="0.25">
      <c r="A1967" s="2"/>
      <c r="B1967" s="11"/>
      <c r="C1967" s="26"/>
      <c r="L1967" s="65"/>
      <c r="M1967" s="71"/>
      <c r="N1967" s="65"/>
    </row>
    <row r="1968" spans="1:14" x14ac:dyDescent="0.25">
      <c r="A1968" s="2"/>
      <c r="B1968" s="11"/>
      <c r="C1968" s="26"/>
      <c r="L1968" s="65"/>
      <c r="M1968" s="71"/>
      <c r="N1968" s="65"/>
    </row>
    <row r="1969" spans="1:14" x14ac:dyDescent="0.25">
      <c r="A1969" s="2"/>
      <c r="B1969" s="11"/>
      <c r="C1969" s="26"/>
      <c r="L1969" s="65"/>
      <c r="M1969" s="71"/>
      <c r="N1969" s="65"/>
    </row>
    <row r="1970" spans="1:14" x14ac:dyDescent="0.25">
      <c r="A1970" s="2"/>
      <c r="B1970" s="11"/>
      <c r="C1970" s="26"/>
      <c r="L1970" s="65"/>
      <c r="M1970" s="71"/>
      <c r="N1970" s="65"/>
    </row>
    <row r="1971" spans="1:14" x14ac:dyDescent="0.25">
      <c r="A1971" s="2"/>
      <c r="B1971" s="11"/>
      <c r="C1971" s="26"/>
      <c r="L1971" s="65"/>
      <c r="M1971" s="71"/>
      <c r="N1971" s="65"/>
    </row>
    <row r="1972" spans="1:14" x14ac:dyDescent="0.25">
      <c r="A1972" s="2"/>
      <c r="B1972" s="11"/>
      <c r="C1972" s="26"/>
      <c r="L1972" s="65"/>
      <c r="M1972" s="71"/>
      <c r="N1972" s="65"/>
    </row>
    <row r="1973" spans="1:14" x14ac:dyDescent="0.25">
      <c r="A1973" s="2"/>
      <c r="B1973" s="11"/>
      <c r="C1973" s="26"/>
      <c r="L1973" s="65"/>
      <c r="M1973" s="71"/>
      <c r="N1973" s="65"/>
    </row>
    <row r="1974" spans="1:14" x14ac:dyDescent="0.25">
      <c r="A1974" s="2"/>
      <c r="B1974" s="11"/>
      <c r="C1974" s="26"/>
      <c r="L1974" s="65"/>
      <c r="M1974" s="71"/>
      <c r="N1974" s="65"/>
    </row>
    <row r="1975" spans="1:14" x14ac:dyDescent="0.25">
      <c r="A1975" s="2"/>
      <c r="B1975" s="11"/>
      <c r="C1975" s="26"/>
      <c r="L1975" s="65"/>
      <c r="M1975" s="71"/>
      <c r="N1975" s="65"/>
    </row>
    <row r="1976" spans="1:14" x14ac:dyDescent="0.25">
      <c r="A1976" s="2"/>
      <c r="B1976" s="11"/>
      <c r="C1976" s="26"/>
      <c r="L1976" s="65"/>
      <c r="M1976" s="71"/>
      <c r="N1976" s="65"/>
    </row>
    <row r="1977" spans="1:14" x14ac:dyDescent="0.25">
      <c r="A1977" s="2"/>
      <c r="B1977" s="11"/>
      <c r="C1977" s="26"/>
      <c r="L1977" s="65"/>
      <c r="M1977" s="71"/>
      <c r="N1977" s="65"/>
    </row>
    <row r="1978" spans="1:14" x14ac:dyDescent="0.25">
      <c r="A1978" s="2"/>
      <c r="B1978" s="11"/>
      <c r="C1978" s="26"/>
      <c r="L1978" s="65"/>
      <c r="M1978" s="71"/>
      <c r="N1978" s="65"/>
    </row>
    <row r="1979" spans="1:14" x14ac:dyDescent="0.25">
      <c r="A1979" s="2"/>
      <c r="B1979" s="11"/>
      <c r="C1979" s="26"/>
      <c r="L1979" s="65"/>
      <c r="M1979" s="71"/>
      <c r="N1979" s="65"/>
    </row>
    <row r="1980" spans="1:14" x14ac:dyDescent="0.25">
      <c r="A1980" s="2"/>
      <c r="B1980" s="11"/>
      <c r="C1980" s="26"/>
      <c r="L1980" s="65"/>
      <c r="M1980" s="71"/>
      <c r="N1980" s="65"/>
    </row>
    <row r="1981" spans="1:14" x14ac:dyDescent="0.25">
      <c r="A1981" s="2"/>
      <c r="B1981" s="11"/>
      <c r="C1981" s="26"/>
      <c r="L1981" s="65"/>
      <c r="M1981" s="71"/>
      <c r="N1981" s="65"/>
    </row>
    <row r="1982" spans="1:14" x14ac:dyDescent="0.25">
      <c r="A1982" s="2"/>
      <c r="B1982" s="11"/>
      <c r="C1982" s="26"/>
      <c r="L1982" s="65"/>
      <c r="M1982" s="71"/>
      <c r="N1982" s="65"/>
    </row>
    <row r="1983" spans="1:14" x14ac:dyDescent="0.25">
      <c r="A1983" s="2"/>
      <c r="B1983" s="11"/>
      <c r="C1983" s="26"/>
      <c r="L1983" s="65"/>
      <c r="M1983" s="71"/>
      <c r="N1983" s="65"/>
    </row>
    <row r="1984" spans="1:14" x14ac:dyDescent="0.25">
      <c r="A1984" s="2"/>
      <c r="B1984" s="11"/>
      <c r="C1984" s="26"/>
      <c r="L1984" s="65"/>
      <c r="M1984" s="71"/>
      <c r="N1984" s="65"/>
    </row>
    <row r="1985" spans="1:14" x14ac:dyDescent="0.25">
      <c r="A1985" s="2"/>
      <c r="B1985" s="11"/>
      <c r="C1985" s="26"/>
      <c r="L1985" s="65"/>
      <c r="M1985" s="71"/>
      <c r="N1985" s="65"/>
    </row>
    <row r="1986" spans="1:14" x14ac:dyDescent="0.25">
      <c r="A1986" s="2"/>
      <c r="B1986" s="11"/>
      <c r="C1986" s="26"/>
      <c r="L1986" s="65"/>
      <c r="M1986" s="71"/>
      <c r="N1986" s="65"/>
    </row>
    <row r="1987" spans="1:14" x14ac:dyDescent="0.25">
      <c r="A1987" s="2"/>
      <c r="B1987" s="11"/>
      <c r="C1987" s="26"/>
      <c r="L1987" s="65"/>
      <c r="M1987" s="71"/>
      <c r="N1987" s="65"/>
    </row>
    <row r="1988" spans="1:14" x14ac:dyDescent="0.25">
      <c r="A1988" s="2"/>
      <c r="B1988" s="11"/>
      <c r="C1988" s="26"/>
      <c r="L1988" s="65"/>
      <c r="M1988" s="71"/>
      <c r="N1988" s="65"/>
    </row>
    <row r="1989" spans="1:14" x14ac:dyDescent="0.25">
      <c r="A1989" s="2"/>
      <c r="B1989" s="11"/>
      <c r="C1989" s="26"/>
      <c r="L1989" s="65"/>
      <c r="M1989" s="71"/>
      <c r="N1989" s="65"/>
    </row>
    <row r="1990" spans="1:14" x14ac:dyDescent="0.25">
      <c r="A1990" s="2"/>
      <c r="B1990" s="11"/>
      <c r="C1990" s="26"/>
      <c r="L1990" s="65"/>
      <c r="M1990" s="71"/>
      <c r="N1990" s="65"/>
    </row>
    <row r="1991" spans="1:14" x14ac:dyDescent="0.25">
      <c r="A1991" s="2"/>
      <c r="B1991" s="11"/>
      <c r="C1991" s="26"/>
      <c r="L1991" s="65"/>
      <c r="M1991" s="71"/>
      <c r="N1991" s="65"/>
    </row>
    <row r="1992" spans="1:14" x14ac:dyDescent="0.25">
      <c r="A1992" s="2"/>
      <c r="B1992" s="11"/>
      <c r="C1992" s="26"/>
      <c r="L1992" s="65"/>
      <c r="M1992" s="71"/>
      <c r="N1992" s="65"/>
    </row>
    <row r="1993" spans="1:14" x14ac:dyDescent="0.25">
      <c r="A1993" s="2"/>
      <c r="B1993" s="11"/>
      <c r="C1993" s="26"/>
      <c r="L1993" s="65"/>
      <c r="M1993" s="71"/>
      <c r="N1993" s="65"/>
    </row>
    <row r="1994" spans="1:14" x14ac:dyDescent="0.25">
      <c r="A1994" s="2"/>
      <c r="B1994" s="11"/>
      <c r="C1994" s="26"/>
      <c r="L1994" s="65"/>
      <c r="M1994" s="71"/>
      <c r="N1994" s="65"/>
    </row>
    <row r="1995" spans="1:14" x14ac:dyDescent="0.25">
      <c r="A1995" s="2"/>
      <c r="B1995" s="11"/>
      <c r="C1995" s="26"/>
      <c r="L1995" s="65"/>
      <c r="M1995" s="71"/>
      <c r="N1995" s="65"/>
    </row>
    <row r="1996" spans="1:14" x14ac:dyDescent="0.25">
      <c r="A1996" s="2"/>
      <c r="B1996" s="11"/>
      <c r="C1996" s="26"/>
      <c r="L1996" s="65"/>
      <c r="M1996" s="71"/>
      <c r="N1996" s="65"/>
    </row>
    <row r="1997" spans="1:14" x14ac:dyDescent="0.25">
      <c r="A1997" s="2"/>
      <c r="B1997" s="11"/>
      <c r="C1997" s="26"/>
      <c r="L1997" s="65"/>
      <c r="M1997" s="71"/>
      <c r="N1997" s="65"/>
    </row>
    <row r="1998" spans="1:14" x14ac:dyDescent="0.25">
      <c r="A1998" s="2"/>
      <c r="B1998" s="11"/>
      <c r="C1998" s="26"/>
      <c r="L1998" s="65"/>
      <c r="M1998" s="71"/>
      <c r="N1998" s="65"/>
    </row>
    <row r="1999" spans="1:14" x14ac:dyDescent="0.25">
      <c r="A1999" s="2"/>
      <c r="B1999" s="11"/>
      <c r="C1999" s="26"/>
      <c r="L1999" s="65"/>
      <c r="M1999" s="71"/>
      <c r="N1999" s="65"/>
    </row>
    <row r="2000" spans="1:14" x14ac:dyDescent="0.25">
      <c r="A2000" s="2"/>
      <c r="B2000" s="11"/>
      <c r="C2000" s="26"/>
      <c r="L2000" s="65"/>
      <c r="M2000" s="71"/>
      <c r="N2000" s="65"/>
    </row>
    <row r="2001" spans="1:14" x14ac:dyDescent="0.25">
      <c r="A2001" s="2"/>
      <c r="B2001" s="11"/>
      <c r="C2001" s="26"/>
      <c r="L2001" s="65"/>
      <c r="M2001" s="71"/>
      <c r="N2001" s="65"/>
    </row>
    <row r="2002" spans="1:14" x14ac:dyDescent="0.25">
      <c r="A2002" s="2"/>
      <c r="B2002" s="11"/>
      <c r="C2002" s="26"/>
      <c r="L2002" s="65"/>
      <c r="M2002" s="71"/>
      <c r="N2002" s="65"/>
    </row>
    <row r="2003" spans="1:14" x14ac:dyDescent="0.25">
      <c r="A2003" s="2"/>
      <c r="B2003" s="11"/>
      <c r="C2003" s="26"/>
      <c r="L2003" s="65"/>
      <c r="M2003" s="71"/>
      <c r="N2003" s="65"/>
    </row>
    <row r="2004" spans="1:14" x14ac:dyDescent="0.25">
      <c r="A2004" s="2"/>
      <c r="B2004" s="11"/>
      <c r="C2004" s="26"/>
      <c r="L2004" s="65"/>
      <c r="M2004" s="71"/>
      <c r="N2004" s="65"/>
    </row>
    <row r="2005" spans="1:14" x14ac:dyDescent="0.25">
      <c r="A2005" s="2"/>
      <c r="B2005" s="11"/>
      <c r="C2005" s="26"/>
      <c r="L2005" s="65"/>
      <c r="M2005" s="71"/>
      <c r="N2005" s="65"/>
    </row>
    <row r="2006" spans="1:14" x14ac:dyDescent="0.25">
      <c r="A2006" s="2"/>
      <c r="B2006" s="11"/>
      <c r="C2006" s="26"/>
      <c r="L2006" s="65"/>
      <c r="M2006" s="71"/>
      <c r="N2006" s="65"/>
    </row>
    <row r="2007" spans="1:14" x14ac:dyDescent="0.25">
      <c r="A2007" s="2"/>
      <c r="B2007" s="11"/>
      <c r="C2007" s="26"/>
      <c r="L2007" s="65"/>
      <c r="M2007" s="71"/>
      <c r="N2007" s="65"/>
    </row>
    <row r="2008" spans="1:14" x14ac:dyDescent="0.25">
      <c r="A2008" s="2"/>
      <c r="B2008" s="11"/>
      <c r="C2008" s="26"/>
      <c r="L2008" s="65"/>
      <c r="M2008" s="71"/>
      <c r="N2008" s="65"/>
    </row>
    <row r="2009" spans="1:14" x14ac:dyDescent="0.25">
      <c r="A2009" s="2"/>
      <c r="B2009" s="11"/>
      <c r="C2009" s="26"/>
      <c r="L2009" s="65"/>
      <c r="M2009" s="71"/>
      <c r="N2009" s="65"/>
    </row>
    <row r="2010" spans="1:14" x14ac:dyDescent="0.25">
      <c r="A2010" s="2"/>
      <c r="B2010" s="11"/>
      <c r="C2010" s="26"/>
      <c r="L2010" s="65"/>
      <c r="M2010" s="71"/>
      <c r="N2010" s="65"/>
    </row>
    <row r="2011" spans="1:14" x14ac:dyDescent="0.25">
      <c r="A2011" s="2"/>
      <c r="B2011" s="11"/>
      <c r="C2011" s="26"/>
      <c r="L2011" s="65"/>
      <c r="M2011" s="71"/>
      <c r="N2011" s="65"/>
    </row>
    <row r="2012" spans="1:14" x14ac:dyDescent="0.25">
      <c r="A2012" s="2"/>
      <c r="B2012" s="11"/>
      <c r="C2012" s="26"/>
      <c r="L2012" s="65"/>
      <c r="M2012" s="71"/>
      <c r="N2012" s="65"/>
    </row>
    <row r="2013" spans="1:14" x14ac:dyDescent="0.25">
      <c r="A2013" s="2"/>
      <c r="B2013" s="11"/>
      <c r="C2013" s="26"/>
      <c r="L2013" s="65"/>
      <c r="M2013" s="71"/>
      <c r="N2013" s="65"/>
    </row>
    <row r="2014" spans="1:14" x14ac:dyDescent="0.25">
      <c r="A2014" s="2"/>
      <c r="B2014" s="11"/>
      <c r="C2014" s="26"/>
      <c r="L2014" s="65"/>
      <c r="M2014" s="71"/>
      <c r="N2014" s="65"/>
    </row>
    <row r="2015" spans="1:14" x14ac:dyDescent="0.25">
      <c r="A2015" s="2"/>
      <c r="B2015" s="11"/>
      <c r="C2015" s="26"/>
      <c r="L2015" s="65"/>
      <c r="M2015" s="71"/>
      <c r="N2015" s="65"/>
    </row>
    <row r="2016" spans="1:14" x14ac:dyDescent="0.25">
      <c r="A2016" s="2"/>
      <c r="B2016" s="11"/>
      <c r="C2016" s="26"/>
      <c r="L2016" s="65"/>
      <c r="M2016" s="71"/>
      <c r="N2016" s="65"/>
    </row>
    <row r="2017" spans="1:14" x14ac:dyDescent="0.25">
      <c r="A2017" s="2"/>
      <c r="B2017" s="11"/>
      <c r="C2017" s="26"/>
      <c r="L2017" s="65"/>
      <c r="M2017" s="71"/>
      <c r="N2017" s="65"/>
    </row>
    <row r="2018" spans="1:14" x14ac:dyDescent="0.25">
      <c r="A2018" s="2"/>
      <c r="B2018" s="11"/>
      <c r="C2018" s="26"/>
      <c r="L2018" s="65"/>
      <c r="M2018" s="71"/>
      <c r="N2018" s="65"/>
    </row>
    <row r="2019" spans="1:14" x14ac:dyDescent="0.25">
      <c r="A2019" s="2"/>
      <c r="B2019" s="11"/>
      <c r="C2019" s="26"/>
      <c r="L2019" s="65"/>
      <c r="M2019" s="71"/>
      <c r="N2019" s="65"/>
    </row>
    <row r="2020" spans="1:14" x14ac:dyDescent="0.25">
      <c r="A2020" s="2"/>
      <c r="B2020" s="11"/>
      <c r="C2020" s="26"/>
      <c r="L2020" s="65"/>
      <c r="M2020" s="71"/>
      <c r="N2020" s="65"/>
    </row>
    <row r="2021" spans="1:14" x14ac:dyDescent="0.25">
      <c r="A2021" s="2"/>
      <c r="B2021" s="11"/>
      <c r="C2021" s="26"/>
      <c r="L2021" s="65"/>
      <c r="M2021" s="71"/>
      <c r="N2021" s="65"/>
    </row>
    <row r="2022" spans="1:14" x14ac:dyDescent="0.25">
      <c r="A2022" s="2"/>
      <c r="B2022" s="11"/>
      <c r="C2022" s="26"/>
      <c r="L2022" s="65"/>
      <c r="M2022" s="71"/>
      <c r="N2022" s="65"/>
    </row>
    <row r="2023" spans="1:14" x14ac:dyDescent="0.25">
      <c r="A2023" s="2"/>
      <c r="B2023" s="11"/>
      <c r="C2023" s="26"/>
      <c r="L2023" s="65"/>
      <c r="M2023" s="71"/>
      <c r="N2023" s="65"/>
    </row>
    <row r="2024" spans="1:14" x14ac:dyDescent="0.25">
      <c r="A2024" s="2"/>
      <c r="B2024" s="11"/>
      <c r="C2024" s="26"/>
      <c r="L2024" s="65"/>
      <c r="M2024" s="71"/>
      <c r="N2024" s="65"/>
    </row>
    <row r="2025" spans="1:14" x14ac:dyDescent="0.25">
      <c r="A2025" s="2"/>
      <c r="B2025" s="11"/>
      <c r="C2025" s="26"/>
      <c r="L2025" s="65"/>
      <c r="M2025" s="71"/>
      <c r="N2025" s="65"/>
    </row>
    <row r="2026" spans="1:14" x14ac:dyDescent="0.25">
      <c r="A2026" s="2"/>
      <c r="B2026" s="11"/>
      <c r="C2026" s="26"/>
      <c r="L2026" s="65"/>
      <c r="M2026" s="71"/>
      <c r="N2026" s="65"/>
    </row>
    <row r="2027" spans="1:14" x14ac:dyDescent="0.25">
      <c r="A2027" s="2"/>
      <c r="B2027" s="11"/>
      <c r="C2027" s="26"/>
      <c r="L2027" s="65"/>
      <c r="M2027" s="71"/>
      <c r="N2027" s="65"/>
    </row>
    <row r="2028" spans="1:14" x14ac:dyDescent="0.25">
      <c r="A2028" s="2"/>
      <c r="B2028" s="11"/>
      <c r="C2028" s="26"/>
      <c r="L2028" s="65"/>
      <c r="M2028" s="71"/>
      <c r="N2028" s="65"/>
    </row>
    <row r="2029" spans="1:14" x14ac:dyDescent="0.25">
      <c r="A2029" s="2"/>
      <c r="B2029" s="11"/>
      <c r="C2029" s="26"/>
      <c r="L2029" s="65"/>
      <c r="M2029" s="71"/>
      <c r="N2029" s="65"/>
    </row>
    <row r="2030" spans="1:14" x14ac:dyDescent="0.25">
      <c r="A2030" s="2"/>
      <c r="B2030" s="11"/>
      <c r="C2030" s="26"/>
      <c r="L2030" s="65"/>
      <c r="M2030" s="71"/>
      <c r="N2030" s="65"/>
    </row>
    <row r="2031" spans="1:14" x14ac:dyDescent="0.25">
      <c r="A2031" s="2"/>
      <c r="B2031" s="11"/>
      <c r="C2031" s="26"/>
      <c r="L2031" s="65"/>
      <c r="M2031" s="71"/>
      <c r="N2031" s="65"/>
    </row>
    <row r="2032" spans="1:14" x14ac:dyDescent="0.25">
      <c r="A2032" s="2"/>
      <c r="B2032" s="11"/>
      <c r="C2032" s="26"/>
      <c r="L2032" s="65"/>
      <c r="M2032" s="71"/>
      <c r="N2032" s="65"/>
    </row>
    <row r="2033" spans="1:14" x14ac:dyDescent="0.25">
      <c r="A2033" s="2"/>
      <c r="B2033" s="11"/>
      <c r="C2033" s="26"/>
      <c r="L2033" s="65"/>
      <c r="M2033" s="71"/>
      <c r="N2033" s="65"/>
    </row>
    <row r="2034" spans="1:14" x14ac:dyDescent="0.25">
      <c r="A2034" s="2"/>
      <c r="B2034" s="11"/>
      <c r="C2034" s="26"/>
      <c r="L2034" s="65"/>
      <c r="M2034" s="71"/>
      <c r="N2034" s="65"/>
    </row>
    <row r="2035" spans="1:14" x14ac:dyDescent="0.25">
      <c r="A2035" s="2"/>
      <c r="B2035" s="11"/>
      <c r="C2035" s="26"/>
      <c r="L2035" s="65"/>
      <c r="M2035" s="71"/>
      <c r="N2035" s="65"/>
    </row>
    <row r="2036" spans="1:14" x14ac:dyDescent="0.25">
      <c r="A2036" s="2"/>
      <c r="B2036" s="11"/>
      <c r="C2036" s="26"/>
      <c r="L2036" s="65"/>
      <c r="M2036" s="71"/>
      <c r="N2036" s="65"/>
    </row>
    <row r="2037" spans="1:14" x14ac:dyDescent="0.25">
      <c r="A2037" s="2"/>
      <c r="B2037" s="11"/>
      <c r="C2037" s="26"/>
      <c r="L2037" s="65"/>
      <c r="M2037" s="71"/>
      <c r="N2037" s="65"/>
    </row>
    <row r="2038" spans="1:14" x14ac:dyDescent="0.25">
      <c r="A2038" s="2"/>
      <c r="B2038" s="11"/>
      <c r="C2038" s="26"/>
      <c r="L2038" s="65"/>
      <c r="M2038" s="71"/>
      <c r="N2038" s="65"/>
    </row>
    <row r="2039" spans="1:14" x14ac:dyDescent="0.25">
      <c r="A2039" s="2"/>
      <c r="B2039" s="11"/>
      <c r="C2039" s="26"/>
      <c r="L2039" s="65"/>
      <c r="M2039" s="71"/>
      <c r="N2039" s="65"/>
    </row>
    <row r="2040" spans="1:14" x14ac:dyDescent="0.25">
      <c r="A2040" s="2"/>
      <c r="B2040" s="11"/>
      <c r="C2040" s="26"/>
      <c r="L2040" s="65"/>
      <c r="M2040" s="71"/>
      <c r="N2040" s="65"/>
    </row>
    <row r="2041" spans="1:14" x14ac:dyDescent="0.25">
      <c r="A2041" s="2"/>
      <c r="B2041" s="11"/>
      <c r="C2041" s="26"/>
      <c r="L2041" s="65"/>
      <c r="M2041" s="71"/>
      <c r="N2041" s="65"/>
    </row>
    <row r="2042" spans="1:14" x14ac:dyDescent="0.25">
      <c r="A2042" s="2"/>
      <c r="B2042" s="11"/>
      <c r="C2042" s="26"/>
      <c r="L2042" s="65"/>
      <c r="M2042" s="71"/>
      <c r="N2042" s="65"/>
    </row>
    <row r="2043" spans="1:14" x14ac:dyDescent="0.25">
      <c r="A2043" s="2"/>
      <c r="B2043" s="11"/>
      <c r="C2043" s="26"/>
      <c r="L2043" s="65"/>
      <c r="M2043" s="71"/>
      <c r="N2043" s="65"/>
    </row>
    <row r="2044" spans="1:14" x14ac:dyDescent="0.25">
      <c r="A2044" s="2"/>
      <c r="B2044" s="11"/>
      <c r="C2044" s="26"/>
      <c r="L2044" s="65"/>
      <c r="M2044" s="71"/>
      <c r="N2044" s="65"/>
    </row>
    <row r="2045" spans="1:14" x14ac:dyDescent="0.25">
      <c r="A2045" s="2"/>
      <c r="B2045" s="11"/>
      <c r="C2045" s="26"/>
      <c r="L2045" s="65"/>
      <c r="M2045" s="71"/>
      <c r="N2045" s="65"/>
    </row>
    <row r="2046" spans="1:14" x14ac:dyDescent="0.25">
      <c r="A2046" s="2"/>
      <c r="B2046" s="11"/>
      <c r="C2046" s="26"/>
      <c r="L2046" s="65"/>
      <c r="M2046" s="71"/>
      <c r="N2046" s="65"/>
    </row>
    <row r="2047" spans="1:14" x14ac:dyDescent="0.25">
      <c r="A2047" s="2"/>
      <c r="B2047" s="11"/>
      <c r="C2047" s="26"/>
      <c r="L2047" s="65"/>
      <c r="M2047" s="71"/>
      <c r="N2047" s="65"/>
    </row>
    <row r="2048" spans="1:14" x14ac:dyDescent="0.25">
      <c r="A2048" s="2"/>
      <c r="B2048" s="11"/>
      <c r="C2048" s="26"/>
      <c r="L2048" s="65"/>
      <c r="M2048" s="71"/>
      <c r="N2048" s="65"/>
    </row>
    <row r="2049" spans="1:14" x14ac:dyDescent="0.25">
      <c r="A2049" s="2"/>
      <c r="B2049" s="11"/>
      <c r="C2049" s="26"/>
      <c r="L2049" s="65"/>
      <c r="M2049" s="71"/>
      <c r="N2049" s="65"/>
    </row>
    <row r="2050" spans="1:14" x14ac:dyDescent="0.25">
      <c r="A2050" s="2"/>
      <c r="B2050" s="11"/>
      <c r="C2050" s="26"/>
      <c r="L2050" s="65"/>
      <c r="M2050" s="71"/>
      <c r="N2050" s="65"/>
    </row>
    <row r="2051" spans="1:14" x14ac:dyDescent="0.25">
      <c r="A2051" s="2"/>
      <c r="B2051" s="11"/>
      <c r="C2051" s="26"/>
      <c r="L2051" s="65"/>
      <c r="M2051" s="71"/>
      <c r="N2051" s="65"/>
    </row>
    <row r="2052" spans="1:14" x14ac:dyDescent="0.25">
      <c r="A2052" s="2"/>
      <c r="B2052" s="11"/>
      <c r="C2052" s="26"/>
      <c r="L2052" s="65"/>
      <c r="M2052" s="71"/>
      <c r="N2052" s="65"/>
    </row>
    <row r="2053" spans="1:14" x14ac:dyDescent="0.25">
      <c r="A2053" s="2"/>
      <c r="B2053" s="11"/>
      <c r="C2053" s="26"/>
      <c r="L2053" s="65"/>
      <c r="M2053" s="71"/>
      <c r="N2053" s="65"/>
    </row>
    <row r="2054" spans="1:14" x14ac:dyDescent="0.25">
      <c r="A2054" s="2"/>
      <c r="B2054" s="11"/>
      <c r="C2054" s="26"/>
      <c r="L2054" s="65"/>
      <c r="M2054" s="71"/>
      <c r="N2054" s="65"/>
    </row>
    <row r="2055" spans="1:14" x14ac:dyDescent="0.25">
      <c r="A2055" s="2"/>
      <c r="B2055" s="11"/>
      <c r="C2055" s="26"/>
      <c r="L2055" s="65"/>
      <c r="M2055" s="71"/>
      <c r="N2055" s="65"/>
    </row>
    <row r="2056" spans="1:14" x14ac:dyDescent="0.25">
      <c r="A2056" s="2"/>
      <c r="B2056" s="11"/>
      <c r="C2056" s="26"/>
      <c r="L2056" s="65"/>
      <c r="M2056" s="71"/>
      <c r="N2056" s="65"/>
    </row>
    <row r="2057" spans="1:14" x14ac:dyDescent="0.25">
      <c r="A2057" s="2"/>
      <c r="B2057" s="11"/>
      <c r="C2057" s="26"/>
      <c r="L2057" s="65"/>
      <c r="M2057" s="71"/>
      <c r="N2057" s="65"/>
    </row>
    <row r="2058" spans="1:14" x14ac:dyDescent="0.25">
      <c r="A2058" s="2"/>
      <c r="B2058" s="11"/>
      <c r="C2058" s="26"/>
      <c r="L2058" s="65"/>
      <c r="M2058" s="71"/>
      <c r="N2058" s="65"/>
    </row>
    <row r="2059" spans="1:14" x14ac:dyDescent="0.25">
      <c r="A2059" s="2"/>
      <c r="B2059" s="11"/>
      <c r="C2059" s="26"/>
      <c r="L2059" s="65"/>
      <c r="M2059" s="71"/>
      <c r="N2059" s="65"/>
    </row>
    <row r="2060" spans="1:14" x14ac:dyDescent="0.25">
      <c r="A2060" s="2"/>
      <c r="B2060" s="11"/>
      <c r="C2060" s="26"/>
      <c r="L2060" s="65"/>
      <c r="M2060" s="71"/>
      <c r="N2060" s="65"/>
    </row>
    <row r="2061" spans="1:14" x14ac:dyDescent="0.25">
      <c r="A2061" s="2"/>
      <c r="B2061" s="11"/>
      <c r="C2061" s="26"/>
      <c r="L2061" s="65"/>
      <c r="M2061" s="71"/>
      <c r="N2061" s="65"/>
    </row>
    <row r="2062" spans="1:14" x14ac:dyDescent="0.25">
      <c r="A2062" s="2"/>
      <c r="B2062" s="11"/>
      <c r="C2062" s="26"/>
      <c r="L2062" s="65"/>
      <c r="M2062" s="71"/>
      <c r="N2062" s="65"/>
    </row>
    <row r="2063" spans="1:14" x14ac:dyDescent="0.25">
      <c r="A2063" s="2"/>
      <c r="B2063" s="11"/>
      <c r="C2063" s="26"/>
      <c r="L2063" s="65"/>
      <c r="M2063" s="71"/>
      <c r="N2063" s="65"/>
    </row>
    <row r="2064" spans="1:14" x14ac:dyDescent="0.25">
      <c r="A2064" s="2"/>
      <c r="B2064" s="11"/>
      <c r="C2064" s="26"/>
      <c r="L2064" s="65"/>
      <c r="M2064" s="71"/>
      <c r="N2064" s="65"/>
    </row>
    <row r="2065" spans="1:14" x14ac:dyDescent="0.25">
      <c r="A2065" s="2"/>
      <c r="B2065" s="11"/>
      <c r="C2065" s="26"/>
      <c r="L2065" s="65"/>
      <c r="M2065" s="71"/>
      <c r="N2065" s="65"/>
    </row>
    <row r="2066" spans="1:14" x14ac:dyDescent="0.25">
      <c r="A2066" s="2"/>
      <c r="B2066" s="11"/>
      <c r="C2066" s="26"/>
      <c r="L2066" s="65"/>
      <c r="M2066" s="71"/>
      <c r="N2066" s="65"/>
    </row>
    <row r="2067" spans="1:14" x14ac:dyDescent="0.25">
      <c r="A2067" s="2"/>
      <c r="B2067" s="11"/>
      <c r="C2067" s="26"/>
      <c r="L2067" s="65"/>
      <c r="M2067" s="71"/>
      <c r="N2067" s="65"/>
    </row>
    <row r="2068" spans="1:14" x14ac:dyDescent="0.25">
      <c r="A2068" s="2"/>
      <c r="B2068" s="11"/>
      <c r="C2068" s="26"/>
      <c r="L2068" s="65"/>
      <c r="M2068" s="71"/>
      <c r="N2068" s="65"/>
    </row>
    <row r="2069" spans="1:14" x14ac:dyDescent="0.25">
      <c r="A2069" s="2"/>
      <c r="B2069" s="11"/>
      <c r="C2069" s="26"/>
      <c r="L2069" s="65"/>
      <c r="M2069" s="71"/>
      <c r="N2069" s="65"/>
    </row>
    <row r="2070" spans="1:14" x14ac:dyDescent="0.25">
      <c r="A2070" s="2"/>
      <c r="B2070" s="11"/>
      <c r="C2070" s="26"/>
      <c r="L2070" s="65"/>
      <c r="M2070" s="71"/>
      <c r="N2070" s="65"/>
    </row>
    <row r="2071" spans="1:14" x14ac:dyDescent="0.25">
      <c r="A2071" s="2"/>
      <c r="B2071" s="11"/>
      <c r="C2071" s="26"/>
      <c r="L2071" s="65"/>
      <c r="M2071" s="71"/>
      <c r="N2071" s="65"/>
    </row>
    <row r="2072" spans="1:14" x14ac:dyDescent="0.25">
      <c r="A2072" s="2"/>
      <c r="B2072" s="11"/>
      <c r="C2072" s="26"/>
      <c r="L2072" s="65"/>
      <c r="M2072" s="71"/>
      <c r="N2072" s="65"/>
    </row>
    <row r="2073" spans="1:14" x14ac:dyDescent="0.25">
      <c r="A2073" s="2"/>
      <c r="B2073" s="11"/>
      <c r="C2073" s="26"/>
      <c r="L2073" s="65"/>
      <c r="M2073" s="71"/>
      <c r="N2073" s="65"/>
    </row>
    <row r="2074" spans="1:14" x14ac:dyDescent="0.25">
      <c r="A2074" s="2"/>
      <c r="B2074" s="11"/>
      <c r="C2074" s="26"/>
      <c r="L2074" s="65"/>
      <c r="M2074" s="71"/>
      <c r="N2074" s="65"/>
    </row>
    <row r="2075" spans="1:14" x14ac:dyDescent="0.25">
      <c r="A2075" s="2"/>
      <c r="B2075" s="11"/>
      <c r="C2075" s="26"/>
      <c r="L2075" s="65"/>
      <c r="M2075" s="71"/>
      <c r="N2075" s="65"/>
    </row>
    <row r="2076" spans="1:14" x14ac:dyDescent="0.25">
      <c r="A2076" s="2"/>
      <c r="B2076" s="11"/>
      <c r="C2076" s="26"/>
      <c r="L2076" s="65"/>
      <c r="M2076" s="71"/>
      <c r="N2076" s="65"/>
    </row>
    <row r="2077" spans="1:14" x14ac:dyDescent="0.25">
      <c r="A2077" s="2"/>
      <c r="B2077" s="11"/>
      <c r="C2077" s="26"/>
      <c r="L2077" s="65"/>
      <c r="M2077" s="71"/>
      <c r="N2077" s="65"/>
    </row>
    <row r="2078" spans="1:14" x14ac:dyDescent="0.25">
      <c r="A2078" s="2"/>
      <c r="B2078" s="11"/>
      <c r="C2078" s="26"/>
      <c r="L2078" s="65"/>
      <c r="M2078" s="71"/>
      <c r="N2078" s="65"/>
    </row>
    <row r="2079" spans="1:14" x14ac:dyDescent="0.25">
      <c r="A2079" s="2"/>
      <c r="B2079" s="11"/>
      <c r="C2079" s="26"/>
      <c r="L2079" s="65"/>
      <c r="M2079" s="71"/>
      <c r="N2079" s="65"/>
    </row>
    <row r="2080" spans="1:14" x14ac:dyDescent="0.25">
      <c r="A2080" s="2"/>
      <c r="B2080" s="11"/>
      <c r="C2080" s="26"/>
      <c r="L2080" s="65"/>
      <c r="M2080" s="71"/>
      <c r="N2080" s="65"/>
    </row>
    <row r="2081" spans="1:14" x14ac:dyDescent="0.25">
      <c r="A2081" s="2"/>
      <c r="B2081" s="11"/>
      <c r="C2081" s="26"/>
      <c r="L2081" s="65"/>
      <c r="M2081" s="71"/>
      <c r="N2081" s="65"/>
    </row>
    <row r="2082" spans="1:14" x14ac:dyDescent="0.25">
      <c r="A2082" s="2"/>
      <c r="B2082" s="11"/>
      <c r="C2082" s="26"/>
      <c r="L2082" s="65"/>
      <c r="M2082" s="71"/>
      <c r="N2082" s="65"/>
    </row>
    <row r="2083" spans="1:14" x14ac:dyDescent="0.25">
      <c r="A2083" s="2"/>
      <c r="B2083" s="11"/>
      <c r="C2083" s="26"/>
      <c r="L2083" s="65"/>
      <c r="M2083" s="71"/>
      <c r="N2083" s="65"/>
    </row>
    <row r="2084" spans="1:14" x14ac:dyDescent="0.25">
      <c r="A2084" s="2"/>
      <c r="B2084" s="11"/>
      <c r="C2084" s="26"/>
      <c r="L2084" s="65"/>
      <c r="M2084" s="71"/>
      <c r="N2084" s="65"/>
    </row>
    <row r="2085" spans="1:14" x14ac:dyDescent="0.25">
      <c r="A2085" s="2"/>
      <c r="B2085" s="11"/>
      <c r="C2085" s="26"/>
      <c r="L2085" s="65"/>
      <c r="M2085" s="71"/>
      <c r="N2085" s="65"/>
    </row>
    <row r="2086" spans="1:14" x14ac:dyDescent="0.25">
      <c r="A2086" s="2"/>
      <c r="B2086" s="11"/>
      <c r="C2086" s="26"/>
      <c r="L2086" s="65"/>
      <c r="M2086" s="71"/>
      <c r="N2086" s="65"/>
    </row>
    <row r="2087" spans="1:14" x14ac:dyDescent="0.25">
      <c r="A2087" s="2"/>
      <c r="B2087" s="11"/>
      <c r="C2087" s="26"/>
      <c r="L2087" s="65"/>
      <c r="M2087" s="71"/>
      <c r="N2087" s="65"/>
    </row>
    <row r="2088" spans="1:14" x14ac:dyDescent="0.25">
      <c r="A2088" s="2"/>
      <c r="B2088" s="11"/>
      <c r="C2088" s="26"/>
      <c r="L2088" s="65"/>
      <c r="M2088" s="71"/>
      <c r="N2088" s="65"/>
    </row>
    <row r="2089" spans="1:14" x14ac:dyDescent="0.25">
      <c r="A2089" s="2"/>
      <c r="B2089" s="11"/>
      <c r="C2089" s="26"/>
      <c r="L2089" s="65"/>
      <c r="M2089" s="71"/>
      <c r="N2089" s="65"/>
    </row>
    <row r="2090" spans="1:14" x14ac:dyDescent="0.25">
      <c r="A2090" s="2"/>
      <c r="B2090" s="11"/>
      <c r="C2090" s="26"/>
      <c r="L2090" s="65"/>
      <c r="M2090" s="71"/>
      <c r="N2090" s="65"/>
    </row>
    <row r="2091" spans="1:14" x14ac:dyDescent="0.25">
      <c r="A2091" s="2"/>
      <c r="B2091" s="11"/>
      <c r="C2091" s="26"/>
      <c r="L2091" s="65"/>
      <c r="M2091" s="71"/>
      <c r="N2091" s="65"/>
    </row>
    <row r="2092" spans="1:14" x14ac:dyDescent="0.25">
      <c r="A2092" s="2"/>
      <c r="B2092" s="11"/>
      <c r="C2092" s="26"/>
      <c r="L2092" s="65"/>
      <c r="M2092" s="71"/>
      <c r="N2092" s="65"/>
    </row>
    <row r="2093" spans="1:14" x14ac:dyDescent="0.25">
      <c r="A2093" s="2"/>
      <c r="B2093" s="11"/>
      <c r="C2093" s="26"/>
      <c r="L2093" s="65"/>
      <c r="M2093" s="71"/>
      <c r="N2093" s="65"/>
    </row>
    <row r="2094" spans="1:14" x14ac:dyDescent="0.25">
      <c r="A2094" s="2"/>
      <c r="B2094" s="11"/>
      <c r="C2094" s="26"/>
      <c r="L2094" s="65"/>
      <c r="M2094" s="71"/>
      <c r="N2094" s="65"/>
    </row>
    <row r="2095" spans="1:14" x14ac:dyDescent="0.25">
      <c r="A2095" s="2"/>
      <c r="B2095" s="11"/>
      <c r="C2095" s="26"/>
      <c r="L2095" s="65"/>
      <c r="M2095" s="71"/>
      <c r="N2095" s="65"/>
    </row>
    <row r="2096" spans="1:14" x14ac:dyDescent="0.25">
      <c r="A2096" s="2"/>
      <c r="B2096" s="11"/>
      <c r="C2096" s="26"/>
      <c r="L2096" s="65"/>
      <c r="M2096" s="71"/>
      <c r="N2096" s="65"/>
    </row>
    <row r="2097" spans="1:14" x14ac:dyDescent="0.25">
      <c r="A2097" s="2"/>
      <c r="B2097" s="11"/>
      <c r="C2097" s="26"/>
      <c r="L2097" s="65"/>
      <c r="M2097" s="71"/>
      <c r="N2097" s="65"/>
    </row>
    <row r="2098" spans="1:14" x14ac:dyDescent="0.25">
      <c r="A2098" s="2"/>
      <c r="B2098" s="11"/>
      <c r="C2098" s="26"/>
      <c r="L2098" s="65"/>
      <c r="M2098" s="71"/>
      <c r="N2098" s="65"/>
    </row>
    <row r="2099" spans="1:14" x14ac:dyDescent="0.25">
      <c r="A2099" s="2"/>
      <c r="B2099" s="11"/>
      <c r="C2099" s="26"/>
      <c r="L2099" s="65"/>
      <c r="M2099" s="71"/>
      <c r="N2099" s="65"/>
    </row>
    <row r="2100" spans="1:14" x14ac:dyDescent="0.25">
      <c r="A2100" s="2"/>
      <c r="B2100" s="11"/>
      <c r="C2100" s="26"/>
      <c r="L2100" s="65"/>
      <c r="M2100" s="71"/>
      <c r="N2100" s="65"/>
    </row>
    <row r="2101" spans="1:14" x14ac:dyDescent="0.25">
      <c r="A2101" s="2"/>
      <c r="B2101" s="11"/>
      <c r="C2101" s="26"/>
      <c r="L2101" s="65"/>
      <c r="M2101" s="71"/>
      <c r="N2101" s="65"/>
    </row>
    <row r="2102" spans="1:14" x14ac:dyDescent="0.25">
      <c r="A2102" s="2"/>
      <c r="B2102" s="11"/>
      <c r="C2102" s="26"/>
      <c r="L2102" s="65"/>
      <c r="M2102" s="71"/>
      <c r="N2102" s="65"/>
    </row>
    <row r="2103" spans="1:14" x14ac:dyDescent="0.25">
      <c r="A2103" s="2"/>
      <c r="B2103" s="11"/>
      <c r="C2103" s="26"/>
      <c r="L2103" s="65"/>
      <c r="M2103" s="71"/>
      <c r="N2103" s="65"/>
    </row>
    <row r="2104" spans="1:14" x14ac:dyDescent="0.25">
      <c r="A2104" s="2"/>
      <c r="B2104" s="11"/>
      <c r="C2104" s="26"/>
      <c r="L2104" s="65"/>
      <c r="M2104" s="71"/>
      <c r="N2104" s="65"/>
    </row>
    <row r="2105" spans="1:14" x14ac:dyDescent="0.25">
      <c r="A2105" s="2"/>
      <c r="B2105" s="11"/>
      <c r="C2105" s="26"/>
      <c r="L2105" s="65"/>
      <c r="M2105" s="71"/>
      <c r="N2105" s="65"/>
    </row>
    <row r="2106" spans="1:14" x14ac:dyDescent="0.25">
      <c r="A2106" s="2"/>
      <c r="B2106" s="11"/>
      <c r="C2106" s="26"/>
      <c r="L2106" s="65"/>
      <c r="M2106" s="71"/>
      <c r="N2106" s="65"/>
    </row>
    <row r="2107" spans="1:14" x14ac:dyDescent="0.25">
      <c r="A2107" s="2"/>
      <c r="B2107" s="11"/>
      <c r="C2107" s="26"/>
      <c r="L2107" s="65"/>
      <c r="M2107" s="71"/>
      <c r="N2107" s="65"/>
    </row>
    <row r="2108" spans="1:14" x14ac:dyDescent="0.25">
      <c r="A2108" s="2"/>
      <c r="B2108" s="11"/>
      <c r="C2108" s="26"/>
      <c r="L2108" s="65"/>
      <c r="M2108" s="71"/>
      <c r="N2108" s="65"/>
    </row>
    <row r="2109" spans="1:14" x14ac:dyDescent="0.25">
      <c r="A2109" s="2"/>
      <c r="B2109" s="11"/>
      <c r="C2109" s="26"/>
      <c r="L2109" s="65"/>
      <c r="M2109" s="71"/>
      <c r="N2109" s="65"/>
    </row>
    <row r="2110" spans="1:14" x14ac:dyDescent="0.25">
      <c r="A2110" s="2"/>
      <c r="B2110" s="11"/>
      <c r="C2110" s="26"/>
      <c r="L2110" s="65"/>
      <c r="M2110" s="71"/>
      <c r="N2110" s="65"/>
    </row>
    <row r="2111" spans="1:14" x14ac:dyDescent="0.25">
      <c r="A2111" s="2"/>
      <c r="B2111" s="11"/>
      <c r="C2111" s="26"/>
      <c r="L2111" s="65"/>
      <c r="M2111" s="71"/>
      <c r="N2111" s="65"/>
    </row>
    <row r="2112" spans="1:14" x14ac:dyDescent="0.25">
      <c r="A2112" s="2"/>
      <c r="B2112" s="11"/>
      <c r="C2112" s="26"/>
      <c r="L2112" s="65"/>
      <c r="M2112" s="71"/>
      <c r="N2112" s="65"/>
    </row>
    <row r="2113" spans="1:14" x14ac:dyDescent="0.25">
      <c r="A2113" s="2"/>
      <c r="B2113" s="11"/>
      <c r="C2113" s="26"/>
      <c r="L2113" s="65"/>
      <c r="M2113" s="71"/>
      <c r="N2113" s="65"/>
    </row>
    <row r="2114" spans="1:14" x14ac:dyDescent="0.25">
      <c r="A2114" s="2"/>
      <c r="B2114" s="11"/>
      <c r="C2114" s="26"/>
      <c r="L2114" s="65"/>
      <c r="M2114" s="71"/>
      <c r="N2114" s="65"/>
    </row>
    <row r="2115" spans="1:14" x14ac:dyDescent="0.25">
      <c r="A2115" s="2"/>
      <c r="B2115" s="11"/>
      <c r="C2115" s="26"/>
      <c r="L2115" s="65"/>
      <c r="M2115" s="71"/>
      <c r="N2115" s="65"/>
    </row>
    <row r="2116" spans="1:14" x14ac:dyDescent="0.25">
      <c r="A2116" s="2"/>
      <c r="B2116" s="11"/>
      <c r="C2116" s="26"/>
      <c r="L2116" s="65"/>
      <c r="M2116" s="71"/>
      <c r="N2116" s="65"/>
    </row>
    <row r="2117" spans="1:14" x14ac:dyDescent="0.25">
      <c r="A2117" s="2"/>
      <c r="B2117" s="11"/>
      <c r="C2117" s="26"/>
      <c r="L2117" s="65"/>
      <c r="M2117" s="71"/>
      <c r="N2117" s="65"/>
    </row>
    <row r="2118" spans="1:14" x14ac:dyDescent="0.25">
      <c r="A2118" s="2"/>
      <c r="B2118" s="11"/>
      <c r="C2118" s="26"/>
      <c r="L2118" s="65"/>
      <c r="M2118" s="71"/>
      <c r="N2118" s="65"/>
    </row>
    <row r="2119" spans="1:14" x14ac:dyDescent="0.25">
      <c r="A2119" s="2"/>
      <c r="B2119" s="11"/>
      <c r="C2119" s="26"/>
      <c r="L2119" s="65"/>
      <c r="M2119" s="71"/>
      <c r="N2119" s="65"/>
    </row>
    <row r="2120" spans="1:14" x14ac:dyDescent="0.25">
      <c r="A2120" s="2"/>
      <c r="B2120" s="11"/>
      <c r="C2120" s="26"/>
      <c r="L2120" s="65"/>
      <c r="M2120" s="71"/>
      <c r="N2120" s="65"/>
    </row>
    <row r="2121" spans="1:14" x14ac:dyDescent="0.25">
      <c r="A2121" s="2"/>
      <c r="B2121" s="11"/>
      <c r="C2121" s="26"/>
      <c r="L2121" s="65"/>
      <c r="M2121" s="71"/>
      <c r="N2121" s="65"/>
    </row>
    <row r="2122" spans="1:14" x14ac:dyDescent="0.25">
      <c r="A2122" s="2"/>
      <c r="B2122" s="11"/>
      <c r="C2122" s="26"/>
      <c r="L2122" s="65"/>
      <c r="M2122" s="71"/>
      <c r="N2122" s="65"/>
    </row>
    <row r="2123" spans="1:14" x14ac:dyDescent="0.25">
      <c r="A2123" s="2"/>
      <c r="B2123" s="11"/>
      <c r="C2123" s="26"/>
      <c r="L2123" s="65"/>
      <c r="M2123" s="71"/>
      <c r="N2123" s="65"/>
    </row>
    <row r="2124" spans="1:14" x14ac:dyDescent="0.25">
      <c r="A2124" s="2"/>
      <c r="B2124" s="11"/>
      <c r="C2124" s="26"/>
      <c r="L2124" s="65"/>
      <c r="M2124" s="71"/>
      <c r="N2124" s="65"/>
    </row>
    <row r="2125" spans="1:14" x14ac:dyDescent="0.25">
      <c r="A2125" s="2"/>
      <c r="B2125" s="11"/>
      <c r="C2125" s="26"/>
      <c r="L2125" s="65"/>
      <c r="M2125" s="71"/>
      <c r="N2125" s="65"/>
    </row>
    <row r="2126" spans="1:14" x14ac:dyDescent="0.25">
      <c r="A2126" s="2"/>
      <c r="B2126" s="11"/>
      <c r="C2126" s="26"/>
      <c r="L2126" s="65"/>
      <c r="M2126" s="71"/>
      <c r="N2126" s="65"/>
    </row>
    <row r="2127" spans="1:14" x14ac:dyDescent="0.25">
      <c r="A2127" s="2"/>
      <c r="B2127" s="11"/>
      <c r="C2127" s="26"/>
      <c r="L2127" s="65"/>
      <c r="M2127" s="71"/>
      <c r="N2127" s="65"/>
    </row>
    <row r="2128" spans="1:14" x14ac:dyDescent="0.25">
      <c r="A2128" s="2"/>
      <c r="B2128" s="11"/>
      <c r="C2128" s="26"/>
      <c r="L2128" s="65"/>
      <c r="M2128" s="71"/>
      <c r="N2128" s="65"/>
    </row>
    <row r="2129" spans="1:14" x14ac:dyDescent="0.25">
      <c r="A2129" s="2"/>
      <c r="B2129" s="11"/>
      <c r="C2129" s="26"/>
      <c r="L2129" s="65"/>
      <c r="M2129" s="71"/>
      <c r="N2129" s="65"/>
    </row>
    <row r="2130" spans="1:14" x14ac:dyDescent="0.25">
      <c r="A2130" s="2"/>
      <c r="B2130" s="11"/>
      <c r="C2130" s="26"/>
      <c r="L2130" s="65"/>
      <c r="M2130" s="71"/>
      <c r="N2130" s="65"/>
    </row>
    <row r="2131" spans="1:14" x14ac:dyDescent="0.25">
      <c r="A2131" s="2"/>
      <c r="B2131" s="11"/>
      <c r="C2131" s="26"/>
      <c r="L2131" s="65"/>
      <c r="M2131" s="71"/>
      <c r="N2131" s="65"/>
    </row>
    <row r="2132" spans="1:14" x14ac:dyDescent="0.25">
      <c r="A2132" s="2"/>
      <c r="B2132" s="11"/>
      <c r="C2132" s="26"/>
      <c r="L2132" s="65"/>
      <c r="M2132" s="71"/>
      <c r="N2132" s="65"/>
    </row>
    <row r="2133" spans="1:14" x14ac:dyDescent="0.25">
      <c r="A2133" s="2"/>
      <c r="B2133" s="11"/>
      <c r="C2133" s="26"/>
      <c r="L2133" s="65"/>
      <c r="M2133" s="71"/>
      <c r="N2133" s="65"/>
    </row>
    <row r="2134" spans="1:14" x14ac:dyDescent="0.25">
      <c r="A2134" s="2"/>
      <c r="B2134" s="11"/>
      <c r="C2134" s="26"/>
      <c r="L2134" s="65"/>
      <c r="M2134" s="71"/>
      <c r="N2134" s="65"/>
    </row>
    <row r="2135" spans="1:14" x14ac:dyDescent="0.25">
      <c r="A2135" s="2"/>
      <c r="B2135" s="11"/>
      <c r="C2135" s="26"/>
      <c r="L2135" s="65"/>
      <c r="M2135" s="71"/>
      <c r="N2135" s="65"/>
    </row>
    <row r="2136" spans="1:14" x14ac:dyDescent="0.25">
      <c r="A2136" s="2"/>
      <c r="B2136" s="11"/>
      <c r="C2136" s="26"/>
      <c r="L2136" s="65"/>
      <c r="M2136" s="71"/>
      <c r="N2136" s="65"/>
    </row>
    <row r="2137" spans="1:14" x14ac:dyDescent="0.25">
      <c r="A2137" s="2"/>
      <c r="B2137" s="11"/>
      <c r="C2137" s="26"/>
      <c r="L2137" s="65"/>
      <c r="M2137" s="71"/>
      <c r="N2137" s="65"/>
    </row>
    <row r="2138" spans="1:14" x14ac:dyDescent="0.25">
      <c r="A2138" s="2"/>
      <c r="B2138" s="11"/>
      <c r="C2138" s="26"/>
      <c r="L2138" s="65"/>
      <c r="M2138" s="71"/>
      <c r="N2138" s="65"/>
    </row>
    <row r="2139" spans="1:14" x14ac:dyDescent="0.25">
      <c r="A2139" s="2"/>
      <c r="B2139" s="11"/>
      <c r="C2139" s="26"/>
      <c r="L2139" s="65"/>
      <c r="M2139" s="71"/>
      <c r="N2139" s="65"/>
    </row>
    <row r="2140" spans="1:14" x14ac:dyDescent="0.25">
      <c r="A2140" s="2"/>
      <c r="B2140" s="11"/>
      <c r="C2140" s="26"/>
      <c r="L2140" s="65"/>
      <c r="M2140" s="71"/>
      <c r="N2140" s="65"/>
    </row>
    <row r="2141" spans="1:14" x14ac:dyDescent="0.25">
      <c r="A2141" s="2"/>
      <c r="B2141" s="11"/>
      <c r="C2141" s="26"/>
      <c r="L2141" s="65"/>
      <c r="M2141" s="71"/>
      <c r="N2141" s="65"/>
    </row>
    <row r="2142" spans="1:14" x14ac:dyDescent="0.25">
      <c r="A2142" s="2"/>
      <c r="B2142" s="11"/>
      <c r="C2142" s="26"/>
      <c r="L2142" s="65"/>
      <c r="M2142" s="71"/>
      <c r="N2142" s="65"/>
    </row>
    <row r="2143" spans="1:14" x14ac:dyDescent="0.25">
      <c r="A2143" s="2"/>
      <c r="B2143" s="11"/>
      <c r="C2143" s="26"/>
      <c r="L2143" s="65"/>
      <c r="M2143" s="71"/>
      <c r="N2143" s="65"/>
    </row>
    <row r="2144" spans="1:14" x14ac:dyDescent="0.25">
      <c r="A2144" s="2"/>
      <c r="B2144" s="11"/>
      <c r="C2144" s="26"/>
      <c r="L2144" s="65"/>
      <c r="M2144" s="71"/>
      <c r="N2144" s="65"/>
    </row>
    <row r="2145" spans="1:14" x14ac:dyDescent="0.25">
      <c r="A2145" s="2"/>
      <c r="B2145" s="11"/>
      <c r="C2145" s="26"/>
      <c r="L2145" s="65"/>
      <c r="M2145" s="71"/>
      <c r="N2145" s="65"/>
    </row>
    <row r="2146" spans="1:14" x14ac:dyDescent="0.25">
      <c r="A2146" s="2"/>
      <c r="B2146" s="11"/>
      <c r="C2146" s="26"/>
      <c r="L2146" s="65"/>
      <c r="M2146" s="71"/>
      <c r="N2146" s="65"/>
    </row>
    <row r="2147" spans="1:14" x14ac:dyDescent="0.25">
      <c r="A2147" s="2"/>
      <c r="B2147" s="11"/>
      <c r="C2147" s="26"/>
      <c r="L2147" s="65"/>
      <c r="M2147" s="71"/>
      <c r="N2147" s="65"/>
    </row>
    <row r="2148" spans="1:14" x14ac:dyDescent="0.25">
      <c r="A2148" s="2"/>
      <c r="B2148" s="11"/>
      <c r="C2148" s="26"/>
      <c r="L2148" s="65"/>
      <c r="M2148" s="71"/>
      <c r="N2148" s="65"/>
    </row>
    <row r="2149" spans="1:14" x14ac:dyDescent="0.25">
      <c r="A2149" s="2"/>
      <c r="B2149" s="11"/>
      <c r="C2149" s="26"/>
      <c r="L2149" s="65"/>
      <c r="M2149" s="71"/>
      <c r="N2149" s="65"/>
    </row>
    <row r="2150" spans="1:14" x14ac:dyDescent="0.25">
      <c r="A2150" s="2"/>
      <c r="B2150" s="11"/>
      <c r="C2150" s="26"/>
      <c r="L2150" s="65"/>
      <c r="M2150" s="71"/>
      <c r="N2150" s="65"/>
    </row>
    <row r="2151" spans="1:14" x14ac:dyDescent="0.25">
      <c r="A2151" s="2"/>
      <c r="B2151" s="11"/>
      <c r="C2151" s="26"/>
      <c r="L2151" s="65"/>
      <c r="M2151" s="71"/>
      <c r="N2151" s="65"/>
    </row>
    <row r="2152" spans="1:14" x14ac:dyDescent="0.25">
      <c r="A2152" s="2"/>
      <c r="B2152" s="11"/>
      <c r="C2152" s="26"/>
      <c r="L2152" s="65"/>
      <c r="M2152" s="71"/>
      <c r="N2152" s="65"/>
    </row>
    <row r="2153" spans="1:14" x14ac:dyDescent="0.25">
      <c r="A2153" s="2"/>
      <c r="B2153" s="11"/>
      <c r="C2153" s="26"/>
      <c r="L2153" s="65"/>
      <c r="M2153" s="71"/>
      <c r="N2153" s="65"/>
    </row>
    <row r="2154" spans="1:14" x14ac:dyDescent="0.25">
      <c r="A2154" s="2"/>
      <c r="B2154" s="11"/>
      <c r="C2154" s="26"/>
      <c r="L2154" s="65"/>
      <c r="M2154" s="71"/>
      <c r="N2154" s="65"/>
    </row>
    <row r="2155" spans="1:14" x14ac:dyDescent="0.25">
      <c r="A2155" s="2"/>
      <c r="B2155" s="11"/>
      <c r="C2155" s="26"/>
      <c r="L2155" s="65"/>
      <c r="M2155" s="71"/>
      <c r="N2155" s="65"/>
    </row>
    <row r="2156" spans="1:14" x14ac:dyDescent="0.25">
      <c r="A2156" s="2"/>
      <c r="B2156" s="11"/>
      <c r="C2156" s="26"/>
      <c r="L2156" s="65"/>
      <c r="M2156" s="71"/>
      <c r="N2156" s="65"/>
    </row>
    <row r="2157" spans="1:14" x14ac:dyDescent="0.25">
      <c r="A2157" s="2"/>
      <c r="B2157" s="11"/>
      <c r="C2157" s="26"/>
      <c r="L2157" s="65"/>
      <c r="M2157" s="71"/>
      <c r="N2157" s="65"/>
    </row>
    <row r="2158" spans="1:14" x14ac:dyDescent="0.25">
      <c r="A2158" s="2"/>
      <c r="B2158" s="11"/>
      <c r="C2158" s="26"/>
      <c r="L2158" s="65"/>
      <c r="M2158" s="71"/>
      <c r="N2158" s="65"/>
    </row>
    <row r="2159" spans="1:14" x14ac:dyDescent="0.25">
      <c r="A2159" s="2"/>
      <c r="B2159" s="11"/>
      <c r="C2159" s="26"/>
      <c r="L2159" s="65"/>
      <c r="M2159" s="71"/>
      <c r="N2159" s="65"/>
    </row>
    <row r="2160" spans="1:14" x14ac:dyDescent="0.25">
      <c r="A2160" s="2"/>
      <c r="B2160" s="11"/>
      <c r="C2160" s="26"/>
      <c r="L2160" s="65"/>
      <c r="M2160" s="71"/>
      <c r="N2160" s="65"/>
    </row>
    <row r="2161" spans="1:14" x14ac:dyDescent="0.25">
      <c r="A2161" s="2"/>
      <c r="B2161" s="11"/>
      <c r="C2161" s="26"/>
      <c r="L2161" s="65"/>
      <c r="M2161" s="71"/>
      <c r="N2161" s="65"/>
    </row>
    <row r="2162" spans="1:14" x14ac:dyDescent="0.25">
      <c r="A2162" s="2"/>
      <c r="B2162" s="11"/>
      <c r="C2162" s="26"/>
      <c r="L2162" s="65"/>
      <c r="M2162" s="71"/>
      <c r="N2162" s="65"/>
    </row>
    <row r="2163" spans="1:14" x14ac:dyDescent="0.25">
      <c r="A2163" s="2"/>
      <c r="B2163" s="11"/>
      <c r="C2163" s="26"/>
      <c r="L2163" s="65"/>
      <c r="M2163" s="71"/>
      <c r="N2163" s="65"/>
    </row>
    <row r="2164" spans="1:14" x14ac:dyDescent="0.25">
      <c r="A2164" s="2"/>
      <c r="B2164" s="11"/>
      <c r="C2164" s="26"/>
      <c r="L2164" s="65"/>
      <c r="M2164" s="71"/>
      <c r="N2164" s="65"/>
    </row>
    <row r="2165" spans="1:14" x14ac:dyDescent="0.25">
      <c r="A2165" s="2"/>
      <c r="B2165" s="11"/>
      <c r="C2165" s="26"/>
      <c r="L2165" s="65"/>
      <c r="M2165" s="71"/>
      <c r="N2165" s="65"/>
    </row>
    <row r="2166" spans="1:14" x14ac:dyDescent="0.25">
      <c r="A2166" s="2"/>
      <c r="B2166" s="11"/>
      <c r="C2166" s="26"/>
      <c r="L2166" s="65"/>
      <c r="M2166" s="71"/>
      <c r="N2166" s="65"/>
    </row>
    <row r="2167" spans="1:14" x14ac:dyDescent="0.25">
      <c r="A2167" s="2"/>
      <c r="B2167" s="11"/>
      <c r="C2167" s="26"/>
      <c r="L2167" s="65"/>
      <c r="M2167" s="71"/>
      <c r="N2167" s="65"/>
    </row>
    <row r="2168" spans="1:14" x14ac:dyDescent="0.25">
      <c r="A2168" s="2"/>
      <c r="B2168" s="11"/>
      <c r="C2168" s="26"/>
      <c r="L2168" s="65"/>
      <c r="M2168" s="71"/>
      <c r="N2168" s="65"/>
    </row>
    <row r="2169" spans="1:14" x14ac:dyDescent="0.25">
      <c r="A2169" s="2"/>
      <c r="B2169" s="11"/>
      <c r="C2169" s="26"/>
      <c r="L2169" s="65"/>
      <c r="M2169" s="71"/>
      <c r="N2169" s="65"/>
    </row>
    <row r="2170" spans="1:14" x14ac:dyDescent="0.25">
      <c r="A2170" s="2"/>
      <c r="B2170" s="11"/>
      <c r="C2170" s="26"/>
      <c r="L2170" s="65"/>
      <c r="M2170" s="71"/>
      <c r="N2170" s="65"/>
    </row>
    <row r="2171" spans="1:14" x14ac:dyDescent="0.25">
      <c r="A2171" s="2"/>
      <c r="B2171" s="11"/>
      <c r="C2171" s="26"/>
      <c r="L2171" s="65"/>
      <c r="M2171" s="71"/>
      <c r="N2171" s="65"/>
    </row>
    <row r="2172" spans="1:14" x14ac:dyDescent="0.25">
      <c r="A2172" s="2"/>
      <c r="B2172" s="11"/>
      <c r="C2172" s="26"/>
      <c r="L2172" s="65"/>
      <c r="M2172" s="71"/>
      <c r="N2172" s="65"/>
    </row>
    <row r="2173" spans="1:14" x14ac:dyDescent="0.25">
      <c r="A2173" s="2"/>
      <c r="B2173" s="11"/>
      <c r="C2173" s="26"/>
      <c r="L2173" s="65"/>
      <c r="M2173" s="71"/>
      <c r="N2173" s="65"/>
    </row>
    <row r="2174" spans="1:14" x14ac:dyDescent="0.25">
      <c r="A2174" s="2"/>
      <c r="B2174" s="11"/>
      <c r="C2174" s="26"/>
      <c r="L2174" s="65"/>
      <c r="M2174" s="71"/>
      <c r="N2174" s="65"/>
    </row>
    <row r="2175" spans="1:14" x14ac:dyDescent="0.25">
      <c r="A2175" s="2"/>
      <c r="B2175" s="11"/>
      <c r="C2175" s="26"/>
      <c r="L2175" s="65"/>
      <c r="M2175" s="71"/>
      <c r="N2175" s="65"/>
    </row>
    <row r="2176" spans="1:14" x14ac:dyDescent="0.25">
      <c r="A2176" s="2"/>
      <c r="B2176" s="11"/>
      <c r="C2176" s="26"/>
      <c r="L2176" s="65"/>
      <c r="M2176" s="71"/>
      <c r="N2176" s="65"/>
    </row>
    <row r="2177" spans="1:14" x14ac:dyDescent="0.25">
      <c r="A2177" s="2"/>
      <c r="B2177" s="11"/>
      <c r="C2177" s="26"/>
      <c r="L2177" s="65"/>
      <c r="M2177" s="71"/>
      <c r="N2177" s="65"/>
    </row>
    <row r="2178" spans="1:14" x14ac:dyDescent="0.25">
      <c r="A2178" s="2"/>
      <c r="B2178" s="11"/>
      <c r="C2178" s="26"/>
      <c r="L2178" s="65"/>
      <c r="M2178" s="71"/>
      <c r="N2178" s="65"/>
    </row>
    <row r="2179" spans="1:14" x14ac:dyDescent="0.25">
      <c r="A2179" s="2"/>
      <c r="B2179" s="11"/>
      <c r="C2179" s="26"/>
      <c r="L2179" s="65"/>
      <c r="M2179" s="71"/>
      <c r="N2179" s="65"/>
    </row>
    <row r="2180" spans="1:14" x14ac:dyDescent="0.25">
      <c r="A2180" s="2"/>
      <c r="B2180" s="11"/>
      <c r="C2180" s="26"/>
      <c r="L2180" s="65"/>
      <c r="M2180" s="71"/>
      <c r="N2180" s="65"/>
    </row>
    <row r="2181" spans="1:14" x14ac:dyDescent="0.25">
      <c r="A2181" s="2"/>
      <c r="B2181" s="11"/>
      <c r="C2181" s="26"/>
      <c r="L2181" s="65"/>
      <c r="M2181" s="71"/>
      <c r="N2181" s="65"/>
    </row>
    <row r="2182" spans="1:14" x14ac:dyDescent="0.25">
      <c r="A2182" s="2"/>
      <c r="B2182" s="11"/>
      <c r="C2182" s="26"/>
      <c r="L2182" s="65"/>
      <c r="M2182" s="71"/>
      <c r="N2182" s="65"/>
    </row>
    <row r="2183" spans="1:14" x14ac:dyDescent="0.25">
      <c r="A2183" s="2"/>
      <c r="B2183" s="11"/>
      <c r="C2183" s="26"/>
      <c r="L2183" s="65"/>
      <c r="M2183" s="71"/>
      <c r="N2183" s="65"/>
    </row>
    <row r="2184" spans="1:14" x14ac:dyDescent="0.25">
      <c r="A2184" s="2"/>
      <c r="B2184" s="11"/>
      <c r="C2184" s="26"/>
      <c r="L2184" s="65"/>
      <c r="M2184" s="71"/>
      <c r="N2184" s="65"/>
    </row>
    <row r="2185" spans="1:14" x14ac:dyDescent="0.25">
      <c r="A2185" s="2"/>
      <c r="B2185" s="11"/>
      <c r="C2185" s="26"/>
      <c r="L2185" s="65"/>
      <c r="M2185" s="71"/>
      <c r="N2185" s="65"/>
    </row>
    <row r="2186" spans="1:14" x14ac:dyDescent="0.25">
      <c r="A2186" s="2"/>
      <c r="B2186" s="11"/>
      <c r="C2186" s="26"/>
      <c r="L2186" s="65"/>
      <c r="M2186" s="71"/>
      <c r="N2186" s="65"/>
    </row>
    <row r="2187" spans="1:14" x14ac:dyDescent="0.25">
      <c r="A2187" s="2"/>
      <c r="B2187" s="11"/>
      <c r="C2187" s="26"/>
      <c r="L2187" s="65"/>
      <c r="M2187" s="71"/>
      <c r="N2187" s="65"/>
    </row>
    <row r="2188" spans="1:14" x14ac:dyDescent="0.25">
      <c r="A2188" s="2"/>
      <c r="B2188" s="11"/>
      <c r="C2188" s="26"/>
      <c r="L2188" s="65"/>
      <c r="M2188" s="71"/>
      <c r="N2188" s="65"/>
    </row>
    <row r="2189" spans="1:14" x14ac:dyDescent="0.25">
      <c r="A2189" s="2"/>
      <c r="B2189" s="11"/>
      <c r="C2189" s="26"/>
      <c r="L2189" s="65"/>
      <c r="M2189" s="71"/>
      <c r="N2189" s="65"/>
    </row>
    <row r="2190" spans="1:14" x14ac:dyDescent="0.25">
      <c r="A2190" s="2"/>
      <c r="B2190" s="11"/>
      <c r="C2190" s="26"/>
      <c r="L2190" s="65"/>
      <c r="M2190" s="71"/>
      <c r="N2190" s="65"/>
    </row>
    <row r="2191" spans="1:14" x14ac:dyDescent="0.25">
      <c r="A2191" s="2"/>
      <c r="B2191" s="11"/>
      <c r="C2191" s="26"/>
      <c r="L2191" s="65"/>
      <c r="M2191" s="71"/>
      <c r="N2191" s="65"/>
    </row>
    <row r="2192" spans="1:14" x14ac:dyDescent="0.25">
      <c r="A2192" s="2"/>
      <c r="B2192" s="11"/>
      <c r="C2192" s="26"/>
      <c r="L2192" s="65"/>
      <c r="M2192" s="71"/>
      <c r="N2192" s="65"/>
    </row>
    <row r="2193" spans="1:14" x14ac:dyDescent="0.25">
      <c r="A2193" s="2"/>
      <c r="B2193" s="11"/>
      <c r="C2193" s="26"/>
      <c r="L2193" s="65"/>
      <c r="M2193" s="71"/>
      <c r="N2193" s="65"/>
    </row>
    <row r="2194" spans="1:14" x14ac:dyDescent="0.25">
      <c r="A2194" s="2"/>
      <c r="B2194" s="11"/>
      <c r="C2194" s="26"/>
      <c r="L2194" s="65"/>
      <c r="M2194" s="71"/>
      <c r="N2194" s="65"/>
    </row>
    <row r="2195" spans="1:14" x14ac:dyDescent="0.25">
      <c r="A2195" s="2"/>
      <c r="B2195" s="11"/>
      <c r="C2195" s="26"/>
      <c r="L2195" s="65"/>
      <c r="M2195" s="71"/>
      <c r="N2195" s="65"/>
    </row>
    <row r="2196" spans="1:14" x14ac:dyDescent="0.25">
      <c r="A2196" s="2"/>
      <c r="B2196" s="11"/>
      <c r="C2196" s="26"/>
      <c r="L2196" s="65"/>
      <c r="M2196" s="71"/>
      <c r="N2196" s="65"/>
    </row>
    <row r="2197" spans="1:14" x14ac:dyDescent="0.25">
      <c r="A2197" s="2"/>
      <c r="B2197" s="11"/>
      <c r="C2197" s="26"/>
      <c r="L2197" s="65"/>
      <c r="M2197" s="71"/>
      <c r="N2197" s="65"/>
    </row>
    <row r="2198" spans="1:14" x14ac:dyDescent="0.25">
      <c r="A2198" s="2"/>
      <c r="B2198" s="11"/>
      <c r="C2198" s="26"/>
      <c r="L2198" s="65"/>
      <c r="M2198" s="71"/>
      <c r="N2198" s="65"/>
    </row>
    <row r="2199" spans="1:14" x14ac:dyDescent="0.25">
      <c r="A2199" s="2"/>
      <c r="B2199" s="11"/>
      <c r="C2199" s="26"/>
      <c r="L2199" s="65"/>
      <c r="M2199" s="71"/>
      <c r="N2199" s="65"/>
    </row>
    <row r="2200" spans="1:14" x14ac:dyDescent="0.25">
      <c r="A2200" s="2"/>
      <c r="B2200" s="11"/>
      <c r="C2200" s="26"/>
      <c r="L2200" s="65"/>
      <c r="M2200" s="71"/>
      <c r="N2200" s="65"/>
    </row>
    <row r="2201" spans="1:14" x14ac:dyDescent="0.25">
      <c r="A2201" s="2"/>
      <c r="B2201" s="11"/>
      <c r="C2201" s="26"/>
      <c r="L2201" s="65"/>
      <c r="M2201" s="71"/>
      <c r="N2201" s="65"/>
    </row>
    <row r="2202" spans="1:14" x14ac:dyDescent="0.25">
      <c r="A2202" s="2"/>
      <c r="B2202" s="11"/>
      <c r="C2202" s="26"/>
      <c r="L2202" s="65"/>
      <c r="M2202" s="71"/>
      <c r="N2202" s="65"/>
    </row>
    <row r="2203" spans="1:14" x14ac:dyDescent="0.25">
      <c r="A2203" s="2"/>
      <c r="B2203" s="11"/>
      <c r="C2203" s="26"/>
      <c r="L2203" s="65"/>
      <c r="M2203" s="71"/>
      <c r="N2203" s="65"/>
    </row>
    <row r="2204" spans="1:14" x14ac:dyDescent="0.25">
      <c r="A2204" s="2"/>
      <c r="B2204" s="11"/>
      <c r="C2204" s="26"/>
      <c r="L2204" s="65"/>
      <c r="M2204" s="71"/>
      <c r="N2204" s="65"/>
    </row>
    <row r="2205" spans="1:14" x14ac:dyDescent="0.25">
      <c r="A2205" s="2"/>
      <c r="B2205" s="11"/>
      <c r="C2205" s="26"/>
      <c r="L2205" s="65"/>
      <c r="M2205" s="71"/>
      <c r="N2205" s="65"/>
    </row>
    <row r="2206" spans="1:14" x14ac:dyDescent="0.25">
      <c r="A2206" s="2"/>
      <c r="B2206" s="11"/>
      <c r="C2206" s="26"/>
      <c r="L2206" s="65"/>
      <c r="M2206" s="71"/>
      <c r="N2206" s="65"/>
    </row>
    <row r="2207" spans="1:14" x14ac:dyDescent="0.25">
      <c r="A2207" s="2"/>
      <c r="B2207" s="11"/>
      <c r="C2207" s="26"/>
      <c r="L2207" s="65"/>
      <c r="M2207" s="71"/>
      <c r="N2207" s="65"/>
    </row>
    <row r="2208" spans="1:14" x14ac:dyDescent="0.25">
      <c r="A2208" s="2"/>
      <c r="B2208" s="11"/>
      <c r="C2208" s="26"/>
      <c r="L2208" s="65"/>
      <c r="M2208" s="71"/>
      <c r="N2208" s="65"/>
    </row>
    <row r="2209" spans="1:14" x14ac:dyDescent="0.25">
      <c r="A2209" s="2"/>
      <c r="B2209" s="11"/>
      <c r="C2209" s="26"/>
      <c r="L2209" s="65"/>
      <c r="M2209" s="71"/>
      <c r="N2209" s="65"/>
    </row>
    <row r="2210" spans="1:14" x14ac:dyDescent="0.25">
      <c r="A2210" s="2"/>
      <c r="B2210" s="11"/>
      <c r="C2210" s="26"/>
      <c r="L2210" s="65"/>
      <c r="M2210" s="71"/>
      <c r="N2210" s="65"/>
    </row>
    <row r="2211" spans="1:14" x14ac:dyDescent="0.25">
      <c r="A2211" s="2"/>
      <c r="B2211" s="11"/>
      <c r="C2211" s="26"/>
      <c r="L2211" s="65"/>
      <c r="M2211" s="71"/>
      <c r="N2211" s="65"/>
    </row>
    <row r="2212" spans="1:14" x14ac:dyDescent="0.25">
      <c r="A2212" s="2"/>
      <c r="B2212" s="11"/>
      <c r="C2212" s="26"/>
      <c r="L2212" s="65"/>
      <c r="M2212" s="71"/>
      <c r="N2212" s="65"/>
    </row>
    <row r="2213" spans="1:14" x14ac:dyDescent="0.25">
      <c r="A2213" s="2"/>
      <c r="B2213" s="11"/>
      <c r="C2213" s="26"/>
      <c r="L2213" s="65"/>
      <c r="M2213" s="71"/>
      <c r="N2213" s="65"/>
    </row>
    <row r="2214" spans="1:14" x14ac:dyDescent="0.25">
      <c r="A2214" s="2"/>
      <c r="B2214" s="11"/>
      <c r="C2214" s="26"/>
      <c r="L2214" s="65"/>
      <c r="M2214" s="71"/>
      <c r="N2214" s="65"/>
    </row>
    <row r="2215" spans="1:14" x14ac:dyDescent="0.25">
      <c r="A2215" s="2"/>
      <c r="B2215" s="11"/>
      <c r="C2215" s="26"/>
      <c r="L2215" s="65"/>
      <c r="M2215" s="71"/>
      <c r="N2215" s="65"/>
    </row>
    <row r="2216" spans="1:14" x14ac:dyDescent="0.25">
      <c r="A2216" s="2"/>
      <c r="B2216" s="11"/>
      <c r="C2216" s="26"/>
      <c r="L2216" s="65"/>
      <c r="M2216" s="71"/>
      <c r="N2216" s="65"/>
    </row>
    <row r="2217" spans="1:14" x14ac:dyDescent="0.25">
      <c r="A2217" s="2"/>
      <c r="B2217" s="11"/>
      <c r="C2217" s="26"/>
      <c r="L2217" s="65"/>
      <c r="M2217" s="71"/>
      <c r="N2217" s="65"/>
    </row>
    <row r="2218" spans="1:14" x14ac:dyDescent="0.25">
      <c r="A2218" s="2"/>
      <c r="B2218" s="11"/>
      <c r="C2218" s="26"/>
      <c r="L2218" s="65"/>
      <c r="M2218" s="71"/>
      <c r="N2218" s="65"/>
    </row>
    <row r="2219" spans="1:14" x14ac:dyDescent="0.25">
      <c r="A2219" s="2"/>
      <c r="B2219" s="11"/>
      <c r="C2219" s="26"/>
      <c r="L2219" s="65"/>
      <c r="M2219" s="71"/>
      <c r="N2219" s="65"/>
    </row>
    <row r="2220" spans="1:14" x14ac:dyDescent="0.25">
      <c r="A2220" s="2"/>
      <c r="B2220" s="11"/>
      <c r="C2220" s="26"/>
      <c r="L2220" s="65"/>
      <c r="M2220" s="71"/>
      <c r="N2220" s="65"/>
    </row>
    <row r="2221" spans="1:14" x14ac:dyDescent="0.25">
      <c r="A2221" s="2"/>
      <c r="B2221" s="11"/>
      <c r="C2221" s="26"/>
      <c r="L2221" s="65"/>
      <c r="M2221" s="71"/>
      <c r="N2221" s="65"/>
    </row>
    <row r="2222" spans="1:14" x14ac:dyDescent="0.25">
      <c r="A2222" s="2"/>
      <c r="B2222" s="11"/>
      <c r="C2222" s="26"/>
      <c r="L2222" s="65"/>
      <c r="M2222" s="71"/>
      <c r="N2222" s="65"/>
    </row>
    <row r="2223" spans="1:14" x14ac:dyDescent="0.25">
      <c r="A2223" s="2"/>
      <c r="B2223" s="11"/>
      <c r="C2223" s="26"/>
      <c r="L2223" s="65"/>
      <c r="M2223" s="71"/>
      <c r="N2223" s="65"/>
    </row>
    <row r="2224" spans="1:14" x14ac:dyDescent="0.25">
      <c r="A2224" s="2"/>
      <c r="B2224" s="11"/>
      <c r="C2224" s="26"/>
      <c r="L2224" s="65"/>
      <c r="M2224" s="71"/>
      <c r="N2224" s="65"/>
    </row>
    <row r="2225" spans="1:14" x14ac:dyDescent="0.25">
      <c r="A2225" s="2"/>
      <c r="B2225" s="11"/>
      <c r="C2225" s="26"/>
      <c r="L2225" s="65"/>
      <c r="M2225" s="71"/>
      <c r="N2225" s="65"/>
    </row>
    <row r="2226" spans="1:14" x14ac:dyDescent="0.25">
      <c r="A2226" s="2"/>
      <c r="B2226" s="11"/>
      <c r="C2226" s="26"/>
      <c r="L2226" s="65"/>
      <c r="M2226" s="71"/>
      <c r="N2226" s="65"/>
    </row>
    <row r="2227" spans="1:14" x14ac:dyDescent="0.25">
      <c r="A2227" s="2"/>
      <c r="B2227" s="11"/>
      <c r="C2227" s="26"/>
      <c r="L2227" s="65"/>
      <c r="M2227" s="71"/>
      <c r="N2227" s="65"/>
    </row>
    <row r="2228" spans="1:14" x14ac:dyDescent="0.25">
      <c r="A2228" s="2"/>
      <c r="B2228" s="11"/>
      <c r="C2228" s="26"/>
      <c r="L2228" s="65"/>
      <c r="M2228" s="71"/>
      <c r="N2228" s="65"/>
    </row>
    <row r="2229" spans="1:14" x14ac:dyDescent="0.25">
      <c r="A2229" s="2"/>
      <c r="B2229" s="11"/>
      <c r="C2229" s="26"/>
      <c r="L2229" s="65"/>
      <c r="M2229" s="71"/>
      <c r="N2229" s="65"/>
    </row>
    <row r="2230" spans="1:14" x14ac:dyDescent="0.25">
      <c r="A2230" s="2"/>
      <c r="B2230" s="11"/>
      <c r="C2230" s="26"/>
      <c r="L2230" s="65"/>
      <c r="M2230" s="71"/>
      <c r="N2230" s="65"/>
    </row>
    <row r="2231" spans="1:14" x14ac:dyDescent="0.25">
      <c r="A2231" s="2"/>
      <c r="B2231" s="11"/>
      <c r="C2231" s="26"/>
      <c r="L2231" s="65"/>
      <c r="M2231" s="71"/>
      <c r="N2231" s="65"/>
    </row>
    <row r="2232" spans="1:14" x14ac:dyDescent="0.25">
      <c r="A2232" s="2"/>
      <c r="B2232" s="11"/>
      <c r="C2232" s="26"/>
      <c r="L2232" s="65"/>
      <c r="M2232" s="71"/>
      <c r="N2232" s="65"/>
    </row>
    <row r="2233" spans="1:14" x14ac:dyDescent="0.25">
      <c r="A2233" s="2"/>
      <c r="B2233" s="11"/>
      <c r="C2233" s="26"/>
      <c r="L2233" s="65"/>
      <c r="M2233" s="71"/>
      <c r="N2233" s="65"/>
    </row>
    <row r="2234" spans="1:14" x14ac:dyDescent="0.25">
      <c r="A2234" s="2"/>
      <c r="B2234" s="11"/>
      <c r="C2234" s="26"/>
      <c r="L2234" s="65"/>
      <c r="M2234" s="71"/>
      <c r="N2234" s="65"/>
    </row>
    <row r="2235" spans="1:14" x14ac:dyDescent="0.25">
      <c r="A2235" s="2"/>
      <c r="B2235" s="11"/>
      <c r="C2235" s="26"/>
      <c r="L2235" s="65"/>
      <c r="M2235" s="71"/>
      <c r="N2235" s="65"/>
    </row>
    <row r="2236" spans="1:14" x14ac:dyDescent="0.25">
      <c r="A2236" s="2"/>
      <c r="B2236" s="11"/>
      <c r="C2236" s="26"/>
      <c r="L2236" s="65"/>
      <c r="M2236" s="71"/>
      <c r="N2236" s="65"/>
    </row>
    <row r="2237" spans="1:14" x14ac:dyDescent="0.25">
      <c r="A2237" s="2"/>
      <c r="B2237" s="11"/>
      <c r="C2237" s="26"/>
      <c r="L2237" s="65"/>
      <c r="M2237" s="71"/>
      <c r="N2237" s="65"/>
    </row>
    <row r="2238" spans="1:14" x14ac:dyDescent="0.25">
      <c r="A2238" s="2"/>
      <c r="B2238" s="11"/>
      <c r="C2238" s="26"/>
      <c r="L2238" s="65"/>
      <c r="M2238" s="71"/>
      <c r="N2238" s="65"/>
    </row>
    <row r="2239" spans="1:14" x14ac:dyDescent="0.25">
      <c r="A2239" s="2"/>
      <c r="B2239" s="11"/>
      <c r="C2239" s="26"/>
      <c r="L2239" s="65"/>
      <c r="M2239" s="71"/>
      <c r="N2239" s="65"/>
    </row>
    <row r="2240" spans="1:14" x14ac:dyDescent="0.25">
      <c r="A2240" s="2"/>
      <c r="B2240" s="11"/>
      <c r="C2240" s="26"/>
      <c r="L2240" s="65"/>
      <c r="M2240" s="71"/>
      <c r="N2240" s="65"/>
    </row>
    <row r="2241" spans="1:14" x14ac:dyDescent="0.25">
      <c r="A2241" s="2"/>
      <c r="B2241" s="11"/>
      <c r="C2241" s="26"/>
      <c r="L2241" s="65"/>
      <c r="M2241" s="71"/>
      <c r="N2241" s="65"/>
    </row>
    <row r="2242" spans="1:14" x14ac:dyDescent="0.25">
      <c r="A2242" s="2"/>
      <c r="B2242" s="11"/>
      <c r="C2242" s="26"/>
      <c r="L2242" s="65"/>
      <c r="M2242" s="71"/>
      <c r="N2242" s="65"/>
    </row>
    <row r="2243" spans="1:14" x14ac:dyDescent="0.25">
      <c r="A2243" s="2"/>
      <c r="B2243" s="11"/>
      <c r="C2243" s="26"/>
      <c r="L2243" s="65"/>
      <c r="M2243" s="71"/>
      <c r="N2243" s="65"/>
    </row>
    <row r="2244" spans="1:14" x14ac:dyDescent="0.25">
      <c r="A2244" s="2"/>
      <c r="B2244" s="11"/>
      <c r="C2244" s="26"/>
      <c r="L2244" s="65"/>
      <c r="M2244" s="71"/>
      <c r="N2244" s="65"/>
    </row>
    <row r="2245" spans="1:14" x14ac:dyDescent="0.25">
      <c r="A2245" s="2"/>
      <c r="B2245" s="11"/>
      <c r="C2245" s="26"/>
      <c r="L2245" s="65"/>
      <c r="M2245" s="71"/>
      <c r="N2245" s="65"/>
    </row>
    <row r="2246" spans="1:14" x14ac:dyDescent="0.25">
      <c r="A2246" s="2"/>
      <c r="B2246" s="11"/>
      <c r="C2246" s="26"/>
      <c r="L2246" s="65"/>
      <c r="M2246" s="71"/>
      <c r="N2246" s="65"/>
    </row>
    <row r="2247" spans="1:14" x14ac:dyDescent="0.25">
      <c r="A2247" s="2"/>
      <c r="B2247" s="11"/>
      <c r="C2247" s="26"/>
      <c r="L2247" s="65"/>
      <c r="M2247" s="71"/>
      <c r="N2247" s="65"/>
    </row>
    <row r="2248" spans="1:14" x14ac:dyDescent="0.25">
      <c r="A2248" s="2"/>
      <c r="B2248" s="11"/>
      <c r="C2248" s="26"/>
      <c r="L2248" s="65"/>
      <c r="M2248" s="71"/>
      <c r="N2248" s="65"/>
    </row>
    <row r="2249" spans="1:14" x14ac:dyDescent="0.25">
      <c r="A2249" s="2"/>
      <c r="B2249" s="11"/>
      <c r="C2249" s="26"/>
      <c r="L2249" s="65"/>
      <c r="M2249" s="71"/>
      <c r="N2249" s="65"/>
    </row>
    <row r="2250" spans="1:14" x14ac:dyDescent="0.25">
      <c r="A2250" s="2"/>
      <c r="B2250" s="11"/>
      <c r="C2250" s="26"/>
      <c r="L2250" s="65"/>
      <c r="M2250" s="71"/>
      <c r="N2250" s="65"/>
    </row>
    <row r="2251" spans="1:14" x14ac:dyDescent="0.25">
      <c r="A2251" s="2"/>
      <c r="B2251" s="11"/>
      <c r="C2251" s="26"/>
      <c r="L2251" s="65"/>
      <c r="M2251" s="71"/>
      <c r="N2251" s="65"/>
    </row>
    <row r="2252" spans="1:14" x14ac:dyDescent="0.25">
      <c r="A2252" s="2"/>
      <c r="B2252" s="11"/>
      <c r="C2252" s="26"/>
      <c r="L2252" s="65"/>
      <c r="M2252" s="71"/>
      <c r="N2252" s="65"/>
    </row>
    <row r="2253" spans="1:14" x14ac:dyDescent="0.25">
      <c r="A2253" s="2"/>
      <c r="B2253" s="11"/>
      <c r="C2253" s="26"/>
      <c r="L2253" s="65"/>
      <c r="M2253" s="71"/>
      <c r="N2253" s="65"/>
    </row>
    <row r="2254" spans="1:14" x14ac:dyDescent="0.25">
      <c r="A2254" s="2"/>
      <c r="B2254" s="11"/>
      <c r="C2254" s="26"/>
      <c r="L2254" s="65"/>
      <c r="M2254" s="71"/>
      <c r="N2254" s="65"/>
    </row>
    <row r="2255" spans="1:14" x14ac:dyDescent="0.25">
      <c r="A2255" s="2"/>
      <c r="B2255" s="11"/>
      <c r="C2255" s="26"/>
      <c r="L2255" s="65"/>
      <c r="M2255" s="71"/>
      <c r="N2255" s="65"/>
    </row>
    <row r="2256" spans="1:14" x14ac:dyDescent="0.25">
      <c r="A2256" s="2"/>
      <c r="B2256" s="11"/>
      <c r="C2256" s="26"/>
      <c r="L2256" s="65"/>
      <c r="M2256" s="71"/>
      <c r="N2256" s="65"/>
    </row>
    <row r="2257" spans="1:14" x14ac:dyDescent="0.25">
      <c r="A2257" s="2"/>
      <c r="B2257" s="11"/>
      <c r="C2257" s="26"/>
      <c r="L2257" s="65"/>
      <c r="M2257" s="71"/>
      <c r="N2257" s="65"/>
    </row>
    <row r="2258" spans="1:14" x14ac:dyDescent="0.25">
      <c r="A2258" s="2"/>
      <c r="B2258" s="11"/>
      <c r="C2258" s="26"/>
      <c r="L2258" s="65"/>
      <c r="M2258" s="71"/>
      <c r="N2258" s="65"/>
    </row>
    <row r="2259" spans="1:14" x14ac:dyDescent="0.25">
      <c r="A2259" s="2"/>
      <c r="B2259" s="11"/>
      <c r="C2259" s="26"/>
      <c r="L2259" s="65"/>
      <c r="M2259" s="71"/>
      <c r="N2259" s="65"/>
    </row>
    <row r="2260" spans="1:14" x14ac:dyDescent="0.25">
      <c r="A2260" s="2"/>
      <c r="B2260" s="11"/>
      <c r="C2260" s="26"/>
      <c r="L2260" s="65"/>
      <c r="M2260" s="71"/>
      <c r="N2260" s="65"/>
    </row>
    <row r="2261" spans="1:14" x14ac:dyDescent="0.25">
      <c r="A2261" s="2"/>
      <c r="B2261" s="11"/>
      <c r="C2261" s="26"/>
      <c r="L2261" s="65"/>
      <c r="M2261" s="71"/>
      <c r="N2261" s="65"/>
    </row>
    <row r="2262" spans="1:14" x14ac:dyDescent="0.25">
      <c r="A2262" s="2"/>
      <c r="B2262" s="11"/>
      <c r="C2262" s="26"/>
      <c r="L2262" s="65"/>
      <c r="M2262" s="71"/>
      <c r="N2262" s="65"/>
    </row>
    <row r="2263" spans="1:14" x14ac:dyDescent="0.25">
      <c r="A2263" s="2"/>
      <c r="B2263" s="11"/>
      <c r="C2263" s="26"/>
      <c r="L2263" s="65"/>
      <c r="M2263" s="71"/>
      <c r="N2263" s="65"/>
    </row>
    <row r="2264" spans="1:14" x14ac:dyDescent="0.25">
      <c r="A2264" s="2"/>
      <c r="B2264" s="11"/>
      <c r="C2264" s="26"/>
      <c r="L2264" s="65"/>
      <c r="M2264" s="71"/>
      <c r="N2264" s="65"/>
    </row>
    <row r="2265" spans="1:14" x14ac:dyDescent="0.25">
      <c r="A2265" s="2"/>
      <c r="B2265" s="11"/>
      <c r="C2265" s="26"/>
      <c r="L2265" s="65"/>
      <c r="M2265" s="71"/>
      <c r="N2265" s="65"/>
    </row>
    <row r="2266" spans="1:14" x14ac:dyDescent="0.25">
      <c r="A2266" s="2"/>
      <c r="B2266" s="11"/>
      <c r="C2266" s="26"/>
      <c r="L2266" s="65"/>
      <c r="M2266" s="71"/>
      <c r="N2266" s="65"/>
    </row>
    <row r="2267" spans="1:14" x14ac:dyDescent="0.25">
      <c r="A2267" s="2"/>
      <c r="B2267" s="11"/>
      <c r="C2267" s="26"/>
      <c r="L2267" s="65"/>
      <c r="M2267" s="71"/>
      <c r="N2267" s="65"/>
    </row>
    <row r="2268" spans="1:14" x14ac:dyDescent="0.25">
      <c r="A2268" s="2"/>
      <c r="B2268" s="11"/>
      <c r="C2268" s="26"/>
      <c r="L2268" s="65"/>
      <c r="M2268" s="71"/>
      <c r="N2268" s="65"/>
    </row>
    <row r="2269" spans="1:14" x14ac:dyDescent="0.25">
      <c r="A2269" s="2"/>
      <c r="B2269" s="11"/>
      <c r="C2269" s="26"/>
      <c r="L2269" s="65"/>
      <c r="M2269" s="71"/>
      <c r="N2269" s="65"/>
    </row>
    <row r="2270" spans="1:14" x14ac:dyDescent="0.25">
      <c r="A2270" s="2"/>
      <c r="B2270" s="11"/>
      <c r="C2270" s="26"/>
      <c r="L2270" s="65"/>
      <c r="M2270" s="71"/>
      <c r="N2270" s="65"/>
    </row>
    <row r="2271" spans="1:14" x14ac:dyDescent="0.25">
      <c r="A2271" s="2"/>
      <c r="B2271" s="11"/>
      <c r="C2271" s="26"/>
      <c r="L2271" s="65"/>
      <c r="M2271" s="71"/>
      <c r="N2271" s="65"/>
    </row>
    <row r="2272" spans="1:14" x14ac:dyDescent="0.25">
      <c r="A2272" s="2"/>
      <c r="B2272" s="11"/>
      <c r="C2272" s="26"/>
      <c r="L2272" s="65"/>
      <c r="M2272" s="71"/>
      <c r="N2272" s="65"/>
    </row>
    <row r="2273" spans="1:14" x14ac:dyDescent="0.25">
      <c r="A2273" s="2"/>
      <c r="B2273" s="11"/>
      <c r="C2273" s="26"/>
      <c r="L2273" s="65"/>
      <c r="M2273" s="71"/>
      <c r="N2273" s="65"/>
    </row>
    <row r="2274" spans="1:14" x14ac:dyDescent="0.25">
      <c r="A2274" s="2"/>
      <c r="B2274" s="11"/>
      <c r="C2274" s="26"/>
      <c r="L2274" s="65"/>
      <c r="M2274" s="71"/>
      <c r="N2274" s="65"/>
    </row>
    <row r="2275" spans="1:14" x14ac:dyDescent="0.25">
      <c r="A2275" s="2"/>
      <c r="B2275" s="11"/>
      <c r="C2275" s="26"/>
      <c r="L2275" s="65"/>
      <c r="M2275" s="71"/>
      <c r="N2275" s="65"/>
    </row>
    <row r="2276" spans="1:14" x14ac:dyDescent="0.25">
      <c r="A2276" s="2"/>
      <c r="B2276" s="11"/>
      <c r="C2276" s="26"/>
      <c r="L2276" s="65"/>
      <c r="M2276" s="71"/>
      <c r="N2276" s="65"/>
    </row>
    <row r="2277" spans="1:14" x14ac:dyDescent="0.25">
      <c r="A2277" s="2"/>
      <c r="B2277" s="11"/>
      <c r="C2277" s="26"/>
      <c r="L2277" s="65"/>
      <c r="M2277" s="71"/>
      <c r="N2277" s="65"/>
    </row>
    <row r="2278" spans="1:14" x14ac:dyDescent="0.25">
      <c r="A2278" s="2"/>
      <c r="B2278" s="11"/>
      <c r="C2278" s="26"/>
      <c r="L2278" s="65"/>
      <c r="M2278" s="71"/>
      <c r="N2278" s="65"/>
    </row>
    <row r="2279" spans="1:14" x14ac:dyDescent="0.25">
      <c r="A2279" s="2"/>
      <c r="B2279" s="11"/>
      <c r="C2279" s="26"/>
      <c r="L2279" s="65"/>
      <c r="M2279" s="71"/>
      <c r="N2279" s="65"/>
    </row>
    <row r="2280" spans="1:14" x14ac:dyDescent="0.25">
      <c r="A2280" s="2"/>
      <c r="B2280" s="11"/>
      <c r="C2280" s="26"/>
      <c r="L2280" s="65"/>
      <c r="M2280" s="71"/>
      <c r="N2280" s="65"/>
    </row>
    <row r="2281" spans="1:14" x14ac:dyDescent="0.25">
      <c r="A2281" s="2"/>
      <c r="B2281" s="11"/>
      <c r="C2281" s="26"/>
      <c r="L2281" s="65"/>
      <c r="M2281" s="71"/>
      <c r="N2281" s="65"/>
    </row>
    <row r="2282" spans="1:14" x14ac:dyDescent="0.25">
      <c r="A2282" s="2"/>
      <c r="B2282" s="11"/>
      <c r="C2282" s="26"/>
      <c r="L2282" s="65"/>
      <c r="M2282" s="71"/>
      <c r="N2282" s="65"/>
    </row>
    <row r="2283" spans="1:14" x14ac:dyDescent="0.25">
      <c r="A2283" s="2"/>
      <c r="B2283" s="11"/>
      <c r="C2283" s="26"/>
      <c r="L2283" s="65"/>
      <c r="M2283" s="71"/>
      <c r="N2283" s="65"/>
    </row>
    <row r="2284" spans="1:14" x14ac:dyDescent="0.25">
      <c r="A2284" s="2"/>
      <c r="B2284" s="11"/>
      <c r="C2284" s="26"/>
      <c r="L2284" s="65"/>
      <c r="M2284" s="71"/>
      <c r="N2284" s="65"/>
    </row>
    <row r="2285" spans="1:14" x14ac:dyDescent="0.25">
      <c r="A2285" s="2"/>
      <c r="B2285" s="11"/>
      <c r="C2285" s="26"/>
      <c r="L2285" s="65"/>
      <c r="M2285" s="71"/>
      <c r="N2285" s="65"/>
    </row>
    <row r="2286" spans="1:14" x14ac:dyDescent="0.25">
      <c r="A2286" s="2"/>
      <c r="B2286" s="11"/>
      <c r="C2286" s="26"/>
      <c r="L2286" s="65"/>
      <c r="M2286" s="71"/>
      <c r="N2286" s="65"/>
    </row>
    <row r="2287" spans="1:14" x14ac:dyDescent="0.25">
      <c r="A2287" s="2"/>
      <c r="B2287" s="11"/>
      <c r="C2287" s="26"/>
      <c r="L2287" s="65"/>
      <c r="M2287" s="71"/>
      <c r="N2287" s="65"/>
    </row>
    <row r="2288" spans="1:14" x14ac:dyDescent="0.25">
      <c r="A2288" s="2"/>
      <c r="B2288" s="11"/>
      <c r="C2288" s="26"/>
      <c r="L2288" s="65"/>
      <c r="M2288" s="71"/>
      <c r="N2288" s="65"/>
    </row>
    <row r="2289" spans="1:14" x14ac:dyDescent="0.25">
      <c r="A2289" s="2"/>
      <c r="B2289" s="11"/>
      <c r="C2289" s="26"/>
      <c r="L2289" s="65"/>
      <c r="M2289" s="71"/>
      <c r="N2289" s="65"/>
    </row>
    <row r="2290" spans="1:14" x14ac:dyDescent="0.25">
      <c r="A2290" s="2"/>
      <c r="B2290" s="11"/>
      <c r="C2290" s="26"/>
      <c r="L2290" s="65"/>
      <c r="M2290" s="71"/>
      <c r="N2290" s="65"/>
    </row>
    <row r="2291" spans="1:14" x14ac:dyDescent="0.25">
      <c r="A2291" s="2"/>
      <c r="B2291" s="11"/>
      <c r="C2291" s="26"/>
      <c r="L2291" s="65"/>
      <c r="M2291" s="71"/>
      <c r="N2291" s="65"/>
    </row>
    <row r="2292" spans="1:14" x14ac:dyDescent="0.25">
      <c r="A2292" s="2"/>
      <c r="B2292" s="11"/>
      <c r="C2292" s="26"/>
      <c r="L2292" s="65"/>
      <c r="M2292" s="71"/>
      <c r="N2292" s="65"/>
    </row>
    <row r="2293" spans="1:14" x14ac:dyDescent="0.25">
      <c r="A2293" s="2"/>
      <c r="B2293" s="11"/>
      <c r="C2293" s="26"/>
      <c r="L2293" s="65"/>
      <c r="M2293" s="71"/>
      <c r="N2293" s="65"/>
    </row>
    <row r="2294" spans="1:14" x14ac:dyDescent="0.25">
      <c r="A2294" s="2"/>
      <c r="B2294" s="11"/>
      <c r="C2294" s="26"/>
      <c r="L2294" s="65"/>
      <c r="M2294" s="71"/>
      <c r="N2294" s="65"/>
    </row>
    <row r="2295" spans="1:14" x14ac:dyDescent="0.25">
      <c r="A2295" s="2"/>
      <c r="B2295" s="11"/>
      <c r="C2295" s="26"/>
      <c r="L2295" s="65"/>
      <c r="M2295" s="71"/>
      <c r="N2295" s="65"/>
    </row>
    <row r="2296" spans="1:14" x14ac:dyDescent="0.25">
      <c r="A2296" s="2"/>
      <c r="B2296" s="11"/>
      <c r="C2296" s="26"/>
      <c r="L2296" s="65"/>
      <c r="M2296" s="71"/>
      <c r="N2296" s="65"/>
    </row>
    <row r="2297" spans="1:14" x14ac:dyDescent="0.25">
      <c r="A2297" s="2"/>
      <c r="B2297" s="11"/>
      <c r="C2297" s="26"/>
      <c r="L2297" s="65"/>
      <c r="M2297" s="71"/>
      <c r="N2297" s="65"/>
    </row>
    <row r="2298" spans="1:14" x14ac:dyDescent="0.25">
      <c r="A2298" s="2"/>
      <c r="B2298" s="11"/>
      <c r="C2298" s="26"/>
      <c r="L2298" s="65"/>
      <c r="M2298" s="71"/>
      <c r="N2298" s="65"/>
    </row>
    <row r="2299" spans="1:14" x14ac:dyDescent="0.25">
      <c r="A2299" s="2"/>
      <c r="B2299" s="11"/>
      <c r="C2299" s="26"/>
      <c r="L2299" s="65"/>
      <c r="M2299" s="71"/>
      <c r="N2299" s="65"/>
    </row>
    <row r="2300" spans="1:14" x14ac:dyDescent="0.25">
      <c r="A2300" s="2"/>
      <c r="B2300" s="11"/>
      <c r="C2300" s="26"/>
      <c r="L2300" s="65"/>
      <c r="M2300" s="71"/>
      <c r="N2300" s="65"/>
    </row>
    <row r="2301" spans="1:14" x14ac:dyDescent="0.25">
      <c r="A2301" s="2"/>
      <c r="B2301" s="11"/>
      <c r="C2301" s="26"/>
      <c r="L2301" s="65"/>
      <c r="M2301" s="71"/>
      <c r="N2301" s="65"/>
    </row>
    <row r="2302" spans="1:14" x14ac:dyDescent="0.25">
      <c r="A2302" s="2"/>
      <c r="B2302" s="11"/>
      <c r="C2302" s="26"/>
      <c r="L2302" s="65"/>
      <c r="M2302" s="71"/>
      <c r="N2302" s="65"/>
    </row>
    <row r="2303" spans="1:14" x14ac:dyDescent="0.25">
      <c r="A2303" s="2"/>
      <c r="B2303" s="11"/>
      <c r="C2303" s="26"/>
      <c r="L2303" s="65"/>
      <c r="M2303" s="71"/>
      <c r="N2303" s="65"/>
    </row>
    <row r="2304" spans="1:14" x14ac:dyDescent="0.25">
      <c r="A2304" s="2"/>
      <c r="B2304" s="11"/>
      <c r="C2304" s="26"/>
      <c r="L2304" s="65"/>
      <c r="M2304" s="71"/>
      <c r="N2304" s="65"/>
    </row>
    <row r="2305" spans="1:14" x14ac:dyDescent="0.25">
      <c r="A2305" s="2"/>
      <c r="B2305" s="11"/>
      <c r="C2305" s="26"/>
      <c r="L2305" s="65"/>
      <c r="M2305" s="71"/>
      <c r="N2305" s="65"/>
    </row>
    <row r="2306" spans="1:14" x14ac:dyDescent="0.25">
      <c r="A2306" s="2"/>
      <c r="B2306" s="11"/>
      <c r="C2306" s="26"/>
      <c r="L2306" s="65"/>
      <c r="M2306" s="71"/>
      <c r="N2306" s="65"/>
    </row>
    <row r="2307" spans="1:14" x14ac:dyDescent="0.25">
      <c r="A2307" s="2"/>
      <c r="B2307" s="11"/>
      <c r="C2307" s="26"/>
      <c r="L2307" s="65"/>
      <c r="M2307" s="71"/>
      <c r="N2307" s="65"/>
    </row>
    <row r="2308" spans="1:14" x14ac:dyDescent="0.25">
      <c r="A2308" s="2"/>
      <c r="B2308" s="11"/>
      <c r="C2308" s="26"/>
      <c r="L2308" s="65"/>
      <c r="M2308" s="71"/>
      <c r="N2308" s="65"/>
    </row>
    <row r="2309" spans="1:14" x14ac:dyDescent="0.25">
      <c r="A2309" s="2"/>
      <c r="B2309" s="11"/>
      <c r="C2309" s="26"/>
      <c r="L2309" s="65"/>
      <c r="M2309" s="71"/>
      <c r="N2309" s="65"/>
    </row>
    <row r="2310" spans="1:14" x14ac:dyDescent="0.25">
      <c r="A2310" s="2"/>
      <c r="B2310" s="11"/>
      <c r="C2310" s="26"/>
      <c r="L2310" s="65"/>
      <c r="M2310" s="71"/>
      <c r="N2310" s="65"/>
    </row>
    <row r="2311" spans="1:14" x14ac:dyDescent="0.25">
      <c r="A2311" s="2"/>
      <c r="B2311" s="11"/>
      <c r="C2311" s="26"/>
      <c r="L2311" s="65"/>
      <c r="M2311" s="71"/>
      <c r="N2311" s="65"/>
    </row>
    <row r="2312" spans="1:14" x14ac:dyDescent="0.25">
      <c r="A2312" s="2"/>
      <c r="B2312" s="11"/>
      <c r="C2312" s="26"/>
      <c r="L2312" s="65"/>
      <c r="M2312" s="71"/>
      <c r="N2312" s="65"/>
    </row>
    <row r="2313" spans="1:14" x14ac:dyDescent="0.25">
      <c r="A2313" s="2"/>
      <c r="B2313" s="11"/>
      <c r="C2313" s="26"/>
      <c r="L2313" s="65"/>
      <c r="M2313" s="71"/>
      <c r="N2313" s="65"/>
    </row>
    <row r="2314" spans="1:14" x14ac:dyDescent="0.25">
      <c r="A2314" s="2"/>
      <c r="B2314" s="11"/>
      <c r="C2314" s="26"/>
      <c r="L2314" s="65"/>
      <c r="M2314" s="71"/>
      <c r="N2314" s="65"/>
    </row>
    <row r="2315" spans="1:14" x14ac:dyDescent="0.25">
      <c r="A2315" s="2"/>
      <c r="B2315" s="11"/>
      <c r="C2315" s="26"/>
      <c r="L2315" s="65"/>
      <c r="M2315" s="71"/>
      <c r="N2315" s="65"/>
    </row>
    <row r="2316" spans="1:14" x14ac:dyDescent="0.25">
      <c r="A2316" s="2"/>
      <c r="B2316" s="11"/>
      <c r="C2316" s="26"/>
      <c r="L2316" s="65"/>
      <c r="M2316" s="71"/>
      <c r="N2316" s="65"/>
    </row>
    <row r="2317" spans="1:14" x14ac:dyDescent="0.25">
      <c r="A2317" s="2"/>
      <c r="B2317" s="11"/>
      <c r="C2317" s="26"/>
      <c r="L2317" s="65"/>
      <c r="M2317" s="71"/>
      <c r="N2317" s="65"/>
    </row>
    <row r="2318" spans="1:14" x14ac:dyDescent="0.25">
      <c r="A2318" s="2"/>
      <c r="B2318" s="11"/>
      <c r="C2318" s="26"/>
      <c r="L2318" s="65"/>
      <c r="M2318" s="71"/>
      <c r="N2318" s="65"/>
    </row>
    <row r="2319" spans="1:14" x14ac:dyDescent="0.25">
      <c r="A2319" s="2"/>
      <c r="B2319" s="11"/>
      <c r="C2319" s="26"/>
      <c r="L2319" s="65"/>
      <c r="M2319" s="71"/>
      <c r="N2319" s="65"/>
    </row>
    <row r="2320" spans="1:14" x14ac:dyDescent="0.25">
      <c r="A2320" s="2"/>
      <c r="B2320" s="11"/>
      <c r="C2320" s="26"/>
      <c r="L2320" s="65"/>
      <c r="M2320" s="71"/>
      <c r="N2320" s="65"/>
    </row>
    <row r="2321" spans="1:14" x14ac:dyDescent="0.25">
      <c r="A2321" s="2"/>
      <c r="B2321" s="11"/>
      <c r="C2321" s="26"/>
      <c r="L2321" s="65"/>
      <c r="M2321" s="71"/>
      <c r="N2321" s="65"/>
    </row>
    <row r="2322" spans="1:14" x14ac:dyDescent="0.25">
      <c r="A2322" s="2"/>
      <c r="B2322" s="11"/>
      <c r="C2322" s="26"/>
      <c r="L2322" s="65"/>
      <c r="M2322" s="71"/>
      <c r="N2322" s="65"/>
    </row>
    <row r="2323" spans="1:14" x14ac:dyDescent="0.25">
      <c r="A2323" s="2"/>
      <c r="B2323" s="11"/>
      <c r="C2323" s="26"/>
      <c r="L2323" s="65"/>
      <c r="M2323" s="71"/>
      <c r="N2323" s="65"/>
    </row>
    <row r="2324" spans="1:14" x14ac:dyDescent="0.25">
      <c r="A2324" s="2"/>
      <c r="B2324" s="11"/>
      <c r="C2324" s="26"/>
      <c r="L2324" s="65"/>
      <c r="M2324" s="71"/>
      <c r="N2324" s="65"/>
    </row>
    <row r="2325" spans="1:14" x14ac:dyDescent="0.25">
      <c r="A2325" s="2"/>
      <c r="B2325" s="11"/>
      <c r="C2325" s="26"/>
      <c r="L2325" s="65"/>
      <c r="M2325" s="71"/>
      <c r="N2325" s="65"/>
    </row>
    <row r="2326" spans="1:14" x14ac:dyDescent="0.25">
      <c r="A2326" s="2"/>
      <c r="B2326" s="11"/>
      <c r="C2326" s="26"/>
      <c r="L2326" s="65"/>
      <c r="M2326" s="71"/>
      <c r="N2326" s="65"/>
    </row>
    <row r="2327" spans="1:14" x14ac:dyDescent="0.25">
      <c r="A2327" s="2"/>
      <c r="B2327" s="11"/>
      <c r="C2327" s="26"/>
      <c r="L2327" s="65"/>
      <c r="M2327" s="71"/>
      <c r="N2327" s="65"/>
    </row>
    <row r="2328" spans="1:14" x14ac:dyDescent="0.25">
      <c r="A2328" s="2"/>
      <c r="B2328" s="11"/>
      <c r="C2328" s="26"/>
      <c r="L2328" s="65"/>
      <c r="M2328" s="71"/>
      <c r="N2328" s="65"/>
    </row>
    <row r="2329" spans="1:14" x14ac:dyDescent="0.25">
      <c r="A2329" s="2"/>
      <c r="B2329" s="11"/>
      <c r="C2329" s="26"/>
      <c r="L2329" s="65"/>
      <c r="M2329" s="71"/>
      <c r="N2329" s="65"/>
    </row>
    <row r="2330" spans="1:14" x14ac:dyDescent="0.25">
      <c r="A2330" s="2"/>
      <c r="B2330" s="11"/>
      <c r="C2330" s="26"/>
      <c r="L2330" s="65"/>
      <c r="M2330" s="71"/>
      <c r="N2330" s="65"/>
    </row>
    <row r="2331" spans="1:14" x14ac:dyDescent="0.25">
      <c r="A2331" s="2"/>
      <c r="B2331" s="11"/>
      <c r="C2331" s="26"/>
      <c r="L2331" s="65"/>
      <c r="M2331" s="71"/>
      <c r="N2331" s="65"/>
    </row>
    <row r="2332" spans="1:14" x14ac:dyDescent="0.25">
      <c r="A2332" s="2"/>
      <c r="B2332" s="11"/>
      <c r="C2332" s="26"/>
      <c r="L2332" s="65"/>
      <c r="M2332" s="71"/>
      <c r="N2332" s="65"/>
    </row>
    <row r="2333" spans="1:14" x14ac:dyDescent="0.25">
      <c r="A2333" s="2"/>
      <c r="B2333" s="11"/>
      <c r="C2333" s="26"/>
      <c r="L2333" s="65"/>
      <c r="M2333" s="71"/>
      <c r="N2333" s="65"/>
    </row>
    <row r="2334" spans="1:14" x14ac:dyDescent="0.25">
      <c r="A2334" s="2"/>
      <c r="B2334" s="11"/>
      <c r="C2334" s="26"/>
      <c r="L2334" s="65"/>
      <c r="M2334" s="71"/>
      <c r="N2334" s="65"/>
    </row>
    <row r="2335" spans="1:14" x14ac:dyDescent="0.25">
      <c r="A2335" s="2"/>
      <c r="B2335" s="11"/>
      <c r="C2335" s="26"/>
      <c r="L2335" s="65"/>
      <c r="M2335" s="71"/>
      <c r="N2335" s="65"/>
    </row>
    <row r="2336" spans="1:14" x14ac:dyDescent="0.25">
      <c r="A2336" s="2"/>
      <c r="B2336" s="11"/>
      <c r="C2336" s="26"/>
      <c r="L2336" s="65"/>
      <c r="M2336" s="71"/>
      <c r="N2336" s="65"/>
    </row>
    <row r="2337" spans="1:14" x14ac:dyDescent="0.25">
      <c r="A2337" s="2"/>
      <c r="B2337" s="11"/>
      <c r="C2337" s="26"/>
      <c r="L2337" s="65"/>
      <c r="M2337" s="71"/>
      <c r="N2337" s="65"/>
    </row>
    <row r="2338" spans="1:14" x14ac:dyDescent="0.25">
      <c r="A2338" s="2"/>
      <c r="B2338" s="11"/>
      <c r="C2338" s="26"/>
      <c r="L2338" s="65"/>
      <c r="M2338" s="71"/>
      <c r="N2338" s="65"/>
    </row>
    <row r="2339" spans="1:14" x14ac:dyDescent="0.25">
      <c r="A2339" s="2"/>
      <c r="B2339" s="11"/>
      <c r="C2339" s="26"/>
      <c r="L2339" s="65"/>
      <c r="M2339" s="71"/>
      <c r="N2339" s="65"/>
    </row>
    <row r="2340" spans="1:14" x14ac:dyDescent="0.25">
      <c r="A2340" s="2"/>
      <c r="B2340" s="11"/>
      <c r="C2340" s="26"/>
      <c r="L2340" s="65"/>
      <c r="M2340" s="71"/>
      <c r="N2340" s="65"/>
    </row>
    <row r="2341" spans="1:14" x14ac:dyDescent="0.25">
      <c r="A2341" s="2"/>
      <c r="B2341" s="11"/>
      <c r="C2341" s="26"/>
      <c r="L2341" s="65"/>
      <c r="M2341" s="71"/>
      <c r="N2341" s="65"/>
    </row>
    <row r="2342" spans="1:14" x14ac:dyDescent="0.25">
      <c r="A2342" s="2"/>
      <c r="B2342" s="11"/>
      <c r="C2342" s="26"/>
      <c r="L2342" s="65"/>
      <c r="M2342" s="71"/>
      <c r="N2342" s="65"/>
    </row>
    <row r="2343" spans="1:14" x14ac:dyDescent="0.25">
      <c r="A2343" s="2"/>
      <c r="B2343" s="11"/>
      <c r="C2343" s="26"/>
      <c r="L2343" s="65"/>
      <c r="M2343" s="71"/>
      <c r="N2343" s="65"/>
    </row>
    <row r="2344" spans="1:14" x14ac:dyDescent="0.25">
      <c r="A2344" s="2"/>
      <c r="B2344" s="11"/>
      <c r="C2344" s="26"/>
      <c r="L2344" s="65"/>
      <c r="M2344" s="71"/>
      <c r="N2344" s="65"/>
    </row>
    <row r="2345" spans="1:14" x14ac:dyDescent="0.25">
      <c r="A2345" s="2"/>
      <c r="B2345" s="11"/>
      <c r="C2345" s="26"/>
      <c r="L2345" s="65"/>
      <c r="M2345" s="71"/>
      <c r="N2345" s="65"/>
    </row>
    <row r="2346" spans="1:14" x14ac:dyDescent="0.25">
      <c r="A2346" s="2"/>
      <c r="B2346" s="11"/>
      <c r="C2346" s="26"/>
      <c r="L2346" s="65"/>
      <c r="M2346" s="71"/>
      <c r="N2346" s="65"/>
    </row>
    <row r="2347" spans="1:14" x14ac:dyDescent="0.25">
      <c r="A2347" s="2"/>
      <c r="B2347" s="11"/>
      <c r="C2347" s="26"/>
      <c r="L2347" s="65"/>
      <c r="M2347" s="71"/>
      <c r="N2347" s="65"/>
    </row>
    <row r="2348" spans="1:14" x14ac:dyDescent="0.25">
      <c r="A2348" s="2"/>
      <c r="B2348" s="11"/>
      <c r="C2348" s="26"/>
      <c r="L2348" s="65"/>
      <c r="M2348" s="71"/>
      <c r="N2348" s="65"/>
    </row>
    <row r="2349" spans="1:14" x14ac:dyDescent="0.25">
      <c r="A2349" s="2"/>
      <c r="B2349" s="11"/>
      <c r="C2349" s="26"/>
      <c r="L2349" s="65"/>
      <c r="M2349" s="71"/>
      <c r="N2349" s="65"/>
    </row>
    <row r="2350" spans="1:14" x14ac:dyDescent="0.25">
      <c r="A2350" s="2"/>
      <c r="B2350" s="11"/>
      <c r="C2350" s="26"/>
      <c r="L2350" s="65"/>
      <c r="M2350" s="71"/>
      <c r="N2350" s="65"/>
    </row>
    <row r="2351" spans="1:14" x14ac:dyDescent="0.25">
      <c r="A2351" s="2"/>
      <c r="B2351" s="11"/>
      <c r="C2351" s="26"/>
      <c r="L2351" s="65"/>
      <c r="M2351" s="71"/>
      <c r="N2351" s="65"/>
    </row>
    <row r="2352" spans="1:14" x14ac:dyDescent="0.25">
      <c r="A2352" s="2"/>
      <c r="B2352" s="11"/>
      <c r="C2352" s="26"/>
      <c r="L2352" s="65"/>
      <c r="M2352" s="71"/>
      <c r="N2352" s="65"/>
    </row>
    <row r="2353" spans="1:14" x14ac:dyDescent="0.25">
      <c r="A2353" s="2"/>
      <c r="B2353" s="11"/>
      <c r="C2353" s="26"/>
      <c r="L2353" s="65"/>
      <c r="M2353" s="71"/>
      <c r="N2353" s="65"/>
    </row>
    <row r="2354" spans="1:14" x14ac:dyDescent="0.25">
      <c r="A2354" s="2"/>
      <c r="B2354" s="11"/>
      <c r="C2354" s="26"/>
      <c r="L2354" s="65"/>
      <c r="M2354" s="71"/>
      <c r="N2354" s="65"/>
    </row>
    <row r="2355" spans="1:14" x14ac:dyDescent="0.25">
      <c r="A2355" s="2"/>
      <c r="B2355" s="11"/>
      <c r="C2355" s="26"/>
      <c r="L2355" s="65"/>
      <c r="M2355" s="71"/>
      <c r="N2355" s="65"/>
    </row>
    <row r="2356" spans="1:14" x14ac:dyDescent="0.25">
      <c r="A2356" s="2"/>
      <c r="B2356" s="11"/>
      <c r="C2356" s="26"/>
      <c r="L2356" s="65"/>
      <c r="M2356" s="71"/>
      <c r="N2356" s="65"/>
    </row>
    <row r="2357" spans="1:14" x14ac:dyDescent="0.25">
      <c r="A2357" s="2"/>
      <c r="B2357" s="11"/>
      <c r="C2357" s="26"/>
      <c r="L2357" s="65"/>
      <c r="M2357" s="71"/>
      <c r="N2357" s="65"/>
    </row>
    <row r="2358" spans="1:14" x14ac:dyDescent="0.25">
      <c r="A2358" s="2"/>
      <c r="B2358" s="11"/>
      <c r="C2358" s="26"/>
      <c r="L2358" s="65"/>
      <c r="M2358" s="71"/>
      <c r="N2358" s="65"/>
    </row>
    <row r="2359" spans="1:14" x14ac:dyDescent="0.25">
      <c r="A2359" s="2"/>
      <c r="B2359" s="11"/>
      <c r="C2359" s="26"/>
      <c r="L2359" s="65"/>
      <c r="M2359" s="71"/>
      <c r="N2359" s="65"/>
    </row>
    <row r="2360" spans="1:14" x14ac:dyDescent="0.25">
      <c r="A2360" s="2"/>
      <c r="B2360" s="11"/>
      <c r="C2360" s="26"/>
      <c r="L2360" s="65"/>
      <c r="M2360" s="71"/>
      <c r="N2360" s="65"/>
    </row>
    <row r="2361" spans="1:14" x14ac:dyDescent="0.25">
      <c r="A2361" s="2"/>
      <c r="B2361" s="11"/>
      <c r="C2361" s="26"/>
      <c r="L2361" s="65"/>
      <c r="M2361" s="71"/>
      <c r="N2361" s="65"/>
    </row>
    <row r="2362" spans="1:14" x14ac:dyDescent="0.25">
      <c r="A2362" s="2"/>
      <c r="B2362" s="11"/>
      <c r="C2362" s="26"/>
      <c r="L2362" s="65"/>
      <c r="M2362" s="71"/>
      <c r="N2362" s="65"/>
    </row>
    <row r="2363" spans="1:14" x14ac:dyDescent="0.25">
      <c r="A2363" s="2"/>
      <c r="B2363" s="11"/>
      <c r="C2363" s="26"/>
      <c r="L2363" s="65"/>
      <c r="M2363" s="71"/>
      <c r="N2363" s="65"/>
    </row>
    <row r="2364" spans="1:14" x14ac:dyDescent="0.25">
      <c r="A2364" s="2"/>
      <c r="B2364" s="11"/>
      <c r="C2364" s="26"/>
      <c r="L2364" s="65"/>
      <c r="M2364" s="71"/>
      <c r="N2364" s="65"/>
    </row>
    <row r="2365" spans="1:14" x14ac:dyDescent="0.25">
      <c r="A2365" s="2"/>
      <c r="B2365" s="11"/>
      <c r="C2365" s="26"/>
      <c r="L2365" s="65"/>
      <c r="M2365" s="71"/>
      <c r="N2365" s="65"/>
    </row>
    <row r="2366" spans="1:14" x14ac:dyDescent="0.25">
      <c r="A2366" s="2"/>
      <c r="B2366" s="11"/>
      <c r="C2366" s="26"/>
      <c r="L2366" s="65"/>
      <c r="M2366" s="71"/>
      <c r="N2366" s="65"/>
    </row>
    <row r="2367" spans="1:14" x14ac:dyDescent="0.25">
      <c r="A2367" s="2"/>
      <c r="B2367" s="11"/>
      <c r="C2367" s="26"/>
      <c r="L2367" s="65"/>
      <c r="M2367" s="71"/>
      <c r="N2367" s="65"/>
    </row>
    <row r="2368" spans="1:14" x14ac:dyDescent="0.25">
      <c r="A2368" s="2"/>
      <c r="B2368" s="11"/>
      <c r="C2368" s="26"/>
      <c r="L2368" s="65"/>
      <c r="M2368" s="71"/>
      <c r="N2368" s="65"/>
    </row>
    <row r="2369" spans="1:14" x14ac:dyDescent="0.25">
      <c r="A2369" s="2"/>
      <c r="B2369" s="11"/>
      <c r="C2369" s="26"/>
      <c r="L2369" s="65"/>
      <c r="M2369" s="71"/>
      <c r="N2369" s="65"/>
    </row>
    <row r="2370" spans="1:14" x14ac:dyDescent="0.25">
      <c r="A2370" s="2"/>
      <c r="B2370" s="11"/>
      <c r="C2370" s="26"/>
      <c r="L2370" s="65"/>
      <c r="M2370" s="71"/>
      <c r="N2370" s="65"/>
    </row>
    <row r="2371" spans="1:14" x14ac:dyDescent="0.25">
      <c r="A2371" s="2"/>
      <c r="B2371" s="11"/>
      <c r="C2371" s="26"/>
      <c r="L2371" s="65"/>
      <c r="M2371" s="71"/>
      <c r="N2371" s="65"/>
    </row>
    <row r="2372" spans="1:14" x14ac:dyDescent="0.25">
      <c r="A2372" s="2"/>
      <c r="B2372" s="11"/>
      <c r="C2372" s="26"/>
      <c r="L2372" s="65"/>
      <c r="M2372" s="71"/>
      <c r="N2372" s="65"/>
    </row>
    <row r="2373" spans="1:14" x14ac:dyDescent="0.25">
      <c r="A2373" s="2"/>
      <c r="B2373" s="11"/>
      <c r="C2373" s="26"/>
      <c r="L2373" s="65"/>
      <c r="M2373" s="71"/>
      <c r="N2373" s="65"/>
    </row>
    <row r="2374" spans="1:14" x14ac:dyDescent="0.25">
      <c r="A2374" s="2"/>
      <c r="B2374" s="11"/>
      <c r="C2374" s="26"/>
      <c r="L2374" s="65"/>
      <c r="M2374" s="71"/>
      <c r="N2374" s="65"/>
    </row>
    <row r="2375" spans="1:14" x14ac:dyDescent="0.25">
      <c r="A2375" s="2"/>
      <c r="B2375" s="11"/>
      <c r="C2375" s="26"/>
      <c r="L2375" s="65"/>
      <c r="M2375" s="71"/>
      <c r="N2375" s="65"/>
    </row>
    <row r="2376" spans="1:14" x14ac:dyDescent="0.25">
      <c r="A2376" s="2"/>
      <c r="B2376" s="11"/>
      <c r="C2376" s="26"/>
      <c r="L2376" s="65"/>
      <c r="M2376" s="71"/>
      <c r="N2376" s="65"/>
    </row>
    <row r="2377" spans="1:14" x14ac:dyDescent="0.25">
      <c r="A2377" s="2"/>
      <c r="B2377" s="11"/>
      <c r="C2377" s="26"/>
      <c r="L2377" s="65"/>
      <c r="M2377" s="71"/>
      <c r="N2377" s="65"/>
    </row>
    <row r="2378" spans="1:14" x14ac:dyDescent="0.25">
      <c r="A2378" s="2"/>
      <c r="B2378" s="11"/>
      <c r="C2378" s="26"/>
      <c r="L2378" s="65"/>
      <c r="M2378" s="71"/>
      <c r="N2378" s="65"/>
    </row>
    <row r="2379" spans="1:14" x14ac:dyDescent="0.25">
      <c r="A2379" s="2"/>
      <c r="B2379" s="11"/>
      <c r="C2379" s="26"/>
      <c r="L2379" s="65"/>
      <c r="M2379" s="71"/>
      <c r="N2379" s="65"/>
    </row>
    <row r="2380" spans="1:14" x14ac:dyDescent="0.25">
      <c r="A2380" s="2"/>
      <c r="B2380" s="11"/>
      <c r="C2380" s="26"/>
      <c r="L2380" s="65"/>
      <c r="M2380" s="71"/>
      <c r="N2380" s="65"/>
    </row>
    <row r="2381" spans="1:14" x14ac:dyDescent="0.25">
      <c r="A2381" s="2"/>
      <c r="B2381" s="11"/>
      <c r="C2381" s="26"/>
      <c r="L2381" s="65"/>
      <c r="M2381" s="71"/>
      <c r="N2381" s="65"/>
    </row>
    <row r="2382" spans="1:14" x14ac:dyDescent="0.25">
      <c r="A2382" s="2"/>
      <c r="B2382" s="11"/>
      <c r="C2382" s="26"/>
      <c r="L2382" s="65"/>
      <c r="M2382" s="71"/>
      <c r="N2382" s="65"/>
    </row>
    <row r="2383" spans="1:14" x14ac:dyDescent="0.25">
      <c r="A2383" s="2"/>
      <c r="B2383" s="11"/>
      <c r="C2383" s="26"/>
      <c r="L2383" s="65"/>
      <c r="M2383" s="71"/>
      <c r="N2383" s="65"/>
    </row>
    <row r="2384" spans="1:14" x14ac:dyDescent="0.25">
      <c r="A2384" s="2"/>
      <c r="B2384" s="11"/>
      <c r="C2384" s="26"/>
      <c r="L2384" s="65"/>
      <c r="M2384" s="71"/>
      <c r="N2384" s="65"/>
    </row>
    <row r="2385" spans="1:14" x14ac:dyDescent="0.25">
      <c r="A2385" s="2"/>
      <c r="B2385" s="11"/>
      <c r="C2385" s="26"/>
      <c r="L2385" s="65"/>
      <c r="M2385" s="71"/>
      <c r="N2385" s="65"/>
    </row>
    <row r="2386" spans="1:14" x14ac:dyDescent="0.25">
      <c r="A2386" s="2"/>
      <c r="B2386" s="11"/>
      <c r="C2386" s="26"/>
      <c r="L2386" s="65"/>
      <c r="M2386" s="71"/>
      <c r="N2386" s="65"/>
    </row>
    <row r="2387" spans="1:14" x14ac:dyDescent="0.25">
      <c r="A2387" s="2"/>
      <c r="B2387" s="11"/>
      <c r="C2387" s="26"/>
      <c r="L2387" s="65"/>
      <c r="M2387" s="71"/>
      <c r="N2387" s="65"/>
    </row>
    <row r="2388" spans="1:14" x14ac:dyDescent="0.25">
      <c r="A2388" s="2"/>
      <c r="B2388" s="11"/>
      <c r="C2388" s="26"/>
      <c r="L2388" s="65"/>
      <c r="M2388" s="71"/>
      <c r="N2388" s="65"/>
    </row>
    <row r="2389" spans="1:14" x14ac:dyDescent="0.25">
      <c r="A2389" s="2"/>
      <c r="B2389" s="11"/>
      <c r="C2389" s="26"/>
      <c r="L2389" s="65"/>
      <c r="M2389" s="71"/>
      <c r="N2389" s="65"/>
    </row>
    <row r="2390" spans="1:14" x14ac:dyDescent="0.25">
      <c r="A2390" s="2"/>
      <c r="B2390" s="11"/>
      <c r="C2390" s="26"/>
      <c r="L2390" s="65"/>
      <c r="M2390" s="71"/>
      <c r="N2390" s="65"/>
    </row>
    <row r="2391" spans="1:14" x14ac:dyDescent="0.25">
      <c r="A2391" s="2"/>
      <c r="B2391" s="11"/>
      <c r="C2391" s="26"/>
      <c r="L2391" s="65"/>
      <c r="M2391" s="71"/>
      <c r="N2391" s="65"/>
    </row>
    <row r="2392" spans="1:14" x14ac:dyDescent="0.25">
      <c r="A2392" s="2"/>
      <c r="B2392" s="11"/>
      <c r="C2392" s="26"/>
      <c r="L2392" s="65"/>
      <c r="M2392" s="71"/>
      <c r="N2392" s="65"/>
    </row>
    <row r="2393" spans="1:14" x14ac:dyDescent="0.25">
      <c r="A2393" s="2"/>
      <c r="B2393" s="11"/>
      <c r="C2393" s="26"/>
      <c r="L2393" s="65"/>
      <c r="M2393" s="71"/>
      <c r="N2393" s="65"/>
    </row>
    <row r="2394" spans="1:14" x14ac:dyDescent="0.25">
      <c r="A2394" s="2"/>
      <c r="B2394" s="11"/>
      <c r="C2394" s="26"/>
      <c r="L2394" s="65"/>
      <c r="M2394" s="71"/>
      <c r="N2394" s="65"/>
    </row>
    <row r="2395" spans="1:14" x14ac:dyDescent="0.25">
      <c r="A2395" s="2"/>
      <c r="B2395" s="11"/>
      <c r="C2395" s="26"/>
      <c r="L2395" s="65"/>
      <c r="M2395" s="71"/>
      <c r="N2395" s="65"/>
    </row>
    <row r="2396" spans="1:14" x14ac:dyDescent="0.25">
      <c r="A2396" s="2"/>
      <c r="B2396" s="11"/>
      <c r="C2396" s="26"/>
      <c r="L2396" s="65"/>
      <c r="M2396" s="71"/>
      <c r="N2396" s="65"/>
    </row>
    <row r="2397" spans="1:14" x14ac:dyDescent="0.25">
      <c r="A2397" s="2"/>
      <c r="B2397" s="11"/>
      <c r="C2397" s="26"/>
      <c r="L2397" s="65"/>
      <c r="M2397" s="71"/>
      <c r="N2397" s="65"/>
    </row>
    <row r="2398" spans="1:14" x14ac:dyDescent="0.25">
      <c r="A2398" s="2"/>
      <c r="B2398" s="11"/>
      <c r="C2398" s="26"/>
      <c r="L2398" s="65"/>
      <c r="M2398" s="71"/>
      <c r="N2398" s="65"/>
    </row>
    <row r="2399" spans="1:14" x14ac:dyDescent="0.25">
      <c r="A2399" s="2"/>
      <c r="B2399" s="11"/>
      <c r="C2399" s="26"/>
      <c r="L2399" s="65"/>
      <c r="M2399" s="71"/>
      <c r="N2399" s="65"/>
    </row>
    <row r="2400" spans="1:14" x14ac:dyDescent="0.25">
      <c r="A2400" s="2"/>
      <c r="B2400" s="11"/>
      <c r="C2400" s="26"/>
      <c r="L2400" s="65"/>
      <c r="M2400" s="71"/>
      <c r="N2400" s="65"/>
    </row>
    <row r="2401" spans="1:14" x14ac:dyDescent="0.25">
      <c r="A2401" s="2"/>
      <c r="B2401" s="11"/>
      <c r="C2401" s="26"/>
      <c r="L2401" s="65"/>
      <c r="M2401" s="71"/>
      <c r="N2401" s="65"/>
    </row>
    <row r="2402" spans="1:14" x14ac:dyDescent="0.25">
      <c r="A2402" s="2"/>
      <c r="B2402" s="11"/>
      <c r="C2402" s="26"/>
      <c r="L2402" s="65"/>
      <c r="M2402" s="71"/>
      <c r="N2402" s="65"/>
    </row>
    <row r="2403" spans="1:14" x14ac:dyDescent="0.25">
      <c r="A2403" s="2"/>
      <c r="B2403" s="11"/>
      <c r="C2403" s="26"/>
      <c r="L2403" s="65"/>
      <c r="M2403" s="71"/>
      <c r="N2403" s="65"/>
    </row>
    <row r="2404" spans="1:14" x14ac:dyDescent="0.25">
      <c r="A2404" s="2"/>
      <c r="B2404" s="11"/>
      <c r="C2404" s="26"/>
      <c r="L2404" s="65"/>
      <c r="M2404" s="71"/>
      <c r="N2404" s="65"/>
    </row>
    <row r="2405" spans="1:14" x14ac:dyDescent="0.25">
      <c r="A2405" s="2"/>
      <c r="B2405" s="11"/>
      <c r="C2405" s="26"/>
      <c r="L2405" s="65"/>
      <c r="M2405" s="71"/>
      <c r="N2405" s="65"/>
    </row>
    <row r="2406" spans="1:14" x14ac:dyDescent="0.25">
      <c r="A2406" s="2"/>
      <c r="B2406" s="11"/>
      <c r="C2406" s="26"/>
      <c r="L2406" s="65"/>
      <c r="M2406" s="71"/>
      <c r="N2406" s="65"/>
    </row>
    <row r="2407" spans="1:14" x14ac:dyDescent="0.25">
      <c r="A2407" s="2"/>
      <c r="B2407" s="11"/>
      <c r="C2407" s="26"/>
      <c r="L2407" s="65"/>
      <c r="M2407" s="71"/>
      <c r="N2407" s="65"/>
    </row>
    <row r="2408" spans="1:14" x14ac:dyDescent="0.25">
      <c r="A2408" s="2"/>
      <c r="B2408" s="11"/>
      <c r="C2408" s="26"/>
      <c r="L2408" s="65"/>
      <c r="M2408" s="71"/>
      <c r="N2408" s="65"/>
    </row>
    <row r="2409" spans="1:14" x14ac:dyDescent="0.25">
      <c r="A2409" s="2"/>
      <c r="B2409" s="11"/>
      <c r="C2409" s="26"/>
      <c r="L2409" s="65"/>
      <c r="M2409" s="71"/>
      <c r="N2409" s="65"/>
    </row>
    <row r="2410" spans="1:14" x14ac:dyDescent="0.25">
      <c r="A2410" s="2"/>
      <c r="B2410" s="11"/>
      <c r="C2410" s="26"/>
      <c r="L2410" s="65"/>
      <c r="M2410" s="71"/>
      <c r="N2410" s="65"/>
    </row>
    <row r="2411" spans="1:14" x14ac:dyDescent="0.25">
      <c r="A2411" s="2"/>
      <c r="B2411" s="11"/>
      <c r="C2411" s="26"/>
      <c r="L2411" s="65"/>
      <c r="M2411" s="71"/>
      <c r="N2411" s="65"/>
    </row>
    <row r="2412" spans="1:14" x14ac:dyDescent="0.25">
      <c r="A2412" s="2"/>
      <c r="B2412" s="11"/>
      <c r="C2412" s="26"/>
      <c r="L2412" s="65"/>
      <c r="M2412" s="71"/>
      <c r="N2412" s="65"/>
    </row>
    <row r="2413" spans="1:14" x14ac:dyDescent="0.25">
      <c r="A2413" s="2"/>
      <c r="B2413" s="11"/>
      <c r="C2413" s="26"/>
      <c r="L2413" s="65"/>
      <c r="M2413" s="71"/>
      <c r="N2413" s="65"/>
    </row>
    <row r="2414" spans="1:14" x14ac:dyDescent="0.25">
      <c r="A2414" s="2"/>
      <c r="B2414" s="11"/>
      <c r="C2414" s="26"/>
      <c r="L2414" s="65"/>
      <c r="M2414" s="71"/>
      <c r="N2414" s="65"/>
    </row>
    <row r="2415" spans="1:14" x14ac:dyDescent="0.25">
      <c r="A2415" s="2"/>
      <c r="B2415" s="11"/>
      <c r="C2415" s="26"/>
      <c r="L2415" s="65"/>
      <c r="M2415" s="71"/>
      <c r="N2415" s="65"/>
    </row>
    <row r="2416" spans="1:14" x14ac:dyDescent="0.25">
      <c r="A2416" s="2"/>
      <c r="B2416" s="11"/>
      <c r="C2416" s="26"/>
      <c r="L2416" s="65"/>
      <c r="M2416" s="71"/>
      <c r="N2416" s="65"/>
    </row>
    <row r="2417" spans="1:14" x14ac:dyDescent="0.25">
      <c r="A2417" s="2"/>
      <c r="B2417" s="11"/>
      <c r="C2417" s="26"/>
      <c r="L2417" s="65"/>
      <c r="M2417" s="71"/>
      <c r="N2417" s="65"/>
    </row>
    <row r="2418" spans="1:14" x14ac:dyDescent="0.25">
      <c r="A2418" s="2"/>
      <c r="B2418" s="11"/>
      <c r="C2418" s="26"/>
      <c r="L2418" s="65"/>
      <c r="M2418" s="71"/>
      <c r="N2418" s="65"/>
    </row>
    <row r="2419" spans="1:14" x14ac:dyDescent="0.25">
      <c r="A2419" s="2"/>
      <c r="B2419" s="11"/>
      <c r="C2419" s="26"/>
      <c r="L2419" s="65"/>
      <c r="M2419" s="71"/>
      <c r="N2419" s="65"/>
    </row>
    <row r="2420" spans="1:14" x14ac:dyDescent="0.25">
      <c r="A2420" s="2"/>
      <c r="B2420" s="11"/>
      <c r="C2420" s="26"/>
      <c r="L2420" s="65"/>
      <c r="M2420" s="71"/>
      <c r="N2420" s="65"/>
    </row>
    <row r="2421" spans="1:14" x14ac:dyDescent="0.25">
      <c r="A2421" s="2"/>
      <c r="B2421" s="11"/>
      <c r="C2421" s="26"/>
      <c r="L2421" s="65"/>
      <c r="M2421" s="71"/>
      <c r="N2421" s="65"/>
    </row>
    <row r="2422" spans="1:14" x14ac:dyDescent="0.25">
      <c r="A2422" s="2"/>
      <c r="B2422" s="11"/>
      <c r="C2422" s="26"/>
      <c r="L2422" s="65"/>
      <c r="M2422" s="71"/>
      <c r="N2422" s="65"/>
    </row>
    <row r="2423" spans="1:14" x14ac:dyDescent="0.25">
      <c r="A2423" s="2"/>
      <c r="B2423" s="11"/>
      <c r="C2423" s="26"/>
      <c r="L2423" s="65"/>
      <c r="M2423" s="71"/>
      <c r="N2423" s="65"/>
    </row>
    <row r="2424" spans="1:14" x14ac:dyDescent="0.25">
      <c r="A2424" s="2"/>
      <c r="B2424" s="11"/>
      <c r="C2424" s="26"/>
      <c r="L2424" s="65"/>
      <c r="M2424" s="71"/>
      <c r="N2424" s="65"/>
    </row>
    <row r="2425" spans="1:14" x14ac:dyDescent="0.25">
      <c r="A2425" s="2"/>
      <c r="B2425" s="11"/>
      <c r="C2425" s="26"/>
      <c r="L2425" s="65"/>
      <c r="M2425" s="71"/>
      <c r="N2425" s="65"/>
    </row>
    <row r="2426" spans="1:14" x14ac:dyDescent="0.25">
      <c r="A2426" s="2"/>
      <c r="B2426" s="11"/>
      <c r="C2426" s="26"/>
      <c r="L2426" s="65"/>
      <c r="M2426" s="71"/>
      <c r="N2426" s="65"/>
    </row>
    <row r="2427" spans="1:14" x14ac:dyDescent="0.25">
      <c r="A2427" s="2"/>
      <c r="B2427" s="11"/>
      <c r="C2427" s="26"/>
      <c r="L2427" s="65"/>
      <c r="M2427" s="71"/>
      <c r="N2427" s="65"/>
    </row>
    <row r="2428" spans="1:14" x14ac:dyDescent="0.25">
      <c r="A2428" s="2"/>
      <c r="B2428" s="11"/>
      <c r="C2428" s="26"/>
      <c r="L2428" s="65"/>
      <c r="M2428" s="71"/>
      <c r="N2428" s="65"/>
    </row>
    <row r="2429" spans="1:14" x14ac:dyDescent="0.25">
      <c r="A2429" s="2"/>
      <c r="B2429" s="11"/>
      <c r="C2429" s="26"/>
      <c r="L2429" s="65"/>
      <c r="M2429" s="71"/>
      <c r="N2429" s="65"/>
    </row>
    <row r="2430" spans="1:14" x14ac:dyDescent="0.25">
      <c r="A2430" s="2"/>
      <c r="B2430" s="11"/>
      <c r="C2430" s="26"/>
      <c r="L2430" s="65"/>
      <c r="M2430" s="71"/>
      <c r="N2430" s="65"/>
    </row>
    <row r="2431" spans="1:14" x14ac:dyDescent="0.25">
      <c r="A2431" s="2"/>
      <c r="B2431" s="11"/>
      <c r="C2431" s="26"/>
      <c r="L2431" s="65"/>
      <c r="M2431" s="71"/>
      <c r="N2431" s="65"/>
    </row>
    <row r="2432" spans="1:14" x14ac:dyDescent="0.25">
      <c r="A2432" s="2"/>
      <c r="B2432" s="11"/>
      <c r="C2432" s="26"/>
      <c r="L2432" s="65"/>
      <c r="M2432" s="71"/>
      <c r="N2432" s="65"/>
    </row>
    <row r="2433" spans="1:14" x14ac:dyDescent="0.25">
      <c r="A2433" s="2"/>
      <c r="B2433" s="11"/>
      <c r="C2433" s="26"/>
      <c r="L2433" s="65"/>
      <c r="M2433" s="71"/>
      <c r="N2433" s="65"/>
    </row>
    <row r="2434" spans="1:14" x14ac:dyDescent="0.25">
      <c r="A2434" s="2"/>
      <c r="B2434" s="11"/>
      <c r="C2434" s="26"/>
      <c r="L2434" s="65"/>
      <c r="M2434" s="71"/>
      <c r="N2434" s="65"/>
    </row>
    <row r="2435" spans="1:14" x14ac:dyDescent="0.25">
      <c r="A2435" s="2"/>
      <c r="B2435" s="11"/>
      <c r="C2435" s="26"/>
      <c r="L2435" s="65"/>
      <c r="M2435" s="71"/>
      <c r="N2435" s="65"/>
    </row>
    <row r="2436" spans="1:14" x14ac:dyDescent="0.25">
      <c r="A2436" s="2"/>
      <c r="B2436" s="11"/>
      <c r="C2436" s="26"/>
      <c r="L2436" s="65"/>
      <c r="M2436" s="71"/>
      <c r="N2436" s="65"/>
    </row>
    <row r="2437" spans="1:14" x14ac:dyDescent="0.25">
      <c r="A2437" s="2"/>
      <c r="B2437" s="11"/>
      <c r="C2437" s="26"/>
      <c r="L2437" s="65"/>
      <c r="M2437" s="71"/>
      <c r="N2437" s="65"/>
    </row>
    <row r="2438" spans="1:14" x14ac:dyDescent="0.25">
      <c r="A2438" s="2"/>
      <c r="B2438" s="11"/>
      <c r="C2438" s="26"/>
      <c r="L2438" s="65"/>
      <c r="M2438" s="71"/>
      <c r="N2438" s="65"/>
    </row>
    <row r="2439" spans="1:14" x14ac:dyDescent="0.25">
      <c r="A2439" s="2"/>
      <c r="B2439" s="11"/>
      <c r="C2439" s="26"/>
      <c r="L2439" s="65"/>
      <c r="M2439" s="71"/>
      <c r="N2439" s="65"/>
    </row>
    <row r="2440" spans="1:14" x14ac:dyDescent="0.25">
      <c r="A2440" s="2"/>
      <c r="B2440" s="11"/>
      <c r="C2440" s="26"/>
      <c r="L2440" s="65"/>
      <c r="M2440" s="71"/>
      <c r="N2440" s="65"/>
    </row>
    <row r="2441" spans="1:14" x14ac:dyDescent="0.25">
      <c r="A2441" s="2"/>
      <c r="B2441" s="11"/>
      <c r="C2441" s="26"/>
      <c r="L2441" s="65"/>
      <c r="M2441" s="71"/>
      <c r="N2441" s="65"/>
    </row>
    <row r="2442" spans="1:14" x14ac:dyDescent="0.25">
      <c r="A2442" s="2"/>
      <c r="B2442" s="11"/>
      <c r="C2442" s="26"/>
      <c r="L2442" s="65"/>
      <c r="M2442" s="71"/>
      <c r="N2442" s="65"/>
    </row>
    <row r="2443" spans="1:14" x14ac:dyDescent="0.25">
      <c r="A2443" s="2"/>
      <c r="B2443" s="11"/>
      <c r="C2443" s="26"/>
      <c r="L2443" s="65"/>
      <c r="M2443" s="71"/>
      <c r="N2443" s="65"/>
    </row>
    <row r="2444" spans="1:14" x14ac:dyDescent="0.25">
      <c r="A2444" s="2"/>
      <c r="B2444" s="11"/>
      <c r="C2444" s="26"/>
      <c r="L2444" s="65"/>
      <c r="M2444" s="71"/>
      <c r="N2444" s="65"/>
    </row>
    <row r="2445" spans="1:14" x14ac:dyDescent="0.25">
      <c r="A2445" s="2"/>
      <c r="B2445" s="11"/>
      <c r="C2445" s="26"/>
      <c r="L2445" s="65"/>
      <c r="M2445" s="71"/>
      <c r="N2445" s="65"/>
    </row>
    <row r="2446" spans="1:14" x14ac:dyDescent="0.25">
      <c r="A2446" s="2"/>
      <c r="B2446" s="11"/>
      <c r="C2446" s="26"/>
      <c r="L2446" s="65"/>
      <c r="M2446" s="71"/>
      <c r="N2446" s="65"/>
    </row>
    <row r="2447" spans="1:14" x14ac:dyDescent="0.25">
      <c r="A2447" s="2"/>
      <c r="B2447" s="11"/>
      <c r="C2447" s="26"/>
      <c r="L2447" s="65"/>
      <c r="M2447" s="71"/>
      <c r="N2447" s="65"/>
    </row>
    <row r="2448" spans="1:14" x14ac:dyDescent="0.25">
      <c r="A2448" s="2"/>
      <c r="B2448" s="11"/>
      <c r="C2448" s="26"/>
      <c r="L2448" s="65"/>
      <c r="M2448" s="71"/>
      <c r="N2448" s="65"/>
    </row>
    <row r="2449" spans="1:14" x14ac:dyDescent="0.25">
      <c r="A2449" s="2"/>
      <c r="B2449" s="11"/>
      <c r="C2449" s="26"/>
      <c r="L2449" s="65"/>
      <c r="M2449" s="71"/>
      <c r="N2449" s="65"/>
    </row>
    <row r="2450" spans="1:14" x14ac:dyDescent="0.25">
      <c r="A2450" s="2"/>
      <c r="B2450" s="11"/>
      <c r="C2450" s="26"/>
      <c r="L2450" s="65"/>
      <c r="M2450" s="71"/>
      <c r="N2450" s="65"/>
    </row>
    <row r="2451" spans="1:14" x14ac:dyDescent="0.25">
      <c r="A2451" s="2"/>
      <c r="B2451" s="11"/>
      <c r="C2451" s="26"/>
      <c r="L2451" s="65"/>
      <c r="M2451" s="71"/>
      <c r="N2451" s="65"/>
    </row>
    <row r="2452" spans="1:14" x14ac:dyDescent="0.25">
      <c r="A2452" s="2"/>
      <c r="B2452" s="11"/>
      <c r="C2452" s="26"/>
      <c r="L2452" s="65"/>
      <c r="M2452" s="71"/>
      <c r="N2452" s="65"/>
    </row>
    <row r="2453" spans="1:14" x14ac:dyDescent="0.25">
      <c r="A2453" s="2"/>
      <c r="B2453" s="11"/>
      <c r="C2453" s="26"/>
      <c r="L2453" s="65"/>
      <c r="M2453" s="71"/>
      <c r="N2453" s="65"/>
    </row>
    <row r="2454" spans="1:14" x14ac:dyDescent="0.25">
      <c r="A2454" s="2"/>
      <c r="B2454" s="11"/>
      <c r="C2454" s="26"/>
      <c r="L2454" s="65"/>
      <c r="M2454" s="71"/>
      <c r="N2454" s="65"/>
    </row>
    <row r="2455" spans="1:14" x14ac:dyDescent="0.25">
      <c r="A2455" s="2"/>
      <c r="B2455" s="11"/>
      <c r="C2455" s="26"/>
      <c r="L2455" s="65"/>
      <c r="M2455" s="71"/>
      <c r="N2455" s="65"/>
    </row>
    <row r="2456" spans="1:14" x14ac:dyDescent="0.25">
      <c r="A2456" s="2"/>
      <c r="B2456" s="11"/>
      <c r="C2456" s="26"/>
      <c r="L2456" s="65"/>
      <c r="M2456" s="71"/>
      <c r="N2456" s="65"/>
    </row>
    <row r="2457" spans="1:14" x14ac:dyDescent="0.25">
      <c r="A2457" s="2"/>
      <c r="B2457" s="11"/>
      <c r="C2457" s="26"/>
      <c r="L2457" s="65"/>
      <c r="M2457" s="71"/>
      <c r="N2457" s="65"/>
    </row>
    <row r="2458" spans="1:14" x14ac:dyDescent="0.25">
      <c r="A2458" s="2"/>
      <c r="B2458" s="11"/>
      <c r="C2458" s="26"/>
      <c r="L2458" s="65"/>
      <c r="M2458" s="71"/>
      <c r="N2458" s="65"/>
    </row>
    <row r="2459" spans="1:14" x14ac:dyDescent="0.25">
      <c r="A2459" s="2"/>
      <c r="B2459" s="11"/>
      <c r="C2459" s="26"/>
      <c r="L2459" s="65"/>
      <c r="M2459" s="71"/>
      <c r="N2459" s="65"/>
    </row>
    <row r="2460" spans="1:14" x14ac:dyDescent="0.25">
      <c r="A2460" s="2"/>
      <c r="B2460" s="11"/>
      <c r="C2460" s="26"/>
      <c r="L2460" s="65"/>
      <c r="M2460" s="71"/>
      <c r="N2460" s="65"/>
    </row>
    <row r="2461" spans="1:14" x14ac:dyDescent="0.25">
      <c r="A2461" s="2"/>
      <c r="B2461" s="11"/>
      <c r="C2461" s="26"/>
      <c r="L2461" s="65"/>
      <c r="M2461" s="71"/>
      <c r="N2461" s="65"/>
    </row>
    <row r="2462" spans="1:14" x14ac:dyDescent="0.25">
      <c r="A2462" s="2"/>
      <c r="B2462" s="11"/>
      <c r="C2462" s="26"/>
      <c r="L2462" s="65"/>
      <c r="M2462" s="71"/>
      <c r="N2462" s="65"/>
    </row>
    <row r="2463" spans="1:14" x14ac:dyDescent="0.25">
      <c r="A2463" s="2"/>
      <c r="B2463" s="11"/>
      <c r="C2463" s="26"/>
      <c r="L2463" s="65"/>
      <c r="M2463" s="71"/>
      <c r="N2463" s="65"/>
    </row>
    <row r="2464" spans="1:14" x14ac:dyDescent="0.25">
      <c r="A2464" s="2"/>
      <c r="B2464" s="11"/>
      <c r="C2464" s="26"/>
      <c r="L2464" s="65"/>
      <c r="M2464" s="71"/>
      <c r="N2464" s="65"/>
    </row>
    <row r="2465" spans="1:14" x14ac:dyDescent="0.25">
      <c r="A2465" s="2"/>
      <c r="B2465" s="11"/>
      <c r="C2465" s="26"/>
      <c r="L2465" s="65"/>
      <c r="M2465" s="71"/>
      <c r="N2465" s="65"/>
    </row>
    <row r="2466" spans="1:14" x14ac:dyDescent="0.25">
      <c r="A2466" s="2"/>
      <c r="B2466" s="11"/>
      <c r="C2466" s="26"/>
      <c r="L2466" s="65"/>
      <c r="M2466" s="71"/>
      <c r="N2466" s="65"/>
    </row>
    <row r="2467" spans="1:14" x14ac:dyDescent="0.25">
      <c r="A2467" s="2"/>
      <c r="B2467" s="11"/>
      <c r="C2467" s="26"/>
      <c r="L2467" s="65"/>
      <c r="M2467" s="71"/>
      <c r="N2467" s="65"/>
    </row>
    <row r="2468" spans="1:14" x14ac:dyDescent="0.25">
      <c r="A2468" s="2"/>
      <c r="B2468" s="11"/>
      <c r="C2468" s="26"/>
      <c r="L2468" s="65"/>
      <c r="M2468" s="71"/>
      <c r="N2468" s="65"/>
    </row>
    <row r="2469" spans="1:14" x14ac:dyDescent="0.25">
      <c r="A2469" s="2"/>
      <c r="B2469" s="11"/>
      <c r="C2469" s="26"/>
      <c r="L2469" s="65"/>
      <c r="M2469" s="71"/>
      <c r="N2469" s="65"/>
    </row>
    <row r="2470" spans="1:14" x14ac:dyDescent="0.25">
      <c r="A2470" s="2"/>
      <c r="B2470" s="11"/>
      <c r="C2470" s="26"/>
      <c r="L2470" s="65"/>
      <c r="M2470" s="71"/>
      <c r="N2470" s="65"/>
    </row>
    <row r="2471" spans="1:14" x14ac:dyDescent="0.25">
      <c r="A2471" s="2"/>
      <c r="B2471" s="11"/>
      <c r="C2471" s="26"/>
      <c r="L2471" s="65"/>
      <c r="M2471" s="71"/>
      <c r="N2471" s="65"/>
    </row>
    <row r="2472" spans="1:14" x14ac:dyDescent="0.25">
      <c r="A2472" s="2"/>
      <c r="B2472" s="11"/>
      <c r="C2472" s="26"/>
      <c r="L2472" s="65"/>
      <c r="M2472" s="71"/>
      <c r="N2472" s="65"/>
    </row>
    <row r="2473" spans="1:14" x14ac:dyDescent="0.25">
      <c r="A2473" s="2"/>
      <c r="B2473" s="11"/>
      <c r="C2473" s="26"/>
      <c r="L2473" s="65"/>
      <c r="M2473" s="71"/>
      <c r="N2473" s="65"/>
    </row>
    <row r="2474" spans="1:14" x14ac:dyDescent="0.25">
      <c r="A2474" s="2"/>
      <c r="B2474" s="11"/>
      <c r="C2474" s="26"/>
      <c r="L2474" s="65"/>
      <c r="M2474" s="71"/>
      <c r="N2474" s="65"/>
    </row>
    <row r="2475" spans="1:14" x14ac:dyDescent="0.25">
      <c r="A2475" s="2"/>
      <c r="B2475" s="11"/>
      <c r="C2475" s="26"/>
      <c r="L2475" s="65"/>
      <c r="M2475" s="71"/>
      <c r="N2475" s="65"/>
    </row>
    <row r="2476" spans="1:14" x14ac:dyDescent="0.25">
      <c r="A2476" s="2"/>
      <c r="B2476" s="11"/>
      <c r="C2476" s="26"/>
      <c r="L2476" s="65"/>
      <c r="M2476" s="71"/>
      <c r="N2476" s="65"/>
    </row>
    <row r="2477" spans="1:14" x14ac:dyDescent="0.25">
      <c r="A2477" s="2"/>
      <c r="B2477" s="11"/>
      <c r="C2477" s="26"/>
      <c r="L2477" s="65"/>
      <c r="M2477" s="71"/>
      <c r="N2477" s="65"/>
    </row>
    <row r="2478" spans="1:14" x14ac:dyDescent="0.25">
      <c r="A2478" s="2"/>
      <c r="B2478" s="11"/>
      <c r="C2478" s="26"/>
      <c r="L2478" s="65"/>
      <c r="M2478" s="71"/>
      <c r="N2478" s="65"/>
    </row>
    <row r="2479" spans="1:14" x14ac:dyDescent="0.25">
      <c r="A2479" s="2"/>
      <c r="B2479" s="11"/>
      <c r="C2479" s="26"/>
      <c r="L2479" s="65"/>
      <c r="M2479" s="71"/>
      <c r="N2479" s="65"/>
    </row>
    <row r="2480" spans="1:14" x14ac:dyDescent="0.25">
      <c r="A2480" s="2"/>
      <c r="B2480" s="11"/>
      <c r="C2480" s="26"/>
      <c r="L2480" s="65"/>
      <c r="M2480" s="71"/>
      <c r="N2480" s="65"/>
    </row>
    <row r="2481" spans="1:14" x14ac:dyDescent="0.25">
      <c r="A2481" s="2"/>
      <c r="B2481" s="11"/>
      <c r="C2481" s="26"/>
      <c r="L2481" s="65"/>
      <c r="M2481" s="71"/>
      <c r="N2481" s="65"/>
    </row>
    <row r="2482" spans="1:14" x14ac:dyDescent="0.25">
      <c r="A2482" s="2"/>
      <c r="B2482" s="11"/>
      <c r="C2482" s="26"/>
      <c r="L2482" s="65"/>
      <c r="M2482" s="71"/>
      <c r="N2482" s="65"/>
    </row>
    <row r="2483" spans="1:14" x14ac:dyDescent="0.25">
      <c r="A2483" s="2"/>
      <c r="B2483" s="11"/>
      <c r="C2483" s="26"/>
      <c r="L2483" s="65"/>
      <c r="M2483" s="71"/>
      <c r="N2483" s="65"/>
    </row>
    <row r="2484" spans="1:14" x14ac:dyDescent="0.25">
      <c r="A2484" s="2"/>
      <c r="B2484" s="11"/>
      <c r="C2484" s="26"/>
      <c r="L2484" s="65"/>
      <c r="M2484" s="71"/>
      <c r="N2484" s="65"/>
    </row>
    <row r="2485" spans="1:14" x14ac:dyDescent="0.25">
      <c r="A2485" s="2"/>
      <c r="B2485" s="11"/>
      <c r="C2485" s="26"/>
      <c r="L2485" s="65"/>
      <c r="M2485" s="71"/>
      <c r="N2485" s="65"/>
    </row>
    <row r="2486" spans="1:14" x14ac:dyDescent="0.25">
      <c r="A2486" s="2"/>
      <c r="B2486" s="11"/>
      <c r="C2486" s="26"/>
      <c r="L2486" s="65"/>
      <c r="M2486" s="71"/>
      <c r="N2486" s="65"/>
    </row>
    <row r="2487" spans="1:14" x14ac:dyDescent="0.25">
      <c r="A2487" s="2"/>
      <c r="B2487" s="11"/>
      <c r="C2487" s="26"/>
      <c r="L2487" s="65"/>
      <c r="M2487" s="71"/>
      <c r="N2487" s="65"/>
    </row>
    <row r="2488" spans="1:14" x14ac:dyDescent="0.25">
      <c r="A2488" s="2"/>
      <c r="B2488" s="11"/>
      <c r="C2488" s="26"/>
      <c r="L2488" s="65"/>
      <c r="M2488" s="71"/>
      <c r="N2488" s="65"/>
    </row>
    <row r="2489" spans="1:14" x14ac:dyDescent="0.25">
      <c r="A2489" s="2"/>
      <c r="B2489" s="11"/>
      <c r="C2489" s="26"/>
      <c r="L2489" s="65"/>
      <c r="M2489" s="71"/>
      <c r="N2489" s="65"/>
    </row>
    <row r="2490" spans="1:14" x14ac:dyDescent="0.25">
      <c r="A2490" s="2"/>
      <c r="B2490" s="11"/>
      <c r="C2490" s="26"/>
      <c r="L2490" s="65"/>
      <c r="M2490" s="71"/>
      <c r="N2490" s="65"/>
    </row>
    <row r="2491" spans="1:14" x14ac:dyDescent="0.25">
      <c r="A2491" s="2"/>
      <c r="B2491" s="11"/>
      <c r="C2491" s="26"/>
      <c r="L2491" s="65"/>
      <c r="M2491" s="71"/>
      <c r="N2491" s="65"/>
    </row>
    <row r="2492" spans="1:14" x14ac:dyDescent="0.25">
      <c r="A2492" s="2"/>
      <c r="B2492" s="11"/>
      <c r="C2492" s="26"/>
      <c r="L2492" s="65"/>
      <c r="M2492" s="71"/>
      <c r="N2492" s="65"/>
    </row>
    <row r="2493" spans="1:14" x14ac:dyDescent="0.25">
      <c r="A2493" s="2"/>
      <c r="B2493" s="11"/>
      <c r="C2493" s="26"/>
      <c r="L2493" s="65"/>
      <c r="M2493" s="71"/>
      <c r="N2493" s="65"/>
    </row>
    <row r="2494" spans="1:14" x14ac:dyDescent="0.25">
      <c r="A2494" s="2"/>
      <c r="B2494" s="11"/>
      <c r="C2494" s="26"/>
      <c r="L2494" s="65"/>
      <c r="M2494" s="71"/>
      <c r="N2494" s="65"/>
    </row>
    <row r="2495" spans="1:14" x14ac:dyDescent="0.25">
      <c r="A2495" s="2"/>
      <c r="B2495" s="11"/>
      <c r="C2495" s="26"/>
      <c r="L2495" s="65"/>
      <c r="M2495" s="71"/>
      <c r="N2495" s="65"/>
    </row>
    <row r="2496" spans="1:14" x14ac:dyDescent="0.25">
      <c r="A2496" s="2"/>
      <c r="B2496" s="11"/>
      <c r="C2496" s="26"/>
      <c r="L2496" s="65"/>
      <c r="M2496" s="71"/>
      <c r="N2496" s="65"/>
    </row>
    <row r="2497" spans="1:14" x14ac:dyDescent="0.25">
      <c r="A2497" s="2"/>
      <c r="B2497" s="11"/>
      <c r="C2497" s="26"/>
      <c r="L2497" s="65"/>
      <c r="M2497" s="71"/>
      <c r="N2497" s="65"/>
    </row>
    <row r="2498" spans="1:14" x14ac:dyDescent="0.25">
      <c r="A2498" s="2"/>
      <c r="B2498" s="11"/>
      <c r="C2498" s="26"/>
      <c r="L2498" s="65"/>
      <c r="M2498" s="71"/>
      <c r="N2498" s="65"/>
    </row>
    <row r="2499" spans="1:14" x14ac:dyDescent="0.25">
      <c r="A2499" s="2"/>
      <c r="B2499" s="11"/>
      <c r="C2499" s="26"/>
      <c r="L2499" s="65"/>
      <c r="M2499" s="71"/>
      <c r="N2499" s="65"/>
    </row>
    <row r="2500" spans="1:14" x14ac:dyDescent="0.25">
      <c r="A2500" s="2"/>
      <c r="B2500" s="11"/>
      <c r="C2500" s="26"/>
      <c r="L2500" s="65"/>
      <c r="M2500" s="71"/>
      <c r="N2500" s="65"/>
    </row>
    <row r="2501" spans="1:14" x14ac:dyDescent="0.25">
      <c r="A2501" s="2"/>
      <c r="B2501" s="11"/>
      <c r="C2501" s="26"/>
      <c r="L2501" s="65"/>
      <c r="M2501" s="71"/>
      <c r="N2501" s="65"/>
    </row>
    <row r="2502" spans="1:14" x14ac:dyDescent="0.25">
      <c r="A2502" s="2"/>
      <c r="B2502" s="11"/>
      <c r="C2502" s="26"/>
      <c r="L2502" s="65"/>
      <c r="M2502" s="71"/>
      <c r="N2502" s="65"/>
    </row>
    <row r="2503" spans="1:14" x14ac:dyDescent="0.25">
      <c r="A2503" s="2"/>
      <c r="B2503" s="11"/>
      <c r="C2503" s="26"/>
      <c r="L2503" s="65"/>
      <c r="M2503" s="71"/>
      <c r="N2503" s="65"/>
    </row>
    <row r="2504" spans="1:14" x14ac:dyDescent="0.25">
      <c r="A2504" s="2"/>
      <c r="B2504" s="11"/>
      <c r="C2504" s="26"/>
      <c r="L2504" s="65"/>
      <c r="M2504" s="71"/>
      <c r="N2504" s="65"/>
    </row>
    <row r="2505" spans="1:14" x14ac:dyDescent="0.25">
      <c r="A2505" s="2"/>
      <c r="B2505" s="11"/>
      <c r="C2505" s="26"/>
      <c r="L2505" s="65"/>
      <c r="M2505" s="71"/>
      <c r="N2505" s="65"/>
    </row>
    <row r="2506" spans="1:14" x14ac:dyDescent="0.25">
      <c r="A2506" s="2"/>
      <c r="B2506" s="11"/>
      <c r="C2506" s="26"/>
      <c r="L2506" s="65"/>
      <c r="M2506" s="71"/>
      <c r="N2506" s="65"/>
    </row>
    <row r="2507" spans="1:14" x14ac:dyDescent="0.25">
      <c r="A2507" s="2"/>
      <c r="B2507" s="11"/>
      <c r="C2507" s="26"/>
      <c r="L2507" s="65"/>
      <c r="M2507" s="71"/>
      <c r="N2507" s="65"/>
    </row>
    <row r="2508" spans="1:14" x14ac:dyDescent="0.25">
      <c r="A2508" s="2"/>
      <c r="B2508" s="11"/>
      <c r="C2508" s="26"/>
      <c r="L2508" s="65"/>
      <c r="M2508" s="71"/>
      <c r="N2508" s="65"/>
    </row>
    <row r="2509" spans="1:14" x14ac:dyDescent="0.25">
      <c r="A2509" s="2"/>
      <c r="B2509" s="11"/>
      <c r="C2509" s="26"/>
      <c r="L2509" s="65"/>
      <c r="M2509" s="71"/>
      <c r="N2509" s="65"/>
    </row>
    <row r="2510" spans="1:14" x14ac:dyDescent="0.25">
      <c r="A2510" s="2"/>
      <c r="B2510" s="11"/>
      <c r="C2510" s="26"/>
      <c r="L2510" s="65"/>
      <c r="M2510" s="71"/>
      <c r="N2510" s="65"/>
    </row>
    <row r="2511" spans="1:14" x14ac:dyDescent="0.25">
      <c r="A2511" s="2"/>
      <c r="B2511" s="11"/>
      <c r="C2511" s="26"/>
      <c r="L2511" s="65"/>
      <c r="M2511" s="71"/>
      <c r="N2511" s="65"/>
    </row>
    <row r="2512" spans="1:14" x14ac:dyDescent="0.25">
      <c r="A2512" s="2"/>
      <c r="B2512" s="11"/>
      <c r="C2512" s="26"/>
      <c r="L2512" s="65"/>
      <c r="M2512" s="71"/>
      <c r="N2512" s="65"/>
    </row>
    <row r="2513" spans="1:14" x14ac:dyDescent="0.25">
      <c r="A2513" s="2"/>
      <c r="B2513" s="11"/>
      <c r="C2513" s="26"/>
      <c r="L2513" s="65"/>
      <c r="M2513" s="71"/>
      <c r="N2513" s="65"/>
    </row>
    <row r="2514" spans="1:14" x14ac:dyDescent="0.25">
      <c r="A2514" s="2"/>
      <c r="B2514" s="11"/>
      <c r="C2514" s="26"/>
      <c r="L2514" s="65"/>
      <c r="M2514" s="71"/>
      <c r="N2514" s="65"/>
    </row>
    <row r="2515" spans="1:14" x14ac:dyDescent="0.25">
      <c r="A2515" s="2"/>
      <c r="B2515" s="11"/>
      <c r="C2515" s="26"/>
      <c r="L2515" s="65"/>
      <c r="M2515" s="71"/>
      <c r="N2515" s="65"/>
    </row>
    <row r="2516" spans="1:14" x14ac:dyDescent="0.25">
      <c r="A2516" s="2"/>
      <c r="B2516" s="11"/>
      <c r="C2516" s="26"/>
      <c r="L2516" s="65"/>
      <c r="M2516" s="71"/>
      <c r="N2516" s="65"/>
    </row>
    <row r="2517" spans="1:14" x14ac:dyDescent="0.25">
      <c r="A2517" s="2"/>
      <c r="B2517" s="11"/>
      <c r="C2517" s="26"/>
      <c r="L2517" s="65"/>
      <c r="M2517" s="71"/>
      <c r="N2517" s="65"/>
    </row>
    <row r="2518" spans="1:14" x14ac:dyDescent="0.25">
      <c r="A2518" s="2"/>
      <c r="B2518" s="11"/>
      <c r="C2518" s="26"/>
      <c r="L2518" s="65"/>
      <c r="M2518" s="71"/>
      <c r="N2518" s="65"/>
    </row>
    <row r="2519" spans="1:14" x14ac:dyDescent="0.25">
      <c r="A2519" s="2"/>
      <c r="B2519" s="11"/>
      <c r="C2519" s="26"/>
      <c r="L2519" s="65"/>
      <c r="M2519" s="71"/>
      <c r="N2519" s="65"/>
    </row>
    <row r="2520" spans="1:14" x14ac:dyDescent="0.25">
      <c r="A2520" s="2"/>
      <c r="B2520" s="11"/>
      <c r="C2520" s="26"/>
      <c r="L2520" s="65"/>
      <c r="M2520" s="71"/>
      <c r="N2520" s="65"/>
    </row>
    <row r="2521" spans="1:14" x14ac:dyDescent="0.25">
      <c r="A2521" s="2"/>
      <c r="B2521" s="11"/>
      <c r="C2521" s="26"/>
      <c r="L2521" s="65"/>
      <c r="M2521" s="71"/>
      <c r="N2521" s="65"/>
    </row>
    <row r="2522" spans="1:14" x14ac:dyDescent="0.25">
      <c r="A2522" s="2"/>
      <c r="B2522" s="11"/>
      <c r="C2522" s="26"/>
      <c r="L2522" s="65"/>
      <c r="M2522" s="71"/>
      <c r="N2522" s="65"/>
    </row>
    <row r="2523" spans="1:14" x14ac:dyDescent="0.25">
      <c r="A2523" s="2"/>
      <c r="B2523" s="11"/>
      <c r="C2523" s="26"/>
      <c r="L2523" s="65"/>
      <c r="M2523" s="71"/>
      <c r="N2523" s="65"/>
    </row>
    <row r="2524" spans="1:14" x14ac:dyDescent="0.25">
      <c r="A2524" s="2"/>
      <c r="B2524" s="11"/>
      <c r="C2524" s="26"/>
      <c r="L2524" s="65"/>
      <c r="M2524" s="71"/>
      <c r="N2524" s="65"/>
    </row>
    <row r="2525" spans="1:14" x14ac:dyDescent="0.25">
      <c r="A2525" s="2"/>
      <c r="B2525" s="11"/>
      <c r="C2525" s="26"/>
      <c r="L2525" s="65"/>
      <c r="M2525" s="71"/>
      <c r="N2525" s="65"/>
    </row>
    <row r="2526" spans="1:14" x14ac:dyDescent="0.25">
      <c r="A2526" s="2"/>
      <c r="B2526" s="11"/>
      <c r="C2526" s="26"/>
      <c r="L2526" s="65"/>
      <c r="M2526" s="71"/>
      <c r="N2526" s="65"/>
    </row>
    <row r="2527" spans="1:14" x14ac:dyDescent="0.25">
      <c r="A2527" s="2"/>
      <c r="B2527" s="11"/>
      <c r="C2527" s="26"/>
      <c r="L2527" s="65"/>
      <c r="M2527" s="71"/>
      <c r="N2527" s="65"/>
    </row>
    <row r="2528" spans="1:14" x14ac:dyDescent="0.25">
      <c r="A2528" s="2"/>
      <c r="B2528" s="11"/>
      <c r="C2528" s="26"/>
      <c r="L2528" s="65"/>
      <c r="M2528" s="71"/>
      <c r="N2528" s="65"/>
    </row>
    <row r="2529" spans="1:14" x14ac:dyDescent="0.25">
      <c r="A2529" s="2"/>
      <c r="B2529" s="11"/>
      <c r="C2529" s="26"/>
      <c r="L2529" s="65"/>
      <c r="M2529" s="71"/>
      <c r="N2529" s="65"/>
    </row>
    <row r="2530" spans="1:14" x14ac:dyDescent="0.25">
      <c r="A2530" s="2"/>
      <c r="B2530" s="11"/>
      <c r="C2530" s="26"/>
      <c r="L2530" s="65"/>
      <c r="M2530" s="71"/>
      <c r="N2530" s="65"/>
    </row>
    <row r="2531" spans="1:14" x14ac:dyDescent="0.25">
      <c r="A2531" s="2"/>
      <c r="B2531" s="11"/>
      <c r="C2531" s="26"/>
      <c r="L2531" s="65"/>
      <c r="M2531" s="71"/>
      <c r="N2531" s="65"/>
    </row>
    <row r="2532" spans="1:14" x14ac:dyDescent="0.25">
      <c r="A2532" s="2"/>
      <c r="B2532" s="11"/>
      <c r="C2532" s="26"/>
      <c r="L2532" s="65"/>
      <c r="M2532" s="71"/>
      <c r="N2532" s="65"/>
    </row>
    <row r="2533" spans="1:14" x14ac:dyDescent="0.25">
      <c r="A2533" s="2"/>
      <c r="B2533" s="11"/>
      <c r="C2533" s="26"/>
      <c r="L2533" s="65"/>
      <c r="M2533" s="71"/>
      <c r="N2533" s="65"/>
    </row>
    <row r="2534" spans="1:14" x14ac:dyDescent="0.25">
      <c r="A2534" s="2"/>
      <c r="B2534" s="11"/>
      <c r="C2534" s="26"/>
      <c r="L2534" s="65"/>
      <c r="M2534" s="71"/>
      <c r="N2534" s="65"/>
    </row>
    <row r="2535" spans="1:14" x14ac:dyDescent="0.25">
      <c r="A2535" s="2"/>
      <c r="B2535" s="11"/>
      <c r="C2535" s="26"/>
      <c r="L2535" s="65"/>
      <c r="M2535" s="71"/>
      <c r="N2535" s="65"/>
    </row>
    <row r="2536" spans="1:14" x14ac:dyDescent="0.25">
      <c r="A2536" s="2"/>
      <c r="B2536" s="11"/>
      <c r="C2536" s="26"/>
      <c r="L2536" s="65"/>
      <c r="M2536" s="71"/>
      <c r="N2536" s="65"/>
    </row>
    <row r="2537" spans="1:14" x14ac:dyDescent="0.25">
      <c r="A2537" s="2"/>
      <c r="B2537" s="11"/>
      <c r="C2537" s="26"/>
      <c r="L2537" s="65"/>
      <c r="M2537" s="71"/>
      <c r="N2537" s="65"/>
    </row>
    <row r="2538" spans="1:14" x14ac:dyDescent="0.25">
      <c r="A2538" s="2"/>
      <c r="B2538" s="11"/>
      <c r="C2538" s="26"/>
      <c r="L2538" s="65"/>
      <c r="M2538" s="71"/>
      <c r="N2538" s="65"/>
    </row>
    <row r="2539" spans="1:14" x14ac:dyDescent="0.25">
      <c r="A2539" s="2"/>
      <c r="B2539" s="11"/>
      <c r="C2539" s="26"/>
      <c r="L2539" s="65"/>
      <c r="M2539" s="71"/>
      <c r="N2539" s="65"/>
    </row>
    <row r="2540" spans="1:14" x14ac:dyDescent="0.25">
      <c r="A2540" s="2"/>
      <c r="B2540" s="11"/>
      <c r="C2540" s="26"/>
      <c r="L2540" s="65"/>
      <c r="M2540" s="71"/>
      <c r="N2540" s="65"/>
    </row>
    <row r="2541" spans="1:14" x14ac:dyDescent="0.25">
      <c r="A2541" s="2"/>
      <c r="B2541" s="11"/>
      <c r="C2541" s="26"/>
      <c r="L2541" s="65"/>
      <c r="M2541" s="71"/>
      <c r="N2541" s="65"/>
    </row>
    <row r="2542" spans="1:14" x14ac:dyDescent="0.25">
      <c r="A2542" s="2"/>
      <c r="B2542" s="11"/>
      <c r="C2542" s="26"/>
      <c r="L2542" s="65"/>
      <c r="M2542" s="71"/>
      <c r="N2542" s="65"/>
    </row>
    <row r="2543" spans="1:14" x14ac:dyDescent="0.25">
      <c r="A2543" s="2"/>
      <c r="B2543" s="11"/>
      <c r="C2543" s="26"/>
      <c r="L2543" s="65"/>
      <c r="M2543" s="71"/>
      <c r="N2543" s="65"/>
    </row>
    <row r="2544" spans="1:14" x14ac:dyDescent="0.25">
      <c r="A2544" s="2"/>
      <c r="B2544" s="11"/>
      <c r="C2544" s="26"/>
      <c r="L2544" s="65"/>
      <c r="M2544" s="71"/>
      <c r="N2544" s="65"/>
    </row>
    <row r="2545" spans="1:14" x14ac:dyDescent="0.25">
      <c r="A2545" s="2"/>
      <c r="B2545" s="11"/>
      <c r="C2545" s="26"/>
      <c r="L2545" s="65"/>
      <c r="M2545" s="71"/>
      <c r="N2545" s="65"/>
    </row>
    <row r="2546" spans="1:14" x14ac:dyDescent="0.25">
      <c r="A2546" s="2"/>
      <c r="B2546" s="11"/>
      <c r="C2546" s="26"/>
      <c r="L2546" s="65"/>
      <c r="M2546" s="71"/>
      <c r="N2546" s="65"/>
    </row>
    <row r="2547" spans="1:14" x14ac:dyDescent="0.25">
      <c r="A2547" s="2"/>
      <c r="B2547" s="11"/>
      <c r="C2547" s="26"/>
      <c r="L2547" s="65"/>
      <c r="M2547" s="71"/>
      <c r="N2547" s="65"/>
    </row>
    <row r="2548" spans="1:14" x14ac:dyDescent="0.25">
      <c r="A2548" s="2"/>
      <c r="B2548" s="11"/>
      <c r="C2548" s="26"/>
      <c r="L2548" s="65"/>
      <c r="M2548" s="71"/>
      <c r="N2548" s="65"/>
    </row>
    <row r="2549" spans="1:14" x14ac:dyDescent="0.25">
      <c r="A2549" s="2"/>
      <c r="B2549" s="11"/>
      <c r="C2549" s="26"/>
      <c r="L2549" s="65"/>
      <c r="M2549" s="71"/>
      <c r="N2549" s="65"/>
    </row>
    <row r="2550" spans="1:14" x14ac:dyDescent="0.25">
      <c r="A2550" s="2"/>
      <c r="B2550" s="11"/>
      <c r="C2550" s="26"/>
      <c r="L2550" s="65"/>
      <c r="M2550" s="71"/>
      <c r="N2550" s="65"/>
    </row>
    <row r="2551" spans="1:14" x14ac:dyDescent="0.25">
      <c r="A2551" s="2"/>
      <c r="B2551" s="11"/>
      <c r="C2551" s="26"/>
      <c r="L2551" s="65"/>
      <c r="M2551" s="71"/>
      <c r="N2551" s="65"/>
    </row>
    <row r="2552" spans="1:14" x14ac:dyDescent="0.25">
      <c r="A2552" s="2"/>
      <c r="B2552" s="11"/>
      <c r="C2552" s="26"/>
      <c r="L2552" s="65"/>
      <c r="M2552" s="71"/>
      <c r="N2552" s="65"/>
    </row>
    <row r="2553" spans="1:14" x14ac:dyDescent="0.25">
      <c r="A2553" s="2"/>
      <c r="B2553" s="11"/>
      <c r="C2553" s="26"/>
      <c r="L2553" s="65"/>
      <c r="M2553" s="71"/>
      <c r="N2553" s="65"/>
    </row>
    <row r="2554" spans="1:14" x14ac:dyDescent="0.25">
      <c r="A2554" s="2"/>
      <c r="B2554" s="11"/>
      <c r="C2554" s="26"/>
      <c r="L2554" s="65"/>
      <c r="M2554" s="71"/>
      <c r="N2554" s="65"/>
    </row>
    <row r="2555" spans="1:14" x14ac:dyDescent="0.25">
      <c r="A2555" s="2"/>
      <c r="B2555" s="11"/>
      <c r="C2555" s="26"/>
      <c r="L2555" s="65"/>
      <c r="M2555" s="71"/>
      <c r="N2555" s="65"/>
    </row>
    <row r="2556" spans="1:14" x14ac:dyDescent="0.25">
      <c r="A2556" s="2"/>
      <c r="B2556" s="11"/>
      <c r="C2556" s="26"/>
      <c r="L2556" s="65"/>
      <c r="M2556" s="71"/>
      <c r="N2556" s="65"/>
    </row>
    <row r="2557" spans="1:14" x14ac:dyDescent="0.25">
      <c r="A2557" s="2"/>
      <c r="B2557" s="11"/>
      <c r="C2557" s="26"/>
      <c r="L2557" s="65"/>
      <c r="M2557" s="71"/>
      <c r="N2557" s="65"/>
    </row>
    <row r="2558" spans="1:14" x14ac:dyDescent="0.25">
      <c r="A2558" s="2"/>
      <c r="B2558" s="11"/>
      <c r="C2558" s="26"/>
      <c r="L2558" s="65"/>
      <c r="M2558" s="71"/>
      <c r="N2558" s="65"/>
    </row>
    <row r="2559" spans="1:14" x14ac:dyDescent="0.25">
      <c r="A2559" s="2"/>
      <c r="B2559" s="11"/>
      <c r="C2559" s="26"/>
      <c r="L2559" s="65"/>
      <c r="M2559" s="71"/>
      <c r="N2559" s="65"/>
    </row>
    <row r="2560" spans="1:14" x14ac:dyDescent="0.25">
      <c r="A2560" s="2"/>
      <c r="B2560" s="11"/>
      <c r="C2560" s="26"/>
      <c r="L2560" s="65"/>
      <c r="M2560" s="71"/>
      <c r="N2560" s="65"/>
    </row>
    <row r="2561" spans="1:14" x14ac:dyDescent="0.25">
      <c r="A2561" s="2"/>
      <c r="B2561" s="11"/>
      <c r="C2561" s="26"/>
      <c r="L2561" s="65"/>
      <c r="M2561" s="71"/>
      <c r="N2561" s="65"/>
    </row>
    <row r="2562" spans="1:14" x14ac:dyDescent="0.25">
      <c r="A2562" s="2"/>
      <c r="B2562" s="11"/>
      <c r="C2562" s="26"/>
      <c r="L2562" s="65"/>
      <c r="M2562" s="71"/>
      <c r="N2562" s="65"/>
    </row>
    <row r="2563" spans="1:14" x14ac:dyDescent="0.25">
      <c r="A2563" s="2"/>
      <c r="B2563" s="11"/>
      <c r="C2563" s="26"/>
      <c r="L2563" s="65"/>
      <c r="M2563" s="71"/>
      <c r="N2563" s="65"/>
    </row>
    <row r="2564" spans="1:14" x14ac:dyDescent="0.25">
      <c r="A2564" s="2"/>
      <c r="B2564" s="11"/>
      <c r="C2564" s="26"/>
      <c r="L2564" s="65"/>
      <c r="M2564" s="71"/>
      <c r="N2564" s="65"/>
    </row>
    <row r="2565" spans="1:14" x14ac:dyDescent="0.25">
      <c r="A2565" s="2"/>
      <c r="B2565" s="11"/>
      <c r="C2565" s="26"/>
      <c r="L2565" s="65"/>
      <c r="M2565" s="71"/>
      <c r="N2565" s="65"/>
    </row>
    <row r="2566" spans="1:14" x14ac:dyDescent="0.25">
      <c r="A2566" s="2"/>
      <c r="B2566" s="11"/>
      <c r="C2566" s="26"/>
      <c r="L2566" s="65"/>
      <c r="M2566" s="71"/>
      <c r="N2566" s="65"/>
    </row>
    <row r="2567" spans="1:14" x14ac:dyDescent="0.25">
      <c r="A2567" s="2"/>
      <c r="B2567" s="11"/>
      <c r="C2567" s="26"/>
      <c r="L2567" s="65"/>
      <c r="M2567" s="71"/>
      <c r="N2567" s="65"/>
    </row>
    <row r="2568" spans="1:14" x14ac:dyDescent="0.25">
      <c r="A2568" s="2"/>
      <c r="B2568" s="11"/>
      <c r="C2568" s="26"/>
      <c r="L2568" s="65"/>
      <c r="M2568" s="71"/>
      <c r="N2568" s="65"/>
    </row>
    <row r="2569" spans="1:14" x14ac:dyDescent="0.25">
      <c r="A2569" s="2"/>
      <c r="B2569" s="11"/>
      <c r="C2569" s="26"/>
      <c r="L2569" s="65"/>
      <c r="M2569" s="71"/>
      <c r="N2569" s="65"/>
    </row>
    <row r="2570" spans="1:14" x14ac:dyDescent="0.25">
      <c r="A2570" s="2"/>
      <c r="B2570" s="11"/>
      <c r="C2570" s="26"/>
      <c r="L2570" s="65"/>
      <c r="M2570" s="71"/>
      <c r="N2570" s="65"/>
    </row>
    <row r="2571" spans="1:14" x14ac:dyDescent="0.25">
      <c r="A2571" s="2"/>
      <c r="B2571" s="11"/>
      <c r="C2571" s="26"/>
      <c r="L2571" s="65"/>
      <c r="M2571" s="71"/>
      <c r="N2571" s="65"/>
    </row>
    <row r="2572" spans="1:14" x14ac:dyDescent="0.25">
      <c r="A2572" s="2"/>
      <c r="B2572" s="11"/>
      <c r="C2572" s="26"/>
      <c r="L2572" s="65"/>
      <c r="M2572" s="71"/>
      <c r="N2572" s="65"/>
    </row>
    <row r="2573" spans="1:14" x14ac:dyDescent="0.25">
      <c r="A2573" s="2"/>
      <c r="B2573" s="11"/>
      <c r="C2573" s="26"/>
      <c r="L2573" s="65"/>
      <c r="M2573" s="71"/>
      <c r="N2573" s="65"/>
    </row>
    <row r="2574" spans="1:14" x14ac:dyDescent="0.25">
      <c r="A2574" s="2"/>
      <c r="B2574" s="11"/>
      <c r="C2574" s="26"/>
      <c r="L2574" s="65"/>
      <c r="M2574" s="71"/>
      <c r="N2574" s="65"/>
    </row>
    <row r="2575" spans="1:14" x14ac:dyDescent="0.25">
      <c r="A2575" s="2"/>
      <c r="B2575" s="11"/>
      <c r="C2575" s="26"/>
      <c r="L2575" s="65"/>
      <c r="M2575" s="71"/>
      <c r="N2575" s="65"/>
    </row>
    <row r="2576" spans="1:14" x14ac:dyDescent="0.25">
      <c r="A2576" s="2"/>
      <c r="B2576" s="11"/>
      <c r="C2576" s="26"/>
      <c r="L2576" s="65"/>
      <c r="M2576" s="71"/>
      <c r="N2576" s="65"/>
    </row>
    <row r="2577" spans="1:14" x14ac:dyDescent="0.25">
      <c r="A2577" s="2"/>
      <c r="B2577" s="11"/>
      <c r="C2577" s="26"/>
      <c r="L2577" s="65"/>
      <c r="M2577" s="71"/>
      <c r="N2577" s="65"/>
    </row>
    <row r="2578" spans="1:14" x14ac:dyDescent="0.25">
      <c r="A2578" s="2"/>
      <c r="B2578" s="11"/>
      <c r="C2578" s="26"/>
      <c r="L2578" s="65"/>
      <c r="M2578" s="71"/>
      <c r="N2578" s="65"/>
    </row>
    <row r="2579" spans="1:14" x14ac:dyDescent="0.25">
      <c r="A2579" s="2"/>
      <c r="B2579" s="11"/>
      <c r="C2579" s="26"/>
      <c r="L2579" s="65"/>
      <c r="M2579" s="71"/>
      <c r="N2579" s="65"/>
    </row>
    <row r="2580" spans="1:14" x14ac:dyDescent="0.25">
      <c r="A2580" s="2"/>
      <c r="B2580" s="11"/>
      <c r="C2580" s="26"/>
      <c r="L2580" s="65"/>
      <c r="M2580" s="71"/>
      <c r="N2580" s="65"/>
    </row>
    <row r="2581" spans="1:14" x14ac:dyDescent="0.25">
      <c r="A2581" s="2"/>
      <c r="B2581" s="11"/>
      <c r="C2581" s="26"/>
      <c r="L2581" s="65"/>
      <c r="M2581" s="71"/>
      <c r="N2581" s="65"/>
    </row>
    <row r="2582" spans="1:14" x14ac:dyDescent="0.25">
      <c r="A2582" s="2"/>
      <c r="B2582" s="11"/>
      <c r="C2582" s="26"/>
      <c r="L2582" s="65"/>
      <c r="M2582" s="71"/>
      <c r="N2582" s="65"/>
    </row>
    <row r="2583" spans="1:14" x14ac:dyDescent="0.25">
      <c r="A2583" s="2"/>
      <c r="B2583" s="11"/>
      <c r="C2583" s="26"/>
      <c r="L2583" s="65"/>
      <c r="M2583" s="71"/>
      <c r="N2583" s="65"/>
    </row>
    <row r="2584" spans="1:14" x14ac:dyDescent="0.25">
      <c r="A2584" s="2"/>
      <c r="B2584" s="11"/>
      <c r="C2584" s="26"/>
      <c r="L2584" s="65"/>
      <c r="M2584" s="71"/>
      <c r="N2584" s="65"/>
    </row>
    <row r="2585" spans="1:14" x14ac:dyDescent="0.25">
      <c r="A2585" s="2"/>
      <c r="B2585" s="11"/>
      <c r="C2585" s="26"/>
      <c r="L2585" s="65"/>
      <c r="M2585" s="71"/>
      <c r="N2585" s="65"/>
    </row>
    <row r="2586" spans="1:14" x14ac:dyDescent="0.25">
      <c r="A2586" s="2"/>
      <c r="B2586" s="11"/>
      <c r="C2586" s="26"/>
      <c r="L2586" s="65"/>
      <c r="M2586" s="71"/>
      <c r="N2586" s="65"/>
    </row>
    <row r="2587" spans="1:14" x14ac:dyDescent="0.25">
      <c r="A2587" s="2"/>
      <c r="B2587" s="11"/>
      <c r="C2587" s="26"/>
      <c r="L2587" s="65"/>
      <c r="M2587" s="71"/>
      <c r="N2587" s="65"/>
    </row>
    <row r="2588" spans="1:14" x14ac:dyDescent="0.25">
      <c r="A2588" s="2"/>
      <c r="B2588" s="11"/>
      <c r="C2588" s="26"/>
      <c r="L2588" s="65"/>
      <c r="M2588" s="71"/>
      <c r="N2588" s="65"/>
    </row>
    <row r="2589" spans="1:14" x14ac:dyDescent="0.25">
      <c r="A2589" s="2"/>
      <c r="B2589" s="11"/>
      <c r="C2589" s="26"/>
      <c r="L2589" s="65"/>
      <c r="M2589" s="71"/>
      <c r="N2589" s="65"/>
    </row>
    <row r="2590" spans="1:14" x14ac:dyDescent="0.25">
      <c r="A2590" s="2"/>
      <c r="B2590" s="11"/>
      <c r="C2590" s="26"/>
      <c r="L2590" s="65"/>
      <c r="M2590" s="71"/>
      <c r="N2590" s="65"/>
    </row>
    <row r="2591" spans="1:14" x14ac:dyDescent="0.25">
      <c r="A2591" s="2"/>
      <c r="B2591" s="11"/>
      <c r="C2591" s="26"/>
      <c r="L2591" s="65"/>
      <c r="M2591" s="71"/>
      <c r="N2591" s="65"/>
    </row>
    <row r="2592" spans="1:14" x14ac:dyDescent="0.25">
      <c r="A2592" s="2"/>
      <c r="B2592" s="11"/>
      <c r="C2592" s="26"/>
      <c r="L2592" s="65"/>
      <c r="M2592" s="71"/>
      <c r="N2592" s="65"/>
    </row>
    <row r="2593" spans="1:14" x14ac:dyDescent="0.25">
      <c r="A2593" s="2"/>
      <c r="B2593" s="11"/>
      <c r="C2593" s="26"/>
      <c r="L2593" s="65"/>
      <c r="M2593" s="71"/>
      <c r="N2593" s="65"/>
    </row>
    <row r="2594" spans="1:14" x14ac:dyDescent="0.25">
      <c r="A2594" s="2"/>
      <c r="B2594" s="11"/>
      <c r="C2594" s="26"/>
      <c r="L2594" s="65"/>
      <c r="M2594" s="71"/>
      <c r="N2594" s="65"/>
    </row>
    <row r="2595" spans="1:14" x14ac:dyDescent="0.25">
      <c r="A2595" s="2"/>
      <c r="B2595" s="11"/>
      <c r="C2595" s="26"/>
      <c r="L2595" s="65"/>
      <c r="M2595" s="71"/>
      <c r="N2595" s="65"/>
    </row>
    <row r="2596" spans="1:14" x14ac:dyDescent="0.25">
      <c r="A2596" s="2"/>
      <c r="B2596" s="11"/>
      <c r="C2596" s="26"/>
      <c r="L2596" s="65"/>
      <c r="M2596" s="71"/>
      <c r="N2596" s="65"/>
    </row>
    <row r="2597" spans="1:14" x14ac:dyDescent="0.25">
      <c r="A2597" s="2"/>
      <c r="B2597" s="11"/>
      <c r="C2597" s="26"/>
      <c r="L2597" s="65"/>
      <c r="M2597" s="71"/>
      <c r="N2597" s="65"/>
    </row>
    <row r="2598" spans="1:14" x14ac:dyDescent="0.25">
      <c r="A2598" s="2"/>
      <c r="B2598" s="11"/>
      <c r="C2598" s="26"/>
      <c r="L2598" s="65"/>
      <c r="M2598" s="71"/>
      <c r="N2598" s="65"/>
    </row>
    <row r="2599" spans="1:14" x14ac:dyDescent="0.25">
      <c r="A2599" s="2"/>
      <c r="B2599" s="11"/>
      <c r="C2599" s="26"/>
      <c r="L2599" s="65"/>
      <c r="M2599" s="71"/>
      <c r="N2599" s="65"/>
    </row>
    <row r="2600" spans="1:14" x14ac:dyDescent="0.25">
      <c r="A2600" s="2"/>
      <c r="B2600" s="11"/>
      <c r="C2600" s="26"/>
      <c r="L2600" s="65"/>
      <c r="M2600" s="71"/>
      <c r="N2600" s="65"/>
    </row>
    <row r="2601" spans="1:14" x14ac:dyDescent="0.25">
      <c r="A2601" s="2"/>
      <c r="B2601" s="11"/>
      <c r="C2601" s="26"/>
      <c r="L2601" s="65"/>
      <c r="M2601" s="71"/>
      <c r="N2601" s="65"/>
    </row>
    <row r="2602" spans="1:14" x14ac:dyDescent="0.25">
      <c r="A2602" s="2"/>
      <c r="B2602" s="11"/>
      <c r="C2602" s="26"/>
      <c r="L2602" s="65"/>
      <c r="M2602" s="71"/>
      <c r="N2602" s="65"/>
    </row>
    <row r="2603" spans="1:14" x14ac:dyDescent="0.25">
      <c r="A2603" s="2"/>
      <c r="B2603" s="11"/>
      <c r="C2603" s="26"/>
      <c r="L2603" s="65"/>
      <c r="M2603" s="71"/>
      <c r="N2603" s="65"/>
    </row>
    <row r="2604" spans="1:14" x14ac:dyDescent="0.25">
      <c r="A2604" s="2"/>
      <c r="B2604" s="11"/>
      <c r="C2604" s="26"/>
      <c r="L2604" s="65"/>
      <c r="M2604" s="71"/>
      <c r="N2604" s="65"/>
    </row>
    <row r="2605" spans="1:14" x14ac:dyDescent="0.25">
      <c r="A2605" s="2"/>
      <c r="B2605" s="11"/>
      <c r="C2605" s="26"/>
      <c r="L2605" s="65"/>
      <c r="M2605" s="71"/>
      <c r="N2605" s="65"/>
    </row>
    <row r="2606" spans="1:14" x14ac:dyDescent="0.25">
      <c r="A2606" s="2"/>
      <c r="B2606" s="11"/>
      <c r="C2606" s="26"/>
      <c r="L2606" s="65"/>
      <c r="M2606" s="71"/>
      <c r="N2606" s="65"/>
    </row>
    <row r="2607" spans="1:14" x14ac:dyDescent="0.25">
      <c r="A2607" s="2"/>
      <c r="B2607" s="11"/>
      <c r="C2607" s="26"/>
      <c r="L2607" s="65"/>
      <c r="M2607" s="71"/>
      <c r="N2607" s="65"/>
    </row>
    <row r="2608" spans="1:14" x14ac:dyDescent="0.25">
      <c r="A2608" s="2"/>
      <c r="B2608" s="11"/>
      <c r="C2608" s="26"/>
      <c r="L2608" s="65"/>
      <c r="M2608" s="71"/>
      <c r="N2608" s="65"/>
    </row>
    <row r="2609" spans="1:14" x14ac:dyDescent="0.25">
      <c r="A2609" s="2"/>
      <c r="B2609" s="11"/>
      <c r="C2609" s="26"/>
      <c r="L2609" s="65"/>
      <c r="M2609" s="71"/>
      <c r="N2609" s="65"/>
    </row>
    <row r="2610" spans="1:14" x14ac:dyDescent="0.25">
      <c r="A2610" s="2"/>
      <c r="B2610" s="11"/>
      <c r="C2610" s="26"/>
      <c r="L2610" s="65"/>
      <c r="M2610" s="71"/>
      <c r="N2610" s="65"/>
    </row>
    <row r="2611" spans="1:14" x14ac:dyDescent="0.25">
      <c r="A2611" s="2"/>
      <c r="B2611" s="11"/>
      <c r="C2611" s="26"/>
      <c r="L2611" s="65"/>
      <c r="M2611" s="71"/>
      <c r="N2611" s="65"/>
    </row>
    <row r="2612" spans="1:14" x14ac:dyDescent="0.25">
      <c r="A2612" s="2"/>
      <c r="B2612" s="11"/>
      <c r="C2612" s="26"/>
      <c r="L2612" s="65"/>
      <c r="M2612" s="71"/>
      <c r="N2612" s="65"/>
    </row>
    <row r="2613" spans="1:14" x14ac:dyDescent="0.25">
      <c r="A2613" s="2"/>
      <c r="B2613" s="11"/>
      <c r="C2613" s="26"/>
      <c r="L2613" s="65"/>
      <c r="M2613" s="71"/>
      <c r="N2613" s="65"/>
    </row>
    <row r="2614" spans="1:14" x14ac:dyDescent="0.25">
      <c r="A2614" s="2"/>
      <c r="B2614" s="11"/>
      <c r="C2614" s="26"/>
      <c r="L2614" s="65"/>
      <c r="M2614" s="71"/>
      <c r="N2614" s="65"/>
    </row>
    <row r="2615" spans="1:14" x14ac:dyDescent="0.25">
      <c r="A2615" s="2"/>
      <c r="B2615" s="11"/>
      <c r="C2615" s="26"/>
      <c r="L2615" s="65"/>
      <c r="M2615" s="71"/>
      <c r="N2615" s="65"/>
    </row>
    <row r="2616" spans="1:14" x14ac:dyDescent="0.25">
      <c r="A2616" s="2"/>
      <c r="B2616" s="11"/>
      <c r="C2616" s="26"/>
      <c r="L2616" s="65"/>
      <c r="M2616" s="71"/>
      <c r="N2616" s="65"/>
    </row>
    <row r="2617" spans="1:14" x14ac:dyDescent="0.25">
      <c r="A2617" s="2"/>
      <c r="B2617" s="11"/>
      <c r="C2617" s="26"/>
      <c r="L2617" s="65"/>
      <c r="M2617" s="71"/>
      <c r="N2617" s="65"/>
    </row>
    <row r="2618" spans="1:14" x14ac:dyDescent="0.25">
      <c r="A2618" s="2"/>
      <c r="B2618" s="11"/>
      <c r="C2618" s="26"/>
      <c r="L2618" s="65"/>
      <c r="M2618" s="71"/>
      <c r="N2618" s="65"/>
    </row>
    <row r="2619" spans="1:14" x14ac:dyDescent="0.25">
      <c r="A2619" s="2"/>
      <c r="B2619" s="11"/>
      <c r="C2619" s="26"/>
      <c r="L2619" s="65"/>
      <c r="M2619" s="71"/>
      <c r="N2619" s="65"/>
    </row>
    <row r="2620" spans="1:14" x14ac:dyDescent="0.25">
      <c r="A2620" s="2"/>
      <c r="B2620" s="11"/>
      <c r="C2620" s="26"/>
      <c r="L2620" s="65"/>
      <c r="M2620" s="71"/>
      <c r="N2620" s="65"/>
    </row>
    <row r="2621" spans="1:14" x14ac:dyDescent="0.25">
      <c r="A2621" s="2"/>
      <c r="B2621" s="11"/>
      <c r="C2621" s="26"/>
      <c r="L2621" s="65"/>
      <c r="M2621" s="71"/>
      <c r="N2621" s="65"/>
    </row>
    <row r="2622" spans="1:14" x14ac:dyDescent="0.25">
      <c r="A2622" s="2"/>
      <c r="B2622" s="11"/>
      <c r="C2622" s="26"/>
      <c r="L2622" s="65"/>
      <c r="M2622" s="71"/>
      <c r="N2622" s="65"/>
    </row>
    <row r="2623" spans="1:14" x14ac:dyDescent="0.25">
      <c r="A2623" s="2"/>
      <c r="B2623" s="11"/>
      <c r="C2623" s="26"/>
      <c r="L2623" s="65"/>
      <c r="M2623" s="71"/>
      <c r="N2623" s="65"/>
    </row>
    <row r="2624" spans="1:14" x14ac:dyDescent="0.25">
      <c r="A2624" s="2"/>
      <c r="B2624" s="11"/>
      <c r="C2624" s="26"/>
      <c r="L2624" s="65"/>
      <c r="M2624" s="71"/>
      <c r="N2624" s="65"/>
    </row>
    <row r="2625" spans="1:14" x14ac:dyDescent="0.25">
      <c r="A2625" s="2"/>
      <c r="B2625" s="11"/>
      <c r="C2625" s="26"/>
      <c r="L2625" s="65"/>
      <c r="M2625" s="71"/>
      <c r="N2625" s="65"/>
    </row>
    <row r="2626" spans="1:14" x14ac:dyDescent="0.25">
      <c r="A2626" s="2"/>
      <c r="B2626" s="11"/>
      <c r="C2626" s="26"/>
      <c r="L2626" s="65"/>
      <c r="M2626" s="71"/>
      <c r="N2626" s="65"/>
    </row>
    <row r="2627" spans="1:14" x14ac:dyDescent="0.25">
      <c r="A2627" s="2"/>
      <c r="B2627" s="11"/>
      <c r="C2627" s="26"/>
      <c r="L2627" s="65"/>
      <c r="M2627" s="71"/>
      <c r="N2627" s="65"/>
    </row>
    <row r="2628" spans="1:14" x14ac:dyDescent="0.25">
      <c r="A2628" s="2"/>
      <c r="B2628" s="11"/>
      <c r="C2628" s="26"/>
      <c r="L2628" s="65"/>
      <c r="M2628" s="71"/>
      <c r="N2628" s="65"/>
    </row>
    <row r="2629" spans="1:14" x14ac:dyDescent="0.25">
      <c r="A2629" s="2"/>
      <c r="B2629" s="11"/>
      <c r="C2629" s="26"/>
      <c r="L2629" s="65"/>
      <c r="M2629" s="71"/>
      <c r="N2629" s="65"/>
    </row>
    <row r="2630" spans="1:14" x14ac:dyDescent="0.25">
      <c r="A2630" s="2"/>
      <c r="B2630" s="11"/>
      <c r="C2630" s="26"/>
      <c r="L2630" s="65"/>
      <c r="M2630" s="71"/>
      <c r="N2630" s="65"/>
    </row>
    <row r="2631" spans="1:14" x14ac:dyDescent="0.25">
      <c r="A2631" s="2"/>
      <c r="B2631" s="11"/>
      <c r="C2631" s="26"/>
      <c r="L2631" s="65"/>
      <c r="M2631" s="71"/>
      <c r="N2631" s="65"/>
    </row>
    <row r="2632" spans="1:14" x14ac:dyDescent="0.25">
      <c r="A2632" s="2"/>
      <c r="B2632" s="11"/>
      <c r="C2632" s="26"/>
      <c r="L2632" s="65"/>
      <c r="M2632" s="71"/>
      <c r="N2632" s="65"/>
    </row>
    <row r="2633" spans="1:14" x14ac:dyDescent="0.25">
      <c r="A2633" s="2"/>
      <c r="B2633" s="11"/>
      <c r="C2633" s="26"/>
      <c r="L2633" s="65"/>
      <c r="M2633" s="71"/>
      <c r="N2633" s="65"/>
    </row>
    <row r="2634" spans="1:14" x14ac:dyDescent="0.25">
      <c r="A2634" s="2"/>
      <c r="B2634" s="11"/>
      <c r="C2634" s="26"/>
      <c r="L2634" s="65"/>
      <c r="M2634" s="71"/>
      <c r="N2634" s="65"/>
    </row>
    <row r="2635" spans="1:14" x14ac:dyDescent="0.25">
      <c r="A2635" s="2"/>
      <c r="B2635" s="11"/>
      <c r="C2635" s="26"/>
      <c r="L2635" s="65"/>
      <c r="M2635" s="71"/>
      <c r="N2635" s="65"/>
    </row>
    <row r="2636" spans="1:14" x14ac:dyDescent="0.25">
      <c r="A2636" s="2"/>
      <c r="B2636" s="11"/>
      <c r="C2636" s="26"/>
      <c r="L2636" s="65"/>
      <c r="M2636" s="71"/>
      <c r="N2636" s="65"/>
    </row>
    <row r="2637" spans="1:14" x14ac:dyDescent="0.25">
      <c r="A2637" s="2"/>
      <c r="B2637" s="11"/>
      <c r="C2637" s="26"/>
      <c r="L2637" s="65"/>
      <c r="M2637" s="71"/>
      <c r="N2637" s="65"/>
    </row>
    <row r="2638" spans="1:14" x14ac:dyDescent="0.25">
      <c r="A2638" s="2"/>
      <c r="B2638" s="11"/>
      <c r="C2638" s="26"/>
      <c r="L2638" s="65"/>
      <c r="M2638" s="71"/>
      <c r="N2638" s="65"/>
    </row>
    <row r="2639" spans="1:14" x14ac:dyDescent="0.25">
      <c r="A2639" s="2"/>
      <c r="B2639" s="11"/>
      <c r="C2639" s="26"/>
      <c r="L2639" s="65"/>
      <c r="M2639" s="71"/>
      <c r="N2639" s="65"/>
    </row>
    <row r="2640" spans="1:14" x14ac:dyDescent="0.25">
      <c r="A2640" s="2"/>
      <c r="B2640" s="11"/>
      <c r="C2640" s="26"/>
      <c r="L2640" s="65"/>
      <c r="M2640" s="71"/>
      <c r="N2640" s="65"/>
    </row>
    <row r="2641" spans="1:14" x14ac:dyDescent="0.25">
      <c r="A2641" s="2"/>
      <c r="B2641" s="11"/>
      <c r="C2641" s="26"/>
      <c r="L2641" s="65"/>
      <c r="M2641" s="71"/>
      <c r="N2641" s="65"/>
    </row>
    <row r="2642" spans="1:14" x14ac:dyDescent="0.25">
      <c r="A2642" s="2"/>
      <c r="B2642" s="11"/>
      <c r="C2642" s="26"/>
      <c r="L2642" s="65"/>
      <c r="M2642" s="71"/>
      <c r="N2642" s="65"/>
    </row>
    <row r="2643" spans="1:14" x14ac:dyDescent="0.25">
      <c r="A2643" s="2"/>
      <c r="B2643" s="11"/>
      <c r="C2643" s="26"/>
      <c r="L2643" s="65"/>
      <c r="M2643" s="71"/>
      <c r="N2643" s="65"/>
    </row>
    <row r="2644" spans="1:14" x14ac:dyDescent="0.25">
      <c r="A2644" s="2"/>
      <c r="B2644" s="11"/>
      <c r="C2644" s="26"/>
      <c r="L2644" s="65"/>
      <c r="M2644" s="71"/>
      <c r="N2644" s="65"/>
    </row>
    <row r="2645" spans="1:14" x14ac:dyDescent="0.25">
      <c r="A2645" s="2"/>
      <c r="B2645" s="11"/>
      <c r="C2645" s="26"/>
      <c r="L2645" s="65"/>
      <c r="M2645" s="71"/>
      <c r="N2645" s="65"/>
    </row>
    <row r="2646" spans="1:14" x14ac:dyDescent="0.25">
      <c r="A2646" s="2"/>
      <c r="B2646" s="11"/>
      <c r="C2646" s="26"/>
      <c r="L2646" s="65"/>
      <c r="M2646" s="71"/>
      <c r="N2646" s="65"/>
    </row>
    <row r="2647" spans="1:14" x14ac:dyDescent="0.25">
      <c r="A2647" s="2"/>
      <c r="B2647" s="11"/>
      <c r="C2647" s="26"/>
      <c r="L2647" s="65"/>
      <c r="M2647" s="71"/>
      <c r="N2647" s="65"/>
    </row>
    <row r="2648" spans="1:14" x14ac:dyDescent="0.25">
      <c r="A2648" s="2"/>
      <c r="B2648" s="11"/>
      <c r="C2648" s="26"/>
      <c r="L2648" s="65"/>
      <c r="M2648" s="71"/>
      <c r="N2648" s="65"/>
    </row>
    <row r="2649" spans="1:14" x14ac:dyDescent="0.25">
      <c r="A2649" s="2"/>
      <c r="B2649" s="11"/>
      <c r="C2649" s="26"/>
      <c r="L2649" s="65"/>
      <c r="M2649" s="71"/>
      <c r="N2649" s="65"/>
    </row>
    <row r="2650" spans="1:14" x14ac:dyDescent="0.25">
      <c r="A2650" s="2"/>
      <c r="B2650" s="11"/>
      <c r="C2650" s="26"/>
      <c r="L2650" s="65"/>
      <c r="M2650" s="71"/>
      <c r="N2650" s="65"/>
    </row>
    <row r="2651" spans="1:14" x14ac:dyDescent="0.25">
      <c r="A2651" s="2"/>
      <c r="B2651" s="11"/>
      <c r="C2651" s="26"/>
      <c r="L2651" s="65"/>
      <c r="M2651" s="71"/>
      <c r="N2651" s="65"/>
    </row>
    <row r="2652" spans="1:14" x14ac:dyDescent="0.25">
      <c r="A2652" s="2"/>
      <c r="B2652" s="11"/>
      <c r="C2652" s="26"/>
      <c r="L2652" s="65"/>
      <c r="M2652" s="71"/>
      <c r="N2652" s="65"/>
    </row>
    <row r="2653" spans="1:14" x14ac:dyDescent="0.25">
      <c r="A2653" s="2"/>
      <c r="B2653" s="11"/>
      <c r="C2653" s="26"/>
      <c r="L2653" s="65"/>
      <c r="M2653" s="71"/>
      <c r="N2653" s="65"/>
    </row>
    <row r="2654" spans="1:14" x14ac:dyDescent="0.25">
      <c r="A2654" s="2"/>
      <c r="B2654" s="11"/>
      <c r="C2654" s="26"/>
      <c r="L2654" s="65"/>
      <c r="M2654" s="71"/>
      <c r="N2654" s="65"/>
    </row>
    <row r="2655" spans="1:14" x14ac:dyDescent="0.25">
      <c r="A2655" s="2"/>
      <c r="B2655" s="11"/>
      <c r="C2655" s="26"/>
      <c r="L2655" s="65"/>
      <c r="M2655" s="71"/>
      <c r="N2655" s="65"/>
    </row>
    <row r="2656" spans="1:14" x14ac:dyDescent="0.25">
      <c r="A2656" s="2"/>
      <c r="B2656" s="11"/>
      <c r="C2656" s="26"/>
      <c r="L2656" s="65"/>
      <c r="M2656" s="71"/>
      <c r="N2656" s="65"/>
    </row>
    <row r="2657" spans="1:14" x14ac:dyDescent="0.25">
      <c r="A2657" s="2"/>
      <c r="B2657" s="11"/>
      <c r="C2657" s="26"/>
      <c r="L2657" s="65"/>
      <c r="M2657" s="71"/>
      <c r="N2657" s="65"/>
    </row>
    <row r="2658" spans="1:14" x14ac:dyDescent="0.25">
      <c r="A2658" s="2"/>
      <c r="B2658" s="11"/>
      <c r="C2658" s="26"/>
      <c r="L2658" s="65"/>
      <c r="M2658" s="71"/>
      <c r="N2658" s="65"/>
    </row>
    <row r="2659" spans="1:14" x14ac:dyDescent="0.25">
      <c r="A2659" s="2"/>
      <c r="B2659" s="11"/>
      <c r="C2659" s="26"/>
      <c r="L2659" s="65"/>
      <c r="M2659" s="71"/>
      <c r="N2659" s="65"/>
    </row>
    <row r="2660" spans="1:14" x14ac:dyDescent="0.25">
      <c r="A2660" s="2"/>
      <c r="B2660" s="11"/>
      <c r="C2660" s="26"/>
      <c r="L2660" s="65"/>
      <c r="M2660" s="71"/>
      <c r="N2660" s="65"/>
    </row>
    <row r="2661" spans="1:14" x14ac:dyDescent="0.25">
      <c r="A2661" s="2"/>
      <c r="B2661" s="11"/>
      <c r="C2661" s="26"/>
      <c r="L2661" s="65"/>
      <c r="M2661" s="71"/>
      <c r="N2661" s="65"/>
    </row>
    <row r="2662" spans="1:14" x14ac:dyDescent="0.25">
      <c r="A2662" s="2"/>
      <c r="B2662" s="11"/>
      <c r="C2662" s="26"/>
      <c r="L2662" s="65"/>
      <c r="M2662" s="71"/>
      <c r="N2662" s="65"/>
    </row>
    <row r="2663" spans="1:14" x14ac:dyDescent="0.25">
      <c r="A2663" s="2"/>
      <c r="B2663" s="11"/>
      <c r="C2663" s="26"/>
      <c r="L2663" s="65"/>
      <c r="M2663" s="71"/>
      <c r="N2663" s="65"/>
    </row>
    <row r="2664" spans="1:14" x14ac:dyDescent="0.25">
      <c r="A2664" s="2"/>
      <c r="B2664" s="11"/>
      <c r="C2664" s="26"/>
      <c r="L2664" s="65"/>
      <c r="M2664" s="71"/>
      <c r="N2664" s="65"/>
    </row>
    <row r="2665" spans="1:14" x14ac:dyDescent="0.25">
      <c r="A2665" s="2"/>
      <c r="B2665" s="11"/>
      <c r="C2665" s="26"/>
      <c r="L2665" s="65"/>
      <c r="M2665" s="71"/>
      <c r="N2665" s="65"/>
    </row>
    <row r="2666" spans="1:14" x14ac:dyDescent="0.25">
      <c r="A2666" s="2"/>
      <c r="B2666" s="11"/>
      <c r="C2666" s="26"/>
      <c r="L2666" s="65"/>
      <c r="M2666" s="71"/>
      <c r="N2666" s="65"/>
    </row>
    <row r="2667" spans="1:14" x14ac:dyDescent="0.25">
      <c r="A2667" s="2"/>
      <c r="B2667" s="11"/>
      <c r="C2667" s="26"/>
      <c r="L2667" s="65"/>
      <c r="M2667" s="71"/>
      <c r="N2667" s="65"/>
    </row>
    <row r="2668" spans="1:14" x14ac:dyDescent="0.25">
      <c r="A2668" s="2"/>
      <c r="B2668" s="11"/>
      <c r="C2668" s="26"/>
      <c r="L2668" s="65"/>
      <c r="M2668" s="71"/>
      <c r="N2668" s="65"/>
    </row>
    <row r="2669" spans="1:14" x14ac:dyDescent="0.25">
      <c r="A2669" s="2"/>
      <c r="B2669" s="11"/>
      <c r="C2669" s="26"/>
      <c r="L2669" s="65"/>
      <c r="M2669" s="71"/>
      <c r="N2669" s="65"/>
    </row>
    <row r="2670" spans="1:14" x14ac:dyDescent="0.25">
      <c r="A2670" s="2"/>
      <c r="B2670" s="11"/>
      <c r="C2670" s="26"/>
      <c r="L2670" s="65"/>
      <c r="M2670" s="71"/>
      <c r="N2670" s="65"/>
    </row>
    <row r="2671" spans="1:14" x14ac:dyDescent="0.25">
      <c r="A2671" s="2"/>
      <c r="B2671" s="11"/>
      <c r="C2671" s="26"/>
      <c r="L2671" s="65"/>
      <c r="M2671" s="71"/>
      <c r="N2671" s="65"/>
    </row>
    <row r="2672" spans="1:14" x14ac:dyDescent="0.25">
      <c r="A2672" s="2"/>
      <c r="B2672" s="11"/>
      <c r="C2672" s="26"/>
      <c r="L2672" s="65"/>
      <c r="M2672" s="71"/>
      <c r="N2672" s="65"/>
    </row>
    <row r="2673" spans="1:14" x14ac:dyDescent="0.25">
      <c r="A2673" s="2"/>
      <c r="B2673" s="11"/>
      <c r="C2673" s="26"/>
      <c r="L2673" s="65"/>
      <c r="M2673" s="71"/>
      <c r="N2673" s="65"/>
    </row>
    <row r="2674" spans="1:14" x14ac:dyDescent="0.25">
      <c r="A2674" s="2"/>
      <c r="B2674" s="11"/>
      <c r="C2674" s="26"/>
      <c r="L2674" s="65"/>
      <c r="M2674" s="71"/>
      <c r="N2674" s="65"/>
    </row>
    <row r="2675" spans="1:14" x14ac:dyDescent="0.25">
      <c r="A2675" s="2"/>
      <c r="B2675" s="11"/>
      <c r="C2675" s="26"/>
      <c r="L2675" s="65"/>
      <c r="M2675" s="71"/>
      <c r="N2675" s="65"/>
    </row>
    <row r="2676" spans="1:14" x14ac:dyDescent="0.25">
      <c r="A2676" s="2"/>
      <c r="B2676" s="11"/>
      <c r="C2676" s="26"/>
      <c r="L2676" s="65"/>
      <c r="M2676" s="71"/>
      <c r="N2676" s="65"/>
    </row>
    <row r="2677" spans="1:14" x14ac:dyDescent="0.25">
      <c r="A2677" s="2"/>
      <c r="B2677" s="11"/>
      <c r="C2677" s="26"/>
      <c r="L2677" s="65"/>
      <c r="M2677" s="71"/>
      <c r="N2677" s="65"/>
    </row>
    <row r="2678" spans="1:14" x14ac:dyDescent="0.25">
      <c r="A2678" s="2"/>
      <c r="B2678" s="11"/>
      <c r="C2678" s="26"/>
      <c r="L2678" s="65"/>
      <c r="M2678" s="71"/>
      <c r="N2678" s="65"/>
    </row>
    <row r="2679" spans="1:14" x14ac:dyDescent="0.25">
      <c r="A2679" s="2"/>
      <c r="B2679" s="11"/>
      <c r="C2679" s="26"/>
      <c r="L2679" s="65"/>
      <c r="M2679" s="71"/>
      <c r="N2679" s="65"/>
    </row>
    <row r="2680" spans="1:14" x14ac:dyDescent="0.25">
      <c r="A2680" s="2"/>
      <c r="B2680" s="11"/>
      <c r="C2680" s="26"/>
      <c r="L2680" s="65"/>
      <c r="M2680" s="71"/>
      <c r="N2680" s="65"/>
    </row>
    <row r="2681" spans="1:14" x14ac:dyDescent="0.25">
      <c r="A2681" s="2"/>
      <c r="B2681" s="11"/>
      <c r="C2681" s="26"/>
      <c r="L2681" s="65"/>
      <c r="M2681" s="71"/>
      <c r="N2681" s="65"/>
    </row>
    <row r="2682" spans="1:14" x14ac:dyDescent="0.25">
      <c r="A2682" s="2"/>
      <c r="B2682" s="11"/>
      <c r="C2682" s="26"/>
      <c r="L2682" s="65"/>
      <c r="M2682" s="71"/>
      <c r="N2682" s="65"/>
    </row>
    <row r="2683" spans="1:14" x14ac:dyDescent="0.25">
      <c r="A2683" s="2"/>
      <c r="B2683" s="11"/>
      <c r="C2683" s="26"/>
      <c r="L2683" s="65"/>
      <c r="M2683" s="71"/>
      <c r="N2683" s="65"/>
    </row>
    <row r="2684" spans="1:14" x14ac:dyDescent="0.25">
      <c r="A2684" s="2"/>
      <c r="B2684" s="11"/>
      <c r="C2684" s="26"/>
      <c r="L2684" s="65"/>
      <c r="M2684" s="71"/>
      <c r="N2684" s="65"/>
    </row>
    <row r="2685" spans="1:14" x14ac:dyDescent="0.25">
      <c r="A2685" s="2"/>
      <c r="B2685" s="11"/>
      <c r="C2685" s="26"/>
      <c r="L2685" s="65"/>
      <c r="M2685" s="71"/>
      <c r="N2685" s="65"/>
    </row>
    <row r="2686" spans="1:14" x14ac:dyDescent="0.25">
      <c r="A2686" s="2"/>
      <c r="B2686" s="11"/>
      <c r="C2686" s="26"/>
      <c r="L2686" s="65"/>
      <c r="M2686" s="71"/>
      <c r="N2686" s="65"/>
    </row>
    <row r="2687" spans="1:14" x14ac:dyDescent="0.25">
      <c r="A2687" s="2"/>
      <c r="B2687" s="11"/>
      <c r="C2687" s="26"/>
      <c r="L2687" s="65"/>
      <c r="M2687" s="71"/>
      <c r="N2687" s="65"/>
    </row>
    <row r="2688" spans="1:14" x14ac:dyDescent="0.25">
      <c r="A2688" s="2"/>
      <c r="B2688" s="11"/>
      <c r="C2688" s="26"/>
      <c r="L2688" s="65"/>
      <c r="M2688" s="71"/>
      <c r="N2688" s="65"/>
    </row>
    <row r="2689" spans="1:14" x14ac:dyDescent="0.25">
      <c r="A2689" s="2"/>
      <c r="B2689" s="11"/>
      <c r="C2689" s="26"/>
      <c r="L2689" s="65"/>
      <c r="M2689" s="71"/>
      <c r="N2689" s="65"/>
    </row>
    <row r="2690" spans="1:14" x14ac:dyDescent="0.25">
      <c r="A2690" s="2"/>
      <c r="B2690" s="11"/>
      <c r="C2690" s="26"/>
      <c r="L2690" s="65"/>
      <c r="M2690" s="71"/>
      <c r="N2690" s="65"/>
    </row>
    <row r="2691" spans="1:14" x14ac:dyDescent="0.25">
      <c r="A2691" s="2"/>
      <c r="B2691" s="11"/>
      <c r="C2691" s="26"/>
      <c r="L2691" s="65"/>
      <c r="M2691" s="71"/>
      <c r="N2691" s="65"/>
    </row>
    <row r="2692" spans="1:14" x14ac:dyDescent="0.25">
      <c r="A2692" s="2"/>
      <c r="B2692" s="11"/>
      <c r="C2692" s="26"/>
      <c r="L2692" s="65"/>
      <c r="M2692" s="71"/>
      <c r="N2692" s="65"/>
    </row>
    <row r="2693" spans="1:14" x14ac:dyDescent="0.25">
      <c r="A2693" s="2"/>
      <c r="B2693" s="11"/>
      <c r="C2693" s="26"/>
      <c r="L2693" s="65"/>
      <c r="M2693" s="71"/>
      <c r="N2693" s="65"/>
    </row>
    <row r="2694" spans="1:14" x14ac:dyDescent="0.25">
      <c r="A2694" s="2"/>
      <c r="B2694" s="11"/>
      <c r="C2694" s="26"/>
      <c r="L2694" s="65"/>
      <c r="M2694" s="71"/>
      <c r="N2694" s="65"/>
    </row>
    <row r="2695" spans="1:14" x14ac:dyDescent="0.25">
      <c r="A2695" s="2"/>
      <c r="B2695" s="11"/>
      <c r="C2695" s="26"/>
      <c r="L2695" s="65"/>
      <c r="M2695" s="71"/>
      <c r="N2695" s="65"/>
    </row>
    <row r="2696" spans="1:14" x14ac:dyDescent="0.25">
      <c r="A2696" s="2"/>
      <c r="B2696" s="11"/>
      <c r="C2696" s="26"/>
      <c r="L2696" s="65"/>
      <c r="M2696" s="71"/>
      <c r="N2696" s="65"/>
    </row>
    <row r="2697" spans="1:14" x14ac:dyDescent="0.25">
      <c r="A2697" s="2"/>
      <c r="B2697" s="11"/>
      <c r="C2697" s="26"/>
      <c r="L2697" s="65"/>
      <c r="M2697" s="71"/>
      <c r="N2697" s="65"/>
    </row>
    <row r="2698" spans="1:14" x14ac:dyDescent="0.25">
      <c r="A2698" s="2"/>
      <c r="B2698" s="11"/>
      <c r="C2698" s="26"/>
      <c r="L2698" s="65"/>
      <c r="M2698" s="71"/>
      <c r="N2698" s="65"/>
    </row>
    <row r="2699" spans="1:14" x14ac:dyDescent="0.25">
      <c r="A2699" s="2"/>
      <c r="B2699" s="11"/>
      <c r="C2699" s="26"/>
      <c r="L2699" s="65"/>
      <c r="M2699" s="71"/>
      <c r="N2699" s="65"/>
    </row>
    <row r="2700" spans="1:14" x14ac:dyDescent="0.25">
      <c r="A2700" s="2"/>
      <c r="B2700" s="11"/>
      <c r="C2700" s="26"/>
      <c r="L2700" s="65"/>
      <c r="M2700" s="71"/>
      <c r="N2700" s="65"/>
    </row>
    <row r="2701" spans="1:14" x14ac:dyDescent="0.25">
      <c r="A2701" s="2"/>
      <c r="B2701" s="11"/>
      <c r="C2701" s="26"/>
      <c r="L2701" s="65"/>
      <c r="M2701" s="71"/>
      <c r="N2701" s="65"/>
    </row>
    <row r="2702" spans="1:14" x14ac:dyDescent="0.25">
      <c r="A2702" s="2"/>
      <c r="B2702" s="11"/>
      <c r="C2702" s="26"/>
      <c r="L2702" s="65"/>
      <c r="M2702" s="71"/>
      <c r="N2702" s="65"/>
    </row>
    <row r="2703" spans="1:14" x14ac:dyDescent="0.25">
      <c r="A2703" s="2"/>
      <c r="B2703" s="11"/>
      <c r="C2703" s="26"/>
      <c r="L2703" s="65"/>
      <c r="M2703" s="71"/>
      <c r="N2703" s="65"/>
    </row>
    <row r="2704" spans="1:14" x14ac:dyDescent="0.25">
      <c r="A2704" s="2"/>
      <c r="B2704" s="11"/>
      <c r="C2704" s="26"/>
      <c r="L2704" s="65"/>
      <c r="M2704" s="71"/>
      <c r="N2704" s="65"/>
    </row>
    <row r="2705" spans="1:14" x14ac:dyDescent="0.25">
      <c r="A2705" s="2"/>
      <c r="B2705" s="11"/>
      <c r="C2705" s="26"/>
      <c r="L2705" s="65"/>
      <c r="M2705" s="71"/>
      <c r="N2705" s="65"/>
    </row>
    <row r="2706" spans="1:14" x14ac:dyDescent="0.25">
      <c r="A2706" s="2"/>
      <c r="B2706" s="11"/>
      <c r="C2706" s="26"/>
      <c r="L2706" s="65"/>
      <c r="M2706" s="71"/>
      <c r="N2706" s="65"/>
    </row>
    <row r="2707" spans="1:14" x14ac:dyDescent="0.25">
      <c r="A2707" s="2"/>
      <c r="B2707" s="11"/>
      <c r="C2707" s="26"/>
      <c r="L2707" s="65"/>
      <c r="M2707" s="71"/>
      <c r="N2707" s="65"/>
    </row>
    <row r="2708" spans="1:14" x14ac:dyDescent="0.25">
      <c r="A2708" s="2"/>
      <c r="B2708" s="11"/>
      <c r="C2708" s="26"/>
      <c r="L2708" s="65"/>
      <c r="M2708" s="71"/>
      <c r="N2708" s="65"/>
    </row>
    <row r="2709" spans="1:14" x14ac:dyDescent="0.25">
      <c r="A2709" s="2"/>
      <c r="B2709" s="11"/>
      <c r="C2709" s="26"/>
      <c r="L2709" s="65"/>
      <c r="M2709" s="71"/>
      <c r="N2709" s="65"/>
    </row>
    <row r="2710" spans="1:14" x14ac:dyDescent="0.25">
      <c r="A2710" s="2"/>
      <c r="B2710" s="11"/>
      <c r="C2710" s="26"/>
      <c r="L2710" s="65"/>
      <c r="M2710" s="71"/>
      <c r="N2710" s="65"/>
    </row>
    <row r="2711" spans="1:14" x14ac:dyDescent="0.25">
      <c r="A2711" s="2"/>
      <c r="B2711" s="11"/>
      <c r="C2711" s="26"/>
      <c r="L2711" s="65"/>
      <c r="M2711" s="71"/>
      <c r="N2711" s="65"/>
    </row>
    <row r="2712" spans="1:14" x14ac:dyDescent="0.25">
      <c r="A2712" s="2"/>
      <c r="B2712" s="11"/>
      <c r="C2712" s="26"/>
      <c r="L2712" s="65"/>
      <c r="M2712" s="71"/>
      <c r="N2712" s="65"/>
    </row>
    <row r="2713" spans="1:14" x14ac:dyDescent="0.25">
      <c r="A2713" s="2"/>
      <c r="B2713" s="11"/>
      <c r="C2713" s="26"/>
      <c r="L2713" s="65"/>
      <c r="M2713" s="71"/>
      <c r="N2713" s="65"/>
    </row>
    <row r="2714" spans="1:14" x14ac:dyDescent="0.25">
      <c r="A2714" s="2"/>
      <c r="B2714" s="11"/>
      <c r="C2714" s="26"/>
      <c r="L2714" s="65"/>
      <c r="M2714" s="71"/>
      <c r="N2714" s="65"/>
    </row>
    <row r="2715" spans="1:14" x14ac:dyDescent="0.25">
      <c r="A2715" s="2"/>
      <c r="B2715" s="11"/>
      <c r="C2715" s="26"/>
      <c r="L2715" s="65"/>
      <c r="M2715" s="71"/>
      <c r="N2715" s="65"/>
    </row>
    <row r="2716" spans="1:14" x14ac:dyDescent="0.25">
      <c r="A2716" s="2"/>
      <c r="B2716" s="11"/>
      <c r="C2716" s="26"/>
      <c r="L2716" s="65"/>
      <c r="M2716" s="71"/>
      <c r="N2716" s="65"/>
    </row>
    <row r="2717" spans="1:14" x14ac:dyDescent="0.25">
      <c r="A2717" s="2"/>
      <c r="B2717" s="11"/>
      <c r="C2717" s="26"/>
      <c r="L2717" s="65"/>
      <c r="M2717" s="71"/>
      <c r="N2717" s="65"/>
    </row>
    <row r="2718" spans="1:14" x14ac:dyDescent="0.25">
      <c r="A2718" s="2"/>
      <c r="B2718" s="11"/>
      <c r="C2718" s="26"/>
      <c r="L2718" s="65"/>
      <c r="M2718" s="71"/>
      <c r="N2718" s="65"/>
    </row>
    <row r="2719" spans="1:14" x14ac:dyDescent="0.25">
      <c r="A2719" s="2"/>
      <c r="B2719" s="11"/>
      <c r="C2719" s="26"/>
      <c r="L2719" s="65"/>
      <c r="M2719" s="71"/>
      <c r="N2719" s="65"/>
    </row>
    <row r="2720" spans="1:14" x14ac:dyDescent="0.25">
      <c r="A2720" s="2"/>
      <c r="B2720" s="11"/>
      <c r="C2720" s="26"/>
      <c r="L2720" s="65"/>
      <c r="M2720" s="71"/>
      <c r="N2720" s="65"/>
    </row>
    <row r="2721" spans="1:14" x14ac:dyDescent="0.25">
      <c r="A2721" s="2"/>
      <c r="B2721" s="11"/>
      <c r="C2721" s="26"/>
      <c r="L2721" s="65"/>
      <c r="M2721" s="71"/>
      <c r="N2721" s="65"/>
    </row>
    <row r="2722" spans="1:14" x14ac:dyDescent="0.25">
      <c r="A2722" s="2"/>
      <c r="B2722" s="11"/>
      <c r="C2722" s="26"/>
      <c r="L2722" s="65"/>
      <c r="M2722" s="71"/>
      <c r="N2722" s="65"/>
    </row>
    <row r="2723" spans="1:14" x14ac:dyDescent="0.25">
      <c r="A2723" s="2"/>
      <c r="B2723" s="11"/>
      <c r="C2723" s="26"/>
      <c r="L2723" s="65"/>
      <c r="M2723" s="71"/>
      <c r="N2723" s="65"/>
    </row>
    <row r="2724" spans="1:14" x14ac:dyDescent="0.25">
      <c r="A2724" s="2"/>
      <c r="B2724" s="11"/>
      <c r="C2724" s="26"/>
      <c r="L2724" s="65"/>
      <c r="M2724" s="71"/>
      <c r="N2724" s="65"/>
    </row>
    <row r="2725" spans="1:14" x14ac:dyDescent="0.25">
      <c r="A2725" s="2"/>
      <c r="B2725" s="11"/>
      <c r="C2725" s="26"/>
      <c r="L2725" s="65"/>
      <c r="M2725" s="71"/>
      <c r="N2725" s="65"/>
    </row>
    <row r="2726" spans="1:14" x14ac:dyDescent="0.25">
      <c r="A2726" s="2"/>
      <c r="B2726" s="11"/>
      <c r="C2726" s="26"/>
      <c r="L2726" s="65"/>
      <c r="M2726" s="71"/>
      <c r="N2726" s="65"/>
    </row>
    <row r="2727" spans="1:14" x14ac:dyDescent="0.25">
      <c r="A2727" s="2"/>
      <c r="B2727" s="11"/>
      <c r="C2727" s="26"/>
      <c r="L2727" s="65"/>
      <c r="M2727" s="71"/>
      <c r="N2727" s="65"/>
    </row>
    <row r="2728" spans="1:14" x14ac:dyDescent="0.25">
      <c r="A2728" s="2"/>
      <c r="B2728" s="11"/>
      <c r="C2728" s="26"/>
      <c r="L2728" s="65"/>
      <c r="M2728" s="71"/>
      <c r="N2728" s="65"/>
    </row>
    <row r="2729" spans="1:14" x14ac:dyDescent="0.25">
      <c r="A2729" s="2"/>
      <c r="B2729" s="11"/>
      <c r="C2729" s="26"/>
      <c r="L2729" s="65"/>
      <c r="M2729" s="71"/>
      <c r="N2729" s="65"/>
    </row>
    <row r="2730" spans="1:14" x14ac:dyDescent="0.25">
      <c r="A2730" s="2"/>
      <c r="B2730" s="11"/>
      <c r="C2730" s="26"/>
      <c r="L2730" s="65"/>
      <c r="M2730" s="71"/>
      <c r="N2730" s="65"/>
    </row>
    <row r="2731" spans="1:14" x14ac:dyDescent="0.25">
      <c r="A2731" s="2"/>
      <c r="B2731" s="11"/>
      <c r="C2731" s="26"/>
      <c r="L2731" s="65"/>
      <c r="M2731" s="71"/>
      <c r="N2731" s="65"/>
    </row>
    <row r="2732" spans="1:14" x14ac:dyDescent="0.25">
      <c r="A2732" s="2"/>
      <c r="B2732" s="11"/>
      <c r="C2732" s="26"/>
      <c r="L2732" s="65"/>
      <c r="M2732" s="71"/>
      <c r="N2732" s="65"/>
    </row>
    <row r="2733" spans="1:14" x14ac:dyDescent="0.25">
      <c r="A2733" s="2"/>
      <c r="B2733" s="11"/>
      <c r="C2733" s="26"/>
      <c r="L2733" s="65"/>
      <c r="M2733" s="71"/>
      <c r="N2733" s="65"/>
    </row>
    <row r="2734" spans="1:14" x14ac:dyDescent="0.25">
      <c r="A2734" s="2"/>
      <c r="B2734" s="11"/>
      <c r="C2734" s="26"/>
      <c r="L2734" s="65"/>
      <c r="M2734" s="71"/>
      <c r="N2734" s="65"/>
    </row>
    <row r="2735" spans="1:14" x14ac:dyDescent="0.25">
      <c r="A2735" s="2"/>
      <c r="B2735" s="11"/>
      <c r="C2735" s="26"/>
      <c r="L2735" s="65"/>
      <c r="M2735" s="71"/>
      <c r="N2735" s="65"/>
    </row>
    <row r="2736" spans="1:14" x14ac:dyDescent="0.25">
      <c r="A2736" s="2"/>
      <c r="B2736" s="11"/>
      <c r="C2736" s="26"/>
      <c r="L2736" s="65"/>
      <c r="M2736" s="71"/>
      <c r="N2736" s="65"/>
    </row>
    <row r="2737" spans="1:14" x14ac:dyDescent="0.25">
      <c r="A2737" s="2"/>
      <c r="B2737" s="11"/>
      <c r="C2737" s="26"/>
      <c r="L2737" s="65"/>
      <c r="M2737" s="71"/>
      <c r="N2737" s="65"/>
    </row>
    <row r="2738" spans="1:14" x14ac:dyDescent="0.25">
      <c r="A2738" s="2"/>
      <c r="B2738" s="11"/>
      <c r="C2738" s="26"/>
      <c r="L2738" s="65"/>
      <c r="M2738" s="71"/>
      <c r="N2738" s="65"/>
    </row>
    <row r="2739" spans="1:14" x14ac:dyDescent="0.25">
      <c r="A2739" s="2"/>
      <c r="B2739" s="11"/>
      <c r="C2739" s="26"/>
      <c r="L2739" s="65"/>
      <c r="M2739" s="71"/>
      <c r="N2739" s="65"/>
    </row>
    <row r="2740" spans="1:14" x14ac:dyDescent="0.25">
      <c r="A2740" s="2"/>
      <c r="B2740" s="11"/>
      <c r="C2740" s="26"/>
      <c r="L2740" s="65"/>
      <c r="M2740" s="71"/>
      <c r="N2740" s="65"/>
    </row>
    <row r="2741" spans="1:14" x14ac:dyDescent="0.25">
      <c r="A2741" s="2"/>
      <c r="B2741" s="11"/>
      <c r="C2741" s="26"/>
      <c r="L2741" s="65"/>
      <c r="M2741" s="71"/>
      <c r="N2741" s="65"/>
    </row>
    <row r="2742" spans="1:14" x14ac:dyDescent="0.25">
      <c r="A2742" s="2"/>
      <c r="B2742" s="11"/>
      <c r="C2742" s="26"/>
      <c r="L2742" s="65"/>
      <c r="M2742" s="71"/>
      <c r="N2742" s="65"/>
    </row>
    <row r="2743" spans="1:14" x14ac:dyDescent="0.25">
      <c r="A2743" s="2"/>
      <c r="B2743" s="11"/>
      <c r="C2743" s="26"/>
      <c r="L2743" s="65"/>
      <c r="M2743" s="71"/>
      <c r="N2743" s="65"/>
    </row>
    <row r="2744" spans="1:14" x14ac:dyDescent="0.25">
      <c r="A2744" s="2"/>
      <c r="B2744" s="11"/>
      <c r="C2744" s="26"/>
      <c r="L2744" s="65"/>
      <c r="M2744" s="71"/>
      <c r="N2744" s="65"/>
    </row>
    <row r="2745" spans="1:14" x14ac:dyDescent="0.25">
      <c r="A2745" s="2"/>
      <c r="B2745" s="11"/>
      <c r="C2745" s="26"/>
      <c r="L2745" s="65"/>
      <c r="M2745" s="71"/>
      <c r="N2745" s="65"/>
    </row>
    <row r="2746" spans="1:14" x14ac:dyDescent="0.25">
      <c r="A2746" s="2"/>
      <c r="B2746" s="11"/>
      <c r="C2746" s="26"/>
      <c r="L2746" s="65"/>
      <c r="M2746" s="71"/>
      <c r="N2746" s="65"/>
    </row>
    <row r="2747" spans="1:14" x14ac:dyDescent="0.25">
      <c r="A2747" s="2"/>
      <c r="B2747" s="11"/>
      <c r="C2747" s="26"/>
      <c r="L2747" s="65"/>
      <c r="M2747" s="71"/>
      <c r="N2747" s="65"/>
    </row>
    <row r="2748" spans="1:14" x14ac:dyDescent="0.25">
      <c r="A2748" s="2"/>
      <c r="B2748" s="11"/>
      <c r="C2748" s="26"/>
      <c r="L2748" s="65"/>
      <c r="M2748" s="71"/>
      <c r="N2748" s="65"/>
    </row>
    <row r="2749" spans="1:14" x14ac:dyDescent="0.25">
      <c r="A2749" s="2"/>
      <c r="B2749" s="11"/>
      <c r="C2749" s="26"/>
      <c r="L2749" s="65"/>
      <c r="M2749" s="71"/>
      <c r="N2749" s="65"/>
    </row>
    <row r="2750" spans="1:14" x14ac:dyDescent="0.25">
      <c r="A2750" s="2"/>
      <c r="B2750" s="11"/>
      <c r="C2750" s="26"/>
      <c r="L2750" s="65"/>
      <c r="M2750" s="71"/>
      <c r="N2750" s="65"/>
    </row>
    <row r="2751" spans="1:14" x14ac:dyDescent="0.25">
      <c r="A2751" s="2"/>
      <c r="B2751" s="11"/>
      <c r="C2751" s="26"/>
      <c r="L2751" s="65"/>
      <c r="M2751" s="71"/>
      <c r="N2751" s="65"/>
    </row>
    <row r="2752" spans="1:14" x14ac:dyDescent="0.25">
      <c r="A2752" s="2"/>
      <c r="B2752" s="11"/>
      <c r="C2752" s="26"/>
      <c r="L2752" s="65"/>
      <c r="M2752" s="71"/>
      <c r="N2752" s="65"/>
    </row>
    <row r="2753" spans="1:14" x14ac:dyDescent="0.25">
      <c r="A2753" s="2"/>
      <c r="B2753" s="11"/>
      <c r="C2753" s="26"/>
      <c r="L2753" s="65"/>
      <c r="M2753" s="71"/>
      <c r="N2753" s="65"/>
    </row>
    <row r="2754" spans="1:14" x14ac:dyDescent="0.25">
      <c r="A2754" s="2"/>
      <c r="B2754" s="11"/>
      <c r="C2754" s="26"/>
      <c r="L2754" s="65"/>
      <c r="M2754" s="71"/>
      <c r="N2754" s="65"/>
    </row>
    <row r="2755" spans="1:14" x14ac:dyDescent="0.25">
      <c r="A2755" s="2"/>
      <c r="B2755" s="11"/>
      <c r="C2755" s="26"/>
      <c r="L2755" s="65"/>
      <c r="M2755" s="71"/>
      <c r="N2755" s="65"/>
    </row>
    <row r="2756" spans="1:14" x14ac:dyDescent="0.25">
      <c r="A2756" s="2"/>
      <c r="B2756" s="11"/>
      <c r="C2756" s="26"/>
      <c r="L2756" s="65"/>
      <c r="M2756" s="71"/>
      <c r="N2756" s="65"/>
    </row>
    <row r="2757" spans="1:14" x14ac:dyDescent="0.25">
      <c r="A2757" s="2"/>
      <c r="B2757" s="11"/>
      <c r="C2757" s="26"/>
      <c r="L2757" s="65"/>
      <c r="M2757" s="71"/>
      <c r="N2757" s="65"/>
    </row>
    <row r="2758" spans="1:14" x14ac:dyDescent="0.25">
      <c r="A2758" s="2"/>
      <c r="B2758" s="11"/>
      <c r="C2758" s="26"/>
      <c r="L2758" s="65"/>
      <c r="M2758" s="71"/>
      <c r="N2758" s="65"/>
    </row>
    <row r="2759" spans="1:14" x14ac:dyDescent="0.25">
      <c r="A2759" s="2"/>
      <c r="B2759" s="11"/>
      <c r="C2759" s="26"/>
      <c r="L2759" s="65"/>
      <c r="M2759" s="71"/>
      <c r="N2759" s="65"/>
    </row>
    <row r="2760" spans="1:14" x14ac:dyDescent="0.25">
      <c r="A2760" s="2"/>
      <c r="B2760" s="11"/>
      <c r="C2760" s="26"/>
      <c r="L2760" s="65"/>
      <c r="M2760" s="71"/>
      <c r="N2760" s="65"/>
    </row>
    <row r="2761" spans="1:14" x14ac:dyDescent="0.25">
      <c r="A2761" s="2"/>
      <c r="B2761" s="11"/>
      <c r="C2761" s="26"/>
      <c r="L2761" s="65"/>
      <c r="M2761" s="71"/>
      <c r="N2761" s="65"/>
    </row>
    <row r="2762" spans="1:14" x14ac:dyDescent="0.25">
      <c r="A2762" s="2"/>
      <c r="B2762" s="11"/>
      <c r="C2762" s="26"/>
      <c r="L2762" s="65"/>
      <c r="M2762" s="71"/>
      <c r="N2762" s="65"/>
    </row>
    <row r="2763" spans="1:14" x14ac:dyDescent="0.25">
      <c r="A2763" s="2"/>
      <c r="B2763" s="11"/>
      <c r="C2763" s="26"/>
      <c r="L2763" s="65"/>
      <c r="M2763" s="71"/>
      <c r="N2763" s="65"/>
    </row>
    <row r="2764" spans="1:14" x14ac:dyDescent="0.25">
      <c r="A2764" s="2"/>
      <c r="B2764" s="11"/>
      <c r="C2764" s="26"/>
      <c r="L2764" s="65"/>
      <c r="M2764" s="71"/>
      <c r="N2764" s="65"/>
    </row>
    <row r="2765" spans="1:14" x14ac:dyDescent="0.25">
      <c r="A2765" s="2"/>
      <c r="B2765" s="11"/>
      <c r="C2765" s="26"/>
      <c r="L2765" s="65"/>
      <c r="M2765" s="71"/>
      <c r="N2765" s="65"/>
    </row>
    <row r="2766" spans="1:14" x14ac:dyDescent="0.25">
      <c r="A2766" s="2"/>
      <c r="B2766" s="11"/>
      <c r="C2766" s="26"/>
      <c r="L2766" s="65"/>
      <c r="M2766" s="71"/>
      <c r="N2766" s="65"/>
    </row>
    <row r="2767" spans="1:14" x14ac:dyDescent="0.25">
      <c r="A2767" s="2"/>
      <c r="B2767" s="11"/>
      <c r="C2767" s="26"/>
      <c r="L2767" s="65"/>
      <c r="M2767" s="71"/>
      <c r="N2767" s="65"/>
    </row>
    <row r="2768" spans="1:14" x14ac:dyDescent="0.25">
      <c r="A2768" s="2"/>
      <c r="B2768" s="11"/>
      <c r="C2768" s="26"/>
      <c r="L2768" s="65"/>
      <c r="M2768" s="71"/>
      <c r="N2768" s="65"/>
    </row>
    <row r="2769" spans="1:14" x14ac:dyDescent="0.25">
      <c r="A2769" s="2"/>
      <c r="B2769" s="11"/>
      <c r="C2769" s="26"/>
      <c r="L2769" s="65"/>
      <c r="M2769" s="71"/>
      <c r="N2769" s="65"/>
    </row>
    <row r="2770" spans="1:14" x14ac:dyDescent="0.25">
      <c r="A2770" s="2"/>
      <c r="B2770" s="11"/>
      <c r="C2770" s="26"/>
      <c r="L2770" s="65"/>
      <c r="M2770" s="71"/>
      <c r="N2770" s="65"/>
    </row>
    <row r="2771" spans="1:14" x14ac:dyDescent="0.25">
      <c r="A2771" s="2"/>
      <c r="B2771" s="11"/>
      <c r="C2771" s="26"/>
      <c r="L2771" s="65"/>
      <c r="M2771" s="71"/>
      <c r="N2771" s="65"/>
    </row>
    <row r="2772" spans="1:14" x14ac:dyDescent="0.25">
      <c r="A2772" s="2"/>
      <c r="B2772" s="11"/>
      <c r="C2772" s="26"/>
      <c r="L2772" s="65"/>
      <c r="M2772" s="71"/>
      <c r="N2772" s="65"/>
    </row>
    <row r="2773" spans="1:14" x14ac:dyDescent="0.25">
      <c r="A2773" s="2"/>
      <c r="B2773" s="11"/>
      <c r="C2773" s="26"/>
      <c r="L2773" s="65"/>
      <c r="M2773" s="71"/>
      <c r="N2773" s="65"/>
    </row>
    <row r="2774" spans="1:14" x14ac:dyDescent="0.25">
      <c r="A2774" s="2"/>
      <c r="B2774" s="11"/>
      <c r="C2774" s="26"/>
      <c r="L2774" s="65"/>
      <c r="M2774" s="71"/>
      <c r="N2774" s="65"/>
    </row>
    <row r="2775" spans="1:14" x14ac:dyDescent="0.25">
      <c r="A2775" s="2"/>
      <c r="B2775" s="11"/>
      <c r="C2775" s="26"/>
      <c r="L2775" s="65"/>
      <c r="M2775" s="71"/>
      <c r="N2775" s="65"/>
    </row>
    <row r="2776" spans="1:14" x14ac:dyDescent="0.25">
      <c r="A2776" s="2"/>
      <c r="B2776" s="11"/>
      <c r="C2776" s="26"/>
      <c r="L2776" s="65"/>
      <c r="M2776" s="71"/>
      <c r="N2776" s="65"/>
    </row>
    <row r="2777" spans="1:14" x14ac:dyDescent="0.25">
      <c r="A2777" s="2"/>
      <c r="B2777" s="11"/>
      <c r="C2777" s="26"/>
      <c r="L2777" s="65"/>
      <c r="M2777" s="71"/>
      <c r="N2777" s="65"/>
    </row>
    <row r="2778" spans="1:14" x14ac:dyDescent="0.25">
      <c r="A2778" s="2"/>
      <c r="B2778" s="11"/>
      <c r="C2778" s="26"/>
      <c r="L2778" s="65"/>
      <c r="M2778" s="71"/>
      <c r="N2778" s="65"/>
    </row>
    <row r="2779" spans="1:14" x14ac:dyDescent="0.25">
      <c r="A2779" s="2"/>
      <c r="B2779" s="11"/>
      <c r="C2779" s="26"/>
      <c r="L2779" s="65"/>
      <c r="M2779" s="71"/>
      <c r="N2779" s="65"/>
    </row>
    <row r="2780" spans="1:14" x14ac:dyDescent="0.25">
      <c r="A2780" s="2"/>
      <c r="B2780" s="11"/>
      <c r="C2780" s="26"/>
      <c r="L2780" s="65"/>
      <c r="M2780" s="71"/>
      <c r="N2780" s="65"/>
    </row>
    <row r="2781" spans="1:14" x14ac:dyDescent="0.25">
      <c r="A2781" s="2"/>
      <c r="B2781" s="11"/>
      <c r="C2781" s="26"/>
      <c r="L2781" s="65"/>
      <c r="M2781" s="71"/>
      <c r="N2781" s="65"/>
    </row>
    <row r="2782" spans="1:14" x14ac:dyDescent="0.25">
      <c r="A2782" s="2"/>
      <c r="B2782" s="11"/>
      <c r="C2782" s="26"/>
      <c r="L2782" s="65"/>
      <c r="M2782" s="71"/>
      <c r="N2782" s="65"/>
    </row>
    <row r="2783" spans="1:14" x14ac:dyDescent="0.25">
      <c r="A2783" s="2"/>
      <c r="B2783" s="11"/>
      <c r="C2783" s="26"/>
      <c r="L2783" s="65"/>
      <c r="M2783" s="71"/>
      <c r="N2783" s="65"/>
    </row>
    <row r="2784" spans="1:14" x14ac:dyDescent="0.25">
      <c r="A2784" s="2"/>
      <c r="B2784" s="11"/>
      <c r="C2784" s="26"/>
      <c r="L2784" s="65"/>
      <c r="M2784" s="71"/>
      <c r="N2784" s="65"/>
    </row>
    <row r="2785" spans="1:14" x14ac:dyDescent="0.25">
      <c r="A2785" s="2"/>
      <c r="B2785" s="11"/>
      <c r="C2785" s="26"/>
      <c r="L2785" s="65"/>
      <c r="M2785" s="71"/>
      <c r="N2785" s="65"/>
    </row>
    <row r="2786" spans="1:14" x14ac:dyDescent="0.25">
      <c r="A2786" s="2"/>
      <c r="B2786" s="11"/>
      <c r="C2786" s="26"/>
      <c r="L2786" s="65"/>
      <c r="M2786" s="71"/>
      <c r="N2786" s="65"/>
    </row>
    <row r="2787" spans="1:14" x14ac:dyDescent="0.25">
      <c r="A2787" s="2"/>
      <c r="B2787" s="11"/>
      <c r="C2787" s="26"/>
      <c r="L2787" s="65"/>
      <c r="M2787" s="71"/>
      <c r="N2787" s="65"/>
    </row>
    <row r="2788" spans="1:14" x14ac:dyDescent="0.25">
      <c r="A2788" s="2"/>
      <c r="B2788" s="11"/>
      <c r="C2788" s="26"/>
      <c r="L2788" s="65"/>
      <c r="M2788" s="71"/>
      <c r="N2788" s="65"/>
    </row>
    <row r="2789" spans="1:14" x14ac:dyDescent="0.25">
      <c r="A2789" s="2"/>
      <c r="B2789" s="11"/>
      <c r="C2789" s="26"/>
      <c r="L2789" s="65"/>
      <c r="M2789" s="71"/>
      <c r="N2789" s="65"/>
    </row>
    <row r="2790" spans="1:14" x14ac:dyDescent="0.25">
      <c r="A2790" s="2"/>
      <c r="B2790" s="11"/>
      <c r="C2790" s="26"/>
      <c r="L2790" s="65"/>
      <c r="M2790" s="71"/>
      <c r="N2790" s="65"/>
    </row>
    <row r="2791" spans="1:14" x14ac:dyDescent="0.25">
      <c r="A2791" s="2"/>
      <c r="B2791" s="11"/>
      <c r="C2791" s="26"/>
      <c r="L2791" s="65"/>
      <c r="M2791" s="71"/>
      <c r="N2791" s="65"/>
    </row>
    <row r="2792" spans="1:14" x14ac:dyDescent="0.25">
      <c r="A2792" s="2"/>
      <c r="B2792" s="11"/>
      <c r="C2792" s="26"/>
      <c r="L2792" s="65"/>
      <c r="M2792" s="71"/>
      <c r="N2792" s="65"/>
    </row>
    <row r="2793" spans="1:14" x14ac:dyDescent="0.25">
      <c r="A2793" s="2"/>
      <c r="B2793" s="11"/>
      <c r="C2793" s="26"/>
      <c r="L2793" s="65"/>
      <c r="M2793" s="71"/>
      <c r="N2793" s="65"/>
    </row>
    <row r="2794" spans="1:14" x14ac:dyDescent="0.25">
      <c r="A2794" s="2"/>
      <c r="B2794" s="11"/>
      <c r="C2794" s="26"/>
      <c r="L2794" s="65"/>
      <c r="M2794" s="71"/>
      <c r="N2794" s="65"/>
    </row>
    <row r="2795" spans="1:14" x14ac:dyDescent="0.25">
      <c r="A2795" s="2"/>
      <c r="B2795" s="11"/>
      <c r="C2795" s="26"/>
      <c r="L2795" s="65"/>
      <c r="M2795" s="71"/>
      <c r="N2795" s="65"/>
    </row>
    <row r="2796" spans="1:14" x14ac:dyDescent="0.25">
      <c r="A2796" s="2"/>
      <c r="B2796" s="11"/>
      <c r="C2796" s="26"/>
      <c r="L2796" s="65"/>
      <c r="M2796" s="71"/>
      <c r="N2796" s="65"/>
    </row>
    <row r="2797" spans="1:14" x14ac:dyDescent="0.25">
      <c r="A2797" s="2"/>
      <c r="B2797" s="11"/>
      <c r="C2797" s="26"/>
      <c r="L2797" s="65"/>
      <c r="M2797" s="71"/>
      <c r="N2797" s="65"/>
    </row>
    <row r="2798" spans="1:14" x14ac:dyDescent="0.25">
      <c r="A2798" s="2"/>
      <c r="B2798" s="11"/>
      <c r="C2798" s="26"/>
      <c r="L2798" s="65"/>
      <c r="M2798" s="71"/>
      <c r="N2798" s="65"/>
    </row>
    <row r="2799" spans="1:14" x14ac:dyDescent="0.25">
      <c r="A2799" s="2"/>
      <c r="B2799" s="11"/>
      <c r="C2799" s="26"/>
      <c r="L2799" s="65"/>
      <c r="M2799" s="71"/>
      <c r="N2799" s="65"/>
    </row>
    <row r="2800" spans="1:14" x14ac:dyDescent="0.25">
      <c r="A2800" s="2"/>
      <c r="B2800" s="11"/>
      <c r="C2800" s="26"/>
      <c r="L2800" s="65"/>
      <c r="M2800" s="71"/>
      <c r="N2800" s="65"/>
    </row>
    <row r="2801" spans="1:14" x14ac:dyDescent="0.25">
      <c r="A2801" s="2"/>
      <c r="B2801" s="11"/>
      <c r="C2801" s="26"/>
      <c r="L2801" s="65"/>
      <c r="M2801" s="71"/>
      <c r="N2801" s="65"/>
    </row>
    <row r="2802" spans="1:14" x14ac:dyDescent="0.25">
      <c r="A2802" s="2"/>
      <c r="B2802" s="11"/>
      <c r="C2802" s="26"/>
      <c r="L2802" s="65"/>
      <c r="M2802" s="71"/>
      <c r="N2802" s="65"/>
    </row>
    <row r="2803" spans="1:14" x14ac:dyDescent="0.25">
      <c r="A2803" s="2"/>
      <c r="B2803" s="11"/>
      <c r="C2803" s="26"/>
      <c r="L2803" s="65"/>
      <c r="M2803" s="71"/>
      <c r="N2803" s="65"/>
    </row>
    <row r="2804" spans="1:14" x14ac:dyDescent="0.25">
      <c r="A2804" s="2"/>
      <c r="B2804" s="11"/>
      <c r="C2804" s="26"/>
      <c r="L2804" s="65"/>
      <c r="M2804" s="71"/>
      <c r="N2804" s="65"/>
    </row>
    <row r="2805" spans="1:14" x14ac:dyDescent="0.25">
      <c r="A2805" s="2"/>
      <c r="B2805" s="11"/>
      <c r="C2805" s="26"/>
      <c r="L2805" s="65"/>
      <c r="M2805" s="71"/>
      <c r="N2805" s="65"/>
    </row>
    <row r="2806" spans="1:14" x14ac:dyDescent="0.25">
      <c r="A2806" s="2"/>
      <c r="B2806" s="11"/>
      <c r="C2806" s="26"/>
      <c r="L2806" s="65"/>
      <c r="M2806" s="71"/>
      <c r="N2806" s="65"/>
    </row>
    <row r="2807" spans="1:14" x14ac:dyDescent="0.25">
      <c r="A2807" s="2"/>
      <c r="B2807" s="11"/>
      <c r="C2807" s="26"/>
      <c r="L2807" s="65"/>
      <c r="M2807" s="71"/>
      <c r="N2807" s="65"/>
    </row>
    <row r="2808" spans="1:14" x14ac:dyDescent="0.25">
      <c r="A2808" s="2"/>
      <c r="B2808" s="11"/>
      <c r="C2808" s="26"/>
      <c r="L2808" s="65"/>
      <c r="M2808" s="71"/>
      <c r="N2808" s="65"/>
    </row>
    <row r="2809" spans="1:14" x14ac:dyDescent="0.25">
      <c r="A2809" s="2"/>
      <c r="B2809" s="11"/>
      <c r="C2809" s="26"/>
      <c r="L2809" s="65"/>
      <c r="M2809" s="71"/>
      <c r="N2809" s="65"/>
    </row>
    <row r="2810" spans="1:14" x14ac:dyDescent="0.25">
      <c r="A2810" s="2"/>
      <c r="B2810" s="11"/>
      <c r="C2810" s="26"/>
      <c r="L2810" s="65"/>
      <c r="M2810" s="71"/>
      <c r="N2810" s="65"/>
    </row>
    <row r="2811" spans="1:14" x14ac:dyDescent="0.25">
      <c r="A2811" s="2"/>
      <c r="B2811" s="11"/>
      <c r="C2811" s="26"/>
      <c r="L2811" s="65"/>
      <c r="M2811" s="71"/>
      <c r="N2811" s="65"/>
    </row>
    <row r="2812" spans="1:14" x14ac:dyDescent="0.25">
      <c r="A2812" s="2"/>
      <c r="B2812" s="11"/>
      <c r="C2812" s="26"/>
      <c r="L2812" s="65"/>
      <c r="M2812" s="71"/>
      <c r="N2812" s="65"/>
    </row>
    <row r="2813" spans="1:14" x14ac:dyDescent="0.25">
      <c r="A2813" s="2"/>
      <c r="B2813" s="11"/>
      <c r="C2813" s="26"/>
      <c r="L2813" s="65"/>
      <c r="M2813" s="71"/>
      <c r="N2813" s="65"/>
    </row>
    <row r="2814" spans="1:14" x14ac:dyDescent="0.25">
      <c r="A2814" s="2"/>
      <c r="B2814" s="11"/>
      <c r="C2814" s="26"/>
      <c r="L2814" s="65"/>
      <c r="M2814" s="71"/>
      <c r="N2814" s="65"/>
    </row>
    <row r="2815" spans="1:14" x14ac:dyDescent="0.25">
      <c r="A2815" s="2"/>
      <c r="B2815" s="11"/>
      <c r="C2815" s="26"/>
      <c r="L2815" s="65"/>
      <c r="M2815" s="71"/>
      <c r="N2815" s="65"/>
    </row>
    <row r="2816" spans="1:14" x14ac:dyDescent="0.25">
      <c r="A2816" s="2"/>
      <c r="B2816" s="11"/>
      <c r="C2816" s="26"/>
      <c r="L2816" s="65"/>
      <c r="M2816" s="71"/>
      <c r="N2816" s="65"/>
    </row>
    <row r="2817" spans="1:14" x14ac:dyDescent="0.25">
      <c r="A2817" s="2"/>
      <c r="B2817" s="11"/>
      <c r="C2817" s="26"/>
      <c r="L2817" s="65"/>
      <c r="M2817" s="71"/>
      <c r="N2817" s="65"/>
    </row>
    <row r="2818" spans="1:14" x14ac:dyDescent="0.25">
      <c r="A2818" s="2"/>
      <c r="B2818" s="11"/>
      <c r="C2818" s="26"/>
      <c r="L2818" s="65"/>
      <c r="M2818" s="71"/>
      <c r="N2818" s="65"/>
    </row>
    <row r="2819" spans="1:14" x14ac:dyDescent="0.25">
      <c r="A2819" s="2"/>
      <c r="B2819" s="11"/>
      <c r="C2819" s="26"/>
      <c r="L2819" s="65"/>
      <c r="M2819" s="71"/>
      <c r="N2819" s="65"/>
    </row>
    <row r="2820" spans="1:14" x14ac:dyDescent="0.25">
      <c r="A2820" s="2"/>
      <c r="B2820" s="11"/>
      <c r="C2820" s="26"/>
      <c r="L2820" s="65"/>
      <c r="M2820" s="71"/>
      <c r="N2820" s="65"/>
    </row>
    <row r="2821" spans="1:14" x14ac:dyDescent="0.25">
      <c r="A2821" s="2"/>
      <c r="B2821" s="11"/>
      <c r="C2821" s="26"/>
      <c r="L2821" s="65"/>
      <c r="M2821" s="71"/>
      <c r="N2821" s="65"/>
    </row>
    <row r="2822" spans="1:14" x14ac:dyDescent="0.25">
      <c r="A2822" s="2"/>
      <c r="B2822" s="11"/>
      <c r="C2822" s="26"/>
      <c r="L2822" s="65"/>
      <c r="M2822" s="71"/>
      <c r="N2822" s="65"/>
    </row>
    <row r="2823" spans="1:14" x14ac:dyDescent="0.25">
      <c r="A2823" s="2"/>
      <c r="B2823" s="11"/>
      <c r="C2823" s="26"/>
      <c r="L2823" s="65"/>
      <c r="M2823" s="71"/>
      <c r="N2823" s="65"/>
    </row>
    <row r="2824" spans="1:14" x14ac:dyDescent="0.25">
      <c r="A2824" s="2"/>
      <c r="B2824" s="11"/>
      <c r="C2824" s="26"/>
      <c r="L2824" s="65"/>
      <c r="M2824" s="71"/>
      <c r="N2824" s="65"/>
    </row>
    <row r="2825" spans="1:14" x14ac:dyDescent="0.25">
      <c r="A2825" s="2"/>
      <c r="B2825" s="11"/>
      <c r="C2825" s="26"/>
      <c r="L2825" s="65"/>
      <c r="M2825" s="71"/>
      <c r="N2825" s="65"/>
    </row>
    <row r="2826" spans="1:14" x14ac:dyDescent="0.25">
      <c r="A2826" s="2"/>
      <c r="B2826" s="11"/>
      <c r="C2826" s="26"/>
      <c r="L2826" s="65"/>
      <c r="M2826" s="71"/>
      <c r="N2826" s="65"/>
    </row>
    <row r="2827" spans="1:14" x14ac:dyDescent="0.25">
      <c r="A2827" s="2"/>
      <c r="B2827" s="11"/>
      <c r="C2827" s="26"/>
      <c r="L2827" s="65"/>
      <c r="M2827" s="71"/>
      <c r="N2827" s="65"/>
    </row>
    <row r="2828" spans="1:14" x14ac:dyDescent="0.25">
      <c r="A2828" s="2"/>
      <c r="B2828" s="11"/>
      <c r="C2828" s="26"/>
      <c r="L2828" s="65"/>
      <c r="M2828" s="71"/>
      <c r="N2828" s="65"/>
    </row>
    <row r="2829" spans="1:14" x14ac:dyDescent="0.25">
      <c r="A2829" s="2"/>
      <c r="B2829" s="11"/>
      <c r="C2829" s="26"/>
      <c r="L2829" s="65"/>
      <c r="M2829" s="71"/>
      <c r="N2829" s="65"/>
    </row>
    <row r="2830" spans="1:14" x14ac:dyDescent="0.25">
      <c r="A2830" s="2"/>
      <c r="B2830" s="11"/>
      <c r="C2830" s="26"/>
      <c r="L2830" s="65"/>
      <c r="M2830" s="71"/>
      <c r="N2830" s="65"/>
    </row>
    <row r="2831" spans="1:14" x14ac:dyDescent="0.25">
      <c r="A2831" s="2"/>
      <c r="B2831" s="11"/>
      <c r="C2831" s="26"/>
      <c r="L2831" s="65"/>
      <c r="M2831" s="71"/>
      <c r="N2831" s="65"/>
    </row>
    <row r="2832" spans="1:14" x14ac:dyDescent="0.25">
      <c r="A2832" s="2"/>
      <c r="B2832" s="11"/>
      <c r="C2832" s="26"/>
      <c r="L2832" s="65"/>
      <c r="M2832" s="71"/>
      <c r="N2832" s="65"/>
    </row>
    <row r="2833" spans="1:14" x14ac:dyDescent="0.25">
      <c r="A2833" s="2"/>
      <c r="B2833" s="11"/>
      <c r="C2833" s="26"/>
      <c r="L2833" s="65"/>
      <c r="M2833" s="71"/>
      <c r="N2833" s="65"/>
    </row>
    <row r="2834" spans="1:14" x14ac:dyDescent="0.25">
      <c r="A2834" s="2"/>
      <c r="B2834" s="11"/>
      <c r="C2834" s="26"/>
      <c r="L2834" s="65"/>
      <c r="M2834" s="71"/>
      <c r="N2834" s="65"/>
    </row>
    <row r="2835" spans="1:14" x14ac:dyDescent="0.25">
      <c r="A2835" s="2"/>
      <c r="B2835" s="11"/>
      <c r="C2835" s="26"/>
      <c r="L2835" s="65"/>
      <c r="M2835" s="71"/>
      <c r="N2835" s="65"/>
    </row>
    <row r="2836" spans="1:14" x14ac:dyDescent="0.25">
      <c r="A2836" s="2"/>
      <c r="B2836" s="11"/>
      <c r="C2836" s="26"/>
      <c r="L2836" s="65"/>
      <c r="M2836" s="71"/>
      <c r="N2836" s="65"/>
    </row>
    <row r="2837" spans="1:14" x14ac:dyDescent="0.25">
      <c r="A2837" s="2"/>
      <c r="B2837" s="11"/>
      <c r="C2837" s="26"/>
      <c r="L2837" s="65"/>
      <c r="M2837" s="71"/>
      <c r="N2837" s="65"/>
    </row>
    <row r="2838" spans="1:14" x14ac:dyDescent="0.25">
      <c r="A2838" s="2"/>
      <c r="B2838" s="11"/>
      <c r="C2838" s="26"/>
      <c r="L2838" s="65"/>
      <c r="M2838" s="71"/>
      <c r="N2838" s="65"/>
    </row>
    <row r="2839" spans="1:14" x14ac:dyDescent="0.25">
      <c r="A2839" s="2"/>
      <c r="B2839" s="11"/>
      <c r="C2839" s="26"/>
      <c r="L2839" s="65"/>
      <c r="M2839" s="71"/>
      <c r="N2839" s="65"/>
    </row>
    <row r="2840" spans="1:14" x14ac:dyDescent="0.25">
      <c r="A2840" s="2"/>
      <c r="B2840" s="11"/>
      <c r="C2840" s="26"/>
      <c r="L2840" s="65"/>
      <c r="M2840" s="71"/>
      <c r="N2840" s="65"/>
    </row>
    <row r="2841" spans="1:14" x14ac:dyDescent="0.25">
      <c r="A2841" s="2"/>
      <c r="B2841" s="11"/>
      <c r="C2841" s="26"/>
      <c r="L2841" s="65"/>
      <c r="M2841" s="71"/>
      <c r="N2841" s="65"/>
    </row>
    <row r="2842" spans="1:14" x14ac:dyDescent="0.25">
      <c r="A2842" s="2"/>
      <c r="B2842" s="11"/>
      <c r="C2842" s="26"/>
      <c r="L2842" s="65"/>
      <c r="M2842" s="71"/>
      <c r="N2842" s="65"/>
    </row>
    <row r="2843" spans="1:14" x14ac:dyDescent="0.25">
      <c r="A2843" s="2"/>
      <c r="B2843" s="11"/>
      <c r="C2843" s="26"/>
      <c r="L2843" s="65"/>
      <c r="M2843" s="71"/>
      <c r="N2843" s="65"/>
    </row>
    <row r="2844" spans="1:14" x14ac:dyDescent="0.25">
      <c r="A2844" s="2"/>
      <c r="B2844" s="11"/>
      <c r="C2844" s="26"/>
      <c r="L2844" s="65"/>
      <c r="M2844" s="71"/>
      <c r="N2844" s="65"/>
    </row>
    <row r="2845" spans="1:14" x14ac:dyDescent="0.25">
      <c r="A2845" s="2"/>
      <c r="B2845" s="11"/>
      <c r="C2845" s="26"/>
      <c r="L2845" s="65"/>
      <c r="M2845" s="71"/>
      <c r="N2845" s="65"/>
    </row>
    <row r="2846" spans="1:14" x14ac:dyDescent="0.25">
      <c r="A2846" s="2"/>
      <c r="B2846" s="11"/>
      <c r="C2846" s="26"/>
      <c r="L2846" s="65"/>
      <c r="M2846" s="71"/>
      <c r="N2846" s="65"/>
    </row>
    <row r="2847" spans="1:14" x14ac:dyDescent="0.25">
      <c r="A2847" s="2"/>
      <c r="B2847" s="11"/>
      <c r="C2847" s="26"/>
      <c r="L2847" s="65"/>
      <c r="M2847" s="71"/>
      <c r="N2847" s="65"/>
    </row>
    <row r="2848" spans="1:14" x14ac:dyDescent="0.25">
      <c r="A2848" s="2"/>
      <c r="B2848" s="11"/>
      <c r="C2848" s="26"/>
      <c r="L2848" s="65"/>
      <c r="M2848" s="71"/>
      <c r="N2848" s="65"/>
    </row>
    <row r="2849" spans="1:14" x14ac:dyDescent="0.25">
      <c r="A2849" s="2"/>
      <c r="B2849" s="11"/>
      <c r="C2849" s="26"/>
      <c r="L2849" s="65"/>
      <c r="M2849" s="71"/>
      <c r="N2849" s="65"/>
    </row>
    <row r="2850" spans="1:14" x14ac:dyDescent="0.25">
      <c r="A2850" s="2"/>
      <c r="B2850" s="11"/>
      <c r="C2850" s="26"/>
      <c r="L2850" s="65"/>
      <c r="M2850" s="71"/>
      <c r="N2850" s="65"/>
    </row>
    <row r="2851" spans="1:14" x14ac:dyDescent="0.25">
      <c r="A2851" s="2"/>
      <c r="B2851" s="11"/>
      <c r="C2851" s="26"/>
      <c r="L2851" s="65"/>
      <c r="M2851" s="71"/>
      <c r="N2851" s="65"/>
    </row>
    <row r="2852" spans="1:14" x14ac:dyDescent="0.25">
      <c r="A2852" s="2"/>
      <c r="B2852" s="11"/>
      <c r="C2852" s="26"/>
      <c r="L2852" s="65"/>
      <c r="M2852" s="71"/>
      <c r="N2852" s="65"/>
    </row>
    <row r="2853" spans="1:14" x14ac:dyDescent="0.25">
      <c r="A2853" s="2"/>
      <c r="B2853" s="11"/>
      <c r="C2853" s="26"/>
      <c r="L2853" s="65"/>
      <c r="M2853" s="71"/>
      <c r="N2853" s="65"/>
    </row>
    <row r="2854" spans="1:14" x14ac:dyDescent="0.25">
      <c r="A2854" s="2"/>
      <c r="B2854" s="11"/>
      <c r="C2854" s="26"/>
      <c r="L2854" s="65"/>
      <c r="M2854" s="71"/>
      <c r="N2854" s="65"/>
    </row>
    <row r="2855" spans="1:14" x14ac:dyDescent="0.25">
      <c r="A2855" s="2"/>
      <c r="B2855" s="11"/>
      <c r="C2855" s="26"/>
      <c r="L2855" s="65"/>
      <c r="M2855" s="71"/>
      <c r="N2855" s="65"/>
    </row>
    <row r="2856" spans="1:14" x14ac:dyDescent="0.25">
      <c r="A2856" s="2"/>
      <c r="B2856" s="11"/>
      <c r="C2856" s="26"/>
      <c r="L2856" s="65"/>
      <c r="M2856" s="71"/>
      <c r="N2856" s="65"/>
    </row>
    <row r="2857" spans="1:14" x14ac:dyDescent="0.25">
      <c r="A2857" s="2"/>
      <c r="B2857" s="11"/>
      <c r="C2857" s="26"/>
      <c r="L2857" s="65"/>
      <c r="M2857" s="71"/>
      <c r="N2857" s="65"/>
    </row>
    <row r="2858" spans="1:14" x14ac:dyDescent="0.25">
      <c r="A2858" s="2"/>
      <c r="B2858" s="11"/>
      <c r="C2858" s="26"/>
      <c r="L2858" s="65"/>
      <c r="M2858" s="71"/>
      <c r="N2858" s="65"/>
    </row>
    <row r="2859" spans="1:14" x14ac:dyDescent="0.25">
      <c r="A2859" s="2"/>
      <c r="B2859" s="11"/>
      <c r="C2859" s="26"/>
      <c r="L2859" s="65"/>
      <c r="M2859" s="71"/>
      <c r="N2859" s="65"/>
    </row>
    <row r="2860" spans="1:14" x14ac:dyDescent="0.25">
      <c r="A2860" s="2"/>
      <c r="B2860" s="11"/>
      <c r="C2860" s="26"/>
      <c r="L2860" s="65"/>
      <c r="M2860" s="71"/>
      <c r="N2860" s="65"/>
    </row>
    <row r="2861" spans="1:14" x14ac:dyDescent="0.25">
      <c r="A2861" s="2"/>
      <c r="B2861" s="11"/>
      <c r="C2861" s="26"/>
      <c r="L2861" s="65"/>
      <c r="M2861" s="71"/>
      <c r="N2861" s="65"/>
    </row>
    <row r="2862" spans="1:14" x14ac:dyDescent="0.25">
      <c r="A2862" s="2"/>
      <c r="B2862" s="11"/>
      <c r="C2862" s="26"/>
      <c r="L2862" s="65"/>
      <c r="M2862" s="71"/>
      <c r="N2862" s="65"/>
    </row>
    <row r="2863" spans="1:14" x14ac:dyDescent="0.25">
      <c r="A2863" s="2"/>
      <c r="B2863" s="11"/>
      <c r="C2863" s="26"/>
      <c r="L2863" s="65"/>
      <c r="M2863" s="71"/>
      <c r="N2863" s="65"/>
    </row>
    <row r="2864" spans="1:14" x14ac:dyDescent="0.25">
      <c r="A2864" s="2"/>
      <c r="B2864" s="11"/>
      <c r="C2864" s="26"/>
      <c r="L2864" s="65"/>
      <c r="M2864" s="71"/>
      <c r="N2864" s="65"/>
    </row>
    <row r="2865" spans="1:14" x14ac:dyDescent="0.25">
      <c r="A2865" s="2"/>
      <c r="B2865" s="11"/>
      <c r="C2865" s="26"/>
      <c r="L2865" s="65"/>
      <c r="M2865" s="71"/>
      <c r="N2865" s="65"/>
    </row>
    <row r="2866" spans="1:14" x14ac:dyDescent="0.25">
      <c r="A2866" s="2"/>
      <c r="B2866" s="11"/>
      <c r="C2866" s="26"/>
      <c r="L2866" s="65"/>
      <c r="M2866" s="71"/>
      <c r="N2866" s="65"/>
    </row>
    <row r="2867" spans="1:14" x14ac:dyDescent="0.25">
      <c r="A2867" s="2"/>
      <c r="B2867" s="11"/>
      <c r="C2867" s="26"/>
      <c r="L2867" s="65"/>
      <c r="M2867" s="71"/>
      <c r="N2867" s="65"/>
    </row>
    <row r="2868" spans="1:14" x14ac:dyDescent="0.25">
      <c r="A2868" s="2"/>
      <c r="B2868" s="11"/>
      <c r="C2868" s="26"/>
      <c r="L2868" s="65"/>
      <c r="M2868" s="71"/>
      <c r="N2868" s="65"/>
    </row>
    <row r="2869" spans="1:14" x14ac:dyDescent="0.25">
      <c r="A2869" s="2"/>
      <c r="B2869" s="11"/>
      <c r="C2869" s="26"/>
      <c r="L2869" s="65"/>
      <c r="M2869" s="71"/>
      <c r="N2869" s="65"/>
    </row>
    <row r="2870" spans="1:14" x14ac:dyDescent="0.25">
      <c r="A2870" s="2"/>
      <c r="B2870" s="11"/>
      <c r="C2870" s="26"/>
      <c r="L2870" s="65"/>
      <c r="M2870" s="71"/>
      <c r="N2870" s="65"/>
    </row>
    <row r="2871" spans="1:14" x14ac:dyDescent="0.25">
      <c r="A2871" s="2"/>
      <c r="B2871" s="11"/>
      <c r="C2871" s="26"/>
      <c r="L2871" s="65"/>
      <c r="M2871" s="71"/>
      <c r="N2871" s="65"/>
    </row>
    <row r="2872" spans="1:14" x14ac:dyDescent="0.25">
      <c r="A2872" s="2"/>
      <c r="B2872" s="11"/>
      <c r="C2872" s="26"/>
      <c r="L2872" s="65"/>
      <c r="M2872" s="71"/>
      <c r="N2872" s="65"/>
    </row>
    <row r="2873" spans="1:14" x14ac:dyDescent="0.25">
      <c r="A2873" s="2"/>
      <c r="B2873" s="11"/>
      <c r="C2873" s="26"/>
      <c r="L2873" s="65"/>
      <c r="M2873" s="71"/>
      <c r="N2873" s="65"/>
    </row>
    <row r="2874" spans="1:14" x14ac:dyDescent="0.25">
      <c r="A2874" s="2"/>
      <c r="B2874" s="11"/>
      <c r="C2874" s="26"/>
      <c r="L2874" s="65"/>
      <c r="M2874" s="71"/>
      <c r="N2874" s="65"/>
    </row>
    <row r="2875" spans="1:14" x14ac:dyDescent="0.25">
      <c r="A2875" s="2"/>
      <c r="B2875" s="11"/>
      <c r="C2875" s="26"/>
      <c r="L2875" s="65"/>
      <c r="M2875" s="71"/>
      <c r="N2875" s="65"/>
    </row>
    <row r="2876" spans="1:14" x14ac:dyDescent="0.25">
      <c r="A2876" s="2"/>
      <c r="B2876" s="11"/>
      <c r="C2876" s="26"/>
      <c r="L2876" s="65"/>
      <c r="M2876" s="71"/>
      <c r="N2876" s="65"/>
    </row>
    <row r="2877" spans="1:14" x14ac:dyDescent="0.25">
      <c r="A2877" s="2"/>
      <c r="B2877" s="11"/>
      <c r="C2877" s="26"/>
      <c r="L2877" s="65"/>
      <c r="M2877" s="71"/>
      <c r="N2877" s="65"/>
    </row>
    <row r="2878" spans="1:14" x14ac:dyDescent="0.25">
      <c r="A2878" s="2"/>
      <c r="B2878" s="11"/>
      <c r="C2878" s="26"/>
      <c r="L2878" s="65"/>
      <c r="M2878" s="71"/>
      <c r="N2878" s="65"/>
    </row>
    <row r="2879" spans="1:14" x14ac:dyDescent="0.25">
      <c r="A2879" s="2"/>
      <c r="B2879" s="11"/>
      <c r="C2879" s="26"/>
      <c r="L2879" s="65"/>
      <c r="M2879" s="71"/>
      <c r="N2879" s="65"/>
    </row>
    <row r="2880" spans="1:14" x14ac:dyDescent="0.25">
      <c r="A2880" s="2"/>
      <c r="B2880" s="11"/>
      <c r="C2880" s="26"/>
      <c r="L2880" s="65"/>
      <c r="M2880" s="71"/>
      <c r="N2880" s="65"/>
    </row>
    <row r="2881" spans="1:14" x14ac:dyDescent="0.25">
      <c r="A2881" s="2"/>
      <c r="B2881" s="11"/>
      <c r="C2881" s="26"/>
      <c r="L2881" s="65"/>
      <c r="M2881" s="71"/>
      <c r="N2881" s="65"/>
    </row>
    <row r="2882" spans="1:14" x14ac:dyDescent="0.25">
      <c r="A2882" s="2"/>
      <c r="B2882" s="11"/>
      <c r="C2882" s="26"/>
      <c r="L2882" s="65"/>
      <c r="M2882" s="71"/>
      <c r="N2882" s="65"/>
    </row>
    <row r="2883" spans="1:14" x14ac:dyDescent="0.25">
      <c r="A2883" s="2"/>
      <c r="B2883" s="11"/>
      <c r="C2883" s="26"/>
      <c r="L2883" s="65"/>
      <c r="M2883" s="71"/>
      <c r="N2883" s="65"/>
    </row>
    <row r="2884" spans="1:14" x14ac:dyDescent="0.25">
      <c r="A2884" s="2"/>
      <c r="B2884" s="11"/>
      <c r="C2884" s="26"/>
      <c r="L2884" s="65"/>
      <c r="M2884" s="71"/>
      <c r="N2884" s="65"/>
    </row>
    <row r="2885" spans="1:14" x14ac:dyDescent="0.25">
      <c r="A2885" s="2"/>
      <c r="B2885" s="11"/>
      <c r="C2885" s="26"/>
      <c r="L2885" s="65"/>
      <c r="M2885" s="71"/>
      <c r="N2885" s="65"/>
    </row>
    <row r="2886" spans="1:14" x14ac:dyDescent="0.25">
      <c r="A2886" s="2"/>
      <c r="B2886" s="11"/>
      <c r="C2886" s="26"/>
      <c r="L2886" s="65"/>
      <c r="M2886" s="71"/>
      <c r="N2886" s="65"/>
    </row>
    <row r="2887" spans="1:14" x14ac:dyDescent="0.25">
      <c r="A2887" s="2"/>
      <c r="B2887" s="11"/>
      <c r="C2887" s="26"/>
      <c r="L2887" s="65"/>
      <c r="M2887" s="71"/>
      <c r="N2887" s="65"/>
    </row>
    <row r="2888" spans="1:14" x14ac:dyDescent="0.25">
      <c r="A2888" s="2"/>
      <c r="B2888" s="11"/>
      <c r="C2888" s="26"/>
      <c r="L2888" s="65"/>
      <c r="M2888" s="71"/>
      <c r="N2888" s="65"/>
    </row>
    <row r="2889" spans="1:14" x14ac:dyDescent="0.25">
      <c r="A2889" s="2"/>
      <c r="B2889" s="11"/>
      <c r="C2889" s="26"/>
      <c r="L2889" s="65"/>
      <c r="M2889" s="71"/>
      <c r="N2889" s="65"/>
    </row>
    <row r="2890" spans="1:14" x14ac:dyDescent="0.25">
      <c r="A2890" s="2"/>
      <c r="B2890" s="11"/>
      <c r="C2890" s="26"/>
      <c r="L2890" s="65"/>
      <c r="M2890" s="71"/>
      <c r="N2890" s="65"/>
    </row>
    <row r="2891" spans="1:14" x14ac:dyDescent="0.25">
      <c r="A2891" s="2"/>
      <c r="B2891" s="11"/>
      <c r="C2891" s="26"/>
      <c r="L2891" s="65"/>
      <c r="M2891" s="71"/>
      <c r="N2891" s="65"/>
    </row>
    <row r="2892" spans="1:14" x14ac:dyDescent="0.25">
      <c r="A2892" s="2"/>
      <c r="B2892" s="11"/>
      <c r="C2892" s="26"/>
      <c r="L2892" s="65"/>
      <c r="M2892" s="71"/>
      <c r="N2892" s="65"/>
    </row>
    <row r="2893" spans="1:14" x14ac:dyDescent="0.25">
      <c r="A2893" s="2"/>
      <c r="B2893" s="11"/>
      <c r="C2893" s="26"/>
      <c r="L2893" s="65"/>
      <c r="M2893" s="71"/>
      <c r="N2893" s="65"/>
    </row>
    <row r="2894" spans="1:14" x14ac:dyDescent="0.25">
      <c r="A2894" s="2"/>
      <c r="B2894" s="11"/>
      <c r="C2894" s="26"/>
      <c r="L2894" s="65"/>
      <c r="M2894" s="71"/>
      <c r="N2894" s="65"/>
    </row>
    <row r="2895" spans="1:14" x14ac:dyDescent="0.25">
      <c r="A2895" s="2"/>
      <c r="B2895" s="11"/>
      <c r="C2895" s="26"/>
      <c r="L2895" s="65"/>
      <c r="M2895" s="71"/>
      <c r="N2895" s="65"/>
    </row>
    <row r="2896" spans="1:14" x14ac:dyDescent="0.25">
      <c r="A2896" s="2"/>
      <c r="B2896" s="11"/>
      <c r="C2896" s="26"/>
      <c r="L2896" s="65"/>
      <c r="M2896" s="71"/>
      <c r="N2896" s="65"/>
    </row>
    <row r="2897" spans="1:14" x14ac:dyDescent="0.25">
      <c r="A2897" s="2"/>
      <c r="B2897" s="11"/>
      <c r="C2897" s="26"/>
      <c r="L2897" s="65"/>
      <c r="M2897" s="71"/>
      <c r="N2897" s="65"/>
    </row>
    <row r="2898" spans="1:14" x14ac:dyDescent="0.25">
      <c r="A2898" s="2"/>
      <c r="B2898" s="11"/>
      <c r="C2898" s="26"/>
      <c r="L2898" s="65"/>
      <c r="M2898" s="71"/>
      <c r="N2898" s="65"/>
    </row>
    <row r="2899" spans="1:14" x14ac:dyDescent="0.25">
      <c r="A2899" s="2"/>
      <c r="B2899" s="11"/>
      <c r="C2899" s="26"/>
      <c r="L2899" s="65"/>
      <c r="M2899" s="71"/>
      <c r="N2899" s="65"/>
    </row>
    <row r="2900" spans="1:14" x14ac:dyDescent="0.25">
      <c r="A2900" s="2"/>
      <c r="B2900" s="11"/>
      <c r="C2900" s="26"/>
      <c r="L2900" s="65"/>
      <c r="M2900" s="71"/>
      <c r="N2900" s="65"/>
    </row>
    <row r="2901" spans="1:14" x14ac:dyDescent="0.25">
      <c r="A2901" s="2"/>
      <c r="B2901" s="11"/>
      <c r="C2901" s="26"/>
      <c r="L2901" s="65"/>
      <c r="M2901" s="71"/>
      <c r="N2901" s="65"/>
    </row>
    <row r="2902" spans="1:14" x14ac:dyDescent="0.25">
      <c r="A2902" s="2"/>
      <c r="B2902" s="11"/>
      <c r="C2902" s="26"/>
      <c r="L2902" s="65"/>
      <c r="M2902" s="71"/>
      <c r="N2902" s="65"/>
    </row>
    <row r="2903" spans="1:14" x14ac:dyDescent="0.25">
      <c r="A2903" s="2"/>
      <c r="B2903" s="11"/>
      <c r="C2903" s="26"/>
      <c r="L2903" s="65"/>
      <c r="M2903" s="71"/>
      <c r="N2903" s="65"/>
    </row>
    <row r="2904" spans="1:14" x14ac:dyDescent="0.25">
      <c r="A2904" s="2"/>
      <c r="B2904" s="11"/>
      <c r="C2904" s="26"/>
      <c r="L2904" s="65"/>
      <c r="M2904" s="71"/>
      <c r="N2904" s="65"/>
    </row>
    <row r="2905" spans="1:14" x14ac:dyDescent="0.25">
      <c r="A2905" s="2"/>
      <c r="B2905" s="11"/>
      <c r="C2905" s="26"/>
      <c r="L2905" s="65"/>
      <c r="M2905" s="71"/>
      <c r="N2905" s="65"/>
    </row>
    <row r="2906" spans="1:14" x14ac:dyDescent="0.25">
      <c r="A2906" s="2"/>
      <c r="B2906" s="11"/>
      <c r="C2906" s="26"/>
      <c r="L2906" s="65"/>
      <c r="M2906" s="71"/>
      <c r="N2906" s="65"/>
    </row>
    <row r="2907" spans="1:14" x14ac:dyDescent="0.25">
      <c r="A2907" s="2"/>
      <c r="B2907" s="11"/>
      <c r="C2907" s="26"/>
      <c r="L2907" s="65"/>
      <c r="M2907" s="71"/>
      <c r="N2907" s="65"/>
    </row>
    <row r="2908" spans="1:14" x14ac:dyDescent="0.25">
      <c r="A2908" s="2"/>
      <c r="B2908" s="11"/>
      <c r="C2908" s="26"/>
      <c r="L2908" s="65"/>
      <c r="M2908" s="71"/>
      <c r="N2908" s="65"/>
    </row>
    <row r="2909" spans="1:14" x14ac:dyDescent="0.25">
      <c r="A2909" s="2"/>
      <c r="B2909" s="11"/>
      <c r="C2909" s="26"/>
      <c r="L2909" s="65"/>
      <c r="M2909" s="71"/>
      <c r="N2909" s="65"/>
    </row>
    <row r="2910" spans="1:14" x14ac:dyDescent="0.25">
      <c r="A2910" s="2"/>
      <c r="B2910" s="11"/>
      <c r="C2910" s="26"/>
      <c r="L2910" s="65"/>
      <c r="M2910" s="71"/>
      <c r="N2910" s="65"/>
    </row>
    <row r="2911" spans="1:14" x14ac:dyDescent="0.25">
      <c r="A2911" s="2"/>
      <c r="B2911" s="11"/>
      <c r="C2911" s="26"/>
      <c r="L2911" s="65"/>
      <c r="M2911" s="71"/>
      <c r="N2911" s="65"/>
    </row>
    <row r="2912" spans="1:14" x14ac:dyDescent="0.25">
      <c r="A2912" s="2"/>
      <c r="B2912" s="11"/>
      <c r="C2912" s="26"/>
      <c r="L2912" s="65"/>
      <c r="M2912" s="71"/>
      <c r="N2912" s="65"/>
    </row>
    <row r="2913" spans="1:14" x14ac:dyDescent="0.25">
      <c r="A2913" s="2"/>
      <c r="B2913" s="11"/>
      <c r="C2913" s="26"/>
      <c r="L2913" s="65"/>
      <c r="M2913" s="71"/>
      <c r="N2913" s="65"/>
    </row>
    <row r="2914" spans="1:14" x14ac:dyDescent="0.25">
      <c r="A2914" s="2"/>
      <c r="B2914" s="11"/>
      <c r="C2914" s="26"/>
      <c r="L2914" s="65"/>
      <c r="M2914" s="71"/>
      <c r="N2914" s="65"/>
    </row>
    <row r="2915" spans="1:14" x14ac:dyDescent="0.25">
      <c r="A2915" s="2"/>
      <c r="B2915" s="11"/>
      <c r="C2915" s="26"/>
      <c r="L2915" s="65"/>
      <c r="M2915" s="71"/>
      <c r="N2915" s="65"/>
    </row>
    <row r="2916" spans="1:14" x14ac:dyDescent="0.25">
      <c r="A2916" s="2"/>
      <c r="B2916" s="11"/>
      <c r="C2916" s="26"/>
      <c r="L2916" s="65"/>
      <c r="M2916" s="71"/>
      <c r="N2916" s="65"/>
    </row>
    <row r="2917" spans="1:14" x14ac:dyDescent="0.25">
      <c r="A2917" s="2"/>
      <c r="B2917" s="11"/>
      <c r="C2917" s="26"/>
      <c r="L2917" s="65"/>
      <c r="M2917" s="71"/>
      <c r="N2917" s="65"/>
    </row>
    <row r="2918" spans="1:14" x14ac:dyDescent="0.25">
      <c r="A2918" s="2"/>
      <c r="B2918" s="11"/>
      <c r="C2918" s="26"/>
      <c r="L2918" s="65"/>
      <c r="M2918" s="71"/>
      <c r="N2918" s="65"/>
    </row>
    <row r="2919" spans="1:14" x14ac:dyDescent="0.25">
      <c r="A2919" s="2"/>
      <c r="B2919" s="11"/>
      <c r="C2919" s="26"/>
      <c r="L2919" s="65"/>
      <c r="M2919" s="71"/>
      <c r="N2919" s="65"/>
    </row>
    <row r="2920" spans="1:14" x14ac:dyDescent="0.25">
      <c r="A2920" s="2"/>
      <c r="B2920" s="11"/>
      <c r="C2920" s="26"/>
      <c r="L2920" s="65"/>
      <c r="M2920" s="71"/>
      <c r="N2920" s="65"/>
    </row>
    <row r="2921" spans="1:14" x14ac:dyDescent="0.25">
      <c r="A2921" s="2"/>
      <c r="B2921" s="11"/>
      <c r="C2921" s="26"/>
      <c r="L2921" s="65"/>
      <c r="M2921" s="71"/>
      <c r="N2921" s="65"/>
    </row>
    <row r="2922" spans="1:14" x14ac:dyDescent="0.25">
      <c r="A2922" s="2"/>
      <c r="B2922" s="11"/>
      <c r="C2922" s="26"/>
      <c r="L2922" s="65"/>
      <c r="M2922" s="71"/>
      <c r="N2922" s="65"/>
    </row>
    <row r="2923" spans="1:14" x14ac:dyDescent="0.25">
      <c r="A2923" s="2"/>
      <c r="B2923" s="11"/>
      <c r="C2923" s="26"/>
      <c r="L2923" s="65"/>
      <c r="M2923" s="71"/>
      <c r="N2923" s="65"/>
    </row>
    <row r="2924" spans="1:14" x14ac:dyDescent="0.25">
      <c r="A2924" s="2"/>
      <c r="B2924" s="11"/>
      <c r="C2924" s="26"/>
      <c r="L2924" s="65"/>
      <c r="M2924" s="71"/>
      <c r="N2924" s="65"/>
    </row>
    <row r="2925" spans="1:14" x14ac:dyDescent="0.25">
      <c r="A2925" s="2"/>
      <c r="B2925" s="11"/>
      <c r="C2925" s="26"/>
      <c r="L2925" s="65"/>
      <c r="M2925" s="71"/>
      <c r="N2925" s="65"/>
    </row>
    <row r="2926" spans="1:14" x14ac:dyDescent="0.25">
      <c r="A2926" s="2"/>
      <c r="B2926" s="11"/>
      <c r="C2926" s="26"/>
      <c r="L2926" s="65"/>
      <c r="M2926" s="71"/>
      <c r="N2926" s="65"/>
    </row>
    <row r="2927" spans="1:14" x14ac:dyDescent="0.25">
      <c r="A2927" s="2"/>
      <c r="B2927" s="11"/>
      <c r="C2927" s="26"/>
      <c r="L2927" s="65"/>
      <c r="M2927" s="71"/>
      <c r="N2927" s="65"/>
    </row>
    <row r="2928" spans="1:14" x14ac:dyDescent="0.25">
      <c r="A2928" s="2"/>
      <c r="B2928" s="11"/>
      <c r="C2928" s="26"/>
      <c r="L2928" s="65"/>
      <c r="M2928" s="71"/>
      <c r="N2928" s="65"/>
    </row>
    <row r="2929" spans="1:14" x14ac:dyDescent="0.25">
      <c r="A2929" s="2"/>
      <c r="B2929" s="11"/>
      <c r="C2929" s="26"/>
      <c r="L2929" s="65"/>
      <c r="M2929" s="71"/>
      <c r="N2929" s="65"/>
    </row>
    <row r="2930" spans="1:14" x14ac:dyDescent="0.25">
      <c r="A2930" s="2"/>
      <c r="B2930" s="11"/>
      <c r="C2930" s="26"/>
      <c r="L2930" s="65"/>
      <c r="M2930" s="71"/>
      <c r="N2930" s="65"/>
    </row>
    <row r="2931" spans="1:14" x14ac:dyDescent="0.25">
      <c r="A2931" s="2"/>
      <c r="B2931" s="11"/>
      <c r="C2931" s="26"/>
      <c r="L2931" s="65"/>
      <c r="M2931" s="71"/>
      <c r="N2931" s="65"/>
    </row>
    <row r="2932" spans="1:14" x14ac:dyDescent="0.25">
      <c r="A2932" s="2"/>
      <c r="B2932" s="11"/>
      <c r="C2932" s="26"/>
      <c r="L2932" s="65"/>
      <c r="M2932" s="71"/>
      <c r="N2932" s="65"/>
    </row>
    <row r="2933" spans="1:14" x14ac:dyDescent="0.25">
      <c r="A2933" s="2"/>
      <c r="B2933" s="11"/>
      <c r="C2933" s="26"/>
      <c r="L2933" s="65"/>
      <c r="M2933" s="71"/>
      <c r="N2933" s="65"/>
    </row>
    <row r="2934" spans="1:14" x14ac:dyDescent="0.25">
      <c r="A2934" s="2"/>
      <c r="B2934" s="11"/>
      <c r="C2934" s="26"/>
      <c r="L2934" s="65"/>
      <c r="M2934" s="71"/>
      <c r="N2934" s="65"/>
    </row>
    <row r="2935" spans="1:14" x14ac:dyDescent="0.25">
      <c r="A2935" s="2"/>
      <c r="B2935" s="11"/>
      <c r="C2935" s="26"/>
      <c r="L2935" s="65"/>
      <c r="M2935" s="71"/>
      <c r="N2935" s="65"/>
    </row>
    <row r="2936" spans="1:14" x14ac:dyDescent="0.25">
      <c r="A2936" s="2"/>
      <c r="B2936" s="11"/>
      <c r="C2936" s="26"/>
      <c r="L2936" s="65"/>
      <c r="M2936" s="71"/>
      <c r="N2936" s="65"/>
    </row>
    <row r="2937" spans="1:14" x14ac:dyDescent="0.25">
      <c r="A2937" s="2"/>
      <c r="B2937" s="11"/>
      <c r="C2937" s="26"/>
      <c r="L2937" s="65"/>
      <c r="M2937" s="71"/>
      <c r="N2937" s="65"/>
    </row>
    <row r="2938" spans="1:14" x14ac:dyDescent="0.25">
      <c r="A2938" s="2"/>
      <c r="B2938" s="11"/>
      <c r="C2938" s="26"/>
      <c r="L2938" s="65"/>
      <c r="M2938" s="71"/>
      <c r="N2938" s="65"/>
    </row>
    <row r="2939" spans="1:14" x14ac:dyDescent="0.25">
      <c r="A2939" s="2"/>
      <c r="B2939" s="11"/>
      <c r="C2939" s="26"/>
      <c r="L2939" s="65"/>
      <c r="M2939" s="71"/>
      <c r="N2939" s="65"/>
    </row>
    <row r="2940" spans="1:14" x14ac:dyDescent="0.25">
      <c r="A2940" s="2"/>
      <c r="B2940" s="11"/>
      <c r="C2940" s="26"/>
      <c r="L2940" s="65"/>
      <c r="M2940" s="71"/>
      <c r="N2940" s="65"/>
    </row>
    <row r="2941" spans="1:14" x14ac:dyDescent="0.25">
      <c r="A2941" s="2"/>
      <c r="B2941" s="11"/>
      <c r="C2941" s="26"/>
      <c r="L2941" s="65"/>
      <c r="M2941" s="71"/>
      <c r="N2941" s="65"/>
    </row>
    <row r="2942" spans="1:14" x14ac:dyDescent="0.25">
      <c r="A2942" s="2"/>
      <c r="B2942" s="11"/>
      <c r="C2942" s="26"/>
      <c r="L2942" s="65"/>
      <c r="M2942" s="71"/>
      <c r="N2942" s="65"/>
    </row>
    <row r="2943" spans="1:14" x14ac:dyDescent="0.25">
      <c r="A2943" s="2"/>
      <c r="B2943" s="11"/>
      <c r="C2943" s="26"/>
      <c r="L2943" s="65"/>
      <c r="M2943" s="71"/>
      <c r="N2943" s="65"/>
    </row>
    <row r="2944" spans="1:14" x14ac:dyDescent="0.25">
      <c r="A2944" s="2"/>
      <c r="B2944" s="11"/>
      <c r="C2944" s="26"/>
      <c r="L2944" s="65"/>
      <c r="M2944" s="71"/>
      <c r="N2944" s="65"/>
    </row>
    <row r="2945" spans="1:14" x14ac:dyDescent="0.25">
      <c r="A2945" s="2"/>
      <c r="B2945" s="11"/>
      <c r="C2945" s="26"/>
      <c r="L2945" s="65"/>
      <c r="M2945" s="71"/>
      <c r="N2945" s="65"/>
    </row>
    <row r="2946" spans="1:14" x14ac:dyDescent="0.25">
      <c r="A2946" s="2"/>
      <c r="B2946" s="11"/>
      <c r="C2946" s="26"/>
      <c r="L2946" s="65"/>
      <c r="M2946" s="71"/>
      <c r="N2946" s="65"/>
    </row>
    <row r="2947" spans="1:14" x14ac:dyDescent="0.25">
      <c r="A2947" s="2"/>
      <c r="B2947" s="11"/>
      <c r="C2947" s="26"/>
      <c r="L2947" s="65"/>
      <c r="M2947" s="71"/>
      <c r="N2947" s="65"/>
    </row>
    <row r="2948" spans="1:14" x14ac:dyDescent="0.25">
      <c r="A2948" s="2"/>
      <c r="B2948" s="11"/>
      <c r="C2948" s="26"/>
      <c r="L2948" s="65"/>
      <c r="M2948" s="71"/>
      <c r="N2948" s="65"/>
    </row>
    <row r="2949" spans="1:14" x14ac:dyDescent="0.25">
      <c r="A2949" s="2"/>
      <c r="B2949" s="11"/>
      <c r="C2949" s="26"/>
      <c r="L2949" s="65"/>
      <c r="M2949" s="71"/>
      <c r="N2949" s="65"/>
    </row>
    <row r="2950" spans="1:14" x14ac:dyDescent="0.25">
      <c r="A2950" s="2"/>
      <c r="B2950" s="11"/>
      <c r="C2950" s="26"/>
      <c r="L2950" s="65"/>
      <c r="M2950" s="71"/>
      <c r="N2950" s="65"/>
    </row>
    <row r="2951" spans="1:14" x14ac:dyDescent="0.25">
      <c r="A2951" s="2"/>
      <c r="B2951" s="11"/>
      <c r="C2951" s="26"/>
      <c r="L2951" s="65"/>
      <c r="M2951" s="71"/>
      <c r="N2951" s="65"/>
    </row>
    <row r="2952" spans="1:14" x14ac:dyDescent="0.25">
      <c r="A2952" s="2"/>
      <c r="B2952" s="11"/>
      <c r="C2952" s="26"/>
      <c r="L2952" s="65"/>
      <c r="M2952" s="71"/>
      <c r="N2952" s="65"/>
    </row>
    <row r="2953" spans="1:14" x14ac:dyDescent="0.25">
      <c r="A2953" s="2"/>
      <c r="B2953" s="11"/>
      <c r="C2953" s="26"/>
      <c r="L2953" s="65"/>
      <c r="M2953" s="71"/>
      <c r="N2953" s="65"/>
    </row>
    <row r="2954" spans="1:14" x14ac:dyDescent="0.25">
      <c r="A2954" s="2"/>
      <c r="B2954" s="11"/>
      <c r="C2954" s="26"/>
      <c r="L2954" s="65"/>
      <c r="M2954" s="71"/>
      <c r="N2954" s="65"/>
    </row>
    <row r="2955" spans="1:14" x14ac:dyDescent="0.25">
      <c r="A2955" s="2"/>
      <c r="B2955" s="11"/>
      <c r="C2955" s="26"/>
      <c r="L2955" s="65"/>
      <c r="M2955" s="71"/>
      <c r="N2955" s="65"/>
    </row>
    <row r="2956" spans="1:14" x14ac:dyDescent="0.25">
      <c r="A2956" s="2"/>
      <c r="B2956" s="11"/>
      <c r="C2956" s="26"/>
      <c r="L2956" s="65"/>
      <c r="M2956" s="71"/>
      <c r="N2956" s="65"/>
    </row>
    <row r="2957" spans="1:14" x14ac:dyDescent="0.25">
      <c r="A2957" s="2"/>
      <c r="B2957" s="11"/>
      <c r="C2957" s="26"/>
      <c r="L2957" s="65"/>
      <c r="M2957" s="71"/>
      <c r="N2957" s="65"/>
    </row>
    <row r="2958" spans="1:14" x14ac:dyDescent="0.25">
      <c r="A2958" s="2"/>
      <c r="B2958" s="11"/>
      <c r="C2958" s="26"/>
      <c r="L2958" s="65"/>
      <c r="M2958" s="71"/>
      <c r="N2958" s="65"/>
    </row>
    <row r="2959" spans="1:14" x14ac:dyDescent="0.25">
      <c r="A2959" s="2"/>
      <c r="B2959" s="11"/>
      <c r="C2959" s="26"/>
      <c r="L2959" s="65"/>
      <c r="M2959" s="71"/>
      <c r="N2959" s="65"/>
    </row>
    <row r="2960" spans="1:14" x14ac:dyDescent="0.25">
      <c r="A2960" s="2"/>
      <c r="B2960" s="11"/>
      <c r="C2960" s="26"/>
      <c r="L2960" s="65"/>
      <c r="M2960" s="71"/>
      <c r="N2960" s="65"/>
    </row>
    <row r="2961" spans="1:14" x14ac:dyDescent="0.25">
      <c r="A2961" s="2"/>
      <c r="B2961" s="11"/>
      <c r="C2961" s="26"/>
      <c r="L2961" s="65"/>
      <c r="M2961" s="71"/>
      <c r="N2961" s="65"/>
    </row>
    <row r="2962" spans="1:14" x14ac:dyDescent="0.25">
      <c r="A2962" s="2"/>
      <c r="B2962" s="11"/>
      <c r="C2962" s="26"/>
      <c r="L2962" s="65"/>
      <c r="M2962" s="71"/>
      <c r="N2962" s="65"/>
    </row>
    <row r="2963" spans="1:14" x14ac:dyDescent="0.25">
      <c r="A2963" s="2"/>
      <c r="B2963" s="11"/>
      <c r="C2963" s="26"/>
      <c r="L2963" s="65"/>
      <c r="M2963" s="71"/>
      <c r="N2963" s="65"/>
    </row>
    <row r="2964" spans="1:14" x14ac:dyDescent="0.25">
      <c r="A2964" s="2"/>
      <c r="B2964" s="11"/>
      <c r="C2964" s="26"/>
      <c r="L2964" s="65"/>
      <c r="M2964" s="71"/>
      <c r="N2964" s="65"/>
    </row>
    <row r="2965" spans="1:14" x14ac:dyDescent="0.25">
      <c r="A2965" s="2"/>
      <c r="B2965" s="11"/>
      <c r="C2965" s="26"/>
      <c r="L2965" s="65"/>
      <c r="M2965" s="71"/>
      <c r="N2965" s="65"/>
    </row>
    <row r="2966" spans="1:14" x14ac:dyDescent="0.25">
      <c r="A2966" s="2"/>
      <c r="B2966" s="11"/>
      <c r="C2966" s="26"/>
      <c r="L2966" s="65"/>
      <c r="M2966" s="71"/>
      <c r="N2966" s="65"/>
    </row>
    <row r="2967" spans="1:14" x14ac:dyDescent="0.25">
      <c r="A2967" s="2"/>
      <c r="B2967" s="11"/>
      <c r="C2967" s="26"/>
      <c r="L2967" s="65"/>
      <c r="M2967" s="71"/>
      <c r="N2967" s="65"/>
    </row>
    <row r="2968" spans="1:14" x14ac:dyDescent="0.25">
      <c r="A2968" s="2"/>
      <c r="B2968" s="11"/>
      <c r="C2968" s="26"/>
      <c r="L2968" s="65"/>
      <c r="M2968" s="71"/>
      <c r="N2968" s="65"/>
    </row>
    <row r="2969" spans="1:14" x14ac:dyDescent="0.25">
      <c r="A2969" s="2"/>
      <c r="B2969" s="11"/>
      <c r="C2969" s="26"/>
      <c r="L2969" s="65"/>
      <c r="M2969" s="71"/>
      <c r="N2969" s="65"/>
    </row>
    <row r="2970" spans="1:14" x14ac:dyDescent="0.25">
      <c r="A2970" s="2"/>
      <c r="B2970" s="11"/>
      <c r="C2970" s="26"/>
      <c r="L2970" s="65"/>
      <c r="M2970" s="71"/>
      <c r="N2970" s="65"/>
    </row>
    <row r="2971" spans="1:14" x14ac:dyDescent="0.25">
      <c r="A2971" s="2"/>
      <c r="B2971" s="11"/>
      <c r="C2971" s="26"/>
      <c r="L2971" s="65"/>
      <c r="M2971" s="71"/>
      <c r="N2971" s="65"/>
    </row>
    <row r="2972" spans="1:14" x14ac:dyDescent="0.25">
      <c r="A2972" s="2"/>
      <c r="B2972" s="11"/>
      <c r="C2972" s="26"/>
      <c r="L2972" s="65"/>
      <c r="M2972" s="71"/>
      <c r="N2972" s="65"/>
    </row>
    <row r="2973" spans="1:14" x14ac:dyDescent="0.25">
      <c r="A2973" s="2"/>
      <c r="B2973" s="11"/>
      <c r="C2973" s="26"/>
      <c r="L2973" s="65"/>
      <c r="M2973" s="71"/>
      <c r="N2973" s="65"/>
    </row>
    <row r="2974" spans="1:14" x14ac:dyDescent="0.25">
      <c r="A2974" s="2"/>
      <c r="B2974" s="11"/>
      <c r="C2974" s="26"/>
      <c r="L2974" s="65"/>
      <c r="M2974" s="71"/>
      <c r="N2974" s="65"/>
    </row>
    <row r="2975" spans="1:14" x14ac:dyDescent="0.25">
      <c r="A2975" s="2"/>
      <c r="B2975" s="11"/>
      <c r="C2975" s="26"/>
      <c r="L2975" s="65"/>
      <c r="M2975" s="71"/>
      <c r="N2975" s="65"/>
    </row>
    <row r="2976" spans="1:14" x14ac:dyDescent="0.25">
      <c r="A2976" s="2"/>
      <c r="B2976" s="11"/>
      <c r="C2976" s="26"/>
      <c r="L2976" s="65"/>
      <c r="M2976" s="71"/>
      <c r="N2976" s="65"/>
    </row>
    <row r="2977" spans="1:14" x14ac:dyDescent="0.25">
      <c r="A2977" s="2"/>
      <c r="B2977" s="11"/>
      <c r="C2977" s="26"/>
      <c r="L2977" s="65"/>
      <c r="M2977" s="71"/>
      <c r="N2977" s="65"/>
    </row>
    <row r="2978" spans="1:14" x14ac:dyDescent="0.25">
      <c r="A2978" s="2"/>
      <c r="B2978" s="11"/>
      <c r="C2978" s="26"/>
      <c r="L2978" s="65"/>
      <c r="M2978" s="71"/>
      <c r="N2978" s="65"/>
    </row>
    <row r="2979" spans="1:14" x14ac:dyDescent="0.25">
      <c r="A2979" s="2"/>
      <c r="B2979" s="11"/>
      <c r="C2979" s="26"/>
      <c r="L2979" s="65"/>
      <c r="M2979" s="71"/>
      <c r="N2979" s="65"/>
    </row>
    <row r="2980" spans="1:14" x14ac:dyDescent="0.25">
      <c r="A2980" s="2"/>
      <c r="B2980" s="11"/>
      <c r="C2980" s="26"/>
      <c r="L2980" s="65"/>
      <c r="M2980" s="71"/>
      <c r="N2980" s="65"/>
    </row>
    <row r="2981" spans="1:14" x14ac:dyDescent="0.25">
      <c r="A2981" s="2"/>
      <c r="B2981" s="11"/>
      <c r="C2981" s="26"/>
      <c r="L2981" s="65"/>
      <c r="M2981" s="71"/>
      <c r="N2981" s="65"/>
    </row>
    <row r="2982" spans="1:14" x14ac:dyDescent="0.25">
      <c r="A2982" s="2"/>
      <c r="B2982" s="11"/>
      <c r="C2982" s="26"/>
      <c r="L2982" s="65"/>
      <c r="M2982" s="71"/>
      <c r="N2982" s="65"/>
    </row>
    <row r="2983" spans="1:14" x14ac:dyDescent="0.25">
      <c r="A2983" s="2"/>
      <c r="B2983" s="11"/>
      <c r="C2983" s="26"/>
      <c r="L2983" s="65"/>
      <c r="M2983" s="71"/>
      <c r="N2983" s="65"/>
    </row>
    <row r="2984" spans="1:14" x14ac:dyDescent="0.25">
      <c r="A2984" s="2"/>
      <c r="B2984" s="11"/>
      <c r="C2984" s="26"/>
      <c r="L2984" s="65"/>
      <c r="M2984" s="71"/>
      <c r="N2984" s="65"/>
    </row>
    <row r="2985" spans="1:14" x14ac:dyDescent="0.25">
      <c r="A2985" s="2"/>
      <c r="B2985" s="11"/>
      <c r="C2985" s="26"/>
      <c r="L2985" s="65"/>
      <c r="M2985" s="71"/>
      <c r="N2985" s="65"/>
    </row>
    <row r="2986" spans="1:14" x14ac:dyDescent="0.25">
      <c r="A2986" s="2"/>
      <c r="B2986" s="11"/>
      <c r="C2986" s="26"/>
      <c r="L2986" s="65"/>
      <c r="M2986" s="71"/>
      <c r="N2986" s="65"/>
    </row>
    <row r="2987" spans="1:14" x14ac:dyDescent="0.25">
      <c r="A2987" s="2"/>
      <c r="B2987" s="11"/>
      <c r="C2987" s="26"/>
      <c r="L2987" s="65"/>
      <c r="M2987" s="71"/>
      <c r="N2987" s="65"/>
    </row>
    <row r="2988" spans="1:14" x14ac:dyDescent="0.25">
      <c r="A2988" s="2"/>
      <c r="B2988" s="11"/>
      <c r="C2988" s="26"/>
      <c r="L2988" s="65"/>
      <c r="M2988" s="71"/>
      <c r="N2988" s="65"/>
    </row>
    <row r="2989" spans="1:14" x14ac:dyDescent="0.25">
      <c r="A2989" s="2"/>
      <c r="B2989" s="11"/>
      <c r="C2989" s="26"/>
      <c r="L2989" s="65"/>
      <c r="M2989" s="71"/>
      <c r="N2989" s="65"/>
    </row>
    <row r="2990" spans="1:14" x14ac:dyDescent="0.25">
      <c r="A2990" s="2"/>
      <c r="B2990" s="11"/>
      <c r="C2990" s="26"/>
      <c r="L2990" s="65"/>
      <c r="M2990" s="71"/>
      <c r="N2990" s="65"/>
    </row>
    <row r="2991" spans="1:14" x14ac:dyDescent="0.25">
      <c r="A2991" s="2"/>
      <c r="B2991" s="11"/>
      <c r="C2991" s="26"/>
      <c r="L2991" s="65"/>
      <c r="M2991" s="71"/>
      <c r="N2991" s="65"/>
    </row>
    <row r="2992" spans="1:14" x14ac:dyDescent="0.25">
      <c r="A2992" s="2"/>
      <c r="B2992" s="11"/>
      <c r="C2992" s="26"/>
      <c r="L2992" s="65"/>
      <c r="M2992" s="71"/>
      <c r="N2992" s="65"/>
    </row>
    <row r="2993" spans="1:14" x14ac:dyDescent="0.25">
      <c r="A2993" s="2"/>
      <c r="B2993" s="11"/>
      <c r="C2993" s="26"/>
      <c r="L2993" s="65"/>
      <c r="M2993" s="71"/>
      <c r="N2993" s="65"/>
    </row>
    <row r="2994" spans="1:14" x14ac:dyDescent="0.25">
      <c r="A2994" s="2"/>
      <c r="B2994" s="11"/>
      <c r="C2994" s="26"/>
      <c r="L2994" s="65"/>
      <c r="M2994" s="71"/>
      <c r="N2994" s="65"/>
    </row>
    <row r="2995" spans="1:14" x14ac:dyDescent="0.25">
      <c r="A2995" s="2"/>
      <c r="B2995" s="11"/>
      <c r="C2995" s="26"/>
      <c r="L2995" s="65"/>
      <c r="M2995" s="71"/>
      <c r="N2995" s="65"/>
    </row>
    <row r="2996" spans="1:14" x14ac:dyDescent="0.25">
      <c r="A2996" s="2"/>
      <c r="B2996" s="11"/>
      <c r="C2996" s="26"/>
      <c r="L2996" s="65"/>
      <c r="M2996" s="71"/>
      <c r="N2996" s="65"/>
    </row>
    <row r="2997" spans="1:14" x14ac:dyDescent="0.25">
      <c r="A2997" s="2"/>
      <c r="B2997" s="11"/>
      <c r="C2997" s="26"/>
      <c r="L2997" s="65"/>
      <c r="M2997" s="71"/>
      <c r="N2997" s="65"/>
    </row>
    <row r="2998" spans="1:14" x14ac:dyDescent="0.25">
      <c r="A2998" s="2"/>
      <c r="B2998" s="11"/>
      <c r="C2998" s="26"/>
      <c r="L2998" s="65"/>
      <c r="M2998" s="71"/>
      <c r="N2998" s="65"/>
    </row>
    <row r="2999" spans="1:14" x14ac:dyDescent="0.25">
      <c r="A2999" s="2"/>
      <c r="B2999" s="11"/>
      <c r="C2999" s="26"/>
      <c r="L2999" s="65"/>
      <c r="M2999" s="71"/>
      <c r="N2999" s="65"/>
    </row>
    <row r="3000" spans="1:14" x14ac:dyDescent="0.25">
      <c r="A3000" s="2"/>
      <c r="B3000" s="11"/>
      <c r="C3000" s="26"/>
      <c r="L3000" s="65"/>
      <c r="M3000" s="71"/>
      <c r="N3000" s="65"/>
    </row>
    <row r="3001" spans="1:14" x14ac:dyDescent="0.25">
      <c r="A3001" s="2"/>
      <c r="B3001" s="11"/>
      <c r="C3001" s="26"/>
      <c r="L3001" s="65"/>
      <c r="M3001" s="71"/>
      <c r="N3001" s="65"/>
    </row>
    <row r="3002" spans="1:14" x14ac:dyDescent="0.25">
      <c r="A3002" s="2"/>
      <c r="B3002" s="11"/>
      <c r="C3002" s="26"/>
      <c r="L3002" s="65"/>
      <c r="M3002" s="71"/>
      <c r="N3002" s="65"/>
    </row>
    <row r="3003" spans="1:14" x14ac:dyDescent="0.25">
      <c r="A3003" s="2"/>
      <c r="B3003" s="11"/>
      <c r="C3003" s="26"/>
      <c r="L3003" s="65"/>
      <c r="M3003" s="71"/>
      <c r="N3003" s="65"/>
    </row>
    <row r="3004" spans="1:14" x14ac:dyDescent="0.25">
      <c r="A3004" s="2"/>
      <c r="B3004" s="11"/>
      <c r="C3004" s="26"/>
      <c r="L3004" s="65"/>
      <c r="M3004" s="71"/>
      <c r="N3004" s="65"/>
    </row>
    <row r="3005" spans="1:14" x14ac:dyDescent="0.25">
      <c r="A3005" s="2"/>
      <c r="B3005" s="11"/>
      <c r="C3005" s="26"/>
      <c r="L3005" s="65"/>
      <c r="M3005" s="71"/>
      <c r="N3005" s="65"/>
    </row>
    <row r="3006" spans="1:14" x14ac:dyDescent="0.25">
      <c r="A3006" s="2"/>
      <c r="B3006" s="11"/>
      <c r="C3006" s="26"/>
      <c r="L3006" s="65"/>
      <c r="M3006" s="71"/>
      <c r="N3006" s="65"/>
    </row>
    <row r="3007" spans="1:14" x14ac:dyDescent="0.25">
      <c r="A3007" s="2"/>
      <c r="B3007" s="11"/>
      <c r="C3007" s="26"/>
      <c r="L3007" s="65"/>
      <c r="M3007" s="71"/>
      <c r="N3007" s="65"/>
    </row>
    <row r="3008" spans="1:14" x14ac:dyDescent="0.25">
      <c r="A3008" s="2"/>
      <c r="B3008" s="11"/>
      <c r="C3008" s="26"/>
      <c r="L3008" s="65"/>
      <c r="M3008" s="71"/>
      <c r="N3008" s="65"/>
    </row>
    <row r="3009" spans="1:14" x14ac:dyDescent="0.25">
      <c r="A3009" s="2"/>
      <c r="B3009" s="11"/>
      <c r="C3009" s="26"/>
      <c r="L3009" s="65"/>
      <c r="M3009" s="71"/>
      <c r="N3009" s="65"/>
    </row>
    <row r="3010" spans="1:14" x14ac:dyDescent="0.25">
      <c r="A3010" s="2"/>
      <c r="B3010" s="11"/>
      <c r="C3010" s="26"/>
      <c r="L3010" s="65"/>
      <c r="M3010" s="71"/>
      <c r="N3010" s="65"/>
    </row>
    <row r="3011" spans="1:14" x14ac:dyDescent="0.25">
      <c r="A3011" s="2"/>
      <c r="B3011" s="11"/>
      <c r="C3011" s="26"/>
      <c r="L3011" s="65"/>
      <c r="M3011" s="71"/>
      <c r="N3011" s="65"/>
    </row>
    <row r="3012" spans="1:14" x14ac:dyDescent="0.25">
      <c r="A3012" s="2"/>
      <c r="B3012" s="11"/>
      <c r="C3012" s="26"/>
      <c r="L3012" s="65"/>
      <c r="M3012" s="71"/>
      <c r="N3012" s="65"/>
    </row>
    <row r="3013" spans="1:14" x14ac:dyDescent="0.25">
      <c r="A3013" s="2"/>
      <c r="B3013" s="11"/>
      <c r="C3013" s="26"/>
      <c r="L3013" s="65"/>
      <c r="M3013" s="71"/>
      <c r="N3013" s="65"/>
    </row>
    <row r="3014" spans="1:14" x14ac:dyDescent="0.25">
      <c r="A3014" s="2"/>
      <c r="B3014" s="11"/>
      <c r="C3014" s="26"/>
      <c r="L3014" s="65"/>
      <c r="M3014" s="71"/>
      <c r="N3014" s="65"/>
    </row>
    <row r="3015" spans="1:14" x14ac:dyDescent="0.25">
      <c r="A3015" s="2"/>
      <c r="B3015" s="11"/>
      <c r="C3015" s="26"/>
      <c r="L3015" s="65"/>
      <c r="M3015" s="71"/>
      <c r="N3015" s="65"/>
    </row>
    <row r="3016" spans="1:14" x14ac:dyDescent="0.25">
      <c r="A3016" s="2"/>
      <c r="B3016" s="11"/>
      <c r="C3016" s="26"/>
      <c r="L3016" s="65"/>
      <c r="M3016" s="71"/>
      <c r="N3016" s="65"/>
    </row>
    <row r="3017" spans="1:14" x14ac:dyDescent="0.25">
      <c r="A3017" s="2"/>
      <c r="B3017" s="11"/>
      <c r="C3017" s="26"/>
      <c r="L3017" s="65"/>
      <c r="M3017" s="71"/>
      <c r="N3017" s="65"/>
    </row>
    <row r="3018" spans="1:14" x14ac:dyDescent="0.25">
      <c r="A3018" s="2"/>
      <c r="B3018" s="11"/>
      <c r="C3018" s="26"/>
      <c r="L3018" s="65"/>
      <c r="M3018" s="71"/>
      <c r="N3018" s="65"/>
    </row>
    <row r="3019" spans="1:14" x14ac:dyDescent="0.25">
      <c r="A3019" s="2"/>
      <c r="B3019" s="11"/>
      <c r="C3019" s="26"/>
      <c r="L3019" s="65"/>
      <c r="M3019" s="71"/>
      <c r="N3019" s="65"/>
    </row>
    <row r="3020" spans="1:14" x14ac:dyDescent="0.25">
      <c r="A3020" s="2"/>
      <c r="B3020" s="11"/>
      <c r="C3020" s="26"/>
      <c r="L3020" s="65"/>
      <c r="M3020" s="71"/>
      <c r="N3020" s="65"/>
    </row>
    <row r="3021" spans="1:14" x14ac:dyDescent="0.25">
      <c r="A3021" s="2"/>
      <c r="B3021" s="11"/>
      <c r="C3021" s="26"/>
      <c r="L3021" s="65"/>
      <c r="M3021" s="71"/>
      <c r="N3021" s="65"/>
    </row>
    <row r="3022" spans="1:14" x14ac:dyDescent="0.25">
      <c r="A3022" s="2"/>
      <c r="B3022" s="11"/>
      <c r="C3022" s="26"/>
      <c r="L3022" s="65"/>
      <c r="M3022" s="71"/>
      <c r="N3022" s="65"/>
    </row>
    <row r="3023" spans="1:14" x14ac:dyDescent="0.25">
      <c r="A3023" s="2"/>
      <c r="B3023" s="11"/>
      <c r="C3023" s="26"/>
      <c r="L3023" s="65"/>
      <c r="M3023" s="71"/>
      <c r="N3023" s="65"/>
    </row>
    <row r="3024" spans="1:14" x14ac:dyDescent="0.25">
      <c r="A3024" s="2"/>
      <c r="B3024" s="11"/>
      <c r="C3024" s="26"/>
      <c r="L3024" s="65"/>
      <c r="M3024" s="71"/>
      <c r="N3024" s="65"/>
    </row>
    <row r="3025" spans="1:14" x14ac:dyDescent="0.25">
      <c r="A3025" s="2"/>
      <c r="B3025" s="11"/>
      <c r="C3025" s="26"/>
      <c r="L3025" s="65"/>
      <c r="M3025" s="71"/>
      <c r="N3025" s="65"/>
    </row>
    <row r="3026" spans="1:14" x14ac:dyDescent="0.25">
      <c r="A3026" s="2"/>
      <c r="B3026" s="11"/>
      <c r="C3026" s="26"/>
      <c r="L3026" s="65"/>
      <c r="M3026" s="71"/>
      <c r="N3026" s="65"/>
    </row>
    <row r="3027" spans="1:14" x14ac:dyDescent="0.25">
      <c r="A3027" s="2"/>
      <c r="B3027" s="11"/>
      <c r="C3027" s="26"/>
      <c r="L3027" s="65"/>
      <c r="M3027" s="71"/>
      <c r="N3027" s="65"/>
    </row>
    <row r="3028" spans="1:14" x14ac:dyDescent="0.25">
      <c r="A3028" s="2"/>
      <c r="B3028" s="11"/>
      <c r="C3028" s="26"/>
      <c r="L3028" s="65"/>
      <c r="M3028" s="71"/>
      <c r="N3028" s="65"/>
    </row>
    <row r="3029" spans="1:14" x14ac:dyDescent="0.25">
      <c r="A3029" s="2"/>
      <c r="B3029" s="11"/>
      <c r="C3029" s="26"/>
      <c r="L3029" s="65"/>
      <c r="M3029" s="71"/>
      <c r="N3029" s="65"/>
    </row>
    <row r="3030" spans="1:14" x14ac:dyDescent="0.25">
      <c r="A3030" s="2"/>
      <c r="B3030" s="11"/>
      <c r="C3030" s="26"/>
      <c r="L3030" s="65"/>
      <c r="M3030" s="71"/>
      <c r="N3030" s="65"/>
    </row>
    <row r="3031" spans="1:14" x14ac:dyDescent="0.25">
      <c r="A3031" s="2"/>
      <c r="B3031" s="11"/>
      <c r="C3031" s="26"/>
      <c r="L3031" s="65"/>
      <c r="M3031" s="71"/>
      <c r="N3031" s="65"/>
    </row>
    <row r="3032" spans="1:14" x14ac:dyDescent="0.25">
      <c r="A3032" s="2"/>
      <c r="B3032" s="11"/>
      <c r="C3032" s="26"/>
      <c r="L3032" s="65"/>
      <c r="M3032" s="71"/>
      <c r="N3032" s="65"/>
    </row>
    <row r="3033" spans="1:14" x14ac:dyDescent="0.25">
      <c r="A3033" s="2"/>
      <c r="B3033" s="11"/>
      <c r="C3033" s="26"/>
      <c r="L3033" s="65"/>
      <c r="M3033" s="71"/>
      <c r="N3033" s="65"/>
    </row>
    <row r="3034" spans="1:14" x14ac:dyDescent="0.25">
      <c r="A3034" s="2"/>
      <c r="B3034" s="11"/>
      <c r="C3034" s="26"/>
      <c r="L3034" s="65"/>
      <c r="M3034" s="71"/>
      <c r="N3034" s="65"/>
    </row>
    <row r="3035" spans="1:14" x14ac:dyDescent="0.25">
      <c r="A3035" s="2"/>
      <c r="B3035" s="11"/>
      <c r="C3035" s="26"/>
      <c r="L3035" s="65"/>
      <c r="M3035" s="71"/>
      <c r="N3035" s="65"/>
    </row>
    <row r="3036" spans="1:14" x14ac:dyDescent="0.25">
      <c r="A3036" s="2"/>
      <c r="B3036" s="11"/>
      <c r="C3036" s="26"/>
      <c r="L3036" s="65"/>
      <c r="M3036" s="71"/>
      <c r="N3036" s="65"/>
    </row>
    <row r="3037" spans="1:14" x14ac:dyDescent="0.25">
      <c r="A3037" s="2"/>
      <c r="B3037" s="11"/>
      <c r="C3037" s="26"/>
      <c r="L3037" s="65"/>
      <c r="M3037" s="71"/>
      <c r="N3037" s="65"/>
    </row>
    <row r="3038" spans="1:14" x14ac:dyDescent="0.25">
      <c r="A3038" s="2"/>
      <c r="B3038" s="11"/>
      <c r="C3038" s="26"/>
      <c r="L3038" s="65"/>
      <c r="M3038" s="71"/>
      <c r="N3038" s="65"/>
    </row>
    <row r="3039" spans="1:14" x14ac:dyDescent="0.25">
      <c r="A3039" s="2"/>
      <c r="B3039" s="11"/>
      <c r="C3039" s="26"/>
      <c r="L3039" s="65"/>
      <c r="M3039" s="71"/>
      <c r="N3039" s="65"/>
    </row>
    <row r="3040" spans="1:14" x14ac:dyDescent="0.25">
      <c r="A3040" s="2"/>
      <c r="B3040" s="11"/>
      <c r="C3040" s="26"/>
      <c r="L3040" s="65"/>
      <c r="M3040" s="71"/>
      <c r="N3040" s="65"/>
    </row>
    <row r="3041" spans="1:14" x14ac:dyDescent="0.25">
      <c r="A3041" s="2"/>
      <c r="B3041" s="11"/>
      <c r="C3041" s="26"/>
      <c r="L3041" s="65"/>
      <c r="M3041" s="71"/>
      <c r="N3041" s="65"/>
    </row>
    <row r="3042" spans="1:14" x14ac:dyDescent="0.25">
      <c r="A3042" s="2"/>
      <c r="B3042" s="11"/>
      <c r="C3042" s="26"/>
      <c r="L3042" s="65"/>
      <c r="M3042" s="71"/>
      <c r="N3042" s="65"/>
    </row>
    <row r="3043" spans="1:14" x14ac:dyDescent="0.25">
      <c r="A3043" s="2"/>
      <c r="B3043" s="11"/>
      <c r="C3043" s="26"/>
      <c r="L3043" s="65"/>
      <c r="M3043" s="71"/>
      <c r="N3043" s="65"/>
    </row>
    <row r="3044" spans="1:14" x14ac:dyDescent="0.25">
      <c r="A3044" s="2"/>
      <c r="B3044" s="11"/>
      <c r="C3044" s="26"/>
      <c r="L3044" s="65"/>
      <c r="M3044" s="71"/>
      <c r="N3044" s="65"/>
    </row>
    <row r="3045" spans="1:14" x14ac:dyDescent="0.25">
      <c r="A3045" s="2"/>
      <c r="B3045" s="11"/>
      <c r="C3045" s="26"/>
      <c r="L3045" s="65"/>
      <c r="M3045" s="71"/>
      <c r="N3045" s="65"/>
    </row>
    <row r="3046" spans="1:14" x14ac:dyDescent="0.25">
      <c r="A3046" s="2"/>
      <c r="B3046" s="11"/>
      <c r="C3046" s="26"/>
      <c r="L3046" s="65"/>
      <c r="M3046" s="71"/>
      <c r="N3046" s="65"/>
    </row>
    <row r="3047" spans="1:14" x14ac:dyDescent="0.25">
      <c r="A3047" s="2"/>
      <c r="B3047" s="11"/>
      <c r="C3047" s="26"/>
      <c r="L3047" s="65"/>
      <c r="M3047" s="71"/>
      <c r="N3047" s="65"/>
    </row>
    <row r="3048" spans="1:14" x14ac:dyDescent="0.25">
      <c r="A3048" s="2"/>
      <c r="B3048" s="11"/>
      <c r="C3048" s="26"/>
      <c r="L3048" s="65"/>
      <c r="M3048" s="71"/>
      <c r="N3048" s="65"/>
    </row>
    <row r="3049" spans="1:14" x14ac:dyDescent="0.25">
      <c r="A3049" s="2"/>
      <c r="B3049" s="11"/>
      <c r="C3049" s="26"/>
      <c r="L3049" s="65"/>
      <c r="M3049" s="71"/>
      <c r="N3049" s="65"/>
    </row>
    <row r="3050" spans="1:14" x14ac:dyDescent="0.25">
      <c r="A3050" s="2"/>
      <c r="B3050" s="11"/>
      <c r="C3050" s="26"/>
      <c r="L3050" s="65"/>
      <c r="M3050" s="71"/>
      <c r="N3050" s="65"/>
    </row>
    <row r="3051" spans="1:14" x14ac:dyDescent="0.25">
      <c r="A3051" s="2"/>
      <c r="B3051" s="11"/>
      <c r="C3051" s="26"/>
      <c r="L3051" s="65"/>
      <c r="M3051" s="71"/>
      <c r="N3051" s="65"/>
    </row>
    <row r="3052" spans="1:14" x14ac:dyDescent="0.25">
      <c r="A3052" s="2"/>
      <c r="B3052" s="11"/>
      <c r="C3052" s="26"/>
      <c r="L3052" s="65"/>
      <c r="M3052" s="71"/>
      <c r="N3052" s="65"/>
    </row>
    <row r="3053" spans="1:14" x14ac:dyDescent="0.25">
      <c r="A3053" s="2"/>
      <c r="B3053" s="11"/>
      <c r="C3053" s="26"/>
      <c r="L3053" s="65"/>
      <c r="M3053" s="71"/>
      <c r="N3053" s="65"/>
    </row>
    <row r="3054" spans="1:14" x14ac:dyDescent="0.25">
      <c r="A3054" s="2"/>
      <c r="B3054" s="11"/>
      <c r="C3054" s="26"/>
      <c r="L3054" s="65"/>
      <c r="M3054" s="71"/>
      <c r="N3054" s="65"/>
    </row>
    <row r="3055" spans="1:14" x14ac:dyDescent="0.25">
      <c r="A3055" s="2"/>
      <c r="B3055" s="11"/>
      <c r="C3055" s="26"/>
      <c r="L3055" s="65"/>
      <c r="M3055" s="71"/>
      <c r="N3055" s="65"/>
    </row>
    <row r="3056" spans="1:14" x14ac:dyDescent="0.25">
      <c r="A3056" s="2"/>
      <c r="B3056" s="11"/>
      <c r="C3056" s="26"/>
      <c r="L3056" s="65"/>
      <c r="M3056" s="71"/>
      <c r="N3056" s="65"/>
    </row>
    <row r="3057" spans="1:14" x14ac:dyDescent="0.25">
      <c r="A3057" s="2"/>
      <c r="B3057" s="11"/>
      <c r="C3057" s="26"/>
      <c r="L3057" s="65"/>
      <c r="M3057" s="71"/>
      <c r="N3057" s="65"/>
    </row>
    <row r="3058" spans="1:14" x14ac:dyDescent="0.25">
      <c r="A3058" s="2"/>
      <c r="B3058" s="11"/>
      <c r="C3058" s="26"/>
      <c r="L3058" s="65"/>
      <c r="M3058" s="71"/>
      <c r="N3058" s="65"/>
    </row>
    <row r="3059" spans="1:14" x14ac:dyDescent="0.25">
      <c r="A3059" s="2"/>
      <c r="B3059" s="11"/>
      <c r="C3059" s="26"/>
      <c r="L3059" s="65"/>
      <c r="M3059" s="71"/>
      <c r="N3059" s="65"/>
    </row>
    <row r="3060" spans="1:14" x14ac:dyDescent="0.25">
      <c r="A3060" s="2"/>
      <c r="B3060" s="11"/>
      <c r="C3060" s="26"/>
      <c r="L3060" s="65"/>
      <c r="M3060" s="71"/>
      <c r="N3060" s="65"/>
    </row>
    <row r="3061" spans="1:14" x14ac:dyDescent="0.25">
      <c r="A3061" s="2"/>
      <c r="B3061" s="11"/>
      <c r="C3061" s="26"/>
      <c r="L3061" s="65"/>
      <c r="M3061" s="71"/>
      <c r="N3061" s="65"/>
    </row>
    <row r="3062" spans="1:14" x14ac:dyDescent="0.25">
      <c r="A3062" s="2"/>
      <c r="B3062" s="11"/>
      <c r="C3062" s="26"/>
      <c r="L3062" s="65"/>
      <c r="M3062" s="71"/>
      <c r="N3062" s="65"/>
    </row>
    <row r="3063" spans="1:14" x14ac:dyDescent="0.25">
      <c r="A3063" s="2"/>
      <c r="B3063" s="11"/>
      <c r="C3063" s="26"/>
      <c r="L3063" s="65"/>
      <c r="M3063" s="71"/>
      <c r="N3063" s="65"/>
    </row>
    <row r="3064" spans="1:14" x14ac:dyDescent="0.25">
      <c r="A3064" s="2"/>
      <c r="B3064" s="11"/>
      <c r="C3064" s="26"/>
      <c r="L3064" s="65"/>
      <c r="M3064" s="71"/>
      <c r="N3064" s="65"/>
    </row>
    <row r="3065" spans="1:14" x14ac:dyDescent="0.25">
      <c r="A3065" s="2"/>
      <c r="B3065" s="11"/>
      <c r="C3065" s="26"/>
      <c r="L3065" s="65"/>
      <c r="M3065" s="71"/>
      <c r="N3065" s="65"/>
    </row>
    <row r="3066" spans="1:14" x14ac:dyDescent="0.25">
      <c r="A3066" s="2"/>
      <c r="B3066" s="11"/>
      <c r="C3066" s="26"/>
      <c r="L3066" s="65"/>
      <c r="M3066" s="71"/>
      <c r="N3066" s="65"/>
    </row>
    <row r="3067" spans="1:14" x14ac:dyDescent="0.25">
      <c r="A3067" s="2"/>
      <c r="B3067" s="11"/>
      <c r="C3067" s="26"/>
      <c r="L3067" s="65"/>
      <c r="M3067" s="71"/>
      <c r="N3067" s="65"/>
    </row>
    <row r="3068" spans="1:14" x14ac:dyDescent="0.25">
      <c r="A3068" s="2"/>
      <c r="B3068" s="11"/>
      <c r="C3068" s="26"/>
      <c r="L3068" s="65"/>
      <c r="M3068" s="71"/>
      <c r="N3068" s="65"/>
    </row>
    <row r="3069" spans="1:14" x14ac:dyDescent="0.25">
      <c r="A3069" s="2"/>
      <c r="B3069" s="11"/>
      <c r="C3069" s="26"/>
      <c r="L3069" s="65"/>
      <c r="M3069" s="71"/>
      <c r="N3069" s="65"/>
    </row>
    <row r="3070" spans="1:14" x14ac:dyDescent="0.25">
      <c r="A3070" s="2"/>
      <c r="B3070" s="11"/>
      <c r="C3070" s="26"/>
      <c r="L3070" s="65"/>
      <c r="M3070" s="71"/>
      <c r="N3070" s="65"/>
    </row>
    <row r="3071" spans="1:14" x14ac:dyDescent="0.25">
      <c r="A3071" s="2"/>
      <c r="B3071" s="11"/>
      <c r="C3071" s="26"/>
      <c r="L3071" s="65"/>
      <c r="M3071" s="71"/>
      <c r="N3071" s="65"/>
    </row>
    <row r="3072" spans="1:14" x14ac:dyDescent="0.25">
      <c r="A3072" s="2"/>
      <c r="B3072" s="11"/>
      <c r="C3072" s="26"/>
      <c r="L3072" s="65"/>
      <c r="M3072" s="71"/>
      <c r="N3072" s="65"/>
    </row>
    <row r="3073" spans="1:14" x14ac:dyDescent="0.25">
      <c r="A3073" s="2"/>
      <c r="B3073" s="11"/>
      <c r="C3073" s="26"/>
      <c r="L3073" s="65"/>
      <c r="M3073" s="71"/>
      <c r="N3073" s="65"/>
    </row>
    <row r="3074" spans="1:14" x14ac:dyDescent="0.25">
      <c r="A3074" s="2"/>
      <c r="B3074" s="11"/>
      <c r="C3074" s="26"/>
      <c r="L3074" s="65"/>
      <c r="M3074" s="71"/>
      <c r="N3074" s="65"/>
    </row>
    <row r="3075" spans="1:14" x14ac:dyDescent="0.25">
      <c r="A3075" s="2"/>
      <c r="B3075" s="11"/>
      <c r="C3075" s="26"/>
      <c r="L3075" s="65"/>
      <c r="M3075" s="71"/>
      <c r="N3075" s="65"/>
    </row>
    <row r="3076" spans="1:14" x14ac:dyDescent="0.25">
      <c r="A3076" s="2"/>
      <c r="B3076" s="11"/>
      <c r="C3076" s="26"/>
      <c r="L3076" s="65"/>
      <c r="M3076" s="71"/>
      <c r="N3076" s="65"/>
    </row>
    <row r="3077" spans="1:14" x14ac:dyDescent="0.25">
      <c r="A3077" s="2"/>
      <c r="B3077" s="11"/>
      <c r="C3077" s="26"/>
      <c r="L3077" s="65"/>
      <c r="M3077" s="71"/>
      <c r="N3077" s="65"/>
    </row>
    <row r="3078" spans="1:14" x14ac:dyDescent="0.25">
      <c r="A3078" s="2"/>
      <c r="B3078" s="11"/>
      <c r="C3078" s="26"/>
      <c r="L3078" s="65"/>
      <c r="M3078" s="71"/>
      <c r="N3078" s="65"/>
    </row>
    <row r="3079" spans="1:14" x14ac:dyDescent="0.25">
      <c r="A3079" s="2"/>
      <c r="B3079" s="11"/>
      <c r="C3079" s="26"/>
      <c r="L3079" s="65"/>
      <c r="M3079" s="71"/>
      <c r="N3079" s="65"/>
    </row>
    <row r="3080" spans="1:14" x14ac:dyDescent="0.25">
      <c r="A3080" s="2"/>
      <c r="B3080" s="11"/>
      <c r="C3080" s="26"/>
      <c r="L3080" s="65"/>
      <c r="M3080" s="71"/>
      <c r="N3080" s="65"/>
    </row>
    <row r="3081" spans="1:14" x14ac:dyDescent="0.25">
      <c r="A3081" s="2"/>
      <c r="B3081" s="11"/>
      <c r="C3081" s="26"/>
      <c r="L3081" s="65"/>
      <c r="M3081" s="71"/>
      <c r="N3081" s="65"/>
    </row>
    <row r="3082" spans="1:14" x14ac:dyDescent="0.25">
      <c r="A3082" s="2"/>
      <c r="B3082" s="11"/>
      <c r="C3082" s="26"/>
      <c r="L3082" s="65"/>
      <c r="M3082" s="71"/>
      <c r="N3082" s="65"/>
    </row>
    <row r="3083" spans="1:14" x14ac:dyDescent="0.25">
      <c r="A3083" s="2"/>
      <c r="B3083" s="11"/>
      <c r="C3083" s="26"/>
      <c r="L3083" s="65"/>
      <c r="M3083" s="71"/>
      <c r="N3083" s="65"/>
    </row>
    <row r="3084" spans="1:14" x14ac:dyDescent="0.25">
      <c r="A3084" s="2"/>
      <c r="B3084" s="11"/>
      <c r="C3084" s="26"/>
      <c r="L3084" s="65"/>
      <c r="M3084" s="71"/>
      <c r="N3084" s="65"/>
    </row>
    <row r="3085" spans="1:14" x14ac:dyDescent="0.25">
      <c r="A3085" s="2"/>
      <c r="B3085" s="11"/>
      <c r="C3085" s="26"/>
      <c r="L3085" s="65"/>
      <c r="M3085" s="71"/>
      <c r="N3085" s="65"/>
    </row>
    <row r="3086" spans="1:14" x14ac:dyDescent="0.25">
      <c r="A3086" s="2"/>
      <c r="B3086" s="11"/>
      <c r="C3086" s="26"/>
      <c r="L3086" s="65"/>
      <c r="M3086" s="71"/>
      <c r="N3086" s="65"/>
    </row>
    <row r="3087" spans="1:14" x14ac:dyDescent="0.25">
      <c r="A3087" s="2"/>
      <c r="B3087" s="11"/>
      <c r="C3087" s="26"/>
      <c r="L3087" s="65"/>
      <c r="M3087" s="71"/>
      <c r="N3087" s="65"/>
    </row>
    <row r="3088" spans="1:14" x14ac:dyDescent="0.25">
      <c r="A3088" s="2"/>
      <c r="B3088" s="11"/>
      <c r="C3088" s="26"/>
      <c r="L3088" s="65"/>
      <c r="M3088" s="71"/>
      <c r="N3088" s="65"/>
    </row>
    <row r="3089" spans="1:14" x14ac:dyDescent="0.25">
      <c r="A3089" s="2"/>
      <c r="B3089" s="11"/>
      <c r="C3089" s="26"/>
      <c r="L3089" s="65"/>
      <c r="M3089" s="71"/>
      <c r="N3089" s="65"/>
    </row>
    <row r="3090" spans="1:14" x14ac:dyDescent="0.25">
      <c r="A3090" s="2"/>
      <c r="B3090" s="11"/>
      <c r="C3090" s="26"/>
      <c r="L3090" s="65"/>
      <c r="M3090" s="71"/>
      <c r="N3090" s="65"/>
    </row>
    <row r="3091" spans="1:14" x14ac:dyDescent="0.25">
      <c r="A3091" s="2"/>
      <c r="B3091" s="11"/>
      <c r="C3091" s="26"/>
      <c r="L3091" s="65"/>
      <c r="M3091" s="71"/>
      <c r="N3091" s="65"/>
    </row>
    <row r="3092" spans="1:14" x14ac:dyDescent="0.25">
      <c r="A3092" s="2"/>
      <c r="B3092" s="11"/>
      <c r="C3092" s="26"/>
      <c r="L3092" s="65"/>
      <c r="M3092" s="71"/>
      <c r="N3092" s="65"/>
    </row>
    <row r="3093" spans="1:14" x14ac:dyDescent="0.25">
      <c r="A3093" s="2"/>
      <c r="B3093" s="11"/>
      <c r="C3093" s="26"/>
      <c r="L3093" s="65"/>
      <c r="M3093" s="71"/>
      <c r="N3093" s="65"/>
    </row>
    <row r="3094" spans="1:14" x14ac:dyDescent="0.25">
      <c r="A3094" s="2"/>
      <c r="B3094" s="11"/>
      <c r="C3094" s="26"/>
      <c r="L3094" s="65"/>
      <c r="M3094" s="71"/>
      <c r="N3094" s="65"/>
    </row>
    <row r="3095" spans="1:14" x14ac:dyDescent="0.25">
      <c r="A3095" s="2"/>
      <c r="B3095" s="11"/>
      <c r="C3095" s="26"/>
      <c r="L3095" s="65"/>
      <c r="M3095" s="71"/>
      <c r="N3095" s="65"/>
    </row>
    <row r="3096" spans="1:14" x14ac:dyDescent="0.25">
      <c r="A3096" s="2"/>
      <c r="B3096" s="11"/>
      <c r="C3096" s="26"/>
      <c r="L3096" s="65"/>
      <c r="M3096" s="71"/>
      <c r="N3096" s="65"/>
    </row>
    <row r="3097" spans="1:14" x14ac:dyDescent="0.25">
      <c r="A3097" s="2"/>
      <c r="B3097" s="11"/>
      <c r="C3097" s="26"/>
      <c r="L3097" s="65"/>
      <c r="M3097" s="71"/>
      <c r="N3097" s="65"/>
    </row>
    <row r="3098" spans="1:14" x14ac:dyDescent="0.25">
      <c r="A3098" s="2"/>
      <c r="B3098" s="11"/>
      <c r="C3098" s="26"/>
      <c r="L3098" s="65"/>
      <c r="M3098" s="71"/>
      <c r="N3098" s="65"/>
    </row>
    <row r="3099" spans="1:14" x14ac:dyDescent="0.25">
      <c r="A3099" s="2"/>
      <c r="B3099" s="11"/>
      <c r="C3099" s="26"/>
      <c r="L3099" s="65"/>
      <c r="M3099" s="71"/>
      <c r="N3099" s="65"/>
    </row>
    <row r="3100" spans="1:14" x14ac:dyDescent="0.25">
      <c r="A3100" s="2"/>
      <c r="B3100" s="11"/>
      <c r="C3100" s="26"/>
      <c r="L3100" s="65"/>
      <c r="M3100" s="71"/>
      <c r="N3100" s="65"/>
    </row>
    <row r="3101" spans="1:14" x14ac:dyDescent="0.25">
      <c r="A3101" s="2"/>
      <c r="B3101" s="11"/>
      <c r="C3101" s="26"/>
      <c r="L3101" s="65"/>
      <c r="M3101" s="71"/>
      <c r="N3101" s="65"/>
    </row>
    <row r="3102" spans="1:14" x14ac:dyDescent="0.25">
      <c r="A3102" s="2"/>
      <c r="B3102" s="11"/>
      <c r="C3102" s="26"/>
      <c r="L3102" s="65"/>
      <c r="M3102" s="71"/>
      <c r="N3102" s="65"/>
    </row>
    <row r="3103" spans="1:14" x14ac:dyDescent="0.25">
      <c r="A3103" s="2"/>
      <c r="B3103" s="11"/>
      <c r="C3103" s="26"/>
      <c r="L3103" s="65"/>
      <c r="M3103" s="71"/>
      <c r="N3103" s="65"/>
    </row>
    <row r="3104" spans="1:14" x14ac:dyDescent="0.25">
      <c r="A3104" s="2"/>
      <c r="B3104" s="11"/>
      <c r="C3104" s="26"/>
      <c r="L3104" s="65"/>
      <c r="M3104" s="71"/>
      <c r="N3104" s="65"/>
    </row>
    <row r="3105" spans="1:14" x14ac:dyDescent="0.25">
      <c r="A3105" s="2"/>
      <c r="B3105" s="11"/>
      <c r="C3105" s="26"/>
      <c r="L3105" s="65"/>
      <c r="M3105" s="71"/>
      <c r="N3105" s="65"/>
    </row>
    <row r="3106" spans="1:14" x14ac:dyDescent="0.25">
      <c r="A3106" s="2"/>
      <c r="B3106" s="11"/>
      <c r="C3106" s="26"/>
      <c r="L3106" s="65"/>
      <c r="M3106" s="71"/>
      <c r="N3106" s="65"/>
    </row>
    <row r="3107" spans="1:14" x14ac:dyDescent="0.25">
      <c r="A3107" s="2"/>
      <c r="B3107" s="11"/>
      <c r="C3107" s="26"/>
      <c r="L3107" s="65"/>
      <c r="M3107" s="71"/>
      <c r="N3107" s="65"/>
    </row>
    <row r="3108" spans="1:14" x14ac:dyDescent="0.25">
      <c r="A3108" s="2"/>
      <c r="B3108" s="11"/>
      <c r="C3108" s="26"/>
      <c r="L3108" s="65"/>
      <c r="M3108" s="71"/>
      <c r="N3108" s="65"/>
    </row>
    <row r="3109" spans="1:14" x14ac:dyDescent="0.25">
      <c r="A3109" s="2"/>
      <c r="B3109" s="11"/>
      <c r="C3109" s="26"/>
      <c r="L3109" s="65"/>
      <c r="M3109" s="71"/>
      <c r="N3109" s="65"/>
    </row>
    <row r="3110" spans="1:14" x14ac:dyDescent="0.25">
      <c r="A3110" s="2"/>
      <c r="B3110" s="11"/>
      <c r="C3110" s="26"/>
      <c r="L3110" s="65"/>
      <c r="M3110" s="71"/>
      <c r="N3110" s="65"/>
    </row>
    <row r="3111" spans="1:14" x14ac:dyDescent="0.25">
      <c r="A3111" s="2"/>
      <c r="B3111" s="11"/>
      <c r="C3111" s="26"/>
      <c r="L3111" s="65"/>
      <c r="M3111" s="71"/>
      <c r="N3111" s="65"/>
    </row>
    <row r="3112" spans="1:14" x14ac:dyDescent="0.25">
      <c r="A3112" s="2"/>
      <c r="B3112" s="11"/>
      <c r="C3112" s="26"/>
      <c r="L3112" s="65"/>
      <c r="M3112" s="71"/>
      <c r="N3112" s="65"/>
    </row>
    <row r="3113" spans="1:14" x14ac:dyDescent="0.25">
      <c r="A3113" s="2"/>
      <c r="B3113" s="11"/>
      <c r="C3113" s="26"/>
      <c r="L3113" s="65"/>
      <c r="M3113" s="71"/>
      <c r="N3113" s="65"/>
    </row>
    <row r="3114" spans="1:14" x14ac:dyDescent="0.25">
      <c r="A3114" s="2"/>
      <c r="B3114" s="11"/>
      <c r="C3114" s="26"/>
      <c r="L3114" s="65"/>
      <c r="M3114" s="71"/>
      <c r="N3114" s="65"/>
    </row>
    <row r="3115" spans="1:14" x14ac:dyDescent="0.25">
      <c r="A3115" s="2"/>
      <c r="B3115" s="11"/>
      <c r="C3115" s="26"/>
      <c r="L3115" s="65"/>
      <c r="M3115" s="71"/>
      <c r="N3115" s="65"/>
    </row>
    <row r="3116" spans="1:14" x14ac:dyDescent="0.25">
      <c r="A3116" s="2"/>
      <c r="B3116" s="11"/>
      <c r="C3116" s="26"/>
      <c r="L3116" s="65"/>
      <c r="M3116" s="71"/>
      <c r="N3116" s="65"/>
    </row>
    <row r="3117" spans="1:14" x14ac:dyDescent="0.25">
      <c r="A3117" s="2"/>
      <c r="B3117" s="11"/>
      <c r="C3117" s="26"/>
      <c r="L3117" s="65"/>
      <c r="M3117" s="71"/>
      <c r="N3117" s="65"/>
    </row>
    <row r="3118" spans="1:14" x14ac:dyDescent="0.25">
      <c r="A3118" s="2"/>
      <c r="B3118" s="11"/>
      <c r="C3118" s="26"/>
      <c r="L3118" s="65"/>
      <c r="M3118" s="71"/>
      <c r="N3118" s="65"/>
    </row>
    <row r="3119" spans="1:14" x14ac:dyDescent="0.25">
      <c r="A3119" s="2"/>
      <c r="B3119" s="11"/>
      <c r="C3119" s="26"/>
      <c r="L3119" s="65"/>
      <c r="M3119" s="71"/>
      <c r="N3119" s="65"/>
    </row>
    <row r="3120" spans="1:14" x14ac:dyDescent="0.25">
      <c r="A3120" s="2"/>
      <c r="B3120" s="11"/>
      <c r="C3120" s="26"/>
      <c r="L3120" s="65"/>
      <c r="M3120" s="71"/>
      <c r="N3120" s="65"/>
    </row>
    <row r="3121" spans="1:14" x14ac:dyDescent="0.25">
      <c r="A3121" s="2"/>
      <c r="B3121" s="11"/>
      <c r="C3121" s="26"/>
      <c r="L3121" s="65"/>
      <c r="M3121" s="71"/>
      <c r="N3121" s="65"/>
    </row>
    <row r="3122" spans="1:14" x14ac:dyDescent="0.25">
      <c r="A3122" s="2"/>
      <c r="B3122" s="11"/>
      <c r="C3122" s="26"/>
      <c r="L3122" s="65"/>
      <c r="M3122" s="71"/>
      <c r="N3122" s="65"/>
    </row>
    <row r="3123" spans="1:14" x14ac:dyDescent="0.25">
      <c r="A3123" s="2"/>
      <c r="B3123" s="11"/>
      <c r="C3123" s="26"/>
      <c r="L3123" s="65"/>
      <c r="M3123" s="71"/>
      <c r="N3123" s="65"/>
    </row>
    <row r="3124" spans="1:14" x14ac:dyDescent="0.25">
      <c r="A3124" s="2"/>
      <c r="B3124" s="11"/>
      <c r="C3124" s="26"/>
      <c r="L3124" s="65"/>
      <c r="M3124" s="71"/>
      <c r="N3124" s="65"/>
    </row>
    <row r="3125" spans="1:14" x14ac:dyDescent="0.25">
      <c r="A3125" s="2"/>
      <c r="B3125" s="11"/>
      <c r="C3125" s="26"/>
      <c r="L3125" s="65"/>
      <c r="M3125" s="71"/>
      <c r="N3125" s="65"/>
    </row>
    <row r="3126" spans="1:14" x14ac:dyDescent="0.25">
      <c r="A3126" s="2"/>
      <c r="B3126" s="11"/>
      <c r="C3126" s="26"/>
      <c r="L3126" s="65"/>
      <c r="M3126" s="71"/>
      <c r="N3126" s="65"/>
    </row>
    <row r="3127" spans="1:14" x14ac:dyDescent="0.25">
      <c r="A3127" s="2"/>
      <c r="B3127" s="11"/>
      <c r="C3127" s="26"/>
      <c r="L3127" s="65"/>
      <c r="M3127" s="71"/>
      <c r="N3127" s="65"/>
    </row>
    <row r="3128" spans="1:14" x14ac:dyDescent="0.25">
      <c r="A3128" s="2"/>
      <c r="B3128" s="11"/>
      <c r="C3128" s="26"/>
      <c r="L3128" s="65"/>
      <c r="M3128" s="71"/>
      <c r="N3128" s="65"/>
    </row>
    <row r="3129" spans="1:14" x14ac:dyDescent="0.25">
      <c r="A3129" s="2"/>
      <c r="B3129" s="11"/>
      <c r="C3129" s="26"/>
      <c r="L3129" s="65"/>
      <c r="M3129" s="71"/>
      <c r="N3129" s="65"/>
    </row>
    <row r="3130" spans="1:14" x14ac:dyDescent="0.25">
      <c r="A3130" s="2"/>
      <c r="B3130" s="11"/>
      <c r="C3130" s="26"/>
      <c r="L3130" s="65"/>
      <c r="M3130" s="71"/>
      <c r="N3130" s="65"/>
    </row>
    <row r="3131" spans="1:14" x14ac:dyDescent="0.25">
      <c r="A3131" s="2"/>
      <c r="B3131" s="11"/>
      <c r="C3131" s="26"/>
      <c r="L3131" s="65"/>
      <c r="M3131" s="71"/>
      <c r="N3131" s="65"/>
    </row>
    <row r="3132" spans="1:14" x14ac:dyDescent="0.25">
      <c r="A3132" s="2"/>
      <c r="B3132" s="11"/>
      <c r="C3132" s="26"/>
      <c r="L3132" s="65"/>
      <c r="M3132" s="71"/>
      <c r="N3132" s="65"/>
    </row>
    <row r="3133" spans="1:14" x14ac:dyDescent="0.25">
      <c r="A3133" s="2"/>
      <c r="B3133" s="11"/>
      <c r="C3133" s="26"/>
      <c r="L3133" s="65"/>
      <c r="M3133" s="71"/>
      <c r="N3133" s="65"/>
    </row>
    <row r="3134" spans="1:14" x14ac:dyDescent="0.25">
      <c r="A3134" s="2"/>
      <c r="B3134" s="11"/>
      <c r="C3134" s="26"/>
      <c r="L3134" s="65"/>
      <c r="M3134" s="71"/>
      <c r="N3134" s="65"/>
    </row>
    <row r="3135" spans="1:14" x14ac:dyDescent="0.25">
      <c r="A3135" s="2"/>
      <c r="B3135" s="11"/>
      <c r="C3135" s="26"/>
      <c r="L3135" s="65"/>
      <c r="M3135" s="71"/>
      <c r="N3135" s="65"/>
    </row>
    <row r="3136" spans="1:14" x14ac:dyDescent="0.25">
      <c r="A3136" s="2"/>
      <c r="B3136" s="11"/>
      <c r="C3136" s="26"/>
      <c r="L3136" s="65"/>
      <c r="M3136" s="71"/>
      <c r="N3136" s="65"/>
    </row>
    <row r="3137" spans="1:14" x14ac:dyDescent="0.25">
      <c r="A3137" s="2"/>
      <c r="B3137" s="11"/>
      <c r="C3137" s="26"/>
      <c r="L3137" s="65"/>
      <c r="M3137" s="71"/>
      <c r="N3137" s="65"/>
    </row>
    <row r="3138" spans="1:14" x14ac:dyDescent="0.25">
      <c r="A3138" s="2"/>
      <c r="B3138" s="11"/>
      <c r="C3138" s="26"/>
      <c r="L3138" s="65"/>
      <c r="M3138" s="71"/>
      <c r="N3138" s="65"/>
    </row>
    <row r="3139" spans="1:14" x14ac:dyDescent="0.25">
      <c r="A3139" s="2"/>
      <c r="B3139" s="11"/>
      <c r="C3139" s="26"/>
      <c r="L3139" s="65"/>
      <c r="M3139" s="71"/>
      <c r="N3139" s="65"/>
    </row>
    <row r="3140" spans="1:14" x14ac:dyDescent="0.25">
      <c r="A3140" s="2"/>
      <c r="B3140" s="11"/>
      <c r="C3140" s="26"/>
      <c r="L3140" s="65"/>
      <c r="M3140" s="71"/>
      <c r="N3140" s="65"/>
    </row>
    <row r="3141" spans="1:14" x14ac:dyDescent="0.25">
      <c r="A3141" s="2"/>
      <c r="B3141" s="11"/>
      <c r="C3141" s="26"/>
      <c r="L3141" s="65"/>
      <c r="M3141" s="71"/>
      <c r="N3141" s="65"/>
    </row>
    <row r="3142" spans="1:14" x14ac:dyDescent="0.25">
      <c r="A3142" s="2"/>
      <c r="B3142" s="11"/>
      <c r="C3142" s="26"/>
      <c r="L3142" s="65"/>
      <c r="M3142" s="71"/>
      <c r="N3142" s="65"/>
    </row>
    <row r="3143" spans="1:14" x14ac:dyDescent="0.25">
      <c r="A3143" s="2"/>
      <c r="B3143" s="11"/>
      <c r="C3143" s="26"/>
      <c r="L3143" s="65"/>
      <c r="M3143" s="71"/>
      <c r="N3143" s="65"/>
    </row>
    <row r="3144" spans="1:14" x14ac:dyDescent="0.25">
      <c r="A3144" s="2"/>
      <c r="B3144" s="11"/>
      <c r="C3144" s="26"/>
      <c r="L3144" s="65"/>
      <c r="M3144" s="71"/>
      <c r="N3144" s="65"/>
    </row>
    <row r="3145" spans="1:14" x14ac:dyDescent="0.25">
      <c r="A3145" s="2"/>
      <c r="B3145" s="11"/>
      <c r="C3145" s="26"/>
      <c r="L3145" s="65"/>
      <c r="M3145" s="71"/>
      <c r="N3145" s="65"/>
    </row>
    <row r="3146" spans="1:14" x14ac:dyDescent="0.25">
      <c r="A3146" s="2"/>
      <c r="B3146" s="11"/>
      <c r="C3146" s="26"/>
      <c r="L3146" s="65"/>
      <c r="M3146" s="71"/>
      <c r="N3146" s="65"/>
    </row>
    <row r="3147" spans="1:14" x14ac:dyDescent="0.25">
      <c r="A3147" s="2"/>
      <c r="B3147" s="11"/>
      <c r="C3147" s="26"/>
      <c r="L3147" s="65"/>
      <c r="M3147" s="71"/>
      <c r="N3147" s="65"/>
    </row>
    <row r="3148" spans="1:14" x14ac:dyDescent="0.25">
      <c r="A3148" s="2"/>
      <c r="B3148" s="11"/>
      <c r="C3148" s="26"/>
      <c r="L3148" s="65"/>
      <c r="M3148" s="71"/>
      <c r="N3148" s="65"/>
    </row>
    <row r="3149" spans="1:14" x14ac:dyDescent="0.25">
      <c r="A3149" s="2"/>
      <c r="B3149" s="11"/>
      <c r="C3149" s="26"/>
      <c r="L3149" s="65"/>
      <c r="M3149" s="71"/>
      <c r="N3149" s="65"/>
    </row>
    <row r="3150" spans="1:14" x14ac:dyDescent="0.25">
      <c r="A3150" s="2"/>
      <c r="B3150" s="11"/>
      <c r="C3150" s="26"/>
      <c r="L3150" s="65"/>
      <c r="M3150" s="71"/>
      <c r="N3150" s="65"/>
    </row>
    <row r="3151" spans="1:14" x14ac:dyDescent="0.25">
      <c r="A3151" s="2"/>
      <c r="B3151" s="11"/>
      <c r="C3151" s="26"/>
      <c r="L3151" s="65"/>
      <c r="M3151" s="71"/>
      <c r="N3151" s="65"/>
    </row>
    <row r="3152" spans="1:14" x14ac:dyDescent="0.25">
      <c r="A3152" s="2"/>
      <c r="B3152" s="11"/>
      <c r="C3152" s="26"/>
      <c r="L3152" s="65"/>
      <c r="M3152" s="71"/>
      <c r="N3152" s="65"/>
    </row>
    <row r="3153" spans="1:14" x14ac:dyDescent="0.25">
      <c r="A3153" s="2"/>
      <c r="B3153" s="11"/>
      <c r="C3153" s="26"/>
      <c r="L3153" s="65"/>
      <c r="M3153" s="71"/>
      <c r="N3153" s="65"/>
    </row>
    <row r="3154" spans="1:14" x14ac:dyDescent="0.25">
      <c r="A3154" s="2"/>
      <c r="B3154" s="11"/>
      <c r="C3154" s="26"/>
      <c r="L3154" s="65"/>
      <c r="M3154" s="71"/>
      <c r="N3154" s="65"/>
    </row>
    <row r="3155" spans="1:14" x14ac:dyDescent="0.25">
      <c r="A3155" s="2"/>
      <c r="B3155" s="11"/>
      <c r="C3155" s="26"/>
      <c r="L3155" s="65"/>
      <c r="M3155" s="71"/>
      <c r="N3155" s="65"/>
    </row>
    <row r="3156" spans="1:14" x14ac:dyDescent="0.25">
      <c r="A3156" s="2"/>
      <c r="B3156" s="11"/>
      <c r="C3156" s="26"/>
      <c r="L3156" s="65"/>
      <c r="M3156" s="71"/>
      <c r="N3156" s="65"/>
    </row>
    <row r="3157" spans="1:14" x14ac:dyDescent="0.25">
      <c r="A3157" s="2"/>
      <c r="B3157" s="11"/>
      <c r="C3157" s="26"/>
      <c r="L3157" s="65"/>
      <c r="M3157" s="71"/>
      <c r="N3157" s="65"/>
    </row>
    <row r="3158" spans="1:14" x14ac:dyDescent="0.25">
      <c r="A3158" s="2"/>
      <c r="B3158" s="11"/>
      <c r="C3158" s="26"/>
      <c r="L3158" s="65"/>
      <c r="M3158" s="71"/>
      <c r="N3158" s="65"/>
    </row>
    <row r="3159" spans="1:14" x14ac:dyDescent="0.25">
      <c r="A3159" s="2"/>
      <c r="B3159" s="11"/>
      <c r="C3159" s="26"/>
      <c r="L3159" s="65"/>
      <c r="M3159" s="71"/>
      <c r="N3159" s="65"/>
    </row>
    <row r="3160" spans="1:14" x14ac:dyDescent="0.25">
      <c r="A3160" s="2"/>
      <c r="B3160" s="11"/>
      <c r="C3160" s="26"/>
      <c r="L3160" s="65"/>
      <c r="M3160" s="71"/>
      <c r="N3160" s="65"/>
    </row>
    <row r="3161" spans="1:14" x14ac:dyDescent="0.25">
      <c r="A3161" s="2"/>
      <c r="B3161" s="11"/>
      <c r="C3161" s="26"/>
      <c r="L3161" s="65"/>
      <c r="M3161" s="71"/>
      <c r="N3161" s="65"/>
    </row>
    <row r="3162" spans="1:14" x14ac:dyDescent="0.25">
      <c r="A3162" s="2"/>
      <c r="B3162" s="11"/>
      <c r="C3162" s="26"/>
      <c r="L3162" s="65"/>
      <c r="M3162" s="71"/>
      <c r="N3162" s="65"/>
    </row>
    <row r="3163" spans="1:14" x14ac:dyDescent="0.25">
      <c r="A3163" s="2"/>
      <c r="B3163" s="11"/>
      <c r="C3163" s="26"/>
      <c r="L3163" s="65"/>
      <c r="M3163" s="71"/>
      <c r="N3163" s="65"/>
    </row>
    <row r="3164" spans="1:14" x14ac:dyDescent="0.25">
      <c r="A3164" s="2"/>
      <c r="B3164" s="11"/>
      <c r="C3164" s="26"/>
      <c r="L3164" s="65"/>
      <c r="M3164" s="71"/>
      <c r="N3164" s="65"/>
    </row>
    <row r="3165" spans="1:14" x14ac:dyDescent="0.25">
      <c r="A3165" s="2"/>
      <c r="B3165" s="11"/>
      <c r="C3165" s="26"/>
      <c r="L3165" s="65"/>
      <c r="M3165" s="71"/>
      <c r="N3165" s="65"/>
    </row>
    <row r="3166" spans="1:14" x14ac:dyDescent="0.25">
      <c r="A3166" s="2"/>
      <c r="B3166" s="11"/>
      <c r="C3166" s="26"/>
      <c r="L3166" s="65"/>
      <c r="M3166" s="71"/>
      <c r="N3166" s="65"/>
    </row>
    <row r="3167" spans="1:14" x14ac:dyDescent="0.25">
      <c r="A3167" s="2"/>
      <c r="B3167" s="11"/>
      <c r="C3167" s="26"/>
      <c r="L3167" s="65"/>
      <c r="M3167" s="71"/>
      <c r="N3167" s="65"/>
    </row>
    <row r="3168" spans="1:14" x14ac:dyDescent="0.25">
      <c r="A3168" s="2"/>
      <c r="B3168" s="11"/>
      <c r="C3168" s="26"/>
      <c r="L3168" s="65"/>
      <c r="M3168" s="71"/>
      <c r="N3168" s="65"/>
    </row>
    <row r="3169" spans="1:14" x14ac:dyDescent="0.25">
      <c r="A3169" s="2"/>
      <c r="B3169" s="11"/>
      <c r="C3169" s="26"/>
      <c r="L3169" s="65"/>
      <c r="M3169" s="71"/>
      <c r="N3169" s="65"/>
    </row>
    <row r="3170" spans="1:14" x14ac:dyDescent="0.25">
      <c r="A3170" s="2"/>
      <c r="B3170" s="11"/>
      <c r="C3170" s="26"/>
      <c r="L3170" s="65"/>
      <c r="M3170" s="71"/>
      <c r="N3170" s="65"/>
    </row>
    <row r="3171" spans="1:14" x14ac:dyDescent="0.25">
      <c r="A3171" s="2"/>
      <c r="B3171" s="11"/>
      <c r="C3171" s="26"/>
      <c r="L3171" s="65"/>
      <c r="M3171" s="71"/>
      <c r="N3171" s="65"/>
    </row>
    <row r="3172" spans="1:14" x14ac:dyDescent="0.25">
      <c r="A3172" s="2"/>
      <c r="B3172" s="11"/>
      <c r="C3172" s="26"/>
      <c r="L3172" s="65"/>
      <c r="M3172" s="71"/>
      <c r="N3172" s="65"/>
    </row>
    <row r="3173" spans="1:14" x14ac:dyDescent="0.25">
      <c r="A3173" s="2"/>
      <c r="B3173" s="11"/>
      <c r="C3173" s="26"/>
      <c r="L3173" s="65"/>
      <c r="M3173" s="71"/>
      <c r="N3173" s="65"/>
    </row>
    <row r="3174" spans="1:14" x14ac:dyDescent="0.25">
      <c r="A3174" s="2"/>
      <c r="B3174" s="11"/>
      <c r="C3174" s="26"/>
      <c r="L3174" s="65"/>
      <c r="M3174" s="71"/>
      <c r="N3174" s="65"/>
    </row>
    <row r="3175" spans="1:14" x14ac:dyDescent="0.25">
      <c r="A3175" s="2"/>
      <c r="B3175" s="11"/>
      <c r="C3175" s="26"/>
      <c r="L3175" s="65"/>
      <c r="M3175" s="71"/>
      <c r="N3175" s="65"/>
    </row>
    <row r="3176" spans="1:14" x14ac:dyDescent="0.25">
      <c r="A3176" s="2"/>
      <c r="B3176" s="11"/>
      <c r="C3176" s="26"/>
      <c r="L3176" s="65"/>
      <c r="M3176" s="71"/>
      <c r="N3176" s="65"/>
    </row>
    <row r="3177" spans="1:14" x14ac:dyDescent="0.25">
      <c r="A3177" s="2"/>
      <c r="B3177" s="11"/>
      <c r="C3177" s="26"/>
      <c r="L3177" s="65"/>
      <c r="M3177" s="71"/>
      <c r="N3177" s="65"/>
    </row>
    <row r="3178" spans="1:14" x14ac:dyDescent="0.25">
      <c r="A3178" s="2"/>
      <c r="B3178" s="11"/>
      <c r="C3178" s="26"/>
      <c r="L3178" s="65"/>
      <c r="M3178" s="71"/>
      <c r="N3178" s="65"/>
    </row>
    <row r="3179" spans="1:14" x14ac:dyDescent="0.25">
      <c r="A3179" s="2"/>
      <c r="B3179" s="11"/>
      <c r="C3179" s="26"/>
      <c r="L3179" s="65"/>
      <c r="M3179" s="71"/>
      <c r="N3179" s="65"/>
    </row>
    <row r="3180" spans="1:14" x14ac:dyDescent="0.25">
      <c r="A3180" s="2"/>
      <c r="B3180" s="11"/>
      <c r="C3180" s="26"/>
      <c r="L3180" s="65"/>
      <c r="M3180" s="71"/>
      <c r="N3180" s="65"/>
    </row>
    <row r="3181" spans="1:14" x14ac:dyDescent="0.25">
      <c r="A3181" s="2"/>
      <c r="B3181" s="11"/>
      <c r="C3181" s="26"/>
      <c r="L3181" s="65"/>
      <c r="M3181" s="71"/>
      <c r="N3181" s="65"/>
    </row>
    <row r="3182" spans="1:14" x14ac:dyDescent="0.25">
      <c r="A3182" s="2"/>
      <c r="B3182" s="11"/>
      <c r="C3182" s="26"/>
      <c r="L3182" s="65"/>
      <c r="M3182" s="71"/>
      <c r="N3182" s="65"/>
    </row>
    <row r="3183" spans="1:14" x14ac:dyDescent="0.25">
      <c r="A3183" s="2"/>
      <c r="B3183" s="11"/>
      <c r="C3183" s="26"/>
      <c r="L3183" s="65"/>
      <c r="M3183" s="71"/>
      <c r="N3183" s="65"/>
    </row>
    <row r="3184" spans="1:14" x14ac:dyDescent="0.25">
      <c r="A3184" s="2"/>
      <c r="B3184" s="11"/>
      <c r="C3184" s="26"/>
      <c r="L3184" s="65"/>
      <c r="M3184" s="71"/>
      <c r="N3184" s="65"/>
    </row>
    <row r="3185" spans="1:14" x14ac:dyDescent="0.25">
      <c r="A3185" s="2"/>
      <c r="B3185" s="11"/>
      <c r="C3185" s="26"/>
      <c r="L3185" s="65"/>
      <c r="M3185" s="71"/>
      <c r="N3185" s="65"/>
    </row>
    <row r="3186" spans="1:14" x14ac:dyDescent="0.25">
      <c r="A3186" s="2"/>
      <c r="B3186" s="11"/>
      <c r="C3186" s="26"/>
      <c r="L3186" s="65"/>
      <c r="M3186" s="71"/>
      <c r="N3186" s="65"/>
    </row>
    <row r="3187" spans="1:14" x14ac:dyDescent="0.25">
      <c r="A3187" s="2"/>
      <c r="B3187" s="11"/>
      <c r="C3187" s="26"/>
      <c r="L3187" s="65"/>
      <c r="M3187" s="71"/>
      <c r="N3187" s="65"/>
    </row>
    <row r="3188" spans="1:14" x14ac:dyDescent="0.25">
      <c r="A3188" s="2"/>
      <c r="B3188" s="11"/>
      <c r="C3188" s="26"/>
      <c r="L3188" s="65"/>
      <c r="M3188" s="71"/>
      <c r="N3188" s="65"/>
    </row>
    <row r="3189" spans="1:14" x14ac:dyDescent="0.25">
      <c r="A3189" s="2"/>
      <c r="B3189" s="11"/>
      <c r="C3189" s="26"/>
      <c r="L3189" s="65"/>
      <c r="M3189" s="71"/>
      <c r="N3189" s="65"/>
    </row>
    <row r="3190" spans="1:14" x14ac:dyDescent="0.25">
      <c r="A3190" s="2"/>
      <c r="B3190" s="11"/>
      <c r="C3190" s="26"/>
      <c r="L3190" s="65"/>
      <c r="M3190" s="71"/>
      <c r="N3190" s="65"/>
    </row>
    <row r="3191" spans="1:14" x14ac:dyDescent="0.25">
      <c r="A3191" s="2"/>
      <c r="B3191" s="11"/>
      <c r="C3191" s="26"/>
      <c r="L3191" s="65"/>
      <c r="M3191" s="71"/>
      <c r="N3191" s="65"/>
    </row>
    <row r="3192" spans="1:14" x14ac:dyDescent="0.25">
      <c r="A3192" s="2"/>
      <c r="B3192" s="11"/>
      <c r="C3192" s="26"/>
      <c r="L3192" s="65"/>
      <c r="M3192" s="71"/>
      <c r="N3192" s="65"/>
    </row>
    <row r="3193" spans="1:14" x14ac:dyDescent="0.25">
      <c r="A3193" s="2"/>
      <c r="B3193" s="11"/>
      <c r="C3193" s="26"/>
      <c r="L3193" s="65"/>
      <c r="M3193" s="71"/>
      <c r="N3193" s="65"/>
    </row>
    <row r="3194" spans="1:14" x14ac:dyDescent="0.25">
      <c r="A3194" s="2"/>
      <c r="B3194" s="11"/>
      <c r="C3194" s="26"/>
      <c r="L3194" s="65"/>
      <c r="M3194" s="71"/>
      <c r="N3194" s="65"/>
    </row>
    <row r="3195" spans="1:14" x14ac:dyDescent="0.25">
      <c r="A3195" s="2"/>
      <c r="B3195" s="11"/>
      <c r="C3195" s="26"/>
      <c r="L3195" s="65"/>
      <c r="M3195" s="71"/>
      <c r="N3195" s="65"/>
    </row>
    <row r="3196" spans="1:14" x14ac:dyDescent="0.25">
      <c r="A3196" s="2"/>
      <c r="B3196" s="11"/>
      <c r="C3196" s="26"/>
      <c r="L3196" s="65"/>
      <c r="M3196" s="71"/>
      <c r="N3196" s="65"/>
    </row>
    <row r="3197" spans="1:14" x14ac:dyDescent="0.25">
      <c r="A3197" s="2"/>
      <c r="B3197" s="11"/>
      <c r="C3197" s="26"/>
      <c r="L3197" s="65"/>
      <c r="M3197" s="71"/>
      <c r="N3197" s="65"/>
    </row>
    <row r="3198" spans="1:14" x14ac:dyDescent="0.25">
      <c r="A3198" s="2"/>
      <c r="B3198" s="11"/>
      <c r="C3198" s="26"/>
      <c r="L3198" s="65"/>
      <c r="M3198" s="71"/>
      <c r="N3198" s="65"/>
    </row>
    <row r="3199" spans="1:14" x14ac:dyDescent="0.25">
      <c r="A3199" s="2"/>
      <c r="B3199" s="11"/>
      <c r="C3199" s="26"/>
      <c r="L3199" s="65"/>
      <c r="M3199" s="71"/>
      <c r="N3199" s="65"/>
    </row>
    <row r="3200" spans="1:14" x14ac:dyDescent="0.25">
      <c r="A3200" s="2"/>
      <c r="B3200" s="11"/>
      <c r="C3200" s="26"/>
      <c r="L3200" s="65"/>
      <c r="M3200" s="71"/>
      <c r="N3200" s="65"/>
    </row>
    <row r="3201" spans="1:14" x14ac:dyDescent="0.25">
      <c r="A3201" s="2"/>
      <c r="B3201" s="11"/>
      <c r="C3201" s="26"/>
      <c r="L3201" s="65"/>
      <c r="M3201" s="71"/>
      <c r="N3201" s="65"/>
    </row>
    <row r="3202" spans="1:14" x14ac:dyDescent="0.25">
      <c r="A3202" s="2"/>
      <c r="B3202" s="11"/>
      <c r="C3202" s="26"/>
      <c r="L3202" s="65"/>
      <c r="M3202" s="71"/>
      <c r="N3202" s="65"/>
    </row>
    <row r="3203" spans="1:14" x14ac:dyDescent="0.25">
      <c r="A3203" s="2"/>
      <c r="B3203" s="11"/>
      <c r="C3203" s="26"/>
      <c r="L3203" s="65"/>
      <c r="M3203" s="71"/>
      <c r="N3203" s="65"/>
    </row>
    <row r="3204" spans="1:14" x14ac:dyDescent="0.25">
      <c r="A3204" s="2"/>
      <c r="B3204" s="11"/>
      <c r="C3204" s="26"/>
      <c r="L3204" s="65"/>
      <c r="M3204" s="71"/>
      <c r="N3204" s="65"/>
    </row>
    <row r="3205" spans="1:14" x14ac:dyDescent="0.25">
      <c r="A3205" s="2"/>
      <c r="B3205" s="11"/>
      <c r="C3205" s="26"/>
      <c r="L3205" s="65"/>
      <c r="M3205" s="71"/>
      <c r="N3205" s="65"/>
    </row>
    <row r="3206" spans="1:14" x14ac:dyDescent="0.25">
      <c r="A3206" s="2"/>
      <c r="B3206" s="11"/>
      <c r="C3206" s="26"/>
      <c r="L3206" s="65"/>
      <c r="M3206" s="71"/>
      <c r="N3206" s="65"/>
    </row>
    <row r="3207" spans="1:14" x14ac:dyDescent="0.25">
      <c r="A3207" s="2"/>
      <c r="B3207" s="11"/>
      <c r="C3207" s="26"/>
      <c r="L3207" s="65"/>
      <c r="M3207" s="71"/>
      <c r="N3207" s="65"/>
    </row>
    <row r="3208" spans="1:14" x14ac:dyDescent="0.25">
      <c r="A3208" s="2"/>
      <c r="B3208" s="11"/>
      <c r="C3208" s="26"/>
      <c r="L3208" s="65"/>
      <c r="M3208" s="71"/>
      <c r="N3208" s="65"/>
    </row>
    <row r="3209" spans="1:14" x14ac:dyDescent="0.25">
      <c r="A3209" s="2"/>
      <c r="B3209" s="11"/>
      <c r="C3209" s="26"/>
      <c r="L3209" s="65"/>
      <c r="M3209" s="71"/>
      <c r="N3209" s="65"/>
    </row>
    <row r="3210" spans="1:14" x14ac:dyDescent="0.25">
      <c r="A3210" s="2"/>
      <c r="B3210" s="11"/>
      <c r="C3210" s="26"/>
      <c r="L3210" s="65"/>
      <c r="M3210" s="71"/>
      <c r="N3210" s="65"/>
    </row>
    <row r="3211" spans="1:14" x14ac:dyDescent="0.25">
      <c r="A3211" s="2"/>
      <c r="B3211" s="11"/>
      <c r="C3211" s="26"/>
      <c r="L3211" s="65"/>
      <c r="M3211" s="71"/>
      <c r="N3211" s="65"/>
    </row>
    <row r="3212" spans="1:14" x14ac:dyDescent="0.25">
      <c r="A3212" s="2"/>
      <c r="B3212" s="11"/>
      <c r="C3212" s="26"/>
      <c r="L3212" s="65"/>
      <c r="M3212" s="71"/>
      <c r="N3212" s="65"/>
    </row>
    <row r="3213" spans="1:14" x14ac:dyDescent="0.25">
      <c r="A3213" s="2"/>
      <c r="B3213" s="11"/>
      <c r="C3213" s="26"/>
      <c r="L3213" s="65"/>
      <c r="M3213" s="71"/>
      <c r="N3213" s="65"/>
    </row>
    <row r="3214" spans="1:14" x14ac:dyDescent="0.25">
      <c r="A3214" s="2"/>
      <c r="B3214" s="11"/>
      <c r="C3214" s="26"/>
      <c r="L3214" s="65"/>
      <c r="M3214" s="71"/>
      <c r="N3214" s="65"/>
    </row>
    <row r="3215" spans="1:14" x14ac:dyDescent="0.25">
      <c r="A3215" s="2"/>
      <c r="B3215" s="11"/>
      <c r="C3215" s="26"/>
      <c r="L3215" s="65"/>
      <c r="M3215" s="71"/>
      <c r="N3215" s="65"/>
    </row>
    <row r="3216" spans="1:14" x14ac:dyDescent="0.25">
      <c r="A3216" s="2"/>
      <c r="B3216" s="11"/>
      <c r="C3216" s="26"/>
      <c r="L3216" s="65"/>
      <c r="M3216" s="71"/>
      <c r="N3216" s="65"/>
    </row>
    <row r="3217" spans="1:14" x14ac:dyDescent="0.25">
      <c r="A3217" s="2"/>
      <c r="B3217" s="11"/>
      <c r="C3217" s="26"/>
      <c r="L3217" s="65"/>
      <c r="M3217" s="71"/>
      <c r="N3217" s="65"/>
    </row>
    <row r="3218" spans="1:14" x14ac:dyDescent="0.25">
      <c r="A3218" s="2"/>
      <c r="B3218" s="11"/>
      <c r="C3218" s="26"/>
      <c r="L3218" s="65"/>
      <c r="M3218" s="71"/>
      <c r="N3218" s="65"/>
    </row>
    <row r="3219" spans="1:14" x14ac:dyDescent="0.25">
      <c r="A3219" s="2"/>
      <c r="B3219" s="11"/>
      <c r="C3219" s="26"/>
      <c r="L3219" s="65"/>
      <c r="M3219" s="71"/>
      <c r="N3219" s="65"/>
    </row>
    <row r="3220" spans="1:14" x14ac:dyDescent="0.25">
      <c r="A3220" s="2"/>
      <c r="B3220" s="11"/>
      <c r="C3220" s="26"/>
      <c r="L3220" s="65"/>
      <c r="M3220" s="71"/>
      <c r="N3220" s="65"/>
    </row>
    <row r="3221" spans="1:14" x14ac:dyDescent="0.25">
      <c r="A3221" s="2"/>
      <c r="B3221" s="11"/>
      <c r="C3221" s="26"/>
      <c r="L3221" s="65"/>
      <c r="M3221" s="71"/>
      <c r="N3221" s="65"/>
    </row>
    <row r="3222" spans="1:14" x14ac:dyDescent="0.25">
      <c r="A3222" s="2"/>
      <c r="B3222" s="11"/>
      <c r="C3222" s="26"/>
      <c r="L3222" s="65"/>
      <c r="M3222" s="71"/>
      <c r="N3222" s="65"/>
    </row>
    <row r="3223" spans="1:14" x14ac:dyDescent="0.25">
      <c r="A3223" s="2"/>
      <c r="B3223" s="11"/>
      <c r="C3223" s="26"/>
      <c r="L3223" s="65"/>
      <c r="M3223" s="71"/>
      <c r="N3223" s="65"/>
    </row>
    <row r="3224" spans="1:14" x14ac:dyDescent="0.25">
      <c r="A3224" s="2"/>
      <c r="B3224" s="11"/>
      <c r="C3224" s="26"/>
      <c r="L3224" s="65"/>
      <c r="M3224" s="71"/>
      <c r="N3224" s="65"/>
    </row>
    <row r="3225" spans="1:14" x14ac:dyDescent="0.25">
      <c r="A3225" s="2"/>
      <c r="B3225" s="11"/>
      <c r="C3225" s="26"/>
      <c r="L3225" s="65"/>
      <c r="M3225" s="71"/>
      <c r="N3225" s="65"/>
    </row>
    <row r="3226" spans="1:14" x14ac:dyDescent="0.25">
      <c r="A3226" s="2"/>
      <c r="B3226" s="11"/>
      <c r="C3226" s="26"/>
      <c r="L3226" s="65"/>
      <c r="M3226" s="71"/>
      <c r="N3226" s="65"/>
    </row>
    <row r="3227" spans="1:14" x14ac:dyDescent="0.25">
      <c r="A3227" s="2"/>
      <c r="B3227" s="11"/>
      <c r="C3227" s="26"/>
      <c r="L3227" s="65"/>
      <c r="M3227" s="71"/>
      <c r="N3227" s="65"/>
    </row>
    <row r="3228" spans="1:14" x14ac:dyDescent="0.25">
      <c r="A3228" s="2"/>
      <c r="B3228" s="11"/>
      <c r="C3228" s="26"/>
      <c r="L3228" s="65"/>
      <c r="M3228" s="71"/>
      <c r="N3228" s="65"/>
    </row>
    <row r="3229" spans="1:14" x14ac:dyDescent="0.25">
      <c r="A3229" s="2"/>
      <c r="B3229" s="11"/>
      <c r="C3229" s="26"/>
      <c r="L3229" s="65"/>
      <c r="M3229" s="71"/>
      <c r="N3229" s="65"/>
    </row>
    <row r="3230" spans="1:14" x14ac:dyDescent="0.25">
      <c r="A3230" s="2"/>
      <c r="B3230" s="11"/>
      <c r="C3230" s="26"/>
      <c r="L3230" s="65"/>
      <c r="M3230" s="71"/>
      <c r="N3230" s="65"/>
    </row>
    <row r="3231" spans="1:14" x14ac:dyDescent="0.25">
      <c r="A3231" s="2"/>
      <c r="B3231" s="11"/>
      <c r="C3231" s="26"/>
      <c r="L3231" s="65"/>
      <c r="M3231" s="71"/>
      <c r="N3231" s="65"/>
    </row>
    <row r="3232" spans="1:14" x14ac:dyDescent="0.25">
      <c r="A3232" s="2"/>
      <c r="B3232" s="11"/>
      <c r="C3232" s="26"/>
      <c r="L3232" s="65"/>
      <c r="M3232" s="71"/>
      <c r="N3232" s="65"/>
    </row>
    <row r="3233" spans="1:14" x14ac:dyDescent="0.25">
      <c r="A3233" s="2"/>
      <c r="B3233" s="11"/>
      <c r="C3233" s="26"/>
      <c r="L3233" s="65"/>
      <c r="M3233" s="71"/>
      <c r="N3233" s="65"/>
    </row>
    <row r="3234" spans="1:14" x14ac:dyDescent="0.25">
      <c r="A3234" s="2"/>
      <c r="B3234" s="11"/>
      <c r="C3234" s="26"/>
      <c r="L3234" s="65"/>
      <c r="M3234" s="71"/>
      <c r="N3234" s="65"/>
    </row>
    <row r="3235" spans="1:14" x14ac:dyDescent="0.25">
      <c r="A3235" s="2"/>
      <c r="B3235" s="11"/>
      <c r="C3235" s="26"/>
      <c r="L3235" s="65"/>
      <c r="M3235" s="71"/>
      <c r="N3235" s="65"/>
    </row>
    <row r="3236" spans="1:14" x14ac:dyDescent="0.25">
      <c r="A3236" s="2"/>
      <c r="B3236" s="11"/>
      <c r="C3236" s="26"/>
      <c r="L3236" s="65"/>
      <c r="M3236" s="71"/>
      <c r="N3236" s="65"/>
    </row>
    <row r="3237" spans="1:14" x14ac:dyDescent="0.25">
      <c r="A3237" s="2"/>
      <c r="B3237" s="11"/>
      <c r="C3237" s="26"/>
      <c r="L3237" s="65"/>
      <c r="M3237" s="71"/>
      <c r="N3237" s="65"/>
    </row>
    <row r="3238" spans="1:14" x14ac:dyDescent="0.25">
      <c r="A3238" s="2"/>
      <c r="B3238" s="11"/>
      <c r="C3238" s="26"/>
      <c r="L3238" s="65"/>
      <c r="M3238" s="71"/>
      <c r="N3238" s="65"/>
    </row>
    <row r="3239" spans="1:14" x14ac:dyDescent="0.25">
      <c r="A3239" s="2"/>
      <c r="B3239" s="11"/>
      <c r="C3239" s="26"/>
      <c r="L3239" s="65"/>
      <c r="M3239" s="71"/>
      <c r="N3239" s="65"/>
    </row>
    <row r="3240" spans="1:14" x14ac:dyDescent="0.25">
      <c r="A3240" s="2"/>
      <c r="B3240" s="11"/>
      <c r="C3240" s="26"/>
      <c r="L3240" s="65"/>
      <c r="M3240" s="71"/>
      <c r="N3240" s="65"/>
    </row>
    <row r="3241" spans="1:14" x14ac:dyDescent="0.25">
      <c r="A3241" s="2"/>
      <c r="B3241" s="11"/>
      <c r="C3241" s="26"/>
      <c r="L3241" s="65"/>
      <c r="M3241" s="71"/>
      <c r="N3241" s="65"/>
    </row>
    <row r="3242" spans="1:14" x14ac:dyDescent="0.25">
      <c r="A3242" s="2"/>
      <c r="B3242" s="11"/>
      <c r="C3242" s="26"/>
      <c r="L3242" s="65"/>
      <c r="M3242" s="71"/>
      <c r="N3242" s="65"/>
    </row>
    <row r="3243" spans="1:14" x14ac:dyDescent="0.25">
      <c r="A3243" s="2"/>
      <c r="B3243" s="11"/>
      <c r="C3243" s="26"/>
      <c r="L3243" s="65"/>
      <c r="M3243" s="71"/>
      <c r="N3243" s="65"/>
    </row>
    <row r="3244" spans="1:14" x14ac:dyDescent="0.25">
      <c r="A3244" s="2"/>
      <c r="B3244" s="11"/>
      <c r="C3244" s="26"/>
      <c r="L3244" s="65"/>
      <c r="M3244" s="71"/>
      <c r="N3244" s="65"/>
    </row>
    <row r="3245" spans="1:14" x14ac:dyDescent="0.25">
      <c r="A3245" s="2"/>
      <c r="B3245" s="11"/>
      <c r="C3245" s="26"/>
      <c r="L3245" s="65"/>
      <c r="M3245" s="71"/>
      <c r="N3245" s="65"/>
    </row>
    <row r="3246" spans="1:14" x14ac:dyDescent="0.25">
      <c r="A3246" s="2"/>
      <c r="B3246" s="11"/>
      <c r="C3246" s="26"/>
      <c r="L3246" s="65"/>
      <c r="M3246" s="71"/>
      <c r="N3246" s="65"/>
    </row>
    <row r="3247" spans="1:14" x14ac:dyDescent="0.25">
      <c r="A3247" s="2"/>
      <c r="B3247" s="11"/>
      <c r="C3247" s="26"/>
      <c r="L3247" s="65"/>
      <c r="M3247" s="71"/>
      <c r="N3247" s="65"/>
    </row>
    <row r="3248" spans="1:14" x14ac:dyDescent="0.25">
      <c r="A3248" s="2"/>
      <c r="B3248" s="11"/>
      <c r="C3248" s="26"/>
      <c r="L3248" s="65"/>
      <c r="M3248" s="71"/>
      <c r="N3248" s="65"/>
    </row>
    <row r="3249" spans="1:14" x14ac:dyDescent="0.25">
      <c r="A3249" s="2"/>
      <c r="B3249" s="11"/>
      <c r="C3249" s="26"/>
      <c r="L3249" s="65"/>
      <c r="M3249" s="71"/>
      <c r="N3249" s="65"/>
    </row>
    <row r="3250" spans="1:14" x14ac:dyDescent="0.25">
      <c r="A3250" s="2"/>
      <c r="B3250" s="11"/>
      <c r="C3250" s="26"/>
      <c r="L3250" s="65"/>
      <c r="M3250" s="71"/>
      <c r="N3250" s="65"/>
    </row>
    <row r="3251" spans="1:14" x14ac:dyDescent="0.25">
      <c r="A3251" s="2"/>
      <c r="B3251" s="11"/>
      <c r="C3251" s="26"/>
      <c r="L3251" s="65"/>
      <c r="M3251" s="71"/>
      <c r="N3251" s="65"/>
    </row>
    <row r="3252" spans="1:14" x14ac:dyDescent="0.25">
      <c r="A3252" s="2"/>
      <c r="B3252" s="11"/>
      <c r="C3252" s="26"/>
      <c r="L3252" s="65"/>
      <c r="M3252" s="71"/>
      <c r="N3252" s="65"/>
    </row>
    <row r="3253" spans="1:14" x14ac:dyDescent="0.25">
      <c r="A3253" s="2"/>
      <c r="B3253" s="11"/>
      <c r="C3253" s="26"/>
      <c r="L3253" s="65"/>
      <c r="M3253" s="71"/>
      <c r="N3253" s="65"/>
    </row>
    <row r="3254" spans="1:14" x14ac:dyDescent="0.25">
      <c r="A3254" s="2"/>
      <c r="B3254" s="11"/>
      <c r="C3254" s="26"/>
      <c r="L3254" s="65"/>
      <c r="M3254" s="71"/>
      <c r="N3254" s="65"/>
    </row>
    <row r="3255" spans="1:14" x14ac:dyDescent="0.25">
      <c r="A3255" s="2"/>
      <c r="B3255" s="11"/>
      <c r="C3255" s="26"/>
      <c r="L3255" s="65"/>
      <c r="M3255" s="71"/>
      <c r="N3255" s="65"/>
    </row>
    <row r="3256" spans="1:14" x14ac:dyDescent="0.25">
      <c r="A3256" s="2"/>
      <c r="B3256" s="11"/>
      <c r="C3256" s="26"/>
      <c r="L3256" s="65"/>
      <c r="M3256" s="71"/>
      <c r="N3256" s="65"/>
    </row>
    <row r="3257" spans="1:14" x14ac:dyDescent="0.25">
      <c r="A3257" s="2"/>
      <c r="B3257" s="11"/>
      <c r="C3257" s="26"/>
      <c r="L3257" s="65"/>
      <c r="M3257" s="71"/>
      <c r="N3257" s="65"/>
    </row>
    <row r="3258" spans="1:14" x14ac:dyDescent="0.25">
      <c r="A3258" s="2"/>
      <c r="B3258" s="11"/>
      <c r="C3258" s="26"/>
      <c r="L3258" s="65"/>
      <c r="M3258" s="71"/>
      <c r="N3258" s="65"/>
    </row>
    <row r="3259" spans="1:14" x14ac:dyDescent="0.25">
      <c r="A3259" s="2"/>
      <c r="B3259" s="11"/>
      <c r="C3259" s="26"/>
      <c r="L3259" s="65"/>
      <c r="M3259" s="71"/>
      <c r="N3259" s="65"/>
    </row>
    <row r="3260" spans="1:14" x14ac:dyDescent="0.25">
      <c r="A3260" s="2"/>
      <c r="B3260" s="11"/>
      <c r="C3260" s="26"/>
      <c r="L3260" s="65"/>
      <c r="M3260" s="71"/>
      <c r="N3260" s="65"/>
    </row>
    <row r="3261" spans="1:14" x14ac:dyDescent="0.25">
      <c r="A3261" s="2"/>
      <c r="B3261" s="11"/>
      <c r="C3261" s="26"/>
      <c r="L3261" s="65"/>
      <c r="M3261" s="71"/>
      <c r="N3261" s="65"/>
    </row>
    <row r="3262" spans="1:14" x14ac:dyDescent="0.25">
      <c r="A3262" s="2"/>
      <c r="B3262" s="11"/>
      <c r="C3262" s="26"/>
      <c r="L3262" s="65"/>
      <c r="M3262" s="71"/>
      <c r="N3262" s="65"/>
    </row>
    <row r="3263" spans="1:14" x14ac:dyDescent="0.25">
      <c r="A3263" s="2"/>
      <c r="B3263" s="11"/>
      <c r="C3263" s="26"/>
      <c r="L3263" s="65"/>
      <c r="M3263" s="71"/>
      <c r="N3263" s="65"/>
    </row>
    <row r="3264" spans="1:14" x14ac:dyDescent="0.25">
      <c r="A3264" s="2"/>
      <c r="B3264" s="11"/>
      <c r="C3264" s="26"/>
      <c r="L3264" s="65"/>
      <c r="M3264" s="71"/>
      <c r="N3264" s="65"/>
    </row>
    <row r="3265" spans="1:14" x14ac:dyDescent="0.25">
      <c r="A3265" s="2"/>
      <c r="B3265" s="11"/>
      <c r="C3265" s="26"/>
      <c r="L3265" s="65"/>
      <c r="M3265" s="71"/>
      <c r="N3265" s="65"/>
    </row>
    <row r="3266" spans="1:14" x14ac:dyDescent="0.25">
      <c r="A3266" s="2"/>
      <c r="B3266" s="11"/>
      <c r="C3266" s="26"/>
      <c r="L3266" s="65"/>
      <c r="M3266" s="71"/>
      <c r="N3266" s="65"/>
    </row>
    <row r="3267" spans="1:14" x14ac:dyDescent="0.25">
      <c r="A3267" s="2"/>
      <c r="B3267" s="11"/>
      <c r="C3267" s="26"/>
      <c r="L3267" s="65"/>
      <c r="M3267" s="71"/>
      <c r="N3267" s="65"/>
    </row>
    <row r="3268" spans="1:14" x14ac:dyDescent="0.25">
      <c r="A3268" s="2"/>
      <c r="B3268" s="11"/>
      <c r="C3268" s="26"/>
      <c r="L3268" s="65"/>
      <c r="M3268" s="71"/>
      <c r="N3268" s="65"/>
    </row>
    <row r="3269" spans="1:14" x14ac:dyDescent="0.25">
      <c r="A3269" s="2"/>
      <c r="B3269" s="11"/>
      <c r="C3269" s="26"/>
      <c r="L3269" s="65"/>
      <c r="M3269" s="71"/>
      <c r="N3269" s="65"/>
    </row>
    <row r="3270" spans="1:14" x14ac:dyDescent="0.25">
      <c r="A3270" s="2"/>
      <c r="B3270" s="11"/>
      <c r="C3270" s="26"/>
      <c r="L3270" s="65"/>
      <c r="M3270" s="71"/>
      <c r="N3270" s="65"/>
    </row>
    <row r="3271" spans="1:14" x14ac:dyDescent="0.25">
      <c r="A3271" s="2"/>
      <c r="B3271" s="11"/>
      <c r="C3271" s="26"/>
      <c r="L3271" s="65"/>
      <c r="M3271" s="71"/>
      <c r="N3271" s="65"/>
    </row>
    <row r="3272" spans="1:14" x14ac:dyDescent="0.25">
      <c r="A3272" s="2"/>
      <c r="B3272" s="11"/>
      <c r="C3272" s="26"/>
      <c r="L3272" s="65"/>
      <c r="M3272" s="71"/>
      <c r="N3272" s="65"/>
    </row>
    <row r="3273" spans="1:14" x14ac:dyDescent="0.25">
      <c r="A3273" s="2"/>
      <c r="B3273" s="11"/>
      <c r="C3273" s="26"/>
      <c r="L3273" s="65"/>
      <c r="M3273" s="71"/>
      <c r="N3273" s="65"/>
    </row>
    <row r="3274" spans="1:14" x14ac:dyDescent="0.25">
      <c r="A3274" s="2"/>
      <c r="B3274" s="11"/>
      <c r="C3274" s="26"/>
      <c r="L3274" s="65"/>
      <c r="M3274" s="71"/>
      <c r="N3274" s="65"/>
    </row>
    <row r="3275" spans="1:14" x14ac:dyDescent="0.25">
      <c r="A3275" s="2"/>
      <c r="B3275" s="11"/>
      <c r="C3275" s="26"/>
      <c r="L3275" s="65"/>
      <c r="M3275" s="71"/>
      <c r="N3275" s="65"/>
    </row>
    <row r="3276" spans="1:14" x14ac:dyDescent="0.25">
      <c r="A3276" s="2"/>
      <c r="B3276" s="11"/>
      <c r="C3276" s="26"/>
      <c r="L3276" s="65"/>
      <c r="M3276" s="71"/>
      <c r="N3276" s="65"/>
    </row>
    <row r="3277" spans="1:14" x14ac:dyDescent="0.25">
      <c r="A3277" s="2"/>
      <c r="B3277" s="11"/>
      <c r="C3277" s="26"/>
      <c r="L3277" s="65"/>
      <c r="M3277" s="71"/>
      <c r="N3277" s="65"/>
    </row>
    <row r="3278" spans="1:14" x14ac:dyDescent="0.25">
      <c r="A3278" s="2"/>
      <c r="B3278" s="11"/>
      <c r="C3278" s="26"/>
      <c r="L3278" s="65"/>
      <c r="M3278" s="71"/>
      <c r="N3278" s="65"/>
    </row>
    <row r="3279" spans="1:14" x14ac:dyDescent="0.25">
      <c r="A3279" s="2"/>
      <c r="B3279" s="11"/>
      <c r="C3279" s="26"/>
      <c r="L3279" s="65"/>
      <c r="M3279" s="71"/>
      <c r="N3279" s="65"/>
    </row>
    <row r="3280" spans="1:14" x14ac:dyDescent="0.25">
      <c r="A3280" s="2"/>
      <c r="B3280" s="11"/>
      <c r="C3280" s="26"/>
      <c r="L3280" s="65"/>
      <c r="M3280" s="71"/>
      <c r="N3280" s="65"/>
    </row>
    <row r="3281" spans="1:14" x14ac:dyDescent="0.25">
      <c r="A3281" s="2"/>
      <c r="B3281" s="11"/>
      <c r="C3281" s="26"/>
      <c r="L3281" s="65"/>
      <c r="M3281" s="71"/>
      <c r="N3281" s="65"/>
    </row>
    <row r="3282" spans="1:14" x14ac:dyDescent="0.25">
      <c r="A3282" s="2"/>
      <c r="B3282" s="11"/>
      <c r="C3282" s="26"/>
      <c r="L3282" s="65"/>
      <c r="M3282" s="71"/>
      <c r="N3282" s="65"/>
    </row>
    <row r="3283" spans="1:14" x14ac:dyDescent="0.25">
      <c r="A3283" s="2"/>
      <c r="B3283" s="11"/>
      <c r="C3283" s="26"/>
      <c r="L3283" s="65"/>
      <c r="M3283" s="71"/>
      <c r="N3283" s="65"/>
    </row>
    <row r="3284" spans="1:14" x14ac:dyDescent="0.25">
      <c r="A3284" s="2"/>
      <c r="B3284" s="11"/>
      <c r="C3284" s="26"/>
      <c r="L3284" s="65"/>
      <c r="M3284" s="71"/>
      <c r="N3284" s="65"/>
    </row>
    <row r="3285" spans="1:14" x14ac:dyDescent="0.25">
      <c r="A3285" s="2"/>
      <c r="B3285" s="11"/>
      <c r="C3285" s="26"/>
      <c r="L3285" s="65"/>
      <c r="M3285" s="71"/>
      <c r="N3285" s="65"/>
    </row>
    <row r="3286" spans="1:14" x14ac:dyDescent="0.25">
      <c r="A3286" s="2"/>
      <c r="B3286" s="11"/>
      <c r="C3286" s="26"/>
      <c r="L3286" s="65"/>
      <c r="M3286" s="71"/>
      <c r="N3286" s="65"/>
    </row>
    <row r="3287" spans="1:14" x14ac:dyDescent="0.25">
      <c r="A3287" s="2"/>
      <c r="B3287" s="11"/>
      <c r="C3287" s="26"/>
      <c r="L3287" s="65"/>
      <c r="M3287" s="71"/>
      <c r="N3287" s="65"/>
    </row>
    <row r="3288" spans="1:14" x14ac:dyDescent="0.25">
      <c r="A3288" s="2"/>
      <c r="B3288" s="11"/>
      <c r="C3288" s="26"/>
      <c r="L3288" s="65"/>
      <c r="M3288" s="71"/>
      <c r="N3288" s="65"/>
    </row>
    <row r="3289" spans="1:14" x14ac:dyDescent="0.25">
      <c r="A3289" s="2"/>
      <c r="B3289" s="11"/>
      <c r="C3289" s="26"/>
      <c r="L3289" s="65"/>
      <c r="M3289" s="71"/>
      <c r="N3289" s="65"/>
    </row>
    <row r="3290" spans="1:14" x14ac:dyDescent="0.25">
      <c r="A3290" s="2"/>
      <c r="B3290" s="11"/>
      <c r="C3290" s="26"/>
      <c r="L3290" s="65"/>
      <c r="M3290" s="71"/>
      <c r="N3290" s="65"/>
    </row>
    <row r="3291" spans="1:14" x14ac:dyDescent="0.25">
      <c r="A3291" s="2"/>
      <c r="B3291" s="11"/>
      <c r="C3291" s="26"/>
      <c r="L3291" s="65"/>
      <c r="M3291" s="71"/>
      <c r="N3291" s="65"/>
    </row>
    <row r="3292" spans="1:14" x14ac:dyDescent="0.25">
      <c r="A3292" s="2"/>
      <c r="B3292" s="11"/>
      <c r="C3292" s="26"/>
      <c r="L3292" s="65"/>
      <c r="M3292" s="71"/>
      <c r="N3292" s="65"/>
    </row>
    <row r="3293" spans="1:14" x14ac:dyDescent="0.25">
      <c r="A3293" s="2"/>
      <c r="B3293" s="11"/>
      <c r="C3293" s="26"/>
      <c r="L3293" s="65"/>
      <c r="M3293" s="71"/>
      <c r="N3293" s="65"/>
    </row>
    <row r="3294" spans="1:14" x14ac:dyDescent="0.25">
      <c r="A3294" s="2"/>
      <c r="B3294" s="11"/>
      <c r="C3294" s="26"/>
      <c r="L3294" s="65"/>
      <c r="M3294" s="71"/>
      <c r="N3294" s="65"/>
    </row>
    <row r="3295" spans="1:14" x14ac:dyDescent="0.25">
      <c r="A3295" s="2"/>
      <c r="B3295" s="11"/>
      <c r="C3295" s="26"/>
      <c r="L3295" s="65"/>
      <c r="M3295" s="71"/>
      <c r="N3295" s="65"/>
    </row>
    <row r="3296" spans="1:14" x14ac:dyDescent="0.25">
      <c r="A3296" s="2"/>
      <c r="B3296" s="11"/>
      <c r="C3296" s="26"/>
      <c r="L3296" s="65"/>
      <c r="M3296" s="71"/>
      <c r="N3296" s="65"/>
    </row>
    <row r="3297" spans="1:14" x14ac:dyDescent="0.25">
      <c r="A3297" s="2"/>
      <c r="B3297" s="11"/>
      <c r="C3297" s="26"/>
      <c r="L3297" s="65"/>
      <c r="M3297" s="71"/>
      <c r="N3297" s="65"/>
    </row>
    <row r="3298" spans="1:14" x14ac:dyDescent="0.25">
      <c r="A3298" s="2"/>
      <c r="B3298" s="11"/>
      <c r="C3298" s="26"/>
      <c r="L3298" s="65"/>
      <c r="M3298" s="71"/>
      <c r="N3298" s="65"/>
    </row>
    <row r="3299" spans="1:14" x14ac:dyDescent="0.25">
      <c r="A3299" s="2"/>
      <c r="B3299" s="11"/>
      <c r="C3299" s="26"/>
      <c r="L3299" s="65"/>
      <c r="M3299" s="71"/>
      <c r="N3299" s="65"/>
    </row>
    <row r="3300" spans="1:14" x14ac:dyDescent="0.25">
      <c r="A3300" s="2"/>
      <c r="B3300" s="11"/>
      <c r="C3300" s="26"/>
      <c r="L3300" s="65"/>
      <c r="M3300" s="71"/>
      <c r="N3300" s="65"/>
    </row>
    <row r="3301" spans="1:14" x14ac:dyDescent="0.25">
      <c r="A3301" s="2"/>
      <c r="B3301" s="11"/>
      <c r="C3301" s="26"/>
      <c r="L3301" s="65"/>
      <c r="M3301" s="71"/>
      <c r="N3301" s="65"/>
    </row>
    <row r="3302" spans="1:14" x14ac:dyDescent="0.25">
      <c r="A3302" s="2"/>
      <c r="B3302" s="11"/>
      <c r="C3302" s="26"/>
      <c r="L3302" s="65"/>
      <c r="M3302" s="71"/>
      <c r="N3302" s="65"/>
    </row>
    <row r="3303" spans="1:14" x14ac:dyDescent="0.25">
      <c r="A3303" s="2"/>
      <c r="B3303" s="11"/>
      <c r="C3303" s="26"/>
      <c r="L3303" s="65"/>
      <c r="M3303" s="71"/>
      <c r="N3303" s="65"/>
    </row>
    <row r="3304" spans="1:14" x14ac:dyDescent="0.25">
      <c r="A3304" s="2"/>
      <c r="B3304" s="11"/>
      <c r="C3304" s="26"/>
      <c r="L3304" s="65"/>
      <c r="M3304" s="71"/>
      <c r="N3304" s="65"/>
    </row>
    <row r="3305" spans="1:14" x14ac:dyDescent="0.25">
      <c r="A3305" s="2"/>
      <c r="B3305" s="11"/>
      <c r="C3305" s="26"/>
      <c r="L3305" s="65"/>
      <c r="M3305" s="71"/>
      <c r="N3305" s="65"/>
    </row>
    <row r="3306" spans="1:14" x14ac:dyDescent="0.25">
      <c r="A3306" s="2"/>
      <c r="B3306" s="11"/>
      <c r="C3306" s="26"/>
      <c r="L3306" s="65"/>
      <c r="M3306" s="71"/>
      <c r="N3306" s="65"/>
    </row>
    <row r="3307" spans="1:14" x14ac:dyDescent="0.25">
      <c r="A3307" s="2"/>
      <c r="B3307" s="11"/>
      <c r="C3307" s="26"/>
      <c r="L3307" s="65"/>
      <c r="M3307" s="71"/>
      <c r="N3307" s="65"/>
    </row>
    <row r="3308" spans="1:14" x14ac:dyDescent="0.25">
      <c r="A3308" s="2"/>
      <c r="B3308" s="11"/>
      <c r="C3308" s="26"/>
      <c r="L3308" s="65"/>
      <c r="M3308" s="71"/>
      <c r="N3308" s="65"/>
    </row>
    <row r="3309" spans="1:14" x14ac:dyDescent="0.25">
      <c r="A3309" s="2"/>
      <c r="B3309" s="11"/>
      <c r="C3309" s="26"/>
      <c r="L3309" s="65"/>
      <c r="M3309" s="71"/>
      <c r="N3309" s="65"/>
    </row>
    <row r="3310" spans="1:14" x14ac:dyDescent="0.25">
      <c r="A3310" s="2"/>
      <c r="B3310" s="11"/>
      <c r="C3310" s="26"/>
      <c r="L3310" s="65"/>
      <c r="M3310" s="71"/>
      <c r="N3310" s="65"/>
    </row>
    <row r="3311" spans="1:14" x14ac:dyDescent="0.25">
      <c r="A3311" s="2"/>
      <c r="B3311" s="11"/>
      <c r="C3311" s="26"/>
      <c r="L3311" s="65"/>
      <c r="M3311" s="71"/>
      <c r="N3311" s="65"/>
    </row>
    <row r="3312" spans="1:14" x14ac:dyDescent="0.25">
      <c r="A3312" s="2"/>
      <c r="B3312" s="11"/>
      <c r="C3312" s="26"/>
      <c r="L3312" s="65"/>
      <c r="M3312" s="71"/>
      <c r="N3312" s="65"/>
    </row>
    <row r="3313" spans="1:14" x14ac:dyDescent="0.25">
      <c r="A3313" s="2"/>
      <c r="B3313" s="11"/>
      <c r="C3313" s="26"/>
      <c r="L3313" s="65"/>
      <c r="M3313" s="71"/>
      <c r="N3313" s="65"/>
    </row>
    <row r="3314" spans="1:14" x14ac:dyDescent="0.25">
      <c r="A3314" s="2"/>
      <c r="B3314" s="11"/>
      <c r="C3314" s="26"/>
      <c r="L3314" s="65"/>
      <c r="M3314" s="71"/>
      <c r="N3314" s="65"/>
    </row>
    <row r="3315" spans="1:14" x14ac:dyDescent="0.25">
      <c r="A3315" s="2"/>
      <c r="B3315" s="11"/>
      <c r="C3315" s="26"/>
      <c r="L3315" s="65"/>
      <c r="M3315" s="71"/>
      <c r="N3315" s="65"/>
    </row>
    <row r="3316" spans="1:14" x14ac:dyDescent="0.25">
      <c r="A3316" s="2"/>
      <c r="B3316" s="11"/>
      <c r="C3316" s="26"/>
      <c r="L3316" s="65"/>
      <c r="M3316" s="71"/>
      <c r="N3316" s="65"/>
    </row>
    <row r="3317" spans="1:14" x14ac:dyDescent="0.25">
      <c r="A3317" s="2"/>
      <c r="B3317" s="11"/>
      <c r="C3317" s="26"/>
      <c r="L3317" s="65"/>
      <c r="M3317" s="71"/>
      <c r="N3317" s="65"/>
    </row>
    <row r="3318" spans="1:14" x14ac:dyDescent="0.25">
      <c r="A3318" s="2"/>
      <c r="B3318" s="11"/>
      <c r="C3318" s="26"/>
      <c r="L3318" s="65"/>
      <c r="M3318" s="71"/>
      <c r="N3318" s="65"/>
    </row>
    <row r="3319" spans="1:14" x14ac:dyDescent="0.25">
      <c r="A3319" s="2"/>
      <c r="B3319" s="11"/>
      <c r="C3319" s="26"/>
      <c r="L3319" s="65"/>
      <c r="M3319" s="71"/>
      <c r="N3319" s="65"/>
    </row>
    <row r="3320" spans="1:14" x14ac:dyDescent="0.25">
      <c r="A3320" s="2"/>
      <c r="B3320" s="11"/>
      <c r="C3320" s="26"/>
      <c r="L3320" s="65"/>
      <c r="M3320" s="71"/>
      <c r="N3320" s="65"/>
    </row>
    <row r="3321" spans="1:14" x14ac:dyDescent="0.25">
      <c r="A3321" s="2"/>
      <c r="B3321" s="11"/>
      <c r="C3321" s="26"/>
      <c r="L3321" s="65"/>
      <c r="M3321" s="71"/>
      <c r="N3321" s="65"/>
    </row>
    <row r="3322" spans="1:14" x14ac:dyDescent="0.25">
      <c r="A3322" s="2"/>
      <c r="B3322" s="11"/>
      <c r="C3322" s="26"/>
      <c r="L3322" s="65"/>
      <c r="M3322" s="71"/>
      <c r="N3322" s="65"/>
    </row>
    <row r="3323" spans="1:14" x14ac:dyDescent="0.25">
      <c r="A3323" s="2"/>
      <c r="B3323" s="11"/>
      <c r="C3323" s="26"/>
      <c r="L3323" s="65"/>
      <c r="M3323" s="71"/>
      <c r="N3323" s="65"/>
    </row>
    <row r="3324" spans="1:14" x14ac:dyDescent="0.25">
      <c r="A3324" s="2"/>
      <c r="B3324" s="11"/>
      <c r="C3324" s="26"/>
      <c r="L3324" s="65"/>
      <c r="M3324" s="71"/>
      <c r="N3324" s="65"/>
    </row>
    <row r="3325" spans="1:14" x14ac:dyDescent="0.25">
      <c r="A3325" s="2"/>
      <c r="B3325" s="11"/>
      <c r="C3325" s="26"/>
      <c r="L3325" s="65"/>
      <c r="M3325" s="71"/>
      <c r="N3325" s="65"/>
    </row>
    <row r="3326" spans="1:14" x14ac:dyDescent="0.25">
      <c r="A3326" s="2"/>
      <c r="B3326" s="11"/>
      <c r="C3326" s="26"/>
      <c r="L3326" s="65"/>
      <c r="M3326" s="71"/>
      <c r="N3326" s="65"/>
    </row>
    <row r="3327" spans="1:14" x14ac:dyDescent="0.25">
      <c r="A3327" s="2"/>
      <c r="B3327" s="11"/>
      <c r="C3327" s="26"/>
      <c r="L3327" s="65"/>
      <c r="M3327" s="71"/>
      <c r="N3327" s="65"/>
    </row>
    <row r="3328" spans="1:14" x14ac:dyDescent="0.25">
      <c r="A3328" s="2"/>
      <c r="B3328" s="11"/>
      <c r="C3328" s="26"/>
      <c r="L3328" s="65"/>
      <c r="M3328" s="71"/>
      <c r="N3328" s="65"/>
    </row>
    <row r="3329" spans="1:14" x14ac:dyDescent="0.25">
      <c r="A3329" s="2"/>
      <c r="B3329" s="11"/>
      <c r="C3329" s="26"/>
      <c r="L3329" s="65"/>
      <c r="M3329" s="71"/>
      <c r="N3329" s="65"/>
    </row>
    <row r="3330" spans="1:14" x14ac:dyDescent="0.25">
      <c r="A3330" s="2"/>
      <c r="B3330" s="11"/>
      <c r="C3330" s="26"/>
      <c r="L3330" s="65"/>
      <c r="M3330" s="71"/>
      <c r="N3330" s="65"/>
    </row>
    <row r="3331" spans="1:14" x14ac:dyDescent="0.25">
      <c r="A3331" s="2"/>
      <c r="B3331" s="11"/>
      <c r="C3331" s="26"/>
      <c r="L3331" s="65"/>
      <c r="M3331" s="71"/>
      <c r="N3331" s="65"/>
    </row>
    <row r="3332" spans="1:14" x14ac:dyDescent="0.25">
      <c r="A3332" s="2"/>
      <c r="B3332" s="11"/>
      <c r="C3332" s="26"/>
      <c r="L3332" s="65"/>
      <c r="M3332" s="71"/>
      <c r="N3332" s="65"/>
    </row>
    <row r="3333" spans="1:14" x14ac:dyDescent="0.25">
      <c r="A3333" s="2"/>
      <c r="B3333" s="11"/>
      <c r="C3333" s="26"/>
      <c r="L3333" s="65"/>
      <c r="M3333" s="71"/>
      <c r="N3333" s="65"/>
    </row>
    <row r="3334" spans="1:14" x14ac:dyDescent="0.25">
      <c r="A3334" s="2"/>
      <c r="B3334" s="11"/>
      <c r="C3334" s="26"/>
      <c r="L3334" s="65"/>
      <c r="M3334" s="71"/>
      <c r="N3334" s="65"/>
    </row>
    <row r="3335" spans="1:14" x14ac:dyDescent="0.25">
      <c r="A3335" s="2"/>
      <c r="B3335" s="11"/>
      <c r="C3335" s="26"/>
      <c r="L3335" s="65"/>
      <c r="M3335" s="71"/>
      <c r="N3335" s="65"/>
    </row>
    <row r="3336" spans="1:14" x14ac:dyDescent="0.25">
      <c r="A3336" s="2"/>
      <c r="B3336" s="11"/>
      <c r="C3336" s="26"/>
      <c r="L3336" s="65"/>
      <c r="M3336" s="71"/>
      <c r="N3336" s="65"/>
    </row>
    <row r="3337" spans="1:14" x14ac:dyDescent="0.25">
      <c r="A3337" s="2"/>
      <c r="B3337" s="11"/>
      <c r="C3337" s="26"/>
      <c r="L3337" s="65"/>
      <c r="M3337" s="71"/>
      <c r="N3337" s="65"/>
    </row>
    <row r="3338" spans="1:14" x14ac:dyDescent="0.25">
      <c r="A3338" s="2"/>
      <c r="B3338" s="11"/>
      <c r="C3338" s="26"/>
      <c r="L3338" s="65"/>
      <c r="M3338" s="71"/>
      <c r="N3338" s="65"/>
    </row>
    <row r="3339" spans="1:14" x14ac:dyDescent="0.25">
      <c r="A3339" s="2"/>
      <c r="B3339" s="11"/>
      <c r="C3339" s="26"/>
      <c r="L3339" s="65"/>
      <c r="M3339" s="71"/>
      <c r="N3339" s="65"/>
    </row>
    <row r="3340" spans="1:14" x14ac:dyDescent="0.25">
      <c r="A3340" s="2"/>
      <c r="B3340" s="11"/>
      <c r="C3340" s="26"/>
      <c r="L3340" s="65"/>
      <c r="M3340" s="71"/>
      <c r="N3340" s="65"/>
    </row>
    <row r="3341" spans="1:14" x14ac:dyDescent="0.25">
      <c r="A3341" s="2"/>
      <c r="B3341" s="11"/>
      <c r="C3341" s="26"/>
      <c r="L3341" s="65"/>
      <c r="M3341" s="71"/>
      <c r="N3341" s="65"/>
    </row>
    <row r="3342" spans="1:14" x14ac:dyDescent="0.25">
      <c r="A3342" s="2"/>
      <c r="B3342" s="11"/>
      <c r="C3342" s="26"/>
      <c r="L3342" s="65"/>
      <c r="M3342" s="71"/>
      <c r="N3342" s="65"/>
    </row>
    <row r="3343" spans="1:14" x14ac:dyDescent="0.25">
      <c r="A3343" s="2"/>
      <c r="B3343" s="11"/>
      <c r="C3343" s="26"/>
      <c r="L3343" s="65"/>
      <c r="M3343" s="71"/>
      <c r="N3343" s="65"/>
    </row>
    <row r="3344" spans="1:14" x14ac:dyDescent="0.25">
      <c r="A3344" s="2"/>
      <c r="B3344" s="11"/>
      <c r="C3344" s="26"/>
      <c r="L3344" s="65"/>
      <c r="M3344" s="71"/>
      <c r="N3344" s="65"/>
    </row>
    <row r="3345" spans="1:14" x14ac:dyDescent="0.25">
      <c r="A3345" s="2"/>
      <c r="B3345" s="11"/>
      <c r="C3345" s="26"/>
      <c r="L3345" s="65"/>
      <c r="M3345" s="71"/>
      <c r="N3345" s="65"/>
    </row>
    <row r="3346" spans="1:14" x14ac:dyDescent="0.25">
      <c r="A3346" s="2"/>
      <c r="B3346" s="11"/>
      <c r="C3346" s="26"/>
      <c r="L3346" s="65"/>
      <c r="M3346" s="71"/>
      <c r="N3346" s="65"/>
    </row>
    <row r="3347" spans="1:14" x14ac:dyDescent="0.25">
      <c r="A3347" s="2"/>
      <c r="B3347" s="11"/>
      <c r="C3347" s="26"/>
      <c r="L3347" s="65"/>
      <c r="M3347" s="71"/>
      <c r="N3347" s="65"/>
    </row>
    <row r="3348" spans="1:14" x14ac:dyDescent="0.25">
      <c r="A3348" s="2"/>
      <c r="B3348" s="11"/>
      <c r="C3348" s="26"/>
      <c r="L3348" s="65"/>
      <c r="M3348" s="71"/>
      <c r="N3348" s="65"/>
    </row>
    <row r="3349" spans="1:14" x14ac:dyDescent="0.25">
      <c r="A3349" s="2"/>
      <c r="B3349" s="11"/>
      <c r="C3349" s="26"/>
      <c r="L3349" s="65"/>
      <c r="M3349" s="71"/>
      <c r="N3349" s="65"/>
    </row>
    <row r="3350" spans="1:14" x14ac:dyDescent="0.25">
      <c r="A3350" s="2"/>
      <c r="B3350" s="11"/>
      <c r="C3350" s="26"/>
      <c r="L3350" s="65"/>
      <c r="M3350" s="71"/>
      <c r="N3350" s="65"/>
    </row>
    <row r="3351" spans="1:14" x14ac:dyDescent="0.25">
      <c r="A3351" s="2"/>
      <c r="B3351" s="11"/>
      <c r="C3351" s="26"/>
      <c r="L3351" s="65"/>
      <c r="M3351" s="71"/>
      <c r="N3351" s="65"/>
    </row>
    <row r="3352" spans="1:14" x14ac:dyDescent="0.25">
      <c r="A3352" s="2"/>
      <c r="B3352" s="11"/>
      <c r="C3352" s="26"/>
      <c r="L3352" s="65"/>
      <c r="M3352" s="71"/>
      <c r="N3352" s="65"/>
    </row>
    <row r="3353" spans="1:14" x14ac:dyDescent="0.25">
      <c r="A3353" s="2"/>
      <c r="B3353" s="11"/>
      <c r="C3353" s="26"/>
      <c r="L3353" s="65"/>
      <c r="M3353" s="71"/>
      <c r="N3353" s="65"/>
    </row>
    <row r="3354" spans="1:14" x14ac:dyDescent="0.25">
      <c r="A3354" s="2"/>
      <c r="B3354" s="11"/>
      <c r="C3354" s="26"/>
      <c r="L3354" s="65"/>
      <c r="M3354" s="71"/>
      <c r="N3354" s="65"/>
    </row>
    <row r="3355" spans="1:14" x14ac:dyDescent="0.25">
      <c r="A3355" s="2"/>
      <c r="B3355" s="11"/>
      <c r="C3355" s="26"/>
      <c r="L3355" s="65"/>
      <c r="M3355" s="71"/>
      <c r="N3355" s="65"/>
    </row>
    <row r="3356" spans="1:14" x14ac:dyDescent="0.25">
      <c r="A3356" s="2"/>
      <c r="B3356" s="11"/>
      <c r="C3356" s="26"/>
      <c r="L3356" s="65"/>
      <c r="M3356" s="71"/>
      <c r="N3356" s="65"/>
    </row>
    <row r="3357" spans="1:14" x14ac:dyDescent="0.25">
      <c r="A3357" s="2"/>
      <c r="B3357" s="11"/>
      <c r="C3357" s="26"/>
      <c r="L3357" s="65"/>
      <c r="M3357" s="71"/>
      <c r="N3357" s="65"/>
    </row>
    <row r="3358" spans="1:14" x14ac:dyDescent="0.25">
      <c r="A3358" s="2"/>
      <c r="B3358" s="11"/>
      <c r="C3358" s="26"/>
      <c r="L3358" s="65"/>
      <c r="M3358" s="71"/>
      <c r="N3358" s="65"/>
    </row>
    <row r="3359" spans="1:14" x14ac:dyDescent="0.25">
      <c r="A3359" s="2"/>
      <c r="B3359" s="11"/>
      <c r="C3359" s="26"/>
      <c r="L3359" s="65"/>
      <c r="M3359" s="71"/>
      <c r="N3359" s="65"/>
    </row>
    <row r="3360" spans="1:14" x14ac:dyDescent="0.25">
      <c r="A3360" s="2"/>
      <c r="B3360" s="11"/>
      <c r="C3360" s="26"/>
      <c r="L3360" s="65"/>
      <c r="M3360" s="71"/>
      <c r="N3360" s="65"/>
    </row>
    <row r="3361" spans="1:14" x14ac:dyDescent="0.25">
      <c r="A3361" s="2"/>
      <c r="B3361" s="11"/>
      <c r="C3361" s="26"/>
      <c r="L3361" s="65"/>
      <c r="M3361" s="71"/>
      <c r="N3361" s="65"/>
    </row>
    <row r="3362" spans="1:14" x14ac:dyDescent="0.25">
      <c r="A3362" s="2"/>
      <c r="B3362" s="11"/>
      <c r="C3362" s="26"/>
      <c r="L3362" s="65"/>
      <c r="M3362" s="71"/>
      <c r="N3362" s="65"/>
    </row>
    <row r="3363" spans="1:14" x14ac:dyDescent="0.25">
      <c r="A3363" s="2"/>
      <c r="B3363" s="11"/>
      <c r="C3363" s="26"/>
      <c r="L3363" s="65"/>
      <c r="M3363" s="71"/>
      <c r="N3363" s="65"/>
    </row>
    <row r="3364" spans="1:14" x14ac:dyDescent="0.25">
      <c r="A3364" s="2"/>
      <c r="B3364" s="11"/>
      <c r="C3364" s="26"/>
      <c r="L3364" s="65"/>
      <c r="M3364" s="71"/>
      <c r="N3364" s="65"/>
    </row>
    <row r="3365" spans="1:14" x14ac:dyDescent="0.25">
      <c r="A3365" s="2"/>
      <c r="B3365" s="11"/>
      <c r="C3365" s="26"/>
      <c r="L3365" s="65"/>
      <c r="M3365" s="71"/>
      <c r="N3365" s="65"/>
    </row>
    <row r="3366" spans="1:14" x14ac:dyDescent="0.25">
      <c r="A3366" s="2"/>
      <c r="B3366" s="11"/>
      <c r="C3366" s="26"/>
      <c r="L3366" s="65"/>
      <c r="M3366" s="71"/>
      <c r="N3366" s="65"/>
    </row>
    <row r="3367" spans="1:14" x14ac:dyDescent="0.25">
      <c r="A3367" s="2"/>
      <c r="B3367" s="11"/>
      <c r="C3367" s="26"/>
      <c r="L3367" s="65"/>
      <c r="M3367" s="71"/>
      <c r="N3367" s="65"/>
    </row>
    <row r="3368" spans="1:14" x14ac:dyDescent="0.25">
      <c r="A3368" s="2"/>
      <c r="B3368" s="11"/>
      <c r="C3368" s="26"/>
      <c r="L3368" s="65"/>
      <c r="M3368" s="71"/>
      <c r="N3368" s="65"/>
    </row>
    <row r="3369" spans="1:14" x14ac:dyDescent="0.25">
      <c r="A3369" s="2"/>
      <c r="B3369" s="11"/>
      <c r="C3369" s="26"/>
      <c r="L3369" s="65"/>
      <c r="M3369" s="71"/>
      <c r="N3369" s="65"/>
    </row>
    <row r="3370" spans="1:14" x14ac:dyDescent="0.25">
      <c r="A3370" s="2"/>
      <c r="B3370" s="11"/>
      <c r="C3370" s="26"/>
      <c r="L3370" s="65"/>
      <c r="M3370" s="71"/>
      <c r="N3370" s="65"/>
    </row>
    <row r="3371" spans="1:14" x14ac:dyDescent="0.25">
      <c r="A3371" s="2"/>
      <c r="B3371" s="11"/>
      <c r="C3371" s="26"/>
      <c r="L3371" s="65"/>
      <c r="M3371" s="71"/>
      <c r="N3371" s="65"/>
    </row>
    <row r="3372" spans="1:14" x14ac:dyDescent="0.25">
      <c r="A3372" s="2"/>
      <c r="B3372" s="11"/>
      <c r="C3372" s="26"/>
      <c r="L3372" s="65"/>
      <c r="M3372" s="71"/>
      <c r="N3372" s="65"/>
    </row>
    <row r="3373" spans="1:14" x14ac:dyDescent="0.25">
      <c r="A3373" s="2"/>
      <c r="B3373" s="11"/>
      <c r="C3373" s="26"/>
      <c r="L3373" s="65"/>
      <c r="M3373" s="71"/>
      <c r="N3373" s="65"/>
    </row>
    <row r="3374" spans="1:14" x14ac:dyDescent="0.25">
      <c r="A3374" s="2"/>
      <c r="B3374" s="11"/>
      <c r="C3374" s="26"/>
      <c r="L3374" s="65"/>
      <c r="M3374" s="71"/>
      <c r="N3374" s="65"/>
    </row>
    <row r="3375" spans="1:14" x14ac:dyDescent="0.25">
      <c r="A3375" s="2"/>
      <c r="B3375" s="11"/>
      <c r="C3375" s="26"/>
      <c r="L3375" s="65"/>
      <c r="M3375" s="71"/>
      <c r="N3375" s="65"/>
    </row>
    <row r="3376" spans="1:14" x14ac:dyDescent="0.25">
      <c r="A3376" s="2"/>
      <c r="B3376" s="11"/>
      <c r="C3376" s="26"/>
      <c r="L3376" s="65"/>
      <c r="M3376" s="71"/>
      <c r="N3376" s="65"/>
    </row>
    <row r="3377" spans="1:14" x14ac:dyDescent="0.25">
      <c r="A3377" s="2"/>
      <c r="B3377" s="11"/>
      <c r="C3377" s="26"/>
      <c r="L3377" s="65"/>
      <c r="M3377" s="71"/>
      <c r="N3377" s="65"/>
    </row>
    <row r="3378" spans="1:14" x14ac:dyDescent="0.25">
      <c r="A3378" s="2"/>
      <c r="B3378" s="11"/>
      <c r="C3378" s="26"/>
      <c r="L3378" s="65"/>
      <c r="M3378" s="71"/>
      <c r="N3378" s="65"/>
    </row>
    <row r="3379" spans="1:14" x14ac:dyDescent="0.25">
      <c r="A3379" s="2"/>
      <c r="B3379" s="11"/>
      <c r="C3379" s="26"/>
      <c r="L3379" s="65"/>
      <c r="M3379" s="71"/>
      <c r="N3379" s="65"/>
    </row>
    <row r="3380" spans="1:14" x14ac:dyDescent="0.25">
      <c r="A3380" s="2"/>
      <c r="B3380" s="11"/>
      <c r="C3380" s="26"/>
      <c r="L3380" s="65"/>
      <c r="M3380" s="71"/>
      <c r="N3380" s="65"/>
    </row>
    <row r="3381" spans="1:14" x14ac:dyDescent="0.25">
      <c r="A3381" s="2"/>
      <c r="B3381" s="11"/>
      <c r="C3381" s="26"/>
      <c r="L3381" s="65"/>
      <c r="M3381" s="71"/>
      <c r="N3381" s="65"/>
    </row>
    <row r="3382" spans="1:14" x14ac:dyDescent="0.25">
      <c r="A3382" s="2"/>
      <c r="B3382" s="11"/>
      <c r="C3382" s="26"/>
      <c r="L3382" s="65"/>
      <c r="M3382" s="71"/>
      <c r="N3382" s="65"/>
    </row>
    <row r="3383" spans="1:14" x14ac:dyDescent="0.25">
      <c r="A3383" s="2"/>
      <c r="B3383" s="11"/>
      <c r="C3383" s="26"/>
      <c r="L3383" s="65"/>
      <c r="M3383" s="71"/>
      <c r="N3383" s="65"/>
    </row>
    <row r="3384" spans="1:14" x14ac:dyDescent="0.25">
      <c r="A3384" s="2"/>
      <c r="B3384" s="11"/>
      <c r="C3384" s="26"/>
      <c r="L3384" s="65"/>
      <c r="M3384" s="71"/>
      <c r="N3384" s="65"/>
    </row>
    <row r="3385" spans="1:14" x14ac:dyDescent="0.25">
      <c r="A3385" s="2"/>
      <c r="B3385" s="11"/>
      <c r="C3385" s="26"/>
      <c r="L3385" s="65"/>
      <c r="M3385" s="71"/>
      <c r="N3385" s="65"/>
    </row>
    <row r="3386" spans="1:14" x14ac:dyDescent="0.25">
      <c r="A3386" s="2"/>
      <c r="B3386" s="11"/>
      <c r="C3386" s="26"/>
      <c r="L3386" s="65"/>
      <c r="M3386" s="71"/>
      <c r="N3386" s="65"/>
    </row>
    <row r="3387" spans="1:14" x14ac:dyDescent="0.25">
      <c r="A3387" s="2"/>
      <c r="B3387" s="11"/>
      <c r="C3387" s="26"/>
      <c r="L3387" s="65"/>
      <c r="M3387" s="71"/>
      <c r="N3387" s="65"/>
    </row>
    <row r="3388" spans="1:14" x14ac:dyDescent="0.25">
      <c r="A3388" s="2"/>
      <c r="B3388" s="11"/>
      <c r="C3388" s="26"/>
      <c r="L3388" s="65"/>
      <c r="M3388" s="71"/>
      <c r="N3388" s="65"/>
    </row>
    <row r="3389" spans="1:14" x14ac:dyDescent="0.25">
      <c r="A3389" s="2"/>
      <c r="B3389" s="11"/>
      <c r="C3389" s="26"/>
      <c r="L3389" s="65"/>
      <c r="M3389" s="71"/>
      <c r="N3389" s="65"/>
    </row>
    <row r="3390" spans="1:14" x14ac:dyDescent="0.25">
      <c r="A3390" s="2"/>
      <c r="B3390" s="11"/>
      <c r="C3390" s="26"/>
      <c r="L3390" s="65"/>
      <c r="M3390" s="71"/>
      <c r="N3390" s="65"/>
    </row>
    <row r="3391" spans="1:14" x14ac:dyDescent="0.25">
      <c r="A3391" s="2"/>
      <c r="B3391" s="11"/>
      <c r="C3391" s="26"/>
      <c r="L3391" s="65"/>
      <c r="M3391" s="71"/>
      <c r="N3391" s="65"/>
    </row>
    <row r="3392" spans="1:14" x14ac:dyDescent="0.25">
      <c r="A3392" s="2"/>
      <c r="B3392" s="11"/>
      <c r="C3392" s="26"/>
      <c r="L3392" s="65"/>
      <c r="M3392" s="71"/>
      <c r="N3392" s="65"/>
    </row>
    <row r="3393" spans="1:14" x14ac:dyDescent="0.25">
      <c r="A3393" s="2"/>
      <c r="B3393" s="11"/>
      <c r="C3393" s="26"/>
      <c r="L3393" s="65"/>
      <c r="M3393" s="71"/>
      <c r="N3393" s="65"/>
    </row>
    <row r="3394" spans="1:14" x14ac:dyDescent="0.25">
      <c r="A3394" s="2"/>
      <c r="B3394" s="11"/>
      <c r="C3394" s="26"/>
      <c r="L3394" s="65"/>
      <c r="M3394" s="71"/>
      <c r="N3394" s="65"/>
    </row>
    <row r="3395" spans="1:14" x14ac:dyDescent="0.25">
      <c r="A3395" s="2"/>
      <c r="B3395" s="11"/>
      <c r="C3395" s="26"/>
      <c r="L3395" s="65"/>
      <c r="M3395" s="71"/>
      <c r="N3395" s="65"/>
    </row>
    <row r="3396" spans="1:14" x14ac:dyDescent="0.25">
      <c r="A3396" s="2"/>
      <c r="B3396" s="11"/>
      <c r="C3396" s="26"/>
      <c r="L3396" s="65"/>
      <c r="M3396" s="71"/>
      <c r="N3396" s="65"/>
    </row>
    <row r="3397" spans="1:14" x14ac:dyDescent="0.25">
      <c r="A3397" s="2"/>
      <c r="B3397" s="11"/>
      <c r="C3397" s="26"/>
      <c r="L3397" s="65"/>
      <c r="M3397" s="71"/>
      <c r="N3397" s="65"/>
    </row>
    <row r="3398" spans="1:14" x14ac:dyDescent="0.25">
      <c r="A3398" s="2"/>
      <c r="B3398" s="11"/>
      <c r="C3398" s="26"/>
      <c r="L3398" s="65"/>
      <c r="M3398" s="71"/>
      <c r="N3398" s="65"/>
    </row>
    <row r="3399" spans="1:14" x14ac:dyDescent="0.25">
      <c r="A3399" s="2"/>
      <c r="B3399" s="11"/>
      <c r="C3399" s="26"/>
      <c r="L3399" s="65"/>
      <c r="M3399" s="71"/>
      <c r="N3399" s="65"/>
    </row>
    <row r="3400" spans="1:14" x14ac:dyDescent="0.25">
      <c r="A3400" s="2"/>
      <c r="B3400" s="11"/>
      <c r="C3400" s="26"/>
      <c r="L3400" s="65"/>
      <c r="M3400" s="71"/>
      <c r="N3400" s="65"/>
    </row>
    <row r="3401" spans="1:14" x14ac:dyDescent="0.25">
      <c r="A3401" s="2"/>
      <c r="B3401" s="11"/>
      <c r="C3401" s="26"/>
      <c r="L3401" s="65"/>
      <c r="M3401" s="71"/>
      <c r="N3401" s="65"/>
    </row>
    <row r="3402" spans="1:14" x14ac:dyDescent="0.25">
      <c r="A3402" s="2"/>
      <c r="B3402" s="11"/>
      <c r="C3402" s="26"/>
      <c r="L3402" s="65"/>
      <c r="M3402" s="71"/>
      <c r="N3402" s="65"/>
    </row>
    <row r="3403" spans="1:14" x14ac:dyDescent="0.25">
      <c r="A3403" s="2"/>
      <c r="B3403" s="11"/>
      <c r="C3403" s="26"/>
      <c r="L3403" s="65"/>
      <c r="M3403" s="71"/>
      <c r="N3403" s="65"/>
    </row>
    <row r="3404" spans="1:14" x14ac:dyDescent="0.25">
      <c r="A3404" s="2"/>
      <c r="B3404" s="11"/>
      <c r="C3404" s="26"/>
      <c r="L3404" s="65"/>
      <c r="M3404" s="71"/>
      <c r="N3404" s="65"/>
    </row>
    <row r="3405" spans="1:14" x14ac:dyDescent="0.25">
      <c r="A3405" s="2"/>
      <c r="B3405" s="11"/>
      <c r="C3405" s="26"/>
      <c r="L3405" s="65"/>
      <c r="M3405" s="71"/>
      <c r="N3405" s="65"/>
    </row>
    <row r="3406" spans="1:14" x14ac:dyDescent="0.25">
      <c r="A3406" s="2"/>
      <c r="B3406" s="11"/>
      <c r="C3406" s="26"/>
      <c r="L3406" s="65"/>
      <c r="M3406" s="71"/>
      <c r="N3406" s="65"/>
    </row>
    <row r="3407" spans="1:14" x14ac:dyDescent="0.25">
      <c r="A3407" s="2"/>
      <c r="B3407" s="11"/>
      <c r="C3407" s="26"/>
      <c r="L3407" s="65"/>
      <c r="M3407" s="71"/>
      <c r="N3407" s="65"/>
    </row>
    <row r="3408" spans="1:14" x14ac:dyDescent="0.25">
      <c r="A3408" s="2"/>
      <c r="B3408" s="11"/>
      <c r="C3408" s="26"/>
      <c r="L3408" s="65"/>
      <c r="M3408" s="71"/>
      <c r="N3408" s="65"/>
    </row>
    <row r="3409" spans="1:14" x14ac:dyDescent="0.25">
      <c r="A3409" s="2"/>
      <c r="B3409" s="11"/>
      <c r="C3409" s="26"/>
      <c r="L3409" s="65"/>
      <c r="M3409" s="71"/>
      <c r="N3409" s="65"/>
    </row>
    <row r="3410" spans="1:14" x14ac:dyDescent="0.25">
      <c r="A3410" s="2"/>
      <c r="B3410" s="11"/>
      <c r="C3410" s="26"/>
      <c r="L3410" s="65"/>
      <c r="M3410" s="71"/>
      <c r="N3410" s="65"/>
    </row>
    <row r="3411" spans="1:14" x14ac:dyDescent="0.25">
      <c r="A3411" s="2"/>
      <c r="B3411" s="11"/>
      <c r="C3411" s="26"/>
      <c r="L3411" s="65"/>
      <c r="M3411" s="71"/>
      <c r="N3411" s="65"/>
    </row>
    <row r="3412" spans="1:14" x14ac:dyDescent="0.25">
      <c r="A3412" s="2"/>
      <c r="B3412" s="11"/>
      <c r="C3412" s="26"/>
      <c r="L3412" s="65"/>
      <c r="M3412" s="71"/>
      <c r="N3412" s="65"/>
    </row>
    <row r="3413" spans="1:14" x14ac:dyDescent="0.25">
      <c r="A3413" s="2"/>
      <c r="B3413" s="11"/>
      <c r="C3413" s="26"/>
      <c r="L3413" s="65"/>
      <c r="M3413" s="71"/>
      <c r="N3413" s="65"/>
    </row>
    <row r="3414" spans="1:14" x14ac:dyDescent="0.25">
      <c r="A3414" s="2"/>
      <c r="B3414" s="11"/>
      <c r="C3414" s="26"/>
      <c r="L3414" s="65"/>
      <c r="M3414" s="71"/>
      <c r="N3414" s="65"/>
    </row>
    <row r="3415" spans="1:14" x14ac:dyDescent="0.25">
      <c r="A3415" s="2"/>
      <c r="B3415" s="11"/>
      <c r="C3415" s="26"/>
      <c r="L3415" s="65"/>
      <c r="M3415" s="71"/>
      <c r="N3415" s="65"/>
    </row>
    <row r="3416" spans="1:14" x14ac:dyDescent="0.25">
      <c r="A3416" s="2"/>
      <c r="B3416" s="11"/>
      <c r="C3416" s="26"/>
      <c r="L3416" s="65"/>
      <c r="M3416" s="71"/>
      <c r="N3416" s="65"/>
    </row>
    <row r="3417" spans="1:14" x14ac:dyDescent="0.25">
      <c r="A3417" s="2"/>
      <c r="B3417" s="11"/>
      <c r="C3417" s="26"/>
      <c r="L3417" s="65"/>
      <c r="M3417" s="71"/>
      <c r="N3417" s="65"/>
    </row>
    <row r="3418" spans="1:14" x14ac:dyDescent="0.25">
      <c r="A3418" s="2"/>
      <c r="B3418" s="11"/>
      <c r="C3418" s="26"/>
      <c r="L3418" s="65"/>
      <c r="M3418" s="71"/>
      <c r="N3418" s="65"/>
    </row>
    <row r="3419" spans="1:14" x14ac:dyDescent="0.25">
      <c r="A3419" s="2"/>
      <c r="B3419" s="11"/>
      <c r="C3419" s="26"/>
      <c r="L3419" s="65"/>
      <c r="M3419" s="71"/>
      <c r="N3419" s="65"/>
    </row>
    <row r="3420" spans="1:14" x14ac:dyDescent="0.25">
      <c r="A3420" s="2"/>
      <c r="B3420" s="11"/>
      <c r="C3420" s="26"/>
      <c r="L3420" s="65"/>
      <c r="M3420" s="71"/>
      <c r="N3420" s="65"/>
    </row>
    <row r="3421" spans="1:14" x14ac:dyDescent="0.25">
      <c r="A3421" s="2"/>
      <c r="B3421" s="11"/>
      <c r="C3421" s="26"/>
      <c r="L3421" s="65"/>
      <c r="M3421" s="71"/>
      <c r="N3421" s="65"/>
    </row>
    <row r="3422" spans="1:14" x14ac:dyDescent="0.25">
      <c r="A3422" s="2"/>
      <c r="B3422" s="11"/>
      <c r="C3422" s="26"/>
      <c r="L3422" s="65"/>
      <c r="M3422" s="71"/>
      <c r="N3422" s="65"/>
    </row>
    <row r="3423" spans="1:14" x14ac:dyDescent="0.25">
      <c r="A3423" s="2"/>
      <c r="B3423" s="11"/>
      <c r="C3423" s="26"/>
      <c r="L3423" s="65"/>
      <c r="M3423" s="71"/>
      <c r="N3423" s="65"/>
    </row>
    <row r="3424" spans="1:14" x14ac:dyDescent="0.25">
      <c r="A3424" s="2"/>
      <c r="B3424" s="11"/>
      <c r="C3424" s="26"/>
      <c r="L3424" s="65"/>
      <c r="M3424" s="71"/>
      <c r="N3424" s="65"/>
    </row>
    <row r="3425" spans="1:14" x14ac:dyDescent="0.25">
      <c r="A3425" s="2"/>
      <c r="B3425" s="11"/>
      <c r="C3425" s="26"/>
      <c r="L3425" s="65"/>
      <c r="M3425" s="71"/>
      <c r="N3425" s="65"/>
    </row>
    <row r="3426" spans="1:14" x14ac:dyDescent="0.25">
      <c r="A3426" s="2"/>
      <c r="B3426" s="11"/>
      <c r="C3426" s="26"/>
      <c r="L3426" s="65"/>
      <c r="M3426" s="71"/>
      <c r="N3426" s="65"/>
    </row>
    <row r="3427" spans="1:14" x14ac:dyDescent="0.25">
      <c r="A3427" s="2"/>
      <c r="B3427" s="11"/>
      <c r="C3427" s="26"/>
      <c r="L3427" s="65"/>
      <c r="M3427" s="71"/>
      <c r="N3427" s="65"/>
    </row>
    <row r="3428" spans="1:14" x14ac:dyDescent="0.25">
      <c r="A3428" s="2"/>
      <c r="B3428" s="11"/>
      <c r="C3428" s="26"/>
      <c r="L3428" s="65"/>
      <c r="M3428" s="71"/>
      <c r="N3428" s="65"/>
    </row>
    <row r="3429" spans="1:14" x14ac:dyDescent="0.25">
      <c r="A3429" s="2"/>
      <c r="B3429" s="11"/>
      <c r="C3429" s="26"/>
      <c r="L3429" s="65"/>
      <c r="M3429" s="71"/>
      <c r="N3429" s="65"/>
    </row>
    <row r="3430" spans="1:14" x14ac:dyDescent="0.25">
      <c r="A3430" s="2"/>
      <c r="B3430" s="11"/>
      <c r="C3430" s="26"/>
      <c r="L3430" s="65"/>
      <c r="M3430" s="71"/>
      <c r="N3430" s="65"/>
    </row>
    <row r="3431" spans="1:14" x14ac:dyDescent="0.25">
      <c r="A3431" s="2"/>
      <c r="B3431" s="11"/>
      <c r="C3431" s="26"/>
      <c r="L3431" s="65"/>
      <c r="M3431" s="71"/>
      <c r="N3431" s="65"/>
    </row>
    <row r="3432" spans="1:14" x14ac:dyDescent="0.25">
      <c r="A3432" s="2"/>
      <c r="B3432" s="11"/>
      <c r="C3432" s="26"/>
      <c r="L3432" s="65"/>
      <c r="M3432" s="71"/>
      <c r="N3432" s="65"/>
    </row>
    <row r="3433" spans="1:14" x14ac:dyDescent="0.25">
      <c r="A3433" s="2"/>
      <c r="B3433" s="11"/>
      <c r="C3433" s="26"/>
      <c r="L3433" s="65"/>
      <c r="M3433" s="71"/>
      <c r="N3433" s="65"/>
    </row>
    <row r="3434" spans="1:14" x14ac:dyDescent="0.25">
      <c r="A3434" s="2"/>
      <c r="B3434" s="11"/>
      <c r="C3434" s="26"/>
      <c r="L3434" s="65"/>
      <c r="M3434" s="71"/>
      <c r="N3434" s="65"/>
    </row>
    <row r="3435" spans="1:14" x14ac:dyDescent="0.25">
      <c r="A3435" s="2"/>
      <c r="B3435" s="11"/>
      <c r="C3435" s="26"/>
      <c r="L3435" s="65"/>
      <c r="M3435" s="71"/>
      <c r="N3435" s="65"/>
    </row>
    <row r="3436" spans="1:14" x14ac:dyDescent="0.25">
      <c r="A3436" s="2"/>
      <c r="B3436" s="11"/>
      <c r="C3436" s="26"/>
      <c r="L3436" s="65"/>
      <c r="M3436" s="71"/>
      <c r="N3436" s="65"/>
    </row>
    <row r="3437" spans="1:14" x14ac:dyDescent="0.25">
      <c r="A3437" s="2"/>
      <c r="B3437" s="11"/>
      <c r="C3437" s="26"/>
      <c r="L3437" s="65"/>
      <c r="M3437" s="71"/>
      <c r="N3437" s="65"/>
    </row>
    <row r="3438" spans="1:14" x14ac:dyDescent="0.25">
      <c r="A3438" s="2"/>
      <c r="B3438" s="11"/>
      <c r="C3438" s="26"/>
      <c r="L3438" s="65"/>
      <c r="M3438" s="71"/>
      <c r="N3438" s="65"/>
    </row>
    <row r="3439" spans="1:14" x14ac:dyDescent="0.25">
      <c r="A3439" s="2"/>
      <c r="B3439" s="11"/>
      <c r="C3439" s="26"/>
      <c r="L3439" s="65"/>
      <c r="M3439" s="71"/>
      <c r="N3439" s="65"/>
    </row>
    <row r="3440" spans="1:14" x14ac:dyDescent="0.25">
      <c r="A3440" s="2"/>
      <c r="B3440" s="11"/>
      <c r="C3440" s="26"/>
      <c r="L3440" s="65"/>
      <c r="M3440" s="71"/>
      <c r="N3440" s="65"/>
    </row>
    <row r="3441" spans="1:14" x14ac:dyDescent="0.25">
      <c r="A3441" s="2"/>
      <c r="B3441" s="11"/>
      <c r="C3441" s="26"/>
      <c r="L3441" s="65"/>
      <c r="M3441" s="71"/>
      <c r="N3441" s="65"/>
    </row>
    <row r="3442" spans="1:14" x14ac:dyDescent="0.25">
      <c r="A3442" s="2"/>
      <c r="B3442" s="11"/>
      <c r="C3442" s="26"/>
      <c r="L3442" s="65"/>
      <c r="M3442" s="71"/>
      <c r="N3442" s="65"/>
    </row>
    <row r="3443" spans="1:14" x14ac:dyDescent="0.25">
      <c r="A3443" s="2"/>
      <c r="B3443" s="11"/>
      <c r="C3443" s="26"/>
      <c r="L3443" s="65"/>
      <c r="M3443" s="71"/>
      <c r="N3443" s="65"/>
    </row>
    <row r="3444" spans="1:14" x14ac:dyDescent="0.25">
      <c r="A3444" s="2"/>
      <c r="B3444" s="11"/>
      <c r="C3444" s="26"/>
      <c r="L3444" s="65"/>
      <c r="M3444" s="71"/>
      <c r="N3444" s="65"/>
    </row>
    <row r="3445" spans="1:14" x14ac:dyDescent="0.25">
      <c r="A3445" s="2"/>
      <c r="B3445" s="11"/>
      <c r="C3445" s="26"/>
      <c r="L3445" s="65"/>
      <c r="M3445" s="71"/>
      <c r="N3445" s="65"/>
    </row>
    <row r="3446" spans="1:14" x14ac:dyDescent="0.25">
      <c r="A3446" s="2"/>
      <c r="B3446" s="11"/>
      <c r="C3446" s="26"/>
      <c r="L3446" s="65"/>
      <c r="M3446" s="71"/>
      <c r="N3446" s="65"/>
    </row>
    <row r="3447" spans="1:14" x14ac:dyDescent="0.25">
      <c r="A3447" s="2"/>
      <c r="B3447" s="11"/>
      <c r="C3447" s="26"/>
      <c r="L3447" s="65"/>
      <c r="M3447" s="71"/>
      <c r="N3447" s="65"/>
    </row>
    <row r="3448" spans="1:14" x14ac:dyDescent="0.25">
      <c r="A3448" s="2"/>
      <c r="B3448" s="11"/>
      <c r="C3448" s="26"/>
      <c r="L3448" s="65"/>
      <c r="M3448" s="71"/>
      <c r="N3448" s="65"/>
    </row>
    <row r="3449" spans="1:14" x14ac:dyDescent="0.25">
      <c r="A3449" s="2"/>
      <c r="B3449" s="11"/>
      <c r="C3449" s="26"/>
      <c r="L3449" s="65"/>
      <c r="M3449" s="71"/>
      <c r="N3449" s="65"/>
    </row>
    <row r="3450" spans="1:14" x14ac:dyDescent="0.25">
      <c r="A3450" s="2"/>
      <c r="B3450" s="11"/>
      <c r="C3450" s="26"/>
      <c r="L3450" s="65"/>
      <c r="M3450" s="71"/>
      <c r="N3450" s="65"/>
    </row>
    <row r="3451" spans="1:14" x14ac:dyDescent="0.25">
      <c r="A3451" s="2"/>
      <c r="B3451" s="11"/>
      <c r="C3451" s="26"/>
      <c r="L3451" s="65"/>
      <c r="M3451" s="71"/>
      <c r="N3451" s="65"/>
    </row>
    <row r="3452" spans="1:14" x14ac:dyDescent="0.25">
      <c r="A3452" s="2"/>
      <c r="B3452" s="11"/>
      <c r="C3452" s="26"/>
      <c r="L3452" s="65"/>
      <c r="M3452" s="71"/>
      <c r="N3452" s="65"/>
    </row>
    <row r="3453" spans="1:14" x14ac:dyDescent="0.25">
      <c r="A3453" s="2"/>
      <c r="B3453" s="11"/>
      <c r="C3453" s="26"/>
      <c r="L3453" s="65"/>
      <c r="M3453" s="71"/>
      <c r="N3453" s="65"/>
    </row>
    <row r="3454" spans="1:14" x14ac:dyDescent="0.25">
      <c r="A3454" s="2"/>
      <c r="B3454" s="11"/>
      <c r="C3454" s="26"/>
      <c r="L3454" s="65"/>
      <c r="M3454" s="71"/>
      <c r="N3454" s="65"/>
    </row>
    <row r="3455" spans="1:14" x14ac:dyDescent="0.25">
      <c r="A3455" s="2"/>
      <c r="B3455" s="11"/>
      <c r="C3455" s="26"/>
      <c r="L3455" s="65"/>
      <c r="M3455" s="71"/>
      <c r="N3455" s="65"/>
    </row>
    <row r="3456" spans="1:14" x14ac:dyDescent="0.25">
      <c r="A3456" s="2"/>
      <c r="B3456" s="11"/>
      <c r="C3456" s="26"/>
      <c r="L3456" s="65"/>
      <c r="M3456" s="71"/>
      <c r="N3456" s="65"/>
    </row>
    <row r="3457" spans="1:14" x14ac:dyDescent="0.25">
      <c r="A3457" s="2"/>
      <c r="B3457" s="11"/>
      <c r="C3457" s="26"/>
      <c r="L3457" s="65"/>
      <c r="M3457" s="71"/>
      <c r="N3457" s="65"/>
    </row>
    <row r="3458" spans="1:14" x14ac:dyDescent="0.25">
      <c r="A3458" s="2"/>
      <c r="B3458" s="11"/>
      <c r="C3458" s="26"/>
      <c r="L3458" s="65"/>
      <c r="M3458" s="71"/>
      <c r="N3458" s="65"/>
    </row>
    <row r="3459" spans="1:14" x14ac:dyDescent="0.25">
      <c r="A3459" s="2"/>
      <c r="B3459" s="11"/>
      <c r="C3459" s="26"/>
      <c r="L3459" s="65"/>
      <c r="M3459" s="71"/>
      <c r="N3459" s="65"/>
    </row>
    <row r="3460" spans="1:14" x14ac:dyDescent="0.25">
      <c r="A3460" s="2"/>
      <c r="B3460" s="11"/>
      <c r="C3460" s="26"/>
      <c r="L3460" s="65"/>
      <c r="M3460" s="71"/>
      <c r="N3460" s="65"/>
    </row>
    <row r="3461" spans="1:14" x14ac:dyDescent="0.25">
      <c r="A3461" s="2"/>
      <c r="B3461" s="11"/>
      <c r="C3461" s="26"/>
      <c r="L3461" s="65"/>
      <c r="M3461" s="71"/>
      <c r="N3461" s="65"/>
    </row>
    <row r="3462" spans="1:14" x14ac:dyDescent="0.25">
      <c r="A3462" s="2"/>
      <c r="B3462" s="11"/>
      <c r="C3462" s="26"/>
      <c r="L3462" s="65"/>
      <c r="M3462" s="71"/>
      <c r="N3462" s="65"/>
    </row>
    <row r="3463" spans="1:14" x14ac:dyDescent="0.25">
      <c r="A3463" s="2"/>
      <c r="B3463" s="11"/>
      <c r="C3463" s="26"/>
      <c r="L3463" s="65"/>
      <c r="M3463" s="71"/>
      <c r="N3463" s="65"/>
    </row>
    <row r="3464" spans="1:14" x14ac:dyDescent="0.25">
      <c r="A3464" s="2"/>
      <c r="B3464" s="11"/>
      <c r="C3464" s="26"/>
      <c r="L3464" s="65"/>
      <c r="M3464" s="71"/>
      <c r="N3464" s="65"/>
    </row>
    <row r="3465" spans="1:14" x14ac:dyDescent="0.25">
      <c r="A3465" s="2"/>
      <c r="B3465" s="11"/>
      <c r="C3465" s="26"/>
      <c r="L3465" s="65"/>
      <c r="M3465" s="71"/>
      <c r="N3465" s="65"/>
    </row>
    <row r="3466" spans="1:14" x14ac:dyDescent="0.25">
      <c r="A3466" s="2"/>
      <c r="B3466" s="11"/>
      <c r="C3466" s="26"/>
      <c r="L3466" s="65"/>
      <c r="M3466" s="71"/>
      <c r="N3466" s="65"/>
    </row>
    <row r="3467" spans="1:14" x14ac:dyDescent="0.25">
      <c r="A3467" s="2"/>
      <c r="B3467" s="11"/>
      <c r="C3467" s="26"/>
      <c r="L3467" s="65"/>
      <c r="M3467" s="71"/>
      <c r="N3467" s="65"/>
    </row>
    <row r="3468" spans="1:14" x14ac:dyDescent="0.25">
      <c r="A3468" s="2"/>
      <c r="B3468" s="11"/>
      <c r="C3468" s="26"/>
      <c r="L3468" s="65"/>
      <c r="M3468" s="71"/>
      <c r="N3468" s="65"/>
    </row>
    <row r="3469" spans="1:14" x14ac:dyDescent="0.25">
      <c r="A3469" s="2"/>
      <c r="B3469" s="11"/>
      <c r="C3469" s="26"/>
      <c r="L3469" s="65"/>
      <c r="M3469" s="71"/>
      <c r="N3469" s="65"/>
    </row>
    <row r="3470" spans="1:14" x14ac:dyDescent="0.25">
      <c r="A3470" s="2"/>
      <c r="B3470" s="11"/>
      <c r="C3470" s="26"/>
      <c r="L3470" s="65"/>
      <c r="M3470" s="71"/>
      <c r="N3470" s="65"/>
    </row>
    <row r="3471" spans="1:14" x14ac:dyDescent="0.25">
      <c r="A3471" s="2"/>
      <c r="B3471" s="11"/>
      <c r="C3471" s="26"/>
      <c r="L3471" s="65"/>
      <c r="M3471" s="71"/>
      <c r="N3471" s="65"/>
    </row>
    <row r="3472" spans="1:14" x14ac:dyDescent="0.25">
      <c r="A3472" s="2"/>
      <c r="B3472" s="11"/>
      <c r="C3472" s="26"/>
      <c r="L3472" s="65"/>
      <c r="M3472" s="71"/>
      <c r="N3472" s="65"/>
    </row>
    <row r="3473" spans="1:14" x14ac:dyDescent="0.25">
      <c r="A3473" s="2"/>
      <c r="B3473" s="11"/>
      <c r="C3473" s="26"/>
      <c r="L3473" s="65"/>
      <c r="M3473" s="71"/>
      <c r="N3473" s="65"/>
    </row>
    <row r="3474" spans="1:14" x14ac:dyDescent="0.25">
      <c r="A3474" s="2"/>
      <c r="B3474" s="11"/>
      <c r="C3474" s="26"/>
      <c r="L3474" s="65"/>
      <c r="M3474" s="71"/>
      <c r="N3474" s="65"/>
    </row>
    <row r="3475" spans="1:14" x14ac:dyDescent="0.25">
      <c r="A3475" s="2"/>
      <c r="B3475" s="11"/>
      <c r="C3475" s="26"/>
      <c r="L3475" s="65"/>
      <c r="M3475" s="71"/>
      <c r="N3475" s="65"/>
    </row>
    <row r="3476" spans="1:14" x14ac:dyDescent="0.25">
      <c r="A3476" s="2"/>
      <c r="B3476" s="11"/>
      <c r="C3476" s="26"/>
      <c r="L3476" s="65"/>
      <c r="M3476" s="71"/>
      <c r="N3476" s="65"/>
    </row>
    <row r="3477" spans="1:14" x14ac:dyDescent="0.25">
      <c r="A3477" s="2"/>
      <c r="B3477" s="11"/>
      <c r="C3477" s="26"/>
      <c r="L3477" s="65"/>
      <c r="M3477" s="71"/>
      <c r="N3477" s="65"/>
    </row>
    <row r="3478" spans="1:14" x14ac:dyDescent="0.25">
      <c r="A3478" s="2"/>
      <c r="B3478" s="11"/>
      <c r="C3478" s="26"/>
      <c r="L3478" s="65"/>
      <c r="M3478" s="71"/>
      <c r="N3478" s="65"/>
    </row>
    <row r="3479" spans="1:14" x14ac:dyDescent="0.25">
      <c r="A3479" s="2"/>
      <c r="B3479" s="11"/>
      <c r="C3479" s="26"/>
      <c r="L3479" s="65"/>
      <c r="M3479" s="71"/>
      <c r="N3479" s="65"/>
    </row>
    <row r="3480" spans="1:14" x14ac:dyDescent="0.25">
      <c r="A3480" s="2"/>
      <c r="B3480" s="11"/>
      <c r="C3480" s="26"/>
      <c r="L3480" s="65"/>
      <c r="M3480" s="71"/>
      <c r="N3480" s="65"/>
    </row>
    <row r="3481" spans="1:14" x14ac:dyDescent="0.25">
      <c r="A3481" s="2"/>
      <c r="B3481" s="11"/>
      <c r="C3481" s="26"/>
      <c r="L3481" s="65"/>
      <c r="M3481" s="71"/>
      <c r="N3481" s="65"/>
    </row>
    <row r="3482" spans="1:14" x14ac:dyDescent="0.25">
      <c r="A3482" s="2"/>
      <c r="B3482" s="11"/>
      <c r="C3482" s="26"/>
      <c r="L3482" s="65"/>
      <c r="M3482" s="71"/>
      <c r="N3482" s="65"/>
    </row>
    <row r="3483" spans="1:14" x14ac:dyDescent="0.25">
      <c r="A3483" s="2"/>
      <c r="B3483" s="11"/>
      <c r="C3483" s="26"/>
      <c r="L3483" s="65"/>
      <c r="M3483" s="71"/>
      <c r="N3483" s="65"/>
    </row>
    <row r="3484" spans="1:14" x14ac:dyDescent="0.25">
      <c r="A3484" s="2"/>
      <c r="B3484" s="11"/>
      <c r="C3484" s="26"/>
      <c r="L3484" s="65"/>
      <c r="M3484" s="71"/>
      <c r="N3484" s="65"/>
    </row>
    <row r="3485" spans="1:14" x14ac:dyDescent="0.25">
      <c r="A3485" s="2"/>
      <c r="B3485" s="11"/>
      <c r="C3485" s="26"/>
      <c r="L3485" s="65"/>
      <c r="M3485" s="71"/>
      <c r="N3485" s="65"/>
    </row>
    <row r="3486" spans="1:14" x14ac:dyDescent="0.25">
      <c r="A3486" s="2"/>
      <c r="B3486" s="11"/>
      <c r="C3486" s="26"/>
      <c r="L3486" s="65"/>
      <c r="M3486" s="71"/>
      <c r="N3486" s="65"/>
    </row>
    <row r="3487" spans="1:14" x14ac:dyDescent="0.25">
      <c r="A3487" s="2"/>
      <c r="B3487" s="11"/>
      <c r="C3487" s="26"/>
      <c r="L3487" s="65"/>
      <c r="M3487" s="71"/>
      <c r="N3487" s="65"/>
    </row>
    <row r="3488" spans="1:14" x14ac:dyDescent="0.25">
      <c r="A3488" s="2"/>
      <c r="B3488" s="11"/>
      <c r="C3488" s="26"/>
      <c r="L3488" s="65"/>
      <c r="M3488" s="71"/>
      <c r="N3488" s="65"/>
    </row>
    <row r="3489" spans="1:14" x14ac:dyDescent="0.25">
      <c r="A3489" s="2"/>
      <c r="B3489" s="11"/>
      <c r="C3489" s="26"/>
      <c r="L3489" s="65"/>
      <c r="M3489" s="71"/>
      <c r="N3489" s="65"/>
    </row>
    <row r="3490" spans="1:14" x14ac:dyDescent="0.25">
      <c r="A3490" s="2"/>
      <c r="B3490" s="11"/>
      <c r="C3490" s="26"/>
      <c r="L3490" s="65"/>
      <c r="M3490" s="71"/>
      <c r="N3490" s="65"/>
    </row>
    <row r="3491" spans="1:14" x14ac:dyDescent="0.25">
      <c r="A3491" s="2"/>
      <c r="B3491" s="11"/>
      <c r="C3491" s="26"/>
      <c r="L3491" s="65"/>
      <c r="M3491" s="71"/>
      <c r="N3491" s="65"/>
    </row>
    <row r="3492" spans="1:14" x14ac:dyDescent="0.25">
      <c r="A3492" s="2"/>
      <c r="B3492" s="11"/>
      <c r="C3492" s="26"/>
      <c r="L3492" s="65"/>
      <c r="M3492" s="71"/>
      <c r="N3492" s="65"/>
    </row>
    <row r="3493" spans="1:14" x14ac:dyDescent="0.25">
      <c r="A3493" s="2"/>
      <c r="B3493" s="11"/>
      <c r="C3493" s="26"/>
      <c r="L3493" s="65"/>
      <c r="M3493" s="71"/>
      <c r="N3493" s="65"/>
    </row>
    <row r="3494" spans="1:14" x14ac:dyDescent="0.25">
      <c r="A3494" s="2"/>
      <c r="B3494" s="11"/>
      <c r="C3494" s="26"/>
      <c r="L3494" s="65"/>
      <c r="M3494" s="71"/>
      <c r="N3494" s="65"/>
    </row>
    <row r="3495" spans="1:14" x14ac:dyDescent="0.25">
      <c r="A3495" s="2"/>
      <c r="B3495" s="11"/>
      <c r="C3495" s="26"/>
      <c r="L3495" s="65"/>
      <c r="M3495" s="71"/>
      <c r="N3495" s="65"/>
    </row>
    <row r="3496" spans="1:14" x14ac:dyDescent="0.25">
      <c r="A3496" s="2"/>
      <c r="B3496" s="11"/>
      <c r="C3496" s="26"/>
      <c r="L3496" s="65"/>
      <c r="M3496" s="71"/>
      <c r="N3496" s="65"/>
    </row>
    <row r="3497" spans="1:14" x14ac:dyDescent="0.25">
      <c r="A3497" s="2"/>
      <c r="B3497" s="11"/>
      <c r="C3497" s="26"/>
      <c r="L3497" s="65"/>
      <c r="M3497" s="71"/>
      <c r="N3497" s="65"/>
    </row>
    <row r="3498" spans="1:14" x14ac:dyDescent="0.25">
      <c r="A3498" s="2"/>
      <c r="B3498" s="11"/>
      <c r="C3498" s="26"/>
      <c r="L3498" s="65"/>
      <c r="M3498" s="71"/>
      <c r="N3498" s="65"/>
    </row>
    <row r="3499" spans="1:14" x14ac:dyDescent="0.25">
      <c r="A3499" s="2"/>
      <c r="B3499" s="11"/>
      <c r="C3499" s="26"/>
      <c r="L3499" s="65"/>
      <c r="M3499" s="71"/>
      <c r="N3499" s="65"/>
    </row>
    <row r="3500" spans="1:14" x14ac:dyDescent="0.25">
      <c r="A3500" s="2"/>
      <c r="B3500" s="11"/>
      <c r="C3500" s="26"/>
      <c r="L3500" s="65"/>
      <c r="M3500" s="71"/>
      <c r="N3500" s="65"/>
    </row>
    <row r="3501" spans="1:14" x14ac:dyDescent="0.25">
      <c r="A3501" s="2"/>
      <c r="B3501" s="11"/>
      <c r="C3501" s="26"/>
      <c r="L3501" s="65"/>
      <c r="M3501" s="71"/>
      <c r="N3501" s="65"/>
    </row>
    <row r="3502" spans="1:14" x14ac:dyDescent="0.25">
      <c r="A3502" s="2"/>
      <c r="B3502" s="11"/>
      <c r="C3502" s="26"/>
      <c r="L3502" s="65"/>
      <c r="M3502" s="71"/>
      <c r="N3502" s="65"/>
    </row>
    <row r="3503" spans="1:14" x14ac:dyDescent="0.25">
      <c r="A3503" s="2"/>
      <c r="B3503" s="11"/>
      <c r="C3503" s="26"/>
      <c r="L3503" s="65"/>
      <c r="M3503" s="71"/>
      <c r="N3503" s="65"/>
    </row>
    <row r="3504" spans="1:14" x14ac:dyDescent="0.25">
      <c r="A3504" s="2"/>
      <c r="B3504" s="11"/>
      <c r="C3504" s="26"/>
      <c r="L3504" s="65"/>
      <c r="M3504" s="71"/>
      <c r="N3504" s="65"/>
    </row>
    <row r="3505" spans="1:14" x14ac:dyDescent="0.25">
      <c r="A3505" s="2"/>
      <c r="B3505" s="11"/>
      <c r="C3505" s="26"/>
      <c r="L3505" s="65"/>
      <c r="M3505" s="71"/>
      <c r="N3505" s="65"/>
    </row>
    <row r="3506" spans="1:14" x14ac:dyDescent="0.25">
      <c r="A3506" s="2"/>
      <c r="B3506" s="11"/>
      <c r="C3506" s="26"/>
      <c r="L3506" s="65"/>
      <c r="M3506" s="71"/>
      <c r="N3506" s="65"/>
    </row>
    <row r="3507" spans="1:14" x14ac:dyDescent="0.25">
      <c r="A3507" s="2"/>
      <c r="B3507" s="11"/>
      <c r="C3507" s="26"/>
      <c r="L3507" s="65"/>
      <c r="M3507" s="71"/>
      <c r="N3507" s="65"/>
    </row>
    <row r="3508" spans="1:14" x14ac:dyDescent="0.25">
      <c r="A3508" s="2"/>
      <c r="B3508" s="11"/>
      <c r="C3508" s="26"/>
      <c r="L3508" s="65"/>
      <c r="M3508" s="71"/>
      <c r="N3508" s="65"/>
    </row>
    <row r="3509" spans="1:14" x14ac:dyDescent="0.25">
      <c r="A3509" s="2"/>
      <c r="B3509" s="11"/>
      <c r="C3509" s="26"/>
      <c r="L3509" s="65"/>
      <c r="M3509" s="71"/>
      <c r="N3509" s="65"/>
    </row>
    <row r="3510" spans="1:14" x14ac:dyDescent="0.25">
      <c r="A3510" s="2"/>
      <c r="B3510" s="11"/>
      <c r="C3510" s="26"/>
      <c r="L3510" s="65"/>
      <c r="M3510" s="71"/>
      <c r="N3510" s="65"/>
    </row>
    <row r="3511" spans="1:14" x14ac:dyDescent="0.25">
      <c r="A3511" s="2"/>
      <c r="B3511" s="11"/>
      <c r="C3511" s="26"/>
      <c r="L3511" s="65"/>
      <c r="M3511" s="71"/>
      <c r="N3511" s="65"/>
    </row>
    <row r="3512" spans="1:14" x14ac:dyDescent="0.25">
      <c r="A3512" s="2"/>
      <c r="B3512" s="11"/>
      <c r="C3512" s="26"/>
      <c r="L3512" s="65"/>
      <c r="M3512" s="71"/>
      <c r="N3512" s="65"/>
    </row>
    <row r="3513" spans="1:14" x14ac:dyDescent="0.25">
      <c r="A3513" s="2"/>
      <c r="B3513" s="11"/>
      <c r="C3513" s="26"/>
      <c r="L3513" s="65"/>
      <c r="M3513" s="71"/>
      <c r="N3513" s="65"/>
    </row>
    <row r="3514" spans="1:14" x14ac:dyDescent="0.25">
      <c r="A3514" s="2"/>
      <c r="B3514" s="11"/>
      <c r="C3514" s="26"/>
      <c r="L3514" s="65"/>
      <c r="M3514" s="71"/>
      <c r="N3514" s="65"/>
    </row>
    <row r="3515" spans="1:14" x14ac:dyDescent="0.25">
      <c r="A3515" s="2"/>
      <c r="B3515" s="11"/>
      <c r="C3515" s="26"/>
      <c r="L3515" s="65"/>
      <c r="M3515" s="71"/>
      <c r="N3515" s="65"/>
    </row>
    <row r="3516" spans="1:14" x14ac:dyDescent="0.25">
      <c r="A3516" s="2"/>
      <c r="B3516" s="11"/>
      <c r="C3516" s="26"/>
      <c r="L3516" s="65"/>
      <c r="M3516" s="71"/>
      <c r="N3516" s="65"/>
    </row>
    <row r="3517" spans="1:14" x14ac:dyDescent="0.25">
      <c r="A3517" s="2"/>
      <c r="B3517" s="11"/>
      <c r="C3517" s="26"/>
      <c r="L3517" s="65"/>
      <c r="M3517" s="71"/>
      <c r="N3517" s="65"/>
    </row>
    <row r="3518" spans="1:14" x14ac:dyDescent="0.25">
      <c r="A3518" s="2"/>
      <c r="B3518" s="11"/>
      <c r="C3518" s="26"/>
      <c r="L3518" s="65"/>
      <c r="M3518" s="71"/>
      <c r="N3518" s="65"/>
    </row>
    <row r="3519" spans="1:14" x14ac:dyDescent="0.25">
      <c r="A3519" s="2"/>
      <c r="B3519" s="11"/>
      <c r="C3519" s="26"/>
      <c r="L3519" s="65"/>
      <c r="M3519" s="71"/>
      <c r="N3519" s="65"/>
    </row>
    <row r="3520" spans="1:14" x14ac:dyDescent="0.25">
      <c r="A3520" s="2"/>
      <c r="B3520" s="11"/>
      <c r="C3520" s="26"/>
      <c r="L3520" s="65"/>
      <c r="M3520" s="71"/>
      <c r="N3520" s="65"/>
    </row>
    <row r="3521" spans="1:14" x14ac:dyDescent="0.25">
      <c r="A3521" s="2"/>
      <c r="B3521" s="11"/>
      <c r="C3521" s="26"/>
      <c r="L3521" s="65"/>
      <c r="M3521" s="71"/>
      <c r="N3521" s="65"/>
    </row>
    <row r="3522" spans="1:14" x14ac:dyDescent="0.25">
      <c r="A3522" s="2"/>
      <c r="B3522" s="11"/>
      <c r="C3522" s="26"/>
      <c r="L3522" s="65"/>
      <c r="M3522" s="71"/>
      <c r="N3522" s="65"/>
    </row>
    <row r="3523" spans="1:14" x14ac:dyDescent="0.25">
      <c r="A3523" s="2"/>
      <c r="B3523" s="11"/>
      <c r="C3523" s="26"/>
      <c r="L3523" s="65"/>
      <c r="M3523" s="71"/>
      <c r="N3523" s="65"/>
    </row>
    <row r="3524" spans="1:14" x14ac:dyDescent="0.25">
      <c r="A3524" s="2"/>
      <c r="B3524" s="11"/>
      <c r="C3524" s="26"/>
      <c r="L3524" s="65"/>
      <c r="M3524" s="71"/>
      <c r="N3524" s="65"/>
    </row>
    <row r="3525" spans="1:14" x14ac:dyDescent="0.25">
      <c r="A3525" s="2"/>
      <c r="B3525" s="11"/>
      <c r="C3525" s="26"/>
      <c r="L3525" s="65"/>
      <c r="M3525" s="71"/>
      <c r="N3525" s="65"/>
    </row>
    <row r="3526" spans="1:14" x14ac:dyDescent="0.25">
      <c r="A3526" s="2"/>
      <c r="B3526" s="11"/>
      <c r="C3526" s="26"/>
      <c r="L3526" s="65"/>
      <c r="M3526" s="71"/>
      <c r="N3526" s="65"/>
    </row>
    <row r="3527" spans="1:14" x14ac:dyDescent="0.25">
      <c r="A3527" s="2"/>
      <c r="B3527" s="11"/>
      <c r="C3527" s="26"/>
      <c r="L3527" s="65"/>
      <c r="M3527" s="71"/>
      <c r="N3527" s="65"/>
    </row>
    <row r="3528" spans="1:14" x14ac:dyDescent="0.25">
      <c r="A3528" s="2"/>
      <c r="B3528" s="11"/>
      <c r="C3528" s="26"/>
      <c r="L3528" s="65"/>
      <c r="M3528" s="71"/>
      <c r="N3528" s="65"/>
    </row>
    <row r="3529" spans="1:14" x14ac:dyDescent="0.25">
      <c r="A3529" s="2"/>
      <c r="B3529" s="11"/>
      <c r="C3529" s="26"/>
      <c r="L3529" s="65"/>
      <c r="M3529" s="71"/>
      <c r="N3529" s="65"/>
    </row>
    <row r="3530" spans="1:14" x14ac:dyDescent="0.25">
      <c r="A3530" s="2"/>
      <c r="B3530" s="11"/>
      <c r="C3530" s="26"/>
      <c r="L3530" s="65"/>
      <c r="M3530" s="71"/>
      <c r="N3530" s="65"/>
    </row>
    <row r="3531" spans="1:14" x14ac:dyDescent="0.25">
      <c r="A3531" s="2"/>
      <c r="B3531" s="11"/>
      <c r="C3531" s="26"/>
      <c r="L3531" s="65"/>
      <c r="M3531" s="71"/>
      <c r="N3531" s="65"/>
    </row>
    <row r="3532" spans="1:14" x14ac:dyDescent="0.25">
      <c r="A3532" s="2"/>
      <c r="B3532" s="11"/>
      <c r="C3532" s="26"/>
      <c r="L3532" s="65"/>
      <c r="M3532" s="71"/>
      <c r="N3532" s="65"/>
    </row>
    <row r="3533" spans="1:14" x14ac:dyDescent="0.25">
      <c r="A3533" s="2"/>
      <c r="B3533" s="11"/>
      <c r="C3533" s="26"/>
      <c r="L3533" s="65"/>
      <c r="M3533" s="71"/>
      <c r="N3533" s="65"/>
    </row>
    <row r="3534" spans="1:14" x14ac:dyDescent="0.25">
      <c r="A3534" s="2"/>
      <c r="B3534" s="11"/>
      <c r="C3534" s="26"/>
      <c r="L3534" s="65"/>
      <c r="M3534" s="71"/>
      <c r="N3534" s="65"/>
    </row>
    <row r="3535" spans="1:14" x14ac:dyDescent="0.25">
      <c r="A3535" s="2"/>
      <c r="B3535" s="11"/>
      <c r="C3535" s="26"/>
      <c r="L3535" s="65"/>
      <c r="M3535" s="71"/>
      <c r="N3535" s="65"/>
    </row>
    <row r="3536" spans="1:14" x14ac:dyDescent="0.25">
      <c r="A3536" s="2"/>
      <c r="B3536" s="11"/>
      <c r="C3536" s="26"/>
      <c r="L3536" s="65"/>
      <c r="M3536" s="71"/>
      <c r="N3536" s="65"/>
    </row>
    <row r="3537" spans="1:14" x14ac:dyDescent="0.25">
      <c r="A3537" s="2"/>
      <c r="B3537" s="11"/>
      <c r="C3537" s="26"/>
      <c r="L3537" s="65"/>
      <c r="M3537" s="71"/>
      <c r="N3537" s="65"/>
    </row>
    <row r="3538" spans="1:14" x14ac:dyDescent="0.25">
      <c r="A3538" s="2"/>
      <c r="B3538" s="11"/>
      <c r="C3538" s="26"/>
      <c r="L3538" s="65"/>
      <c r="M3538" s="71"/>
      <c r="N3538" s="65"/>
    </row>
    <row r="3539" spans="1:14" x14ac:dyDescent="0.25">
      <c r="A3539" s="2"/>
      <c r="B3539" s="11"/>
      <c r="C3539" s="26"/>
      <c r="L3539" s="65"/>
      <c r="M3539" s="71"/>
      <c r="N3539" s="65"/>
    </row>
    <row r="3540" spans="1:14" x14ac:dyDescent="0.25">
      <c r="A3540" s="2"/>
      <c r="B3540" s="11"/>
      <c r="C3540" s="26"/>
      <c r="L3540" s="65"/>
      <c r="M3540" s="71"/>
      <c r="N3540" s="65"/>
    </row>
    <row r="3541" spans="1:14" x14ac:dyDescent="0.25">
      <c r="A3541" s="2"/>
      <c r="B3541" s="11"/>
      <c r="C3541" s="26"/>
      <c r="L3541" s="65"/>
      <c r="M3541" s="71"/>
      <c r="N3541" s="65"/>
    </row>
    <row r="3542" spans="1:14" x14ac:dyDescent="0.25">
      <c r="A3542" s="2"/>
      <c r="B3542" s="11"/>
      <c r="C3542" s="26"/>
      <c r="L3542" s="65"/>
      <c r="M3542" s="71"/>
      <c r="N3542" s="65"/>
    </row>
    <row r="3543" spans="1:14" x14ac:dyDescent="0.25">
      <c r="A3543" s="2"/>
      <c r="B3543" s="11"/>
      <c r="C3543" s="26"/>
      <c r="L3543" s="65"/>
      <c r="M3543" s="71"/>
      <c r="N3543" s="65"/>
    </row>
    <row r="3544" spans="1:14" x14ac:dyDescent="0.25">
      <c r="A3544" s="2"/>
      <c r="B3544" s="11"/>
      <c r="C3544" s="26"/>
      <c r="L3544" s="65"/>
      <c r="M3544" s="71"/>
      <c r="N3544" s="65"/>
    </row>
    <row r="3545" spans="1:14" x14ac:dyDescent="0.25">
      <c r="A3545" s="2"/>
      <c r="B3545" s="11"/>
      <c r="C3545" s="26"/>
      <c r="L3545" s="65"/>
      <c r="M3545" s="71"/>
      <c r="N3545" s="65"/>
    </row>
    <row r="3546" spans="1:14" x14ac:dyDescent="0.25">
      <c r="A3546" s="2"/>
      <c r="B3546" s="11"/>
      <c r="C3546" s="26"/>
      <c r="L3546" s="65"/>
      <c r="M3546" s="71"/>
      <c r="N3546" s="65"/>
    </row>
    <row r="3547" spans="1:14" x14ac:dyDescent="0.25">
      <c r="A3547" s="2"/>
      <c r="B3547" s="11"/>
      <c r="C3547" s="26"/>
      <c r="L3547" s="65"/>
      <c r="M3547" s="71"/>
      <c r="N3547" s="65"/>
    </row>
    <row r="3548" spans="1:14" x14ac:dyDescent="0.25">
      <c r="A3548" s="2"/>
      <c r="B3548" s="11"/>
      <c r="C3548" s="26"/>
      <c r="L3548" s="65"/>
      <c r="M3548" s="71"/>
      <c r="N3548" s="65"/>
    </row>
    <row r="3549" spans="1:14" x14ac:dyDescent="0.25">
      <c r="A3549" s="2"/>
      <c r="B3549" s="11"/>
      <c r="C3549" s="26"/>
      <c r="L3549" s="65"/>
      <c r="M3549" s="71"/>
      <c r="N3549" s="65"/>
    </row>
    <row r="3550" spans="1:14" x14ac:dyDescent="0.25">
      <c r="A3550" s="2"/>
      <c r="B3550" s="11"/>
      <c r="C3550" s="26"/>
      <c r="L3550" s="65"/>
      <c r="M3550" s="71"/>
      <c r="N3550" s="65"/>
    </row>
    <row r="3551" spans="1:14" x14ac:dyDescent="0.25">
      <c r="A3551" s="2"/>
      <c r="B3551" s="11"/>
      <c r="C3551" s="26"/>
      <c r="L3551" s="65"/>
      <c r="M3551" s="71"/>
      <c r="N3551" s="65"/>
    </row>
    <row r="3552" spans="1:14" x14ac:dyDescent="0.25">
      <c r="A3552" s="2"/>
      <c r="B3552" s="11"/>
      <c r="C3552" s="26"/>
      <c r="L3552" s="65"/>
      <c r="M3552" s="71"/>
      <c r="N3552" s="65"/>
    </row>
    <row r="3553" spans="1:14" x14ac:dyDescent="0.25">
      <c r="A3553" s="2"/>
      <c r="B3553" s="11"/>
      <c r="C3553" s="26"/>
      <c r="L3553" s="65"/>
      <c r="M3553" s="71"/>
      <c r="N3553" s="65"/>
    </row>
    <row r="3554" spans="1:14" x14ac:dyDescent="0.25">
      <c r="A3554" s="2"/>
      <c r="B3554" s="11"/>
      <c r="C3554" s="26"/>
      <c r="L3554" s="65"/>
      <c r="M3554" s="71"/>
      <c r="N3554" s="65"/>
    </row>
    <row r="3555" spans="1:14" x14ac:dyDescent="0.25">
      <c r="A3555" s="2"/>
      <c r="B3555" s="11"/>
      <c r="C3555" s="26"/>
      <c r="L3555" s="65"/>
      <c r="M3555" s="71"/>
      <c r="N3555" s="65"/>
    </row>
    <row r="3556" spans="1:14" x14ac:dyDescent="0.25">
      <c r="A3556" s="2"/>
      <c r="B3556" s="11"/>
      <c r="C3556" s="26"/>
      <c r="L3556" s="65"/>
      <c r="M3556" s="71"/>
      <c r="N3556" s="65"/>
    </row>
    <row r="3557" spans="1:14" x14ac:dyDescent="0.25">
      <c r="A3557" s="2"/>
      <c r="B3557" s="11"/>
      <c r="C3557" s="26"/>
      <c r="L3557" s="65"/>
      <c r="M3557" s="71"/>
      <c r="N3557" s="65"/>
    </row>
    <row r="3558" spans="1:14" x14ac:dyDescent="0.25">
      <c r="A3558" s="2"/>
      <c r="B3558" s="11"/>
      <c r="C3558" s="26"/>
      <c r="L3558" s="65"/>
      <c r="M3558" s="71"/>
      <c r="N3558" s="65"/>
    </row>
    <row r="3559" spans="1:14" x14ac:dyDescent="0.25">
      <c r="A3559" s="2"/>
      <c r="B3559" s="11"/>
      <c r="C3559" s="26"/>
      <c r="L3559" s="65"/>
      <c r="M3559" s="71"/>
      <c r="N3559" s="65"/>
    </row>
    <row r="3560" spans="1:14" x14ac:dyDescent="0.25">
      <c r="A3560" s="2"/>
      <c r="B3560" s="11"/>
      <c r="C3560" s="26"/>
      <c r="L3560" s="65"/>
      <c r="M3560" s="71"/>
      <c r="N3560" s="65"/>
    </row>
    <row r="3561" spans="1:14" x14ac:dyDescent="0.25">
      <c r="A3561" s="2"/>
      <c r="B3561" s="11"/>
      <c r="C3561" s="26"/>
      <c r="L3561" s="65"/>
      <c r="M3561" s="71"/>
      <c r="N3561" s="65"/>
    </row>
    <row r="3562" spans="1:14" x14ac:dyDescent="0.25">
      <c r="A3562" s="2"/>
      <c r="B3562" s="11"/>
      <c r="C3562" s="26"/>
      <c r="L3562" s="65"/>
      <c r="M3562" s="71"/>
      <c r="N3562" s="65"/>
    </row>
    <row r="3563" spans="1:14" x14ac:dyDescent="0.25">
      <c r="A3563" s="2"/>
      <c r="B3563" s="11"/>
      <c r="C3563" s="26"/>
      <c r="L3563" s="65"/>
      <c r="M3563" s="71"/>
      <c r="N3563" s="65"/>
    </row>
    <row r="3564" spans="1:14" x14ac:dyDescent="0.25">
      <c r="A3564" s="2"/>
      <c r="B3564" s="11"/>
      <c r="C3564" s="26"/>
      <c r="L3564" s="65"/>
      <c r="M3564" s="71"/>
      <c r="N3564" s="65"/>
    </row>
    <row r="3565" spans="1:14" x14ac:dyDescent="0.25">
      <c r="A3565" s="2"/>
      <c r="B3565" s="11"/>
      <c r="C3565" s="26"/>
      <c r="L3565" s="65"/>
      <c r="M3565" s="71"/>
      <c r="N3565" s="65"/>
    </row>
    <row r="3566" spans="1:14" x14ac:dyDescent="0.25">
      <c r="A3566" s="2"/>
      <c r="B3566" s="11"/>
      <c r="C3566" s="26"/>
      <c r="L3566" s="65"/>
      <c r="M3566" s="71"/>
      <c r="N3566" s="65"/>
    </row>
    <row r="3567" spans="1:14" x14ac:dyDescent="0.25">
      <c r="A3567" s="2"/>
      <c r="B3567" s="11"/>
      <c r="C3567" s="26"/>
      <c r="L3567" s="65"/>
      <c r="M3567" s="71"/>
      <c r="N3567" s="65"/>
    </row>
    <row r="3568" spans="1:14" x14ac:dyDescent="0.25">
      <c r="A3568" s="2"/>
      <c r="B3568" s="11"/>
      <c r="C3568" s="26"/>
      <c r="L3568" s="65"/>
      <c r="M3568" s="71"/>
      <c r="N3568" s="65"/>
    </row>
    <row r="3569" spans="1:14" x14ac:dyDescent="0.25">
      <c r="A3569" s="2"/>
      <c r="B3569" s="11"/>
      <c r="C3569" s="26"/>
      <c r="L3569" s="65"/>
      <c r="M3569" s="71"/>
      <c r="N3569" s="65"/>
    </row>
    <row r="3570" spans="1:14" x14ac:dyDescent="0.25">
      <c r="A3570" s="2"/>
      <c r="B3570" s="11"/>
      <c r="C3570" s="26"/>
      <c r="L3570" s="65"/>
      <c r="M3570" s="71"/>
      <c r="N3570" s="65"/>
    </row>
    <row r="3571" spans="1:14" x14ac:dyDescent="0.25">
      <c r="A3571" s="2"/>
      <c r="B3571" s="11"/>
      <c r="C3571" s="26"/>
      <c r="L3571" s="65"/>
      <c r="M3571" s="71"/>
      <c r="N3571" s="65"/>
    </row>
    <row r="3572" spans="1:14" x14ac:dyDescent="0.25">
      <c r="A3572" s="2"/>
      <c r="B3572" s="11"/>
      <c r="C3572" s="26"/>
      <c r="L3572" s="65"/>
      <c r="M3572" s="71"/>
      <c r="N3572" s="65"/>
    </row>
    <row r="3573" spans="1:14" x14ac:dyDescent="0.25">
      <c r="A3573" s="2"/>
      <c r="B3573" s="11"/>
      <c r="C3573" s="26"/>
      <c r="L3573" s="65"/>
      <c r="M3573" s="71"/>
      <c r="N3573" s="65"/>
    </row>
    <row r="3574" spans="1:14" x14ac:dyDescent="0.25">
      <c r="A3574" s="2"/>
      <c r="B3574" s="11"/>
      <c r="C3574" s="26"/>
      <c r="L3574" s="65"/>
      <c r="M3574" s="71"/>
      <c r="N3574" s="65"/>
    </row>
    <row r="3575" spans="1:14" x14ac:dyDescent="0.25">
      <c r="A3575" s="2"/>
      <c r="B3575" s="11"/>
      <c r="C3575" s="26"/>
      <c r="L3575" s="65"/>
      <c r="M3575" s="71"/>
      <c r="N3575" s="65"/>
    </row>
    <row r="3576" spans="1:14" x14ac:dyDescent="0.25">
      <c r="A3576" s="2"/>
      <c r="B3576" s="11"/>
      <c r="C3576" s="26"/>
      <c r="L3576" s="65"/>
      <c r="M3576" s="71"/>
      <c r="N3576" s="65"/>
    </row>
    <row r="3577" spans="1:14" x14ac:dyDescent="0.25">
      <c r="A3577" s="2"/>
      <c r="B3577" s="11"/>
      <c r="C3577" s="26"/>
      <c r="L3577" s="65"/>
      <c r="M3577" s="71"/>
      <c r="N3577" s="65"/>
    </row>
    <row r="3578" spans="1:14" x14ac:dyDescent="0.25">
      <c r="A3578" s="2"/>
      <c r="B3578" s="11"/>
      <c r="C3578" s="26"/>
      <c r="L3578" s="65"/>
      <c r="M3578" s="71"/>
      <c r="N3578" s="65"/>
    </row>
    <row r="3579" spans="1:14" x14ac:dyDescent="0.25">
      <c r="A3579" s="2"/>
      <c r="B3579" s="11"/>
      <c r="C3579" s="26"/>
      <c r="L3579" s="65"/>
      <c r="M3579" s="71"/>
      <c r="N3579" s="65"/>
    </row>
    <row r="3580" spans="1:14" x14ac:dyDescent="0.25">
      <c r="A3580" s="2"/>
      <c r="B3580" s="11"/>
      <c r="C3580" s="26"/>
      <c r="L3580" s="65"/>
      <c r="M3580" s="71"/>
      <c r="N3580" s="65"/>
    </row>
    <row r="3581" spans="1:14" x14ac:dyDescent="0.25">
      <c r="A3581" s="2"/>
      <c r="B3581" s="11"/>
      <c r="C3581" s="26"/>
      <c r="L3581" s="65"/>
      <c r="M3581" s="71"/>
      <c r="N3581" s="65"/>
    </row>
    <row r="3582" spans="1:14" x14ac:dyDescent="0.25">
      <c r="A3582" s="2"/>
      <c r="B3582" s="11"/>
      <c r="C3582" s="26"/>
      <c r="L3582" s="65"/>
      <c r="M3582" s="71"/>
      <c r="N3582" s="65"/>
    </row>
    <row r="3583" spans="1:14" x14ac:dyDescent="0.25">
      <c r="A3583" s="2"/>
      <c r="B3583" s="11"/>
      <c r="C3583" s="26"/>
      <c r="L3583" s="65"/>
      <c r="M3583" s="71"/>
      <c r="N3583" s="65"/>
    </row>
    <row r="3584" spans="1:14" x14ac:dyDescent="0.25">
      <c r="A3584" s="2"/>
      <c r="B3584" s="11"/>
      <c r="C3584" s="26"/>
      <c r="L3584" s="65"/>
      <c r="M3584" s="71"/>
      <c r="N3584" s="65"/>
    </row>
    <row r="3585" spans="1:14" x14ac:dyDescent="0.25">
      <c r="A3585" s="2"/>
      <c r="B3585" s="11"/>
      <c r="C3585" s="26"/>
      <c r="L3585" s="65"/>
      <c r="M3585" s="71"/>
      <c r="N3585" s="65"/>
    </row>
    <row r="3586" spans="1:14" x14ac:dyDescent="0.25">
      <c r="A3586" s="2"/>
      <c r="B3586" s="11"/>
      <c r="C3586" s="26"/>
      <c r="L3586" s="65"/>
      <c r="M3586" s="71"/>
      <c r="N3586" s="65"/>
    </row>
    <row r="3587" spans="1:14" x14ac:dyDescent="0.25">
      <c r="A3587" s="2"/>
      <c r="B3587" s="11"/>
      <c r="C3587" s="26"/>
      <c r="L3587" s="65"/>
      <c r="M3587" s="71"/>
      <c r="N3587" s="65"/>
    </row>
    <row r="3588" spans="1:14" x14ac:dyDescent="0.25">
      <c r="A3588" s="2"/>
      <c r="B3588" s="11"/>
      <c r="C3588" s="26"/>
      <c r="L3588" s="65"/>
      <c r="M3588" s="71"/>
      <c r="N3588" s="65"/>
    </row>
    <row r="3589" spans="1:14" x14ac:dyDescent="0.25">
      <c r="A3589" s="2"/>
      <c r="B3589" s="11"/>
      <c r="C3589" s="26"/>
      <c r="L3589" s="65"/>
      <c r="M3589" s="71"/>
      <c r="N3589" s="65"/>
    </row>
    <row r="3590" spans="1:14" x14ac:dyDescent="0.25">
      <c r="A3590" s="2"/>
      <c r="B3590" s="11"/>
      <c r="C3590" s="26"/>
      <c r="L3590" s="65"/>
      <c r="M3590" s="71"/>
      <c r="N3590" s="65"/>
    </row>
    <row r="3591" spans="1:14" x14ac:dyDescent="0.25">
      <c r="A3591" s="2"/>
      <c r="B3591" s="11"/>
      <c r="C3591" s="26"/>
      <c r="L3591" s="65"/>
      <c r="M3591" s="71"/>
      <c r="N3591" s="65"/>
    </row>
    <row r="3592" spans="1:14" x14ac:dyDescent="0.25">
      <c r="A3592" s="2"/>
      <c r="B3592" s="11"/>
      <c r="C3592" s="26"/>
      <c r="L3592" s="65"/>
      <c r="M3592" s="71"/>
      <c r="N3592" s="65"/>
    </row>
    <row r="3593" spans="1:14" x14ac:dyDescent="0.25">
      <c r="A3593" s="2"/>
      <c r="B3593" s="11"/>
      <c r="C3593" s="26"/>
      <c r="L3593" s="65"/>
      <c r="M3593" s="71"/>
      <c r="N3593" s="65"/>
    </row>
    <row r="3594" spans="1:14" x14ac:dyDescent="0.25">
      <c r="A3594" s="2"/>
      <c r="B3594" s="11"/>
      <c r="C3594" s="26"/>
      <c r="L3594" s="65"/>
      <c r="M3594" s="71"/>
      <c r="N3594" s="65"/>
    </row>
    <row r="3595" spans="1:14" x14ac:dyDescent="0.25">
      <c r="A3595" s="2"/>
      <c r="B3595" s="11"/>
      <c r="C3595" s="26"/>
      <c r="L3595" s="65"/>
      <c r="M3595" s="71"/>
      <c r="N3595" s="65"/>
    </row>
    <row r="3596" spans="1:14" x14ac:dyDescent="0.25">
      <c r="A3596" s="2"/>
      <c r="B3596" s="11"/>
      <c r="C3596" s="26"/>
      <c r="L3596" s="65"/>
      <c r="M3596" s="71"/>
      <c r="N3596" s="65"/>
    </row>
    <row r="3597" spans="1:14" x14ac:dyDescent="0.25">
      <c r="A3597" s="2"/>
      <c r="B3597" s="11"/>
      <c r="C3597" s="26"/>
      <c r="L3597" s="65"/>
      <c r="M3597" s="71"/>
      <c r="N3597" s="65"/>
    </row>
    <row r="3598" spans="1:14" x14ac:dyDescent="0.25">
      <c r="A3598" s="2"/>
      <c r="B3598" s="11"/>
      <c r="C3598" s="26"/>
      <c r="L3598" s="65"/>
      <c r="M3598" s="71"/>
      <c r="N3598" s="65"/>
    </row>
    <row r="3599" spans="1:14" x14ac:dyDescent="0.25">
      <c r="A3599" s="2"/>
      <c r="B3599" s="11"/>
      <c r="C3599" s="26"/>
      <c r="L3599" s="65"/>
      <c r="M3599" s="71"/>
      <c r="N3599" s="65"/>
    </row>
    <row r="3600" spans="1:14" x14ac:dyDescent="0.25">
      <c r="A3600" s="2"/>
      <c r="B3600" s="11"/>
      <c r="C3600" s="26"/>
      <c r="L3600" s="65"/>
      <c r="M3600" s="71"/>
      <c r="N3600" s="65"/>
    </row>
    <row r="3601" spans="1:14" x14ac:dyDescent="0.25">
      <c r="A3601" s="2"/>
      <c r="B3601" s="11"/>
      <c r="C3601" s="26"/>
      <c r="L3601" s="65"/>
      <c r="M3601" s="71"/>
      <c r="N3601" s="65"/>
    </row>
    <row r="3602" spans="1:14" x14ac:dyDescent="0.25">
      <c r="A3602" s="2"/>
      <c r="B3602" s="11"/>
      <c r="C3602" s="26"/>
      <c r="L3602" s="65"/>
      <c r="M3602" s="71"/>
      <c r="N3602" s="65"/>
    </row>
    <row r="3603" spans="1:14" x14ac:dyDescent="0.25">
      <c r="A3603" s="2"/>
      <c r="B3603" s="11"/>
      <c r="C3603" s="26"/>
      <c r="L3603" s="65"/>
      <c r="M3603" s="71"/>
      <c r="N3603" s="65"/>
    </row>
    <row r="3604" spans="1:14" x14ac:dyDescent="0.25">
      <c r="A3604" s="2"/>
      <c r="B3604" s="11"/>
      <c r="C3604" s="26"/>
      <c r="L3604" s="65"/>
      <c r="M3604" s="71"/>
      <c r="N3604" s="65"/>
    </row>
    <row r="3605" spans="1:14" x14ac:dyDescent="0.25">
      <c r="A3605" s="2"/>
      <c r="B3605" s="11"/>
      <c r="C3605" s="26"/>
      <c r="L3605" s="65"/>
      <c r="M3605" s="71"/>
      <c r="N3605" s="65"/>
    </row>
    <row r="3606" spans="1:14" x14ac:dyDescent="0.25">
      <c r="A3606" s="2"/>
      <c r="B3606" s="11"/>
      <c r="C3606" s="26"/>
      <c r="L3606" s="65"/>
      <c r="M3606" s="71"/>
      <c r="N3606" s="65"/>
    </row>
    <row r="3607" spans="1:14" x14ac:dyDescent="0.25">
      <c r="A3607" s="2"/>
      <c r="B3607" s="11"/>
      <c r="C3607" s="26"/>
      <c r="L3607" s="65"/>
      <c r="M3607" s="71"/>
      <c r="N3607" s="65"/>
    </row>
    <row r="3608" spans="1:14" x14ac:dyDescent="0.25">
      <c r="A3608" s="2"/>
      <c r="B3608" s="11"/>
      <c r="C3608" s="26"/>
      <c r="L3608" s="65"/>
      <c r="M3608" s="71"/>
      <c r="N3608" s="65"/>
    </row>
    <row r="3609" spans="1:14" x14ac:dyDescent="0.25">
      <c r="A3609" s="2"/>
      <c r="B3609" s="11"/>
      <c r="C3609" s="26"/>
      <c r="L3609" s="65"/>
      <c r="M3609" s="71"/>
      <c r="N3609" s="65"/>
    </row>
    <row r="3610" spans="1:14" x14ac:dyDescent="0.25">
      <c r="A3610" s="2"/>
      <c r="B3610" s="11"/>
      <c r="C3610" s="26"/>
      <c r="L3610" s="65"/>
      <c r="M3610" s="71"/>
      <c r="N3610" s="65"/>
    </row>
    <row r="3611" spans="1:14" x14ac:dyDescent="0.25">
      <c r="A3611" s="2"/>
      <c r="B3611" s="11"/>
      <c r="C3611" s="26"/>
      <c r="L3611" s="65"/>
      <c r="M3611" s="71"/>
      <c r="N3611" s="65"/>
    </row>
    <row r="3612" spans="1:14" x14ac:dyDescent="0.25">
      <c r="A3612" s="2"/>
      <c r="B3612" s="11"/>
      <c r="C3612" s="26"/>
      <c r="L3612" s="65"/>
      <c r="M3612" s="71"/>
      <c r="N3612" s="65"/>
    </row>
    <row r="3613" spans="1:14" x14ac:dyDescent="0.25">
      <c r="A3613" s="2"/>
      <c r="B3613" s="11"/>
      <c r="C3613" s="26"/>
      <c r="L3613" s="65"/>
      <c r="M3613" s="71"/>
      <c r="N3613" s="65"/>
    </row>
    <row r="3614" spans="1:14" x14ac:dyDescent="0.25">
      <c r="A3614" s="2"/>
      <c r="B3614" s="11"/>
      <c r="C3614" s="26"/>
      <c r="L3614" s="65"/>
      <c r="M3614" s="71"/>
      <c r="N3614" s="65"/>
    </row>
    <row r="3615" spans="1:14" x14ac:dyDescent="0.25">
      <c r="A3615" s="2"/>
      <c r="B3615" s="11"/>
      <c r="C3615" s="26"/>
      <c r="L3615" s="65"/>
      <c r="M3615" s="71"/>
      <c r="N3615" s="65"/>
    </row>
    <row r="3616" spans="1:14" x14ac:dyDescent="0.25">
      <c r="A3616" s="2"/>
      <c r="B3616" s="11"/>
      <c r="C3616" s="26"/>
      <c r="L3616" s="65"/>
      <c r="M3616" s="71"/>
      <c r="N3616" s="65"/>
    </row>
    <row r="3617" spans="1:14" x14ac:dyDescent="0.25">
      <c r="A3617" s="2"/>
      <c r="B3617" s="11"/>
      <c r="C3617" s="26"/>
      <c r="L3617" s="65"/>
      <c r="M3617" s="71"/>
      <c r="N3617" s="65"/>
    </row>
    <row r="3618" spans="1:14" x14ac:dyDescent="0.25">
      <c r="A3618" s="2"/>
      <c r="B3618" s="11"/>
      <c r="C3618" s="26"/>
      <c r="L3618" s="65"/>
      <c r="M3618" s="71"/>
      <c r="N3618" s="65"/>
    </row>
    <row r="3619" spans="1:14" x14ac:dyDescent="0.25">
      <c r="A3619" s="2"/>
      <c r="B3619" s="11"/>
      <c r="C3619" s="26"/>
      <c r="L3619" s="65"/>
      <c r="M3619" s="71"/>
      <c r="N3619" s="65"/>
    </row>
    <row r="3620" spans="1:14" x14ac:dyDescent="0.25">
      <c r="A3620" s="2"/>
      <c r="B3620" s="11"/>
      <c r="C3620" s="26"/>
      <c r="L3620" s="65"/>
      <c r="M3620" s="71"/>
      <c r="N3620" s="65"/>
    </row>
    <row r="3621" spans="1:14" x14ac:dyDescent="0.25">
      <c r="A3621" s="2"/>
      <c r="B3621" s="11"/>
      <c r="C3621" s="26"/>
      <c r="L3621" s="65"/>
      <c r="M3621" s="71"/>
      <c r="N3621" s="65"/>
    </row>
    <row r="3622" spans="1:14" x14ac:dyDescent="0.25">
      <c r="A3622" s="2"/>
      <c r="B3622" s="11"/>
      <c r="C3622" s="26"/>
      <c r="L3622" s="65"/>
      <c r="M3622" s="71"/>
      <c r="N3622" s="65"/>
    </row>
    <row r="3623" spans="1:14" x14ac:dyDescent="0.25">
      <c r="A3623" s="2"/>
      <c r="B3623" s="11"/>
      <c r="C3623" s="26"/>
      <c r="L3623" s="65"/>
      <c r="M3623" s="71"/>
      <c r="N3623" s="65"/>
    </row>
    <row r="3624" spans="1:14" x14ac:dyDescent="0.25">
      <c r="A3624" s="2"/>
      <c r="B3624" s="11"/>
      <c r="C3624" s="26"/>
      <c r="L3624" s="65"/>
      <c r="M3624" s="71"/>
      <c r="N3624" s="65"/>
    </row>
    <row r="3625" spans="1:14" x14ac:dyDescent="0.25">
      <c r="A3625" s="2"/>
      <c r="B3625" s="11"/>
      <c r="C3625" s="26"/>
      <c r="L3625" s="65"/>
      <c r="M3625" s="71"/>
      <c r="N3625" s="65"/>
    </row>
    <row r="3626" spans="1:14" x14ac:dyDescent="0.25">
      <c r="A3626" s="2"/>
      <c r="B3626" s="11"/>
      <c r="C3626" s="26"/>
      <c r="L3626" s="65"/>
      <c r="M3626" s="71"/>
      <c r="N3626" s="65"/>
    </row>
    <row r="3627" spans="1:14" x14ac:dyDescent="0.25">
      <c r="A3627" s="2"/>
      <c r="B3627" s="11"/>
      <c r="C3627" s="26"/>
      <c r="L3627" s="65"/>
      <c r="M3627" s="71"/>
      <c r="N3627" s="65"/>
    </row>
    <row r="3628" spans="1:14" x14ac:dyDescent="0.25">
      <c r="A3628" s="2"/>
      <c r="B3628" s="11"/>
      <c r="C3628" s="26"/>
      <c r="L3628" s="65"/>
      <c r="M3628" s="71"/>
      <c r="N3628" s="65"/>
    </row>
    <row r="3629" spans="1:14" x14ac:dyDescent="0.25">
      <c r="A3629" s="2"/>
      <c r="B3629" s="11"/>
      <c r="C3629" s="26"/>
      <c r="L3629" s="65"/>
      <c r="M3629" s="71"/>
      <c r="N3629" s="65"/>
    </row>
    <row r="3630" spans="1:14" x14ac:dyDescent="0.25">
      <c r="A3630" s="2"/>
      <c r="B3630" s="11"/>
      <c r="C3630" s="26"/>
      <c r="L3630" s="65"/>
      <c r="M3630" s="71"/>
      <c r="N3630" s="65"/>
    </row>
    <row r="3631" spans="1:14" x14ac:dyDescent="0.25">
      <c r="A3631" s="2"/>
      <c r="B3631" s="11"/>
      <c r="C3631" s="26"/>
      <c r="L3631" s="65"/>
      <c r="M3631" s="71"/>
      <c r="N3631" s="65"/>
    </row>
    <row r="3632" spans="1:14" x14ac:dyDescent="0.25">
      <c r="A3632" s="2"/>
      <c r="B3632" s="11"/>
      <c r="C3632" s="26"/>
      <c r="L3632" s="65"/>
      <c r="M3632" s="71"/>
      <c r="N3632" s="65"/>
    </row>
    <row r="3633" spans="1:14" x14ac:dyDescent="0.25">
      <c r="A3633" s="2"/>
      <c r="B3633" s="11"/>
      <c r="C3633" s="26"/>
      <c r="L3633" s="65"/>
      <c r="M3633" s="71"/>
      <c r="N3633" s="65"/>
    </row>
    <row r="3634" spans="1:14" x14ac:dyDescent="0.25">
      <c r="A3634" s="2"/>
      <c r="B3634" s="11"/>
      <c r="C3634" s="26"/>
      <c r="L3634" s="65"/>
      <c r="M3634" s="71"/>
      <c r="N3634" s="65"/>
    </row>
    <row r="3635" spans="1:14" x14ac:dyDescent="0.25">
      <c r="A3635" s="2"/>
      <c r="B3635" s="11"/>
      <c r="C3635" s="26"/>
      <c r="L3635" s="65"/>
      <c r="M3635" s="71"/>
      <c r="N3635" s="65"/>
    </row>
    <row r="3636" spans="1:14" x14ac:dyDescent="0.25">
      <c r="A3636" s="2"/>
      <c r="B3636" s="11"/>
      <c r="C3636" s="26"/>
      <c r="L3636" s="65"/>
      <c r="M3636" s="71"/>
      <c r="N3636" s="65"/>
    </row>
    <row r="3637" spans="1:14" x14ac:dyDescent="0.25">
      <c r="A3637" s="2"/>
      <c r="B3637" s="11"/>
      <c r="C3637" s="26"/>
      <c r="L3637" s="65"/>
      <c r="M3637" s="71"/>
      <c r="N3637" s="65"/>
    </row>
    <row r="3638" spans="1:14" x14ac:dyDescent="0.25">
      <c r="A3638" s="2"/>
      <c r="B3638" s="11"/>
      <c r="C3638" s="26"/>
      <c r="L3638" s="65"/>
      <c r="M3638" s="71"/>
      <c r="N3638" s="65"/>
    </row>
    <row r="3639" spans="1:14" x14ac:dyDescent="0.25">
      <c r="A3639" s="2"/>
      <c r="B3639" s="11"/>
      <c r="C3639" s="26"/>
      <c r="L3639" s="65"/>
      <c r="M3639" s="71"/>
      <c r="N3639" s="65"/>
    </row>
    <row r="3640" spans="1:14" x14ac:dyDescent="0.25">
      <c r="A3640" s="2"/>
      <c r="B3640" s="11"/>
      <c r="C3640" s="26"/>
      <c r="L3640" s="65"/>
      <c r="M3640" s="71"/>
      <c r="N3640" s="65"/>
    </row>
    <row r="3641" spans="1:14" x14ac:dyDescent="0.25">
      <c r="A3641" s="2"/>
      <c r="B3641" s="11"/>
      <c r="C3641" s="26"/>
      <c r="L3641" s="65"/>
      <c r="M3641" s="71"/>
      <c r="N3641" s="65"/>
    </row>
    <row r="3642" spans="1:14" x14ac:dyDescent="0.25">
      <c r="A3642" s="2"/>
      <c r="B3642" s="11"/>
      <c r="C3642" s="26"/>
      <c r="L3642" s="65"/>
      <c r="M3642" s="71"/>
      <c r="N3642" s="65"/>
    </row>
    <row r="3643" spans="1:14" x14ac:dyDescent="0.25">
      <c r="A3643" s="2"/>
      <c r="B3643" s="11"/>
      <c r="C3643" s="26"/>
      <c r="L3643" s="65"/>
      <c r="M3643" s="71"/>
      <c r="N3643" s="65"/>
    </row>
    <row r="3644" spans="1:14" x14ac:dyDescent="0.25">
      <c r="A3644" s="2"/>
      <c r="B3644" s="11"/>
      <c r="C3644" s="26"/>
      <c r="L3644" s="65"/>
      <c r="M3644" s="71"/>
      <c r="N3644" s="65"/>
    </row>
    <row r="3645" spans="1:14" x14ac:dyDescent="0.25">
      <c r="A3645" s="2"/>
      <c r="B3645" s="11"/>
      <c r="C3645" s="26"/>
      <c r="L3645" s="65"/>
      <c r="M3645" s="71"/>
      <c r="N3645" s="65"/>
    </row>
    <row r="3646" spans="1:14" x14ac:dyDescent="0.25">
      <c r="A3646" s="2"/>
      <c r="B3646" s="11"/>
      <c r="C3646" s="26"/>
      <c r="L3646" s="65"/>
      <c r="M3646" s="71"/>
      <c r="N3646" s="65"/>
    </row>
    <row r="3647" spans="1:14" x14ac:dyDescent="0.25">
      <c r="A3647" s="2"/>
      <c r="B3647" s="11"/>
      <c r="C3647" s="26"/>
      <c r="L3647" s="65"/>
      <c r="M3647" s="71"/>
      <c r="N3647" s="65"/>
    </row>
    <row r="3648" spans="1:14" x14ac:dyDescent="0.25">
      <c r="A3648" s="2"/>
      <c r="B3648" s="11"/>
      <c r="C3648" s="26"/>
      <c r="L3648" s="65"/>
      <c r="M3648" s="71"/>
      <c r="N3648" s="65"/>
    </row>
    <row r="3649" spans="1:14" x14ac:dyDescent="0.25">
      <c r="A3649" s="2"/>
      <c r="B3649" s="11"/>
      <c r="C3649" s="26"/>
      <c r="L3649" s="65"/>
      <c r="M3649" s="71"/>
      <c r="N3649" s="65"/>
    </row>
    <row r="3650" spans="1:14" x14ac:dyDescent="0.25">
      <c r="A3650" s="2"/>
      <c r="B3650" s="11"/>
      <c r="C3650" s="26"/>
      <c r="L3650" s="65"/>
      <c r="M3650" s="71"/>
      <c r="N3650" s="65"/>
    </row>
    <row r="3651" spans="1:14" x14ac:dyDescent="0.25">
      <c r="A3651" s="2"/>
      <c r="B3651" s="11"/>
      <c r="C3651" s="26"/>
      <c r="L3651" s="65"/>
      <c r="M3651" s="71"/>
      <c r="N3651" s="65"/>
    </row>
    <row r="3652" spans="1:14" x14ac:dyDescent="0.25">
      <c r="A3652" s="2"/>
      <c r="B3652" s="11"/>
      <c r="C3652" s="26"/>
      <c r="L3652" s="65"/>
      <c r="M3652" s="71"/>
      <c r="N3652" s="65"/>
    </row>
    <row r="3653" spans="1:14" x14ac:dyDescent="0.25">
      <c r="A3653" s="2"/>
      <c r="B3653" s="11"/>
      <c r="C3653" s="26"/>
      <c r="L3653" s="65"/>
      <c r="M3653" s="71"/>
      <c r="N3653" s="65"/>
    </row>
    <row r="3654" spans="1:14" x14ac:dyDescent="0.25">
      <c r="A3654" s="2"/>
      <c r="B3654" s="11"/>
      <c r="C3654" s="26"/>
      <c r="L3654" s="65"/>
      <c r="M3654" s="71"/>
      <c r="N3654" s="65"/>
    </row>
    <row r="3655" spans="1:14" x14ac:dyDescent="0.25">
      <c r="A3655" s="2"/>
      <c r="B3655" s="11"/>
      <c r="C3655" s="26"/>
      <c r="L3655" s="65"/>
      <c r="M3655" s="71"/>
      <c r="N3655" s="65"/>
    </row>
    <row r="3656" spans="1:14" x14ac:dyDescent="0.25">
      <c r="A3656" s="2"/>
      <c r="B3656" s="11"/>
      <c r="C3656" s="26"/>
      <c r="L3656" s="65"/>
      <c r="M3656" s="71"/>
      <c r="N3656" s="65"/>
    </row>
    <row r="3657" spans="1:14" x14ac:dyDescent="0.25">
      <c r="A3657" s="2"/>
      <c r="B3657" s="11"/>
      <c r="C3657" s="26"/>
      <c r="M3657" s="71"/>
    </row>
    <row r="3658" spans="1:14" x14ac:dyDescent="0.25">
      <c r="A3658" s="2"/>
      <c r="B3658" s="11"/>
      <c r="C3658" s="26"/>
      <c r="M3658" s="71"/>
    </row>
    <row r="3659" spans="1:14" x14ac:dyDescent="0.25">
      <c r="A3659" s="2"/>
      <c r="B3659" s="11"/>
      <c r="C3659" s="26"/>
      <c r="M3659" s="71"/>
    </row>
    <row r="3660" spans="1:14" x14ac:dyDescent="0.25">
      <c r="A3660" s="2"/>
      <c r="B3660" s="11"/>
      <c r="C3660" s="26"/>
      <c r="M3660" s="71"/>
    </row>
    <row r="3661" spans="1:14" x14ac:dyDescent="0.25">
      <c r="A3661" s="2"/>
      <c r="B3661" s="11"/>
      <c r="C3661" s="26"/>
      <c r="M3661" s="71"/>
    </row>
    <row r="3662" spans="1:14" x14ac:dyDescent="0.25">
      <c r="A3662" s="2"/>
      <c r="B3662" s="11"/>
      <c r="C3662" s="26"/>
      <c r="M3662" s="71"/>
    </row>
    <row r="3663" spans="1:14" x14ac:dyDescent="0.25">
      <c r="A3663" s="2"/>
      <c r="B3663" s="11"/>
      <c r="C3663" s="26"/>
      <c r="M3663" s="71"/>
    </row>
    <row r="3664" spans="1:14" x14ac:dyDescent="0.25">
      <c r="A3664" s="2"/>
      <c r="B3664" s="11"/>
      <c r="C3664" s="26"/>
      <c r="M3664" s="71"/>
    </row>
    <row r="3665" spans="1:13" x14ac:dyDescent="0.25">
      <c r="A3665" s="2"/>
      <c r="B3665" s="11"/>
      <c r="C3665" s="26"/>
      <c r="M3665" s="71"/>
    </row>
    <row r="3666" spans="1:13" x14ac:dyDescent="0.25">
      <c r="A3666" s="2"/>
      <c r="B3666" s="11"/>
      <c r="C3666" s="26"/>
      <c r="M3666" s="71"/>
    </row>
    <row r="3667" spans="1:13" x14ac:dyDescent="0.25">
      <c r="A3667" s="2"/>
      <c r="B3667" s="11"/>
      <c r="C3667" s="26"/>
      <c r="M3667" s="71"/>
    </row>
    <row r="3668" spans="1:13" x14ac:dyDescent="0.25">
      <c r="A3668" s="2"/>
      <c r="B3668" s="11"/>
      <c r="C3668" s="26"/>
      <c r="M3668" s="71"/>
    </row>
    <row r="3669" spans="1:13" x14ac:dyDescent="0.25">
      <c r="A3669" s="2"/>
      <c r="B3669" s="11"/>
      <c r="C3669" s="26"/>
      <c r="M3669" s="71"/>
    </row>
    <row r="3670" spans="1:13" x14ac:dyDescent="0.25">
      <c r="A3670" s="2"/>
      <c r="B3670" s="11"/>
      <c r="C3670" s="26"/>
      <c r="M3670" s="71"/>
    </row>
    <row r="3671" spans="1:13" x14ac:dyDescent="0.25">
      <c r="A3671" s="2"/>
      <c r="B3671" s="11"/>
      <c r="C3671" s="26"/>
      <c r="M3671" s="71"/>
    </row>
    <row r="3672" spans="1:13" x14ac:dyDescent="0.25">
      <c r="A3672" s="2"/>
      <c r="B3672" s="11"/>
      <c r="C3672" s="26"/>
      <c r="M3672" s="71"/>
    </row>
    <row r="3673" spans="1:13" x14ac:dyDescent="0.25">
      <c r="A3673" s="2"/>
      <c r="B3673" s="11"/>
      <c r="C3673" s="26"/>
      <c r="M3673" s="71"/>
    </row>
    <row r="3674" spans="1:13" x14ac:dyDescent="0.25">
      <c r="A3674" s="2"/>
      <c r="B3674" s="11"/>
      <c r="C3674" s="26"/>
      <c r="M3674" s="71"/>
    </row>
    <row r="3675" spans="1:13" x14ac:dyDescent="0.25">
      <c r="A3675" s="2"/>
      <c r="B3675" s="11"/>
      <c r="C3675" s="26"/>
      <c r="M3675" s="71"/>
    </row>
    <row r="3676" spans="1:13" x14ac:dyDescent="0.25">
      <c r="A3676" s="2"/>
      <c r="B3676" s="11"/>
      <c r="C3676" s="26"/>
      <c r="M3676" s="71"/>
    </row>
    <row r="3677" spans="1:13" x14ac:dyDescent="0.25">
      <c r="A3677" s="2"/>
      <c r="B3677" s="11"/>
      <c r="C3677" s="26"/>
      <c r="M3677" s="71"/>
    </row>
    <row r="3678" spans="1:13" x14ac:dyDescent="0.25">
      <c r="A3678" s="2"/>
      <c r="B3678" s="11"/>
      <c r="C3678" s="26"/>
      <c r="M3678" s="71"/>
    </row>
    <row r="3679" spans="1:13" x14ac:dyDescent="0.25">
      <c r="A3679" s="2"/>
      <c r="B3679" s="11"/>
      <c r="C3679" s="26"/>
      <c r="M3679" s="71"/>
    </row>
    <row r="3680" spans="1:13" x14ac:dyDescent="0.25">
      <c r="A3680" s="2"/>
      <c r="B3680" s="11"/>
      <c r="C3680" s="26"/>
      <c r="M3680" s="71"/>
    </row>
    <row r="3681" spans="1:13" x14ac:dyDescent="0.25">
      <c r="A3681" s="2"/>
      <c r="B3681" s="11"/>
      <c r="C3681" s="26"/>
      <c r="M3681" s="71"/>
    </row>
    <row r="3682" spans="1:13" x14ac:dyDescent="0.25">
      <c r="A3682" s="2"/>
      <c r="B3682" s="11"/>
      <c r="C3682" s="26"/>
      <c r="M3682" s="71"/>
    </row>
    <row r="3683" spans="1:13" x14ac:dyDescent="0.25">
      <c r="A3683" s="2"/>
      <c r="B3683" s="11"/>
      <c r="C3683" s="26"/>
      <c r="M3683" s="71"/>
    </row>
    <row r="3684" spans="1:13" x14ac:dyDescent="0.25">
      <c r="A3684" s="2"/>
      <c r="B3684" s="11"/>
      <c r="C3684" s="26"/>
      <c r="M3684" s="71"/>
    </row>
    <row r="3685" spans="1:13" x14ac:dyDescent="0.25">
      <c r="A3685" s="2"/>
      <c r="B3685" s="11"/>
      <c r="C3685" s="26"/>
      <c r="M3685" s="71"/>
    </row>
    <row r="3686" spans="1:13" x14ac:dyDescent="0.25">
      <c r="A3686" s="2"/>
      <c r="B3686" s="11"/>
      <c r="C3686" s="26"/>
      <c r="M3686" s="71"/>
    </row>
    <row r="3687" spans="1:13" x14ac:dyDescent="0.25">
      <c r="A3687" s="2"/>
      <c r="B3687" s="11"/>
      <c r="C3687" s="26"/>
      <c r="M3687" s="71"/>
    </row>
    <row r="3688" spans="1:13" x14ac:dyDescent="0.25">
      <c r="A3688" s="2"/>
      <c r="B3688" s="11"/>
      <c r="C3688" s="26"/>
      <c r="M3688" s="71"/>
    </row>
    <row r="3689" spans="1:13" x14ac:dyDescent="0.25">
      <c r="A3689" s="2"/>
      <c r="B3689" s="11"/>
      <c r="C3689" s="26"/>
      <c r="M3689" s="71"/>
    </row>
    <row r="3690" spans="1:13" x14ac:dyDescent="0.25">
      <c r="A3690" s="2"/>
      <c r="B3690" s="11"/>
      <c r="C3690" s="26"/>
      <c r="M3690" s="71"/>
    </row>
    <row r="3691" spans="1:13" x14ac:dyDescent="0.25">
      <c r="A3691" s="2"/>
      <c r="B3691" s="11"/>
      <c r="C3691" s="26"/>
      <c r="M3691" s="71"/>
    </row>
    <row r="3692" spans="1:13" x14ac:dyDescent="0.25">
      <c r="A3692" s="2"/>
      <c r="B3692" s="11"/>
      <c r="C3692" s="26"/>
      <c r="M3692" s="71"/>
    </row>
    <row r="3693" spans="1:13" x14ac:dyDescent="0.25">
      <c r="A3693" s="2"/>
      <c r="B3693" s="11"/>
      <c r="C3693" s="26"/>
      <c r="M3693" s="71"/>
    </row>
    <row r="3694" spans="1:13" x14ac:dyDescent="0.25">
      <c r="A3694" s="2"/>
      <c r="B3694" s="11"/>
      <c r="C3694" s="26"/>
      <c r="M3694" s="71"/>
    </row>
    <row r="3695" spans="1:13" x14ac:dyDescent="0.25">
      <c r="A3695" s="2"/>
      <c r="B3695" s="11"/>
      <c r="C3695" s="26"/>
      <c r="M3695" s="71"/>
    </row>
    <row r="3696" spans="1:13" x14ac:dyDescent="0.25">
      <c r="A3696" s="2"/>
      <c r="B3696" s="11"/>
      <c r="C3696" s="26"/>
      <c r="M3696" s="71"/>
    </row>
    <row r="3697" spans="1:13" x14ac:dyDescent="0.25">
      <c r="A3697" s="2"/>
      <c r="B3697" s="11"/>
      <c r="C3697" s="26"/>
      <c r="M3697" s="71"/>
    </row>
    <row r="3698" spans="1:13" x14ac:dyDescent="0.25">
      <c r="A3698" s="2"/>
      <c r="B3698" s="11"/>
      <c r="C3698" s="26"/>
      <c r="M3698" s="71"/>
    </row>
    <row r="3699" spans="1:13" x14ac:dyDescent="0.25">
      <c r="A3699" s="2"/>
      <c r="B3699" s="11"/>
      <c r="C3699" s="26"/>
      <c r="M3699" s="71"/>
    </row>
    <row r="3700" spans="1:13" x14ac:dyDescent="0.25">
      <c r="A3700" s="2"/>
      <c r="B3700" s="11"/>
      <c r="C3700" s="26"/>
      <c r="M3700" s="71"/>
    </row>
    <row r="3701" spans="1:13" x14ac:dyDescent="0.25">
      <c r="A3701" s="2"/>
      <c r="B3701" s="11"/>
      <c r="C3701" s="26"/>
      <c r="M3701" s="71"/>
    </row>
    <row r="3702" spans="1:13" x14ac:dyDescent="0.25">
      <c r="A3702" s="2"/>
      <c r="B3702" s="11"/>
      <c r="C3702" s="26"/>
      <c r="M3702" s="71"/>
    </row>
    <row r="3703" spans="1:13" x14ac:dyDescent="0.25">
      <c r="A3703" s="2"/>
      <c r="B3703" s="11"/>
      <c r="C3703" s="26"/>
      <c r="M3703" s="71"/>
    </row>
    <row r="3704" spans="1:13" x14ac:dyDescent="0.25">
      <c r="A3704" s="2"/>
      <c r="B3704" s="11"/>
      <c r="C3704" s="26"/>
      <c r="M3704" s="71"/>
    </row>
    <row r="3705" spans="1:13" x14ac:dyDescent="0.25">
      <c r="A3705" s="2"/>
      <c r="B3705" s="11"/>
      <c r="C3705" s="26"/>
      <c r="M3705" s="71"/>
    </row>
    <row r="3706" spans="1:13" x14ac:dyDescent="0.25">
      <c r="A3706" s="2"/>
      <c r="B3706" s="11"/>
      <c r="C3706" s="26"/>
      <c r="M3706" s="71"/>
    </row>
    <row r="3707" spans="1:13" x14ac:dyDescent="0.25">
      <c r="A3707" s="2"/>
      <c r="B3707" s="11"/>
      <c r="C3707" s="26"/>
      <c r="M3707" s="71"/>
    </row>
    <row r="3708" spans="1:13" x14ac:dyDescent="0.25">
      <c r="A3708" s="2"/>
      <c r="B3708" s="11"/>
      <c r="C3708" s="26"/>
      <c r="M3708" s="71"/>
    </row>
    <row r="3709" spans="1:13" x14ac:dyDescent="0.25">
      <c r="A3709" s="2"/>
      <c r="B3709" s="11"/>
      <c r="C3709" s="26"/>
      <c r="M3709" s="71"/>
    </row>
    <row r="3710" spans="1:13" x14ac:dyDescent="0.25">
      <c r="A3710" s="2"/>
      <c r="B3710" s="11"/>
      <c r="C3710" s="26"/>
      <c r="M3710" s="71"/>
    </row>
    <row r="3711" spans="1:13" x14ac:dyDescent="0.25">
      <c r="A3711" s="2"/>
      <c r="B3711" s="11"/>
      <c r="C3711" s="26"/>
      <c r="M3711" s="71"/>
    </row>
    <row r="3712" spans="1:13" x14ac:dyDescent="0.25">
      <c r="A3712" s="2"/>
      <c r="B3712" s="11"/>
      <c r="C3712" s="26"/>
      <c r="M3712" s="71"/>
    </row>
    <row r="3713" spans="1:13" x14ac:dyDescent="0.25">
      <c r="A3713" s="2"/>
      <c r="B3713" s="11"/>
      <c r="C3713" s="26"/>
      <c r="M3713" s="71"/>
    </row>
    <row r="3714" spans="1:13" x14ac:dyDescent="0.25">
      <c r="A3714" s="2"/>
      <c r="B3714" s="11"/>
      <c r="C3714" s="26"/>
      <c r="M3714" s="71"/>
    </row>
    <row r="3715" spans="1:13" x14ac:dyDescent="0.25">
      <c r="A3715" s="2"/>
      <c r="B3715" s="11"/>
      <c r="C3715" s="26"/>
      <c r="M3715" s="71"/>
    </row>
    <row r="3716" spans="1:13" x14ac:dyDescent="0.25">
      <c r="A3716" s="2"/>
      <c r="B3716" s="11"/>
      <c r="C3716" s="26"/>
      <c r="M3716" s="71"/>
    </row>
    <row r="3717" spans="1:13" x14ac:dyDescent="0.25">
      <c r="A3717" s="2"/>
      <c r="B3717" s="11"/>
      <c r="C3717" s="26"/>
      <c r="M3717" s="71"/>
    </row>
    <row r="3718" spans="1:13" x14ac:dyDescent="0.25">
      <c r="A3718" s="2"/>
      <c r="B3718" s="11"/>
      <c r="C3718" s="26"/>
      <c r="M3718" s="71"/>
    </row>
    <row r="3719" spans="1:13" x14ac:dyDescent="0.25">
      <c r="A3719" s="2"/>
      <c r="B3719" s="11"/>
      <c r="C3719" s="26"/>
      <c r="M3719" s="71"/>
    </row>
    <row r="3720" spans="1:13" x14ac:dyDescent="0.25">
      <c r="A3720" s="2"/>
      <c r="B3720" s="11"/>
      <c r="C3720" s="26"/>
      <c r="M3720" s="71"/>
    </row>
    <row r="3721" spans="1:13" x14ac:dyDescent="0.25">
      <c r="A3721" s="2"/>
      <c r="B3721" s="11"/>
      <c r="C3721" s="26"/>
      <c r="M3721" s="71"/>
    </row>
    <row r="3722" spans="1:13" x14ac:dyDescent="0.25">
      <c r="A3722" s="2"/>
      <c r="B3722" s="11"/>
      <c r="C3722" s="26"/>
      <c r="M3722" s="71"/>
    </row>
    <row r="3723" spans="1:13" x14ac:dyDescent="0.25">
      <c r="A3723" s="2"/>
      <c r="B3723" s="11"/>
      <c r="C3723" s="26"/>
      <c r="M3723" s="71"/>
    </row>
    <row r="3724" spans="1:13" x14ac:dyDescent="0.25">
      <c r="A3724" s="2"/>
      <c r="B3724" s="11"/>
      <c r="C3724" s="26"/>
      <c r="M3724" s="71"/>
    </row>
    <row r="3725" spans="1:13" x14ac:dyDescent="0.25">
      <c r="A3725" s="2"/>
      <c r="B3725" s="11"/>
      <c r="C3725" s="26"/>
      <c r="M3725" s="71"/>
    </row>
    <row r="3726" spans="1:13" x14ac:dyDescent="0.25">
      <c r="A3726" s="2"/>
      <c r="B3726" s="11"/>
      <c r="C3726" s="26"/>
      <c r="M3726" s="71"/>
    </row>
    <row r="3727" spans="1:13" x14ac:dyDescent="0.25">
      <c r="A3727" s="2"/>
      <c r="B3727" s="11"/>
      <c r="C3727" s="26"/>
      <c r="M3727" s="71"/>
    </row>
    <row r="3728" spans="1:13" x14ac:dyDescent="0.25">
      <c r="A3728" s="2"/>
      <c r="B3728" s="11"/>
      <c r="C3728" s="26"/>
      <c r="M3728" s="71"/>
    </row>
    <row r="3729" spans="1:13" x14ac:dyDescent="0.25">
      <c r="A3729" s="2"/>
      <c r="B3729" s="11"/>
      <c r="C3729" s="26"/>
      <c r="M3729" s="71"/>
    </row>
    <row r="3730" spans="1:13" x14ac:dyDescent="0.25">
      <c r="A3730" s="2"/>
      <c r="B3730" s="11"/>
      <c r="C3730" s="26"/>
      <c r="M3730" s="71"/>
    </row>
    <row r="3731" spans="1:13" x14ac:dyDescent="0.25">
      <c r="A3731" s="2"/>
      <c r="B3731" s="11"/>
      <c r="C3731" s="26"/>
      <c r="M3731" s="71"/>
    </row>
    <row r="3732" spans="1:13" x14ac:dyDescent="0.25">
      <c r="A3732" s="2"/>
      <c r="B3732" s="11"/>
      <c r="C3732" s="26"/>
      <c r="M3732" s="71"/>
    </row>
    <row r="3733" spans="1:13" x14ac:dyDescent="0.25">
      <c r="A3733" s="2"/>
      <c r="B3733" s="11"/>
      <c r="C3733" s="26"/>
      <c r="M3733" s="71"/>
    </row>
    <row r="3734" spans="1:13" x14ac:dyDescent="0.25">
      <c r="A3734" s="2"/>
      <c r="B3734" s="11"/>
      <c r="C3734" s="26"/>
      <c r="M3734" s="71"/>
    </row>
    <row r="3735" spans="1:13" x14ac:dyDescent="0.25">
      <c r="A3735" s="2"/>
      <c r="B3735" s="11"/>
      <c r="C3735" s="26"/>
      <c r="M3735" s="71"/>
    </row>
    <row r="3736" spans="1:13" x14ac:dyDescent="0.25">
      <c r="A3736" s="2"/>
      <c r="B3736" s="11"/>
      <c r="C3736" s="26"/>
      <c r="M3736" s="71"/>
    </row>
    <row r="3737" spans="1:13" x14ac:dyDescent="0.25">
      <c r="A3737" s="2"/>
      <c r="B3737" s="11"/>
      <c r="C3737" s="26"/>
      <c r="M3737" s="71"/>
    </row>
    <row r="3738" spans="1:13" x14ac:dyDescent="0.25">
      <c r="A3738" s="2"/>
      <c r="B3738" s="11"/>
      <c r="C3738" s="26"/>
      <c r="M3738" s="71"/>
    </row>
    <row r="3739" spans="1:13" x14ac:dyDescent="0.25">
      <c r="A3739" s="2"/>
      <c r="B3739" s="11"/>
      <c r="C3739" s="26"/>
      <c r="M3739" s="71"/>
    </row>
    <row r="3740" spans="1:13" x14ac:dyDescent="0.25">
      <c r="A3740" s="2"/>
      <c r="B3740" s="11"/>
      <c r="C3740" s="26"/>
      <c r="M3740" s="71"/>
    </row>
    <row r="3741" spans="1:13" x14ac:dyDescent="0.25">
      <c r="A3741" s="2"/>
      <c r="B3741" s="11"/>
      <c r="C3741" s="26"/>
      <c r="M3741" s="71"/>
    </row>
    <row r="3742" spans="1:13" x14ac:dyDescent="0.25">
      <c r="A3742" s="2"/>
      <c r="B3742" s="11"/>
      <c r="C3742" s="26"/>
      <c r="M3742" s="71"/>
    </row>
    <row r="3743" spans="1:13" x14ac:dyDescent="0.25">
      <c r="A3743" s="2"/>
      <c r="B3743" s="11"/>
      <c r="C3743" s="26"/>
      <c r="M3743" s="71"/>
    </row>
    <row r="3744" spans="1:13" x14ac:dyDescent="0.25">
      <c r="A3744" s="2"/>
      <c r="B3744" s="11"/>
      <c r="C3744" s="26"/>
      <c r="M3744" s="71"/>
    </row>
    <row r="3745" spans="1:13" x14ac:dyDescent="0.25">
      <c r="A3745" s="2"/>
      <c r="B3745" s="11"/>
      <c r="C3745" s="26"/>
      <c r="M3745" s="71"/>
    </row>
    <row r="3746" spans="1:13" x14ac:dyDescent="0.25">
      <c r="A3746" s="2"/>
      <c r="B3746" s="11"/>
      <c r="C3746" s="26"/>
      <c r="M3746" s="71"/>
    </row>
    <row r="3747" spans="1:13" x14ac:dyDescent="0.25">
      <c r="A3747" s="2"/>
      <c r="B3747" s="11"/>
      <c r="C3747" s="26"/>
      <c r="M3747" s="71"/>
    </row>
    <row r="3748" spans="1:13" x14ac:dyDescent="0.25">
      <c r="A3748" s="2"/>
      <c r="B3748" s="11"/>
      <c r="C3748" s="26"/>
      <c r="M3748" s="71"/>
    </row>
    <row r="3749" spans="1:13" x14ac:dyDescent="0.25">
      <c r="A3749" s="2"/>
      <c r="B3749" s="11"/>
      <c r="C3749" s="26"/>
      <c r="M3749" s="71"/>
    </row>
    <row r="3750" spans="1:13" x14ac:dyDescent="0.25">
      <c r="A3750" s="2"/>
      <c r="B3750" s="11"/>
      <c r="C3750" s="26"/>
      <c r="M3750" s="71"/>
    </row>
    <row r="3751" spans="1:13" x14ac:dyDescent="0.25">
      <c r="A3751" s="2"/>
      <c r="B3751" s="11"/>
      <c r="C3751" s="26"/>
      <c r="M3751" s="71"/>
    </row>
    <row r="3752" spans="1:13" x14ac:dyDescent="0.25">
      <c r="A3752" s="2"/>
      <c r="B3752" s="11"/>
      <c r="C3752" s="26"/>
      <c r="M3752" s="71"/>
    </row>
    <row r="3753" spans="1:13" x14ac:dyDescent="0.25">
      <c r="A3753" s="2"/>
      <c r="B3753" s="11"/>
      <c r="C3753" s="26"/>
      <c r="M3753" s="71"/>
    </row>
    <row r="3754" spans="1:13" x14ac:dyDescent="0.25">
      <c r="A3754" s="2"/>
      <c r="B3754" s="11"/>
      <c r="C3754" s="26"/>
      <c r="M3754" s="71"/>
    </row>
    <row r="3755" spans="1:13" x14ac:dyDescent="0.25">
      <c r="A3755" s="2"/>
      <c r="B3755" s="11"/>
      <c r="C3755" s="26"/>
      <c r="M3755" s="71"/>
    </row>
    <row r="3756" spans="1:13" x14ac:dyDescent="0.25">
      <c r="A3756" s="2"/>
      <c r="B3756" s="11"/>
      <c r="C3756" s="26"/>
      <c r="M3756" s="71"/>
    </row>
    <row r="3757" spans="1:13" x14ac:dyDescent="0.25">
      <c r="A3757" s="2"/>
      <c r="B3757" s="11"/>
      <c r="C3757" s="26"/>
      <c r="M3757" s="71"/>
    </row>
    <row r="3758" spans="1:13" x14ac:dyDescent="0.25">
      <c r="A3758" s="2"/>
      <c r="B3758" s="11"/>
      <c r="C3758" s="26"/>
      <c r="M3758" s="71"/>
    </row>
    <row r="3759" spans="1:13" x14ac:dyDescent="0.25">
      <c r="A3759" s="2"/>
      <c r="B3759" s="11"/>
      <c r="C3759" s="26"/>
      <c r="M3759" s="71"/>
    </row>
    <row r="3760" spans="1:13" x14ac:dyDescent="0.25">
      <c r="A3760" s="2"/>
      <c r="B3760" s="11"/>
      <c r="C3760" s="26"/>
      <c r="M3760" s="71"/>
    </row>
    <row r="3761" spans="1:13" x14ac:dyDescent="0.25">
      <c r="A3761" s="2"/>
      <c r="B3761" s="11"/>
      <c r="C3761" s="26"/>
      <c r="M3761" s="71"/>
    </row>
    <row r="3762" spans="1:13" x14ac:dyDescent="0.25">
      <c r="A3762" s="2"/>
      <c r="B3762" s="11"/>
      <c r="C3762" s="26"/>
      <c r="M3762" s="71"/>
    </row>
    <row r="3763" spans="1:13" x14ac:dyDescent="0.25">
      <c r="A3763" s="2"/>
      <c r="B3763" s="11"/>
      <c r="C3763" s="26"/>
      <c r="M3763" s="71"/>
    </row>
    <row r="3764" spans="1:13" x14ac:dyDescent="0.25">
      <c r="A3764" s="2"/>
      <c r="B3764" s="11"/>
      <c r="C3764" s="26"/>
      <c r="M3764" s="71"/>
    </row>
    <row r="3765" spans="1:13" x14ac:dyDescent="0.25">
      <c r="A3765" s="2"/>
      <c r="B3765" s="11"/>
      <c r="C3765" s="26"/>
      <c r="M3765" s="71"/>
    </row>
    <row r="3766" spans="1:13" x14ac:dyDescent="0.25">
      <c r="A3766" s="2"/>
      <c r="B3766" s="11"/>
      <c r="C3766" s="26"/>
      <c r="M3766" s="71"/>
    </row>
    <row r="3767" spans="1:13" x14ac:dyDescent="0.25">
      <c r="A3767" s="2"/>
      <c r="B3767" s="11"/>
      <c r="C3767" s="26"/>
      <c r="M3767" s="71"/>
    </row>
    <row r="3768" spans="1:13" x14ac:dyDescent="0.25">
      <c r="A3768" s="2"/>
      <c r="B3768" s="11"/>
      <c r="C3768" s="26"/>
      <c r="M3768" s="71"/>
    </row>
    <row r="3769" spans="1:13" x14ac:dyDescent="0.25">
      <c r="A3769" s="2"/>
      <c r="B3769" s="11"/>
      <c r="C3769" s="26"/>
      <c r="M3769" s="71"/>
    </row>
    <row r="3770" spans="1:13" x14ac:dyDescent="0.25">
      <c r="A3770" s="2"/>
      <c r="B3770" s="11"/>
      <c r="C3770" s="26"/>
      <c r="M3770" s="71"/>
    </row>
    <row r="3771" spans="1:13" x14ac:dyDescent="0.25">
      <c r="A3771" s="2"/>
      <c r="B3771" s="11"/>
      <c r="C3771" s="26"/>
      <c r="M3771" s="71"/>
    </row>
    <row r="3772" spans="1:13" x14ac:dyDescent="0.25">
      <c r="A3772" s="2"/>
      <c r="B3772" s="11"/>
      <c r="C3772" s="26"/>
      <c r="M3772" s="71"/>
    </row>
    <row r="3773" spans="1:13" x14ac:dyDescent="0.25">
      <c r="A3773" s="2"/>
      <c r="B3773" s="11"/>
      <c r="C3773" s="26"/>
      <c r="M3773" s="71"/>
    </row>
    <row r="3774" spans="1:13" x14ac:dyDescent="0.25">
      <c r="A3774" s="2"/>
      <c r="B3774" s="11"/>
      <c r="C3774" s="26"/>
      <c r="M3774" s="71"/>
    </row>
    <row r="3775" spans="1:13" x14ac:dyDescent="0.25">
      <c r="A3775" s="2"/>
      <c r="B3775" s="11"/>
      <c r="C3775" s="26"/>
      <c r="M3775" s="71"/>
    </row>
    <row r="3776" spans="1:13" x14ac:dyDescent="0.25">
      <c r="A3776" s="2"/>
      <c r="B3776" s="11"/>
      <c r="C3776" s="26"/>
      <c r="M3776" s="71"/>
    </row>
    <row r="3777" spans="1:13" x14ac:dyDescent="0.25">
      <c r="A3777" s="2"/>
      <c r="B3777" s="11"/>
      <c r="C3777" s="26"/>
      <c r="M3777" s="71"/>
    </row>
    <row r="3778" spans="1:13" x14ac:dyDescent="0.25">
      <c r="A3778" s="2"/>
      <c r="B3778" s="11"/>
      <c r="C3778" s="26"/>
      <c r="M3778" s="71"/>
    </row>
    <row r="3779" spans="1:13" x14ac:dyDescent="0.25">
      <c r="A3779" s="2"/>
      <c r="B3779" s="11"/>
      <c r="C3779" s="26"/>
      <c r="M3779" s="71"/>
    </row>
    <row r="3780" spans="1:13" x14ac:dyDescent="0.25">
      <c r="A3780" s="2"/>
      <c r="B3780" s="11"/>
      <c r="C3780" s="26"/>
      <c r="M3780" s="71"/>
    </row>
    <row r="3781" spans="1:13" x14ac:dyDescent="0.25">
      <c r="A3781" s="2"/>
      <c r="B3781" s="11"/>
      <c r="C3781" s="26"/>
      <c r="M3781" s="71"/>
    </row>
    <row r="3782" spans="1:13" x14ac:dyDescent="0.25">
      <c r="A3782" s="2"/>
      <c r="B3782" s="11"/>
      <c r="C3782" s="26"/>
      <c r="M3782" s="71"/>
    </row>
    <row r="3783" spans="1:13" x14ac:dyDescent="0.25">
      <c r="A3783" s="2"/>
      <c r="B3783" s="11"/>
      <c r="C3783" s="26"/>
      <c r="M3783" s="71"/>
    </row>
    <row r="3784" spans="1:13" x14ac:dyDescent="0.25">
      <c r="A3784" s="2"/>
      <c r="B3784" s="11"/>
      <c r="C3784" s="26"/>
      <c r="M3784" s="71"/>
    </row>
    <row r="3785" spans="1:13" x14ac:dyDescent="0.25">
      <c r="A3785" s="2"/>
      <c r="B3785" s="11"/>
      <c r="C3785" s="26"/>
      <c r="M3785" s="71"/>
    </row>
    <row r="3786" spans="1:13" x14ac:dyDescent="0.25">
      <c r="A3786" s="2"/>
      <c r="B3786" s="11"/>
      <c r="C3786" s="26"/>
      <c r="M3786" s="71"/>
    </row>
    <row r="3787" spans="1:13" x14ac:dyDescent="0.25">
      <c r="A3787" s="2"/>
      <c r="B3787" s="11"/>
      <c r="C3787" s="26"/>
      <c r="M3787" s="71"/>
    </row>
    <row r="3788" spans="1:13" x14ac:dyDescent="0.25">
      <c r="A3788" s="2"/>
      <c r="B3788" s="11"/>
      <c r="C3788" s="26"/>
      <c r="M3788" s="71"/>
    </row>
    <row r="3789" spans="1:13" x14ac:dyDescent="0.25">
      <c r="A3789" s="2"/>
      <c r="B3789" s="11"/>
      <c r="C3789" s="26"/>
      <c r="M3789" s="71"/>
    </row>
    <row r="3790" spans="1:13" x14ac:dyDescent="0.25">
      <c r="A3790" s="2"/>
      <c r="B3790" s="11"/>
      <c r="C3790" s="26"/>
      <c r="M3790" s="71"/>
    </row>
    <row r="3791" spans="1:13" x14ac:dyDescent="0.25">
      <c r="A3791" s="2"/>
      <c r="B3791" s="11"/>
      <c r="C3791" s="26"/>
      <c r="M3791" s="71"/>
    </row>
    <row r="3792" spans="1:13" x14ac:dyDescent="0.25">
      <c r="A3792" s="2"/>
      <c r="B3792" s="11"/>
      <c r="C3792" s="26"/>
      <c r="M3792" s="71"/>
    </row>
    <row r="3793" spans="1:13" x14ac:dyDescent="0.25">
      <c r="A3793" s="2"/>
      <c r="B3793" s="11"/>
      <c r="C3793" s="26"/>
      <c r="M3793" s="71"/>
    </row>
    <row r="3794" spans="1:13" x14ac:dyDescent="0.25">
      <c r="A3794" s="2"/>
      <c r="B3794" s="11"/>
      <c r="C3794" s="26"/>
      <c r="M3794" s="71"/>
    </row>
    <row r="3795" spans="1:13" x14ac:dyDescent="0.25">
      <c r="A3795" s="2"/>
      <c r="B3795" s="11"/>
      <c r="C3795" s="26"/>
      <c r="M3795" s="71"/>
    </row>
    <row r="3796" spans="1:13" x14ac:dyDescent="0.25">
      <c r="A3796" s="2"/>
      <c r="B3796" s="11"/>
      <c r="C3796" s="26"/>
      <c r="M3796" s="71"/>
    </row>
    <row r="3797" spans="1:13" x14ac:dyDescent="0.25">
      <c r="A3797" s="2"/>
      <c r="B3797" s="11"/>
      <c r="C3797" s="26"/>
      <c r="M3797" s="71"/>
    </row>
    <row r="3798" spans="1:13" x14ac:dyDescent="0.25">
      <c r="A3798" s="2"/>
      <c r="B3798" s="11"/>
      <c r="C3798" s="26"/>
      <c r="M3798" s="71"/>
    </row>
    <row r="3799" spans="1:13" x14ac:dyDescent="0.25">
      <c r="A3799" s="2"/>
      <c r="B3799" s="11"/>
      <c r="C3799" s="26"/>
      <c r="M3799" s="71"/>
    </row>
    <row r="3800" spans="1:13" x14ac:dyDescent="0.25">
      <c r="A3800" s="2"/>
      <c r="B3800" s="11"/>
      <c r="C3800" s="26"/>
      <c r="M3800" s="71"/>
    </row>
    <row r="3801" spans="1:13" x14ac:dyDescent="0.25">
      <c r="A3801" s="2"/>
      <c r="B3801" s="11"/>
      <c r="C3801" s="26"/>
      <c r="M3801" s="71"/>
    </row>
    <row r="3802" spans="1:13" x14ac:dyDescent="0.25">
      <c r="A3802" s="2"/>
      <c r="B3802" s="11"/>
      <c r="C3802" s="26"/>
      <c r="M3802" s="71"/>
    </row>
    <row r="3803" spans="1:13" x14ac:dyDescent="0.25">
      <c r="A3803" s="2"/>
      <c r="B3803" s="11"/>
      <c r="C3803" s="26"/>
      <c r="M3803" s="71"/>
    </row>
    <row r="3804" spans="1:13" x14ac:dyDescent="0.25">
      <c r="A3804" s="2"/>
      <c r="B3804" s="11"/>
      <c r="C3804" s="26"/>
      <c r="M3804" s="71"/>
    </row>
    <row r="3805" spans="1:13" x14ac:dyDescent="0.25">
      <c r="A3805" s="2"/>
      <c r="B3805" s="11"/>
      <c r="C3805" s="26"/>
      <c r="M3805" s="71"/>
    </row>
    <row r="3806" spans="1:13" x14ac:dyDescent="0.25">
      <c r="A3806" s="2"/>
      <c r="B3806" s="11"/>
      <c r="C3806" s="26"/>
      <c r="M3806" s="71"/>
    </row>
    <row r="3807" spans="1:13" x14ac:dyDescent="0.25">
      <c r="A3807" s="2"/>
      <c r="B3807" s="11"/>
      <c r="C3807" s="26"/>
      <c r="M3807" s="71"/>
    </row>
    <row r="3808" spans="1:13" x14ac:dyDescent="0.25">
      <c r="A3808" s="2"/>
      <c r="B3808" s="11"/>
      <c r="C3808" s="26"/>
      <c r="M3808" s="71"/>
    </row>
    <row r="3809" spans="1:13" x14ac:dyDescent="0.25">
      <c r="A3809" s="2"/>
      <c r="B3809" s="11"/>
      <c r="C3809" s="26"/>
      <c r="M3809" s="71"/>
    </row>
    <row r="3810" spans="1:13" x14ac:dyDescent="0.25">
      <c r="A3810" s="2"/>
      <c r="B3810" s="11"/>
      <c r="C3810" s="26"/>
      <c r="M3810" s="71"/>
    </row>
    <row r="3811" spans="1:13" x14ac:dyDescent="0.25">
      <c r="A3811" s="2"/>
      <c r="B3811" s="11"/>
      <c r="C3811" s="26"/>
      <c r="M3811" s="71"/>
    </row>
    <row r="3812" spans="1:13" x14ac:dyDescent="0.25">
      <c r="A3812" s="2"/>
      <c r="B3812" s="11"/>
      <c r="C3812" s="26"/>
      <c r="M3812" s="71"/>
    </row>
    <row r="3813" spans="1:13" x14ac:dyDescent="0.25">
      <c r="A3813" s="2"/>
      <c r="B3813" s="11"/>
      <c r="C3813" s="26"/>
      <c r="M3813" s="71"/>
    </row>
    <row r="3814" spans="1:13" x14ac:dyDescent="0.25">
      <c r="A3814" s="2"/>
      <c r="B3814" s="11"/>
      <c r="C3814" s="26"/>
      <c r="M3814" s="71"/>
    </row>
    <row r="3815" spans="1:13" x14ac:dyDescent="0.25">
      <c r="A3815" s="2"/>
      <c r="B3815" s="11"/>
      <c r="C3815" s="26"/>
      <c r="M3815" s="71"/>
    </row>
    <row r="3816" spans="1:13" x14ac:dyDescent="0.25">
      <c r="A3816" s="2"/>
      <c r="B3816" s="11"/>
      <c r="C3816" s="26"/>
      <c r="M3816" s="71"/>
    </row>
    <row r="3817" spans="1:13" x14ac:dyDescent="0.25">
      <c r="A3817" s="2"/>
      <c r="B3817" s="11"/>
      <c r="C3817" s="26"/>
      <c r="M3817" s="71"/>
    </row>
    <row r="3818" spans="1:13" x14ac:dyDescent="0.25">
      <c r="A3818" s="2"/>
      <c r="B3818" s="11"/>
      <c r="C3818" s="26"/>
      <c r="M3818" s="71"/>
    </row>
    <row r="3819" spans="1:13" x14ac:dyDescent="0.25">
      <c r="A3819" s="2"/>
      <c r="B3819" s="11"/>
      <c r="C3819" s="26"/>
      <c r="M3819" s="71"/>
    </row>
    <row r="3820" spans="1:13" x14ac:dyDescent="0.25">
      <c r="A3820" s="2"/>
      <c r="B3820" s="11"/>
      <c r="C3820" s="26"/>
      <c r="M3820" s="71"/>
    </row>
    <row r="3821" spans="1:13" x14ac:dyDescent="0.25">
      <c r="A3821" s="2"/>
      <c r="B3821" s="11"/>
      <c r="C3821" s="26"/>
      <c r="M3821" s="71"/>
    </row>
    <row r="3822" spans="1:13" x14ac:dyDescent="0.25">
      <c r="A3822" s="2"/>
      <c r="B3822" s="11"/>
      <c r="C3822" s="26"/>
      <c r="M3822" s="71"/>
    </row>
    <row r="3823" spans="1:13" x14ac:dyDescent="0.25">
      <c r="A3823" s="2"/>
      <c r="B3823" s="11"/>
      <c r="C3823" s="26"/>
      <c r="M3823" s="71"/>
    </row>
    <row r="3824" spans="1:13" x14ac:dyDescent="0.25">
      <c r="A3824" s="2"/>
      <c r="B3824" s="11"/>
      <c r="C3824" s="26"/>
      <c r="M3824" s="71"/>
    </row>
    <row r="3825" spans="1:13" x14ac:dyDescent="0.25">
      <c r="A3825" s="2"/>
      <c r="B3825" s="11"/>
      <c r="C3825" s="26"/>
      <c r="M3825" s="71"/>
    </row>
    <row r="3826" spans="1:13" x14ac:dyDescent="0.25">
      <c r="A3826" s="2"/>
      <c r="B3826" s="11"/>
      <c r="C3826" s="26"/>
      <c r="M3826" s="71"/>
    </row>
    <row r="3827" spans="1:13" x14ac:dyDescent="0.25">
      <c r="A3827" s="2"/>
      <c r="B3827" s="11"/>
      <c r="C3827" s="26"/>
      <c r="M3827" s="71"/>
    </row>
    <row r="3828" spans="1:13" x14ac:dyDescent="0.25">
      <c r="A3828" s="2"/>
      <c r="B3828" s="11"/>
      <c r="C3828" s="26"/>
      <c r="M3828" s="71"/>
    </row>
    <row r="3829" spans="1:13" x14ac:dyDescent="0.25">
      <c r="A3829" s="2"/>
      <c r="B3829" s="11"/>
      <c r="C3829" s="26"/>
      <c r="M3829" s="71"/>
    </row>
    <row r="3830" spans="1:13" x14ac:dyDescent="0.25">
      <c r="A3830" s="2"/>
      <c r="B3830" s="11"/>
      <c r="C3830" s="26"/>
      <c r="M3830" s="71"/>
    </row>
    <row r="3831" spans="1:13" x14ac:dyDescent="0.25">
      <c r="A3831" s="2"/>
      <c r="B3831" s="11"/>
      <c r="C3831" s="26"/>
      <c r="M3831" s="71"/>
    </row>
    <row r="3832" spans="1:13" x14ac:dyDescent="0.25">
      <c r="A3832" s="2"/>
      <c r="B3832" s="11"/>
      <c r="C3832" s="26"/>
      <c r="M3832" s="71"/>
    </row>
    <row r="3833" spans="1:13" x14ac:dyDescent="0.25">
      <c r="A3833" s="2"/>
      <c r="B3833" s="11"/>
      <c r="C3833" s="26"/>
      <c r="M3833" s="71"/>
    </row>
    <row r="3834" spans="1:13" x14ac:dyDescent="0.25">
      <c r="A3834" s="2"/>
      <c r="B3834" s="11"/>
      <c r="C3834" s="26"/>
      <c r="M3834" s="71"/>
    </row>
    <row r="3835" spans="1:13" x14ac:dyDescent="0.25">
      <c r="A3835" s="2"/>
      <c r="B3835" s="11"/>
      <c r="C3835" s="26"/>
      <c r="M3835" s="71"/>
    </row>
    <row r="3836" spans="1:13" x14ac:dyDescent="0.25">
      <c r="A3836" s="2"/>
      <c r="B3836" s="11"/>
      <c r="C3836" s="26"/>
      <c r="M3836" s="71"/>
    </row>
    <row r="3837" spans="1:13" x14ac:dyDescent="0.25">
      <c r="A3837" s="2"/>
      <c r="B3837" s="11"/>
      <c r="C3837" s="26"/>
      <c r="M3837" s="71"/>
    </row>
    <row r="3838" spans="1:13" x14ac:dyDescent="0.25">
      <c r="A3838" s="2"/>
      <c r="B3838" s="11"/>
      <c r="C3838" s="26"/>
      <c r="M3838" s="71"/>
    </row>
    <row r="3839" spans="1:13" x14ac:dyDescent="0.25">
      <c r="A3839" s="2"/>
      <c r="B3839" s="11"/>
      <c r="C3839" s="26"/>
      <c r="M3839" s="71"/>
    </row>
    <row r="3840" spans="1:13" x14ac:dyDescent="0.25">
      <c r="A3840" s="2"/>
      <c r="B3840" s="11"/>
      <c r="C3840" s="26"/>
      <c r="M3840" s="71"/>
    </row>
    <row r="3841" spans="1:13" x14ac:dyDescent="0.25">
      <c r="A3841" s="2"/>
      <c r="B3841" s="11"/>
      <c r="C3841" s="26"/>
      <c r="M3841" s="71"/>
    </row>
    <row r="3842" spans="1:13" x14ac:dyDescent="0.25">
      <c r="A3842" s="2"/>
      <c r="B3842" s="11"/>
      <c r="C3842" s="26"/>
      <c r="M3842" s="71"/>
    </row>
    <row r="3843" spans="1:13" x14ac:dyDescent="0.25">
      <c r="A3843" s="2"/>
      <c r="B3843" s="11"/>
      <c r="C3843" s="26"/>
      <c r="M3843" s="71"/>
    </row>
    <row r="3844" spans="1:13" x14ac:dyDescent="0.25">
      <c r="A3844" s="2"/>
      <c r="B3844" s="11"/>
      <c r="C3844" s="26"/>
      <c r="M3844" s="71"/>
    </row>
    <row r="3845" spans="1:13" x14ac:dyDescent="0.25">
      <c r="A3845" s="2"/>
      <c r="B3845" s="11"/>
      <c r="C3845" s="26"/>
      <c r="M3845" s="71"/>
    </row>
    <row r="3846" spans="1:13" x14ac:dyDescent="0.25">
      <c r="A3846" s="2"/>
      <c r="B3846" s="11"/>
      <c r="C3846" s="26"/>
      <c r="M3846" s="71"/>
    </row>
    <row r="3847" spans="1:13" x14ac:dyDescent="0.25">
      <c r="A3847" s="2"/>
      <c r="B3847" s="11"/>
      <c r="C3847" s="26"/>
      <c r="M3847" s="71"/>
    </row>
    <row r="3848" spans="1:13" x14ac:dyDescent="0.25">
      <c r="A3848" s="2"/>
      <c r="B3848" s="11"/>
      <c r="C3848" s="26"/>
      <c r="M3848" s="71"/>
    </row>
    <row r="3849" spans="1:13" x14ac:dyDescent="0.25">
      <c r="A3849" s="2"/>
      <c r="B3849" s="11"/>
      <c r="C3849" s="26"/>
      <c r="M3849" s="71"/>
    </row>
    <row r="3850" spans="1:13" x14ac:dyDescent="0.25">
      <c r="A3850" s="2"/>
      <c r="B3850" s="11"/>
      <c r="C3850" s="26"/>
      <c r="M3850" s="71"/>
    </row>
    <row r="3851" spans="1:13" x14ac:dyDescent="0.25">
      <c r="A3851" s="2"/>
      <c r="B3851" s="11"/>
      <c r="C3851" s="26"/>
      <c r="M3851" s="71"/>
    </row>
    <row r="3852" spans="1:13" x14ac:dyDescent="0.25">
      <c r="A3852" s="2"/>
      <c r="B3852" s="11"/>
      <c r="C3852" s="26"/>
      <c r="M3852" s="71"/>
    </row>
    <row r="3853" spans="1:13" x14ac:dyDescent="0.25">
      <c r="A3853" s="2"/>
      <c r="B3853" s="11"/>
      <c r="C3853" s="26"/>
      <c r="M3853" s="71"/>
    </row>
    <row r="3854" spans="1:13" x14ac:dyDescent="0.25">
      <c r="A3854" s="2"/>
      <c r="B3854" s="11"/>
      <c r="C3854" s="26"/>
      <c r="M3854" s="71"/>
    </row>
    <row r="3855" spans="1:13" x14ac:dyDescent="0.25">
      <c r="A3855" s="2"/>
      <c r="B3855" s="11"/>
      <c r="C3855" s="26"/>
      <c r="M3855" s="71"/>
    </row>
    <row r="3856" spans="1:13" x14ac:dyDescent="0.25">
      <c r="A3856" s="2"/>
      <c r="B3856" s="11"/>
      <c r="C3856" s="26"/>
      <c r="M3856" s="71"/>
    </row>
    <row r="3857" spans="1:13" x14ac:dyDescent="0.25">
      <c r="A3857" s="2"/>
      <c r="B3857" s="11"/>
      <c r="C3857" s="26"/>
      <c r="M3857" s="71"/>
    </row>
    <row r="3858" spans="1:13" x14ac:dyDescent="0.25">
      <c r="A3858" s="2"/>
      <c r="B3858" s="11"/>
      <c r="C3858" s="26"/>
      <c r="M3858" s="71"/>
    </row>
    <row r="3859" spans="1:13" x14ac:dyDescent="0.25">
      <c r="A3859" s="2"/>
      <c r="B3859" s="11"/>
      <c r="C3859" s="26"/>
      <c r="M3859" s="71"/>
    </row>
    <row r="3860" spans="1:13" x14ac:dyDescent="0.25">
      <c r="A3860" s="2"/>
      <c r="B3860" s="11"/>
      <c r="C3860" s="26"/>
      <c r="M3860" s="71"/>
    </row>
    <row r="3861" spans="1:13" x14ac:dyDescent="0.25">
      <c r="A3861" s="2"/>
      <c r="B3861" s="11"/>
      <c r="C3861" s="26"/>
      <c r="M3861" s="71"/>
    </row>
    <row r="3862" spans="1:13" x14ac:dyDescent="0.25">
      <c r="A3862" s="2"/>
      <c r="B3862" s="11"/>
      <c r="C3862" s="26"/>
      <c r="M3862" s="71"/>
    </row>
    <row r="3863" spans="1:13" x14ac:dyDescent="0.25">
      <c r="A3863" s="2"/>
      <c r="B3863" s="11"/>
      <c r="C3863" s="26"/>
      <c r="M3863" s="71"/>
    </row>
    <row r="3864" spans="1:13" x14ac:dyDescent="0.25">
      <c r="A3864" s="2"/>
      <c r="B3864" s="11"/>
      <c r="C3864" s="26"/>
      <c r="M3864" s="71"/>
    </row>
    <row r="3865" spans="1:13" x14ac:dyDescent="0.25">
      <c r="A3865" s="2"/>
      <c r="B3865" s="11"/>
      <c r="C3865" s="26"/>
      <c r="M3865" s="71"/>
    </row>
    <row r="3866" spans="1:13" x14ac:dyDescent="0.25">
      <c r="A3866" s="2"/>
      <c r="B3866" s="11"/>
      <c r="C3866" s="26"/>
      <c r="M3866" s="71"/>
    </row>
    <row r="3867" spans="1:13" x14ac:dyDescent="0.25">
      <c r="A3867" s="2"/>
      <c r="B3867" s="11"/>
      <c r="C3867" s="26"/>
      <c r="M3867" s="71"/>
    </row>
    <row r="3868" spans="1:13" x14ac:dyDescent="0.25">
      <c r="A3868" s="2"/>
      <c r="B3868" s="11"/>
      <c r="C3868" s="26"/>
      <c r="M3868" s="71"/>
    </row>
    <row r="3869" spans="1:13" x14ac:dyDescent="0.25">
      <c r="A3869" s="2"/>
      <c r="B3869" s="11"/>
      <c r="C3869" s="26"/>
      <c r="M3869" s="71"/>
    </row>
    <row r="3870" spans="1:13" x14ac:dyDescent="0.25">
      <c r="A3870" s="2"/>
      <c r="B3870" s="11"/>
      <c r="C3870" s="26"/>
      <c r="M3870" s="71"/>
    </row>
    <row r="3871" spans="1:13" x14ac:dyDescent="0.25">
      <c r="A3871" s="2"/>
      <c r="B3871" s="11"/>
      <c r="C3871" s="26"/>
      <c r="M3871" s="71"/>
    </row>
    <row r="3872" spans="1:13" x14ac:dyDescent="0.25">
      <c r="A3872" s="2"/>
      <c r="B3872" s="11"/>
      <c r="C3872" s="26"/>
      <c r="M3872" s="71"/>
    </row>
    <row r="3873" spans="1:13" x14ac:dyDescent="0.25">
      <c r="A3873" s="2"/>
      <c r="B3873" s="11"/>
      <c r="C3873" s="26"/>
      <c r="M3873" s="71"/>
    </row>
    <row r="3874" spans="1:13" x14ac:dyDescent="0.25">
      <c r="A3874" s="2"/>
      <c r="B3874" s="11"/>
      <c r="C3874" s="26"/>
      <c r="M3874" s="71"/>
    </row>
    <row r="3875" spans="1:13" x14ac:dyDescent="0.25">
      <c r="A3875" s="2"/>
      <c r="B3875" s="11"/>
      <c r="C3875" s="26"/>
      <c r="M3875" s="71"/>
    </row>
    <row r="3876" spans="1:13" x14ac:dyDescent="0.25">
      <c r="A3876" s="2"/>
      <c r="B3876" s="11"/>
      <c r="C3876" s="26"/>
      <c r="M3876" s="71"/>
    </row>
    <row r="3877" spans="1:13" x14ac:dyDescent="0.25">
      <c r="A3877" s="2"/>
      <c r="B3877" s="11"/>
      <c r="C3877" s="26"/>
      <c r="M3877" s="71"/>
    </row>
    <row r="3878" spans="1:13" x14ac:dyDescent="0.25">
      <c r="A3878" s="2"/>
      <c r="B3878" s="11"/>
      <c r="C3878" s="26"/>
      <c r="M3878" s="71"/>
    </row>
    <row r="3879" spans="1:13" x14ac:dyDescent="0.25">
      <c r="A3879" s="2"/>
      <c r="B3879" s="11"/>
      <c r="C3879" s="26"/>
      <c r="M3879" s="71"/>
    </row>
    <row r="3880" spans="1:13" x14ac:dyDescent="0.25">
      <c r="A3880" s="2"/>
      <c r="B3880" s="11"/>
      <c r="C3880" s="26"/>
      <c r="M3880" s="71"/>
    </row>
    <row r="3881" spans="1:13" x14ac:dyDescent="0.25">
      <c r="A3881" s="2"/>
      <c r="B3881" s="11"/>
      <c r="C3881" s="26"/>
      <c r="M3881" s="71"/>
    </row>
    <row r="3882" spans="1:13" x14ac:dyDescent="0.25">
      <c r="A3882" s="2"/>
      <c r="B3882" s="11"/>
      <c r="C3882" s="26"/>
      <c r="M3882" s="71"/>
    </row>
    <row r="3883" spans="1:13" x14ac:dyDescent="0.25">
      <c r="A3883" s="2"/>
      <c r="B3883" s="11"/>
      <c r="C3883" s="26"/>
      <c r="M3883" s="71"/>
    </row>
    <row r="3884" spans="1:13" x14ac:dyDescent="0.25">
      <c r="A3884" s="2"/>
      <c r="B3884" s="11"/>
      <c r="C3884" s="26"/>
      <c r="M3884" s="71"/>
    </row>
    <row r="3885" spans="1:13" x14ac:dyDescent="0.25">
      <c r="A3885" s="2"/>
      <c r="B3885" s="11"/>
      <c r="C3885" s="26"/>
      <c r="M3885" s="71"/>
    </row>
    <row r="3886" spans="1:13" x14ac:dyDescent="0.25">
      <c r="A3886" s="2"/>
      <c r="B3886" s="11"/>
      <c r="C3886" s="26"/>
      <c r="M3886" s="71"/>
    </row>
    <row r="3887" spans="1:13" x14ac:dyDescent="0.25">
      <c r="A3887" s="2"/>
      <c r="B3887" s="11"/>
      <c r="C3887" s="26"/>
      <c r="M3887" s="71"/>
    </row>
    <row r="3888" spans="1:13" x14ac:dyDescent="0.25">
      <c r="A3888" s="2"/>
      <c r="B3888" s="11"/>
      <c r="C3888" s="26"/>
      <c r="M3888" s="71"/>
    </row>
    <row r="3889" spans="1:13" x14ac:dyDescent="0.25">
      <c r="A3889" s="2"/>
      <c r="B3889" s="11"/>
      <c r="C3889" s="26"/>
      <c r="M3889" s="71"/>
    </row>
    <row r="3890" spans="1:13" x14ac:dyDescent="0.25">
      <c r="A3890" s="2"/>
      <c r="B3890" s="11"/>
      <c r="C3890" s="26"/>
      <c r="M3890" s="71"/>
    </row>
    <row r="3891" spans="1:13" x14ac:dyDescent="0.25">
      <c r="A3891" s="2"/>
      <c r="B3891" s="11"/>
      <c r="C3891" s="26"/>
      <c r="M3891" s="71"/>
    </row>
    <row r="3892" spans="1:13" x14ac:dyDescent="0.25">
      <c r="A3892" s="2"/>
      <c r="B3892" s="11"/>
      <c r="C3892" s="26"/>
      <c r="M3892" s="71"/>
    </row>
    <row r="3893" spans="1:13" x14ac:dyDescent="0.25">
      <c r="A3893" s="2"/>
      <c r="B3893" s="11"/>
      <c r="C3893" s="26"/>
      <c r="M3893" s="71"/>
    </row>
    <row r="3894" spans="1:13" x14ac:dyDescent="0.25">
      <c r="A3894" s="2"/>
      <c r="B3894" s="11"/>
      <c r="C3894" s="26"/>
      <c r="M3894" s="71"/>
    </row>
    <row r="3895" spans="1:13" x14ac:dyDescent="0.25">
      <c r="A3895" s="2"/>
      <c r="B3895" s="11"/>
      <c r="C3895" s="26"/>
      <c r="M3895" s="71"/>
    </row>
    <row r="3896" spans="1:13" x14ac:dyDescent="0.25">
      <c r="A3896" s="2"/>
      <c r="B3896" s="11"/>
      <c r="C3896" s="26"/>
      <c r="M3896" s="71"/>
    </row>
    <row r="3897" spans="1:13" x14ac:dyDescent="0.25">
      <c r="A3897" s="2"/>
      <c r="B3897" s="11"/>
      <c r="C3897" s="26"/>
      <c r="M3897" s="71"/>
    </row>
    <row r="3898" spans="1:13" x14ac:dyDescent="0.25">
      <c r="A3898" s="2"/>
      <c r="B3898" s="11"/>
      <c r="C3898" s="26"/>
      <c r="M3898" s="71"/>
    </row>
    <row r="3899" spans="1:13" x14ac:dyDescent="0.25">
      <c r="A3899" s="2"/>
      <c r="B3899" s="11"/>
      <c r="C3899" s="26"/>
      <c r="M3899" s="71"/>
    </row>
    <row r="3900" spans="1:13" x14ac:dyDescent="0.25">
      <c r="A3900" s="2"/>
      <c r="B3900" s="11"/>
      <c r="C3900" s="26"/>
      <c r="M3900" s="71"/>
    </row>
    <row r="3901" spans="1:13" x14ac:dyDescent="0.25">
      <c r="A3901" s="2"/>
      <c r="B3901" s="11"/>
      <c r="C3901" s="26"/>
      <c r="M3901" s="71"/>
    </row>
    <row r="3902" spans="1:13" x14ac:dyDescent="0.25">
      <c r="A3902" s="2"/>
      <c r="B3902" s="11"/>
      <c r="C3902" s="26"/>
      <c r="M3902" s="71"/>
    </row>
    <row r="3903" spans="1:13" x14ac:dyDescent="0.25">
      <c r="A3903" s="2"/>
      <c r="B3903" s="11"/>
      <c r="C3903" s="26"/>
      <c r="M3903" s="71"/>
    </row>
    <row r="3904" spans="1:13" x14ac:dyDescent="0.25">
      <c r="A3904" s="2"/>
      <c r="B3904" s="11"/>
      <c r="C3904" s="26"/>
      <c r="M3904" s="71"/>
    </row>
    <row r="3905" spans="1:13" x14ac:dyDescent="0.25">
      <c r="A3905" s="2"/>
      <c r="B3905" s="11"/>
      <c r="C3905" s="26"/>
      <c r="M3905" s="71"/>
    </row>
    <row r="3906" spans="1:13" x14ac:dyDescent="0.25">
      <c r="A3906" s="2"/>
      <c r="B3906" s="11"/>
      <c r="C3906" s="26"/>
      <c r="M3906" s="71"/>
    </row>
    <row r="3907" spans="1:13" x14ac:dyDescent="0.25">
      <c r="A3907" s="2"/>
      <c r="B3907" s="11"/>
      <c r="C3907" s="26"/>
      <c r="M3907" s="71"/>
    </row>
    <row r="3908" spans="1:13" x14ac:dyDescent="0.25">
      <c r="A3908" s="2"/>
      <c r="B3908" s="11"/>
      <c r="C3908" s="26"/>
      <c r="M3908" s="71"/>
    </row>
    <row r="3909" spans="1:13" x14ac:dyDescent="0.25">
      <c r="A3909" s="2"/>
      <c r="B3909" s="11"/>
      <c r="C3909" s="26"/>
      <c r="M3909" s="71"/>
    </row>
    <row r="3910" spans="1:13" x14ac:dyDescent="0.25">
      <c r="A3910" s="2"/>
      <c r="B3910" s="11"/>
      <c r="C3910" s="26"/>
      <c r="M3910" s="71"/>
    </row>
    <row r="3911" spans="1:13" x14ac:dyDescent="0.25">
      <c r="A3911" s="2"/>
      <c r="B3911" s="11"/>
      <c r="C3911" s="26"/>
      <c r="M3911" s="71"/>
    </row>
    <row r="3912" spans="1:13" x14ac:dyDescent="0.25">
      <c r="A3912" s="2"/>
      <c r="B3912" s="11"/>
      <c r="C3912" s="26"/>
      <c r="M3912" s="71"/>
    </row>
    <row r="3913" spans="1:13" x14ac:dyDescent="0.25">
      <c r="A3913" s="2"/>
      <c r="B3913" s="11"/>
      <c r="C3913" s="26"/>
      <c r="M3913" s="71"/>
    </row>
    <row r="3914" spans="1:13" x14ac:dyDescent="0.25">
      <c r="A3914" s="2"/>
      <c r="B3914" s="11"/>
      <c r="C3914" s="26"/>
      <c r="M3914" s="71"/>
    </row>
    <row r="3915" spans="1:13" x14ac:dyDescent="0.25">
      <c r="A3915" s="2"/>
      <c r="B3915" s="11"/>
      <c r="C3915" s="26"/>
      <c r="M3915" s="71"/>
    </row>
    <row r="3916" spans="1:13" x14ac:dyDescent="0.25">
      <c r="A3916" s="2"/>
      <c r="B3916" s="11"/>
      <c r="C3916" s="26"/>
      <c r="M3916" s="71"/>
    </row>
    <row r="3917" spans="1:13" x14ac:dyDescent="0.25">
      <c r="A3917" s="2"/>
      <c r="B3917" s="11"/>
      <c r="C3917" s="26"/>
      <c r="M3917" s="71"/>
    </row>
    <row r="3918" spans="1:13" x14ac:dyDescent="0.25">
      <c r="A3918" s="2"/>
      <c r="B3918" s="11"/>
      <c r="C3918" s="26"/>
      <c r="M3918" s="71"/>
    </row>
    <row r="3919" spans="1:13" x14ac:dyDescent="0.25">
      <c r="A3919" s="2"/>
      <c r="B3919" s="11"/>
      <c r="C3919" s="26"/>
      <c r="M3919" s="71"/>
    </row>
    <row r="3920" spans="1:13" x14ac:dyDescent="0.25">
      <c r="A3920" s="2"/>
      <c r="B3920" s="11"/>
      <c r="C3920" s="26"/>
      <c r="M3920" s="71"/>
    </row>
    <row r="3921" spans="1:13" x14ac:dyDescent="0.25">
      <c r="A3921" s="2"/>
      <c r="B3921" s="11"/>
      <c r="C3921" s="26"/>
      <c r="M3921" s="71"/>
    </row>
    <row r="3922" spans="1:13" x14ac:dyDescent="0.25">
      <c r="A3922" s="2"/>
      <c r="B3922" s="11"/>
      <c r="C3922" s="26"/>
      <c r="M3922" s="71"/>
    </row>
    <row r="3923" spans="1:13" x14ac:dyDescent="0.25">
      <c r="A3923" s="2"/>
      <c r="B3923" s="11"/>
      <c r="C3923" s="26"/>
      <c r="M3923" s="71"/>
    </row>
    <row r="3924" spans="1:13" x14ac:dyDescent="0.25">
      <c r="A3924" s="2"/>
      <c r="B3924" s="11"/>
      <c r="C3924" s="26"/>
      <c r="M3924" s="71"/>
    </row>
    <row r="3925" spans="1:13" x14ac:dyDescent="0.25">
      <c r="A3925" s="2"/>
      <c r="B3925" s="11"/>
      <c r="C3925" s="26"/>
      <c r="M3925" s="71"/>
    </row>
    <row r="3926" spans="1:13" x14ac:dyDescent="0.25">
      <c r="A3926" s="2"/>
      <c r="B3926" s="11"/>
      <c r="C3926" s="26"/>
      <c r="M3926" s="71"/>
    </row>
    <row r="3927" spans="1:13" x14ac:dyDescent="0.25">
      <c r="A3927" s="2"/>
      <c r="B3927" s="11"/>
      <c r="C3927" s="26"/>
      <c r="M3927" s="71"/>
    </row>
    <row r="3928" spans="1:13" x14ac:dyDescent="0.25">
      <c r="A3928" s="2"/>
      <c r="B3928" s="11"/>
      <c r="C3928" s="26"/>
      <c r="M3928" s="71"/>
    </row>
    <row r="3929" spans="1:13" x14ac:dyDescent="0.25">
      <c r="A3929" s="2"/>
      <c r="B3929" s="11"/>
      <c r="C3929" s="26"/>
      <c r="M3929" s="71"/>
    </row>
    <row r="3930" spans="1:13" x14ac:dyDescent="0.25">
      <c r="A3930" s="2"/>
      <c r="B3930" s="11"/>
      <c r="C3930" s="26"/>
      <c r="M3930" s="71"/>
    </row>
    <row r="3931" spans="1:13" x14ac:dyDescent="0.25">
      <c r="A3931" s="2"/>
      <c r="B3931" s="11"/>
      <c r="C3931" s="26"/>
      <c r="M3931" s="71"/>
    </row>
    <row r="3932" spans="1:13" x14ac:dyDescent="0.25">
      <c r="A3932" s="2"/>
      <c r="B3932" s="11"/>
      <c r="C3932" s="26"/>
      <c r="M3932" s="71"/>
    </row>
    <row r="3933" spans="1:13" x14ac:dyDescent="0.25">
      <c r="A3933" s="2"/>
      <c r="B3933" s="11"/>
      <c r="C3933" s="26"/>
      <c r="M3933" s="71"/>
    </row>
    <row r="3934" spans="1:13" x14ac:dyDescent="0.25">
      <c r="A3934" s="2"/>
      <c r="B3934" s="11"/>
      <c r="C3934" s="26"/>
      <c r="M3934" s="71"/>
    </row>
    <row r="3935" spans="1:13" x14ac:dyDescent="0.25">
      <c r="A3935" s="2"/>
      <c r="B3935" s="11"/>
      <c r="C3935" s="26"/>
      <c r="M3935" s="71"/>
    </row>
    <row r="3936" spans="1:13" x14ac:dyDescent="0.25">
      <c r="A3936" s="2"/>
      <c r="B3936" s="11"/>
      <c r="C3936" s="26"/>
      <c r="M3936" s="71"/>
    </row>
    <row r="3937" spans="1:13" x14ac:dyDescent="0.25">
      <c r="A3937" s="2"/>
      <c r="B3937" s="11"/>
      <c r="C3937" s="26"/>
      <c r="M3937" s="71"/>
    </row>
    <row r="3938" spans="1:13" x14ac:dyDescent="0.25">
      <c r="A3938" s="2"/>
      <c r="B3938" s="11"/>
      <c r="C3938" s="26"/>
      <c r="M3938" s="71"/>
    </row>
    <row r="3939" spans="1:13" x14ac:dyDescent="0.25">
      <c r="A3939" s="2"/>
      <c r="B3939" s="11"/>
      <c r="C3939" s="26"/>
      <c r="M3939" s="71"/>
    </row>
    <row r="3940" spans="1:13" x14ac:dyDescent="0.25">
      <c r="A3940" s="2"/>
      <c r="B3940" s="11"/>
      <c r="C3940" s="26"/>
      <c r="M3940" s="71"/>
    </row>
    <row r="3941" spans="1:13" x14ac:dyDescent="0.25">
      <c r="A3941" s="2"/>
      <c r="B3941" s="11"/>
      <c r="C3941" s="26"/>
      <c r="M3941" s="71"/>
    </row>
    <row r="3942" spans="1:13" x14ac:dyDescent="0.25">
      <c r="A3942" s="2"/>
      <c r="B3942" s="11"/>
      <c r="C3942" s="26"/>
      <c r="M3942" s="71"/>
    </row>
    <row r="3943" spans="1:13" x14ac:dyDescent="0.25">
      <c r="A3943" s="2"/>
      <c r="B3943" s="11"/>
      <c r="C3943" s="26"/>
      <c r="M3943" s="71"/>
    </row>
    <row r="3944" spans="1:13" x14ac:dyDescent="0.25">
      <c r="A3944" s="2"/>
      <c r="B3944" s="11"/>
      <c r="C3944" s="26"/>
      <c r="M3944" s="71"/>
    </row>
    <row r="3945" spans="1:13" x14ac:dyDescent="0.25">
      <c r="A3945" s="2"/>
      <c r="B3945" s="11"/>
      <c r="C3945" s="26"/>
      <c r="M3945" s="71"/>
    </row>
    <row r="3946" spans="1:13" x14ac:dyDescent="0.25">
      <c r="A3946" s="2"/>
      <c r="B3946" s="11"/>
      <c r="C3946" s="26"/>
      <c r="M3946" s="71"/>
    </row>
    <row r="3947" spans="1:13" x14ac:dyDescent="0.25">
      <c r="A3947" s="2"/>
      <c r="B3947" s="11"/>
      <c r="C3947" s="26"/>
      <c r="M3947" s="71"/>
    </row>
    <row r="3948" spans="1:13" x14ac:dyDescent="0.25">
      <c r="A3948" s="2"/>
      <c r="B3948" s="11"/>
      <c r="C3948" s="26"/>
      <c r="M3948" s="71"/>
    </row>
    <row r="3949" spans="1:13" x14ac:dyDescent="0.25">
      <c r="A3949" s="2"/>
      <c r="B3949" s="11"/>
      <c r="C3949" s="26"/>
      <c r="M3949" s="71"/>
    </row>
    <row r="3950" spans="1:13" x14ac:dyDescent="0.25">
      <c r="A3950" s="2"/>
      <c r="B3950" s="11"/>
      <c r="C3950" s="26"/>
      <c r="M3950" s="71"/>
    </row>
    <row r="3951" spans="1:13" x14ac:dyDescent="0.25">
      <c r="A3951" s="2"/>
      <c r="B3951" s="11"/>
      <c r="C3951" s="26"/>
      <c r="M3951" s="71"/>
    </row>
    <row r="3952" spans="1:13" x14ac:dyDescent="0.25">
      <c r="A3952" s="2"/>
      <c r="B3952" s="11"/>
      <c r="C3952" s="26"/>
      <c r="M3952" s="71"/>
    </row>
    <row r="3953" spans="1:13" x14ac:dyDescent="0.25">
      <c r="A3953" s="2"/>
      <c r="B3953" s="11"/>
      <c r="C3953" s="26"/>
      <c r="M3953" s="71"/>
    </row>
    <row r="3954" spans="1:13" x14ac:dyDescent="0.25">
      <c r="A3954" s="2"/>
      <c r="B3954" s="11"/>
      <c r="C3954" s="26"/>
      <c r="M3954" s="71"/>
    </row>
    <row r="3955" spans="1:13" x14ac:dyDescent="0.25">
      <c r="A3955" s="2"/>
      <c r="B3955" s="11"/>
      <c r="C3955" s="26"/>
      <c r="M3955" s="71"/>
    </row>
    <row r="3956" spans="1:13" x14ac:dyDescent="0.25">
      <c r="A3956" s="2"/>
      <c r="B3956" s="11"/>
      <c r="C3956" s="26"/>
      <c r="M3956" s="71"/>
    </row>
    <row r="3957" spans="1:13" x14ac:dyDescent="0.25">
      <c r="A3957" s="2"/>
      <c r="B3957" s="11"/>
      <c r="C3957" s="26"/>
      <c r="M3957" s="71"/>
    </row>
    <row r="3958" spans="1:13" x14ac:dyDescent="0.25">
      <c r="A3958" s="2"/>
      <c r="B3958" s="11"/>
      <c r="C3958" s="26"/>
      <c r="M3958" s="71"/>
    </row>
    <row r="3959" spans="1:13" x14ac:dyDescent="0.25">
      <c r="A3959" s="2"/>
      <c r="B3959" s="11"/>
      <c r="C3959" s="26"/>
      <c r="M3959" s="71"/>
    </row>
    <row r="3960" spans="1:13" x14ac:dyDescent="0.25">
      <c r="A3960" s="2"/>
      <c r="B3960" s="11"/>
      <c r="C3960" s="26"/>
      <c r="M3960" s="71"/>
    </row>
    <row r="3961" spans="1:13" x14ac:dyDescent="0.25">
      <c r="A3961" s="2"/>
      <c r="B3961" s="11"/>
      <c r="C3961" s="26"/>
      <c r="M3961" s="71"/>
    </row>
    <row r="3962" spans="1:13" x14ac:dyDescent="0.25">
      <c r="A3962" s="2"/>
      <c r="B3962" s="11"/>
      <c r="C3962" s="26"/>
      <c r="M3962" s="71"/>
    </row>
    <row r="3963" spans="1:13" x14ac:dyDescent="0.25">
      <c r="A3963" s="2"/>
      <c r="B3963" s="11"/>
      <c r="C3963" s="26"/>
      <c r="M3963" s="71"/>
    </row>
    <row r="3964" spans="1:13" x14ac:dyDescent="0.25">
      <c r="A3964" s="2"/>
      <c r="B3964" s="11"/>
      <c r="C3964" s="26"/>
      <c r="M3964" s="71"/>
    </row>
    <row r="3965" spans="1:13" x14ac:dyDescent="0.25">
      <c r="A3965" s="2"/>
      <c r="B3965" s="11"/>
      <c r="C3965" s="26"/>
      <c r="M3965" s="71"/>
    </row>
    <row r="3966" spans="1:13" x14ac:dyDescent="0.25">
      <c r="A3966" s="2"/>
      <c r="B3966" s="11"/>
      <c r="C3966" s="26"/>
      <c r="M3966" s="71"/>
    </row>
    <row r="3967" spans="1:13" x14ac:dyDescent="0.25">
      <c r="A3967" s="2"/>
      <c r="B3967" s="11"/>
      <c r="C3967" s="26"/>
      <c r="M3967" s="71"/>
    </row>
    <row r="3968" spans="1:13" x14ac:dyDescent="0.25">
      <c r="A3968" s="2"/>
      <c r="B3968" s="11"/>
      <c r="C3968" s="26"/>
      <c r="M3968" s="71"/>
    </row>
    <row r="3969" spans="1:13" x14ac:dyDescent="0.25">
      <c r="A3969" s="2"/>
      <c r="B3969" s="11"/>
      <c r="C3969" s="26"/>
      <c r="M3969" s="71"/>
    </row>
    <row r="3970" spans="1:13" x14ac:dyDescent="0.25">
      <c r="A3970" s="2"/>
      <c r="B3970" s="11"/>
      <c r="C3970" s="26"/>
      <c r="M3970" s="71"/>
    </row>
    <row r="3971" spans="1:13" x14ac:dyDescent="0.25">
      <c r="A3971" s="2"/>
      <c r="B3971" s="11"/>
      <c r="C3971" s="26"/>
      <c r="M3971" s="71"/>
    </row>
    <row r="3972" spans="1:13" x14ac:dyDescent="0.25">
      <c r="A3972" s="2"/>
      <c r="B3972" s="11"/>
      <c r="C3972" s="26"/>
      <c r="M3972" s="71"/>
    </row>
    <row r="3973" spans="1:13" x14ac:dyDescent="0.25">
      <c r="A3973" s="2"/>
      <c r="B3973" s="11"/>
      <c r="C3973" s="26"/>
      <c r="M3973" s="71"/>
    </row>
    <row r="3974" spans="1:13" x14ac:dyDescent="0.25">
      <c r="A3974" s="2"/>
      <c r="B3974" s="11"/>
      <c r="C3974" s="26"/>
      <c r="M3974" s="71"/>
    </row>
    <row r="3975" spans="1:13" x14ac:dyDescent="0.25">
      <c r="A3975" s="2"/>
      <c r="B3975" s="11"/>
      <c r="C3975" s="26"/>
      <c r="M3975" s="71"/>
    </row>
    <row r="3976" spans="1:13" x14ac:dyDescent="0.25">
      <c r="A3976" s="2"/>
      <c r="B3976" s="11"/>
      <c r="C3976" s="26"/>
      <c r="M3976" s="71"/>
    </row>
    <row r="3977" spans="1:13" x14ac:dyDescent="0.25">
      <c r="A3977" s="2"/>
      <c r="B3977" s="11"/>
      <c r="C3977" s="26"/>
      <c r="M3977" s="71"/>
    </row>
    <row r="3978" spans="1:13" x14ac:dyDescent="0.25">
      <c r="A3978" s="2"/>
      <c r="B3978" s="11"/>
      <c r="C3978" s="26"/>
      <c r="M3978" s="71"/>
    </row>
    <row r="3979" spans="1:13" x14ac:dyDescent="0.25">
      <c r="A3979" s="2"/>
      <c r="B3979" s="11"/>
      <c r="C3979" s="26"/>
      <c r="M3979" s="71"/>
    </row>
    <row r="3980" spans="1:13" x14ac:dyDescent="0.25">
      <c r="A3980" s="2"/>
      <c r="B3980" s="11"/>
      <c r="C3980" s="26"/>
      <c r="M3980" s="71"/>
    </row>
    <row r="3981" spans="1:13" x14ac:dyDescent="0.25">
      <c r="A3981" s="2"/>
      <c r="B3981" s="11"/>
      <c r="C3981" s="26"/>
      <c r="M3981" s="71"/>
    </row>
    <row r="3982" spans="1:13" x14ac:dyDescent="0.25">
      <c r="A3982" s="2"/>
      <c r="B3982" s="11"/>
      <c r="C3982" s="26"/>
      <c r="M3982" s="71"/>
    </row>
    <row r="3983" spans="1:13" x14ac:dyDescent="0.25">
      <c r="A3983" s="2"/>
      <c r="B3983" s="11"/>
      <c r="C3983" s="26"/>
      <c r="M3983" s="71"/>
    </row>
    <row r="3984" spans="1:13" x14ac:dyDescent="0.25">
      <c r="A3984" s="2"/>
      <c r="B3984" s="11"/>
      <c r="C3984" s="26"/>
      <c r="M3984" s="71"/>
    </row>
    <row r="3985" spans="1:13" x14ac:dyDescent="0.25">
      <c r="A3985" s="2"/>
      <c r="B3985" s="11"/>
      <c r="C3985" s="26"/>
      <c r="M3985" s="71"/>
    </row>
    <row r="3986" spans="1:13" x14ac:dyDescent="0.25">
      <c r="A3986" s="2"/>
      <c r="B3986" s="11"/>
      <c r="C3986" s="26"/>
      <c r="M3986" s="71"/>
    </row>
    <row r="3987" spans="1:13" x14ac:dyDescent="0.25">
      <c r="A3987" s="2"/>
      <c r="B3987" s="11"/>
      <c r="C3987" s="26"/>
      <c r="M3987" s="71"/>
    </row>
    <row r="3988" spans="1:13" x14ac:dyDescent="0.25">
      <c r="A3988" s="2"/>
      <c r="B3988" s="11"/>
      <c r="C3988" s="26"/>
      <c r="M3988" s="71"/>
    </row>
    <row r="3989" spans="1:13" x14ac:dyDescent="0.25">
      <c r="A3989" s="2"/>
      <c r="B3989" s="11"/>
      <c r="C3989" s="26"/>
      <c r="M3989" s="71"/>
    </row>
    <row r="3990" spans="1:13" x14ac:dyDescent="0.25">
      <c r="A3990" s="2"/>
      <c r="B3990" s="11"/>
      <c r="C3990" s="26"/>
      <c r="M3990" s="71"/>
    </row>
    <row r="3991" spans="1:13" x14ac:dyDescent="0.25">
      <c r="A3991" s="2"/>
      <c r="B3991" s="11"/>
      <c r="C3991" s="26"/>
      <c r="M3991" s="71"/>
    </row>
    <row r="3992" spans="1:13" x14ac:dyDescent="0.25">
      <c r="A3992" s="2"/>
      <c r="B3992" s="11"/>
      <c r="C3992" s="26"/>
      <c r="M3992" s="71"/>
    </row>
    <row r="3993" spans="1:13" x14ac:dyDescent="0.25">
      <c r="A3993" s="2"/>
      <c r="B3993" s="11"/>
      <c r="C3993" s="26"/>
      <c r="M3993" s="71"/>
    </row>
    <row r="3994" spans="1:13" x14ac:dyDescent="0.25">
      <c r="A3994" s="2"/>
      <c r="B3994" s="11"/>
      <c r="C3994" s="26"/>
      <c r="M3994" s="71"/>
    </row>
    <row r="3995" spans="1:13" x14ac:dyDescent="0.25">
      <c r="A3995" s="2"/>
      <c r="B3995" s="11"/>
      <c r="C3995" s="26"/>
      <c r="M3995" s="71"/>
    </row>
    <row r="3996" spans="1:13" x14ac:dyDescent="0.25">
      <c r="A3996" s="2"/>
      <c r="B3996" s="11"/>
      <c r="C3996" s="26"/>
      <c r="M3996" s="71"/>
    </row>
    <row r="3997" spans="1:13" x14ac:dyDescent="0.25">
      <c r="A3997" s="2"/>
      <c r="B3997" s="11"/>
      <c r="C3997" s="26"/>
      <c r="M3997" s="71"/>
    </row>
    <row r="3998" spans="1:13" x14ac:dyDescent="0.25">
      <c r="A3998" s="2"/>
      <c r="B3998" s="11"/>
      <c r="C3998" s="26"/>
      <c r="M3998" s="71"/>
    </row>
    <row r="3999" spans="1:13" x14ac:dyDescent="0.25">
      <c r="A3999" s="2"/>
      <c r="B3999" s="11"/>
      <c r="C3999" s="26"/>
      <c r="M3999" s="71"/>
    </row>
    <row r="4000" spans="1:13" x14ac:dyDescent="0.25">
      <c r="A4000" s="2"/>
      <c r="B4000" s="11"/>
      <c r="C4000" s="26"/>
      <c r="M4000" s="71"/>
    </row>
    <row r="4001" spans="1:13" x14ac:dyDescent="0.25">
      <c r="A4001" s="2"/>
      <c r="B4001" s="11"/>
      <c r="C4001" s="26"/>
      <c r="M4001" s="71"/>
    </row>
    <row r="4002" spans="1:13" x14ac:dyDescent="0.25">
      <c r="A4002" s="2"/>
      <c r="B4002" s="11"/>
      <c r="C4002" s="26"/>
      <c r="M4002" s="71"/>
    </row>
    <row r="4003" spans="1:13" x14ac:dyDescent="0.25">
      <c r="A4003" s="2"/>
      <c r="B4003" s="11"/>
      <c r="C4003" s="26"/>
      <c r="M4003" s="71"/>
    </row>
    <row r="4004" spans="1:13" x14ac:dyDescent="0.25">
      <c r="A4004" s="2"/>
      <c r="B4004" s="11"/>
      <c r="C4004" s="26"/>
      <c r="M4004" s="71"/>
    </row>
    <row r="4005" spans="1:13" x14ac:dyDescent="0.25">
      <c r="A4005" s="2"/>
      <c r="B4005" s="11"/>
      <c r="C4005" s="26"/>
      <c r="M4005" s="71"/>
    </row>
    <row r="4006" spans="1:13" x14ac:dyDescent="0.25">
      <c r="A4006" s="2"/>
      <c r="B4006" s="11"/>
      <c r="C4006" s="26"/>
      <c r="M4006" s="71"/>
    </row>
    <row r="4007" spans="1:13" x14ac:dyDescent="0.25">
      <c r="A4007" s="2"/>
      <c r="B4007" s="11"/>
      <c r="C4007" s="26"/>
      <c r="M4007" s="71"/>
    </row>
    <row r="4008" spans="1:13" x14ac:dyDescent="0.25">
      <c r="A4008" s="2"/>
      <c r="B4008" s="11"/>
      <c r="C4008" s="26"/>
      <c r="M4008" s="71"/>
    </row>
    <row r="4009" spans="1:13" x14ac:dyDescent="0.25">
      <c r="A4009" s="2"/>
      <c r="B4009" s="11"/>
      <c r="C4009" s="26"/>
      <c r="M4009" s="71"/>
    </row>
    <row r="4010" spans="1:13" x14ac:dyDescent="0.25">
      <c r="A4010" s="2"/>
      <c r="B4010" s="11"/>
      <c r="C4010" s="26"/>
      <c r="M4010" s="71"/>
    </row>
    <row r="4011" spans="1:13" x14ac:dyDescent="0.25">
      <c r="A4011" s="2"/>
      <c r="B4011" s="11"/>
      <c r="C4011" s="26"/>
      <c r="M4011" s="71"/>
    </row>
    <row r="4012" spans="1:13" x14ac:dyDescent="0.25">
      <c r="A4012" s="2"/>
      <c r="B4012" s="11"/>
      <c r="C4012" s="26"/>
      <c r="M4012" s="71"/>
    </row>
    <row r="4013" spans="1:13" x14ac:dyDescent="0.25">
      <c r="A4013" s="2"/>
      <c r="B4013" s="11"/>
      <c r="C4013" s="26"/>
      <c r="M4013" s="71"/>
    </row>
    <row r="4014" spans="1:13" x14ac:dyDescent="0.25">
      <c r="A4014" s="2"/>
      <c r="B4014" s="11"/>
      <c r="C4014" s="26"/>
      <c r="M4014" s="71"/>
    </row>
    <row r="4015" spans="1:13" x14ac:dyDescent="0.25">
      <c r="A4015" s="2"/>
      <c r="B4015" s="11"/>
      <c r="C4015" s="26"/>
      <c r="M4015" s="71"/>
    </row>
    <row r="4016" spans="1:13" x14ac:dyDescent="0.25">
      <c r="A4016" s="2"/>
      <c r="B4016" s="11"/>
      <c r="C4016" s="26"/>
      <c r="M4016" s="71"/>
    </row>
    <row r="4017" spans="1:13" x14ac:dyDescent="0.25">
      <c r="A4017" s="2"/>
      <c r="B4017" s="11"/>
      <c r="C4017" s="26"/>
      <c r="M4017" s="71"/>
    </row>
    <row r="4018" spans="1:13" x14ac:dyDescent="0.25">
      <c r="A4018" s="2"/>
      <c r="B4018" s="11"/>
      <c r="C4018" s="26"/>
      <c r="M4018" s="71"/>
    </row>
    <row r="4019" spans="1:13" x14ac:dyDescent="0.25">
      <c r="A4019" s="2"/>
      <c r="B4019" s="11"/>
      <c r="C4019" s="26"/>
      <c r="M4019" s="71"/>
    </row>
    <row r="4020" spans="1:13" x14ac:dyDescent="0.25">
      <c r="A4020" s="2"/>
      <c r="B4020" s="11"/>
      <c r="C4020" s="26"/>
      <c r="M4020" s="71"/>
    </row>
    <row r="4021" spans="1:13" x14ac:dyDescent="0.25">
      <c r="A4021" s="2"/>
      <c r="B4021" s="11"/>
      <c r="C4021" s="26"/>
      <c r="M4021" s="71"/>
    </row>
    <row r="4022" spans="1:13" x14ac:dyDescent="0.25">
      <c r="A4022" s="2"/>
      <c r="B4022" s="11"/>
      <c r="C4022" s="26"/>
      <c r="M4022" s="71"/>
    </row>
    <row r="4023" spans="1:13" x14ac:dyDescent="0.25">
      <c r="A4023" s="2"/>
      <c r="B4023" s="11"/>
      <c r="C4023" s="26"/>
      <c r="M4023" s="71"/>
    </row>
    <row r="4024" spans="1:13" x14ac:dyDescent="0.25">
      <c r="A4024" s="2"/>
      <c r="B4024" s="11"/>
      <c r="C4024" s="26"/>
      <c r="M4024" s="71"/>
    </row>
    <row r="4025" spans="1:13" x14ac:dyDescent="0.25">
      <c r="A4025" s="2"/>
      <c r="B4025" s="11"/>
      <c r="C4025" s="26"/>
      <c r="M4025" s="71"/>
    </row>
    <row r="4026" spans="1:13" x14ac:dyDescent="0.25">
      <c r="A4026" s="2"/>
      <c r="B4026" s="11"/>
      <c r="C4026" s="26"/>
      <c r="M4026" s="71"/>
    </row>
    <row r="4027" spans="1:13" x14ac:dyDescent="0.25">
      <c r="A4027" s="2"/>
      <c r="B4027" s="11"/>
      <c r="C4027" s="26"/>
      <c r="M4027" s="71"/>
    </row>
    <row r="4028" spans="1:13" x14ac:dyDescent="0.25">
      <c r="A4028" s="2"/>
      <c r="B4028" s="11"/>
      <c r="C4028" s="26"/>
      <c r="M4028" s="71"/>
    </row>
    <row r="4029" spans="1:13" x14ac:dyDescent="0.25">
      <c r="A4029" s="2"/>
      <c r="B4029" s="11"/>
      <c r="C4029" s="26"/>
      <c r="M4029" s="71"/>
    </row>
    <row r="4030" spans="1:13" x14ac:dyDescent="0.25">
      <c r="A4030" s="2"/>
      <c r="B4030" s="11"/>
      <c r="C4030" s="26"/>
      <c r="M4030" s="71"/>
    </row>
    <row r="4031" spans="1:13" x14ac:dyDescent="0.25">
      <c r="A4031" s="2"/>
      <c r="B4031" s="11"/>
      <c r="C4031" s="26"/>
      <c r="M4031" s="71"/>
    </row>
    <row r="4032" spans="1:13" x14ac:dyDescent="0.25">
      <c r="A4032" s="2"/>
      <c r="B4032" s="11"/>
      <c r="C4032" s="26"/>
      <c r="M4032" s="71"/>
    </row>
    <row r="4033" spans="1:13" x14ac:dyDescent="0.25">
      <c r="A4033" s="2"/>
      <c r="B4033" s="11"/>
      <c r="C4033" s="26"/>
      <c r="M4033" s="71"/>
    </row>
    <row r="4034" spans="1:13" x14ac:dyDescent="0.25">
      <c r="A4034" s="2"/>
      <c r="B4034" s="11"/>
      <c r="C4034" s="26"/>
      <c r="M4034" s="71"/>
    </row>
    <row r="4035" spans="1:13" x14ac:dyDescent="0.25">
      <c r="A4035" s="2"/>
      <c r="B4035" s="11"/>
      <c r="C4035" s="26"/>
      <c r="M4035" s="71"/>
    </row>
    <row r="4036" spans="1:13" x14ac:dyDescent="0.25">
      <c r="A4036" s="2"/>
      <c r="B4036" s="11"/>
      <c r="C4036" s="26"/>
      <c r="M4036" s="71"/>
    </row>
    <row r="4037" spans="1:13" x14ac:dyDescent="0.25">
      <c r="A4037" s="2"/>
      <c r="B4037" s="11"/>
      <c r="C4037" s="26"/>
      <c r="M4037" s="71"/>
    </row>
    <row r="4038" spans="1:13" x14ac:dyDescent="0.25">
      <c r="A4038" s="2"/>
      <c r="B4038" s="11"/>
      <c r="C4038" s="26"/>
      <c r="M4038" s="71"/>
    </row>
    <row r="4039" spans="1:13" x14ac:dyDescent="0.25">
      <c r="A4039" s="2"/>
      <c r="B4039" s="11"/>
      <c r="C4039" s="26"/>
      <c r="M4039" s="71"/>
    </row>
    <row r="4040" spans="1:13" x14ac:dyDescent="0.25">
      <c r="A4040" s="2"/>
      <c r="B4040" s="11"/>
      <c r="C4040" s="26"/>
      <c r="M4040" s="71"/>
    </row>
    <row r="4041" spans="1:13" x14ac:dyDescent="0.25">
      <c r="A4041" s="2"/>
      <c r="B4041" s="11"/>
      <c r="C4041" s="26"/>
      <c r="M4041" s="71"/>
    </row>
    <row r="4042" spans="1:13" x14ac:dyDescent="0.25">
      <c r="A4042" s="2"/>
      <c r="B4042" s="11"/>
      <c r="C4042" s="26"/>
      <c r="M4042" s="71"/>
    </row>
    <row r="4043" spans="1:13" x14ac:dyDescent="0.25">
      <c r="A4043" s="2"/>
      <c r="B4043" s="11"/>
      <c r="C4043" s="26"/>
      <c r="M4043" s="71"/>
    </row>
    <row r="4044" spans="1:13" x14ac:dyDescent="0.25">
      <c r="A4044" s="2"/>
      <c r="B4044" s="11"/>
      <c r="C4044" s="26"/>
      <c r="M4044" s="71"/>
    </row>
    <row r="4045" spans="1:13" x14ac:dyDescent="0.25">
      <c r="A4045" s="2"/>
      <c r="B4045" s="11"/>
      <c r="C4045" s="26"/>
      <c r="M4045" s="71"/>
    </row>
    <row r="4046" spans="1:13" x14ac:dyDescent="0.25">
      <c r="A4046" s="2"/>
      <c r="B4046" s="11"/>
      <c r="C4046" s="26"/>
      <c r="M4046" s="71"/>
    </row>
    <row r="4047" spans="1:13" x14ac:dyDescent="0.25">
      <c r="A4047" s="2"/>
      <c r="B4047" s="11"/>
      <c r="C4047" s="26"/>
      <c r="M4047" s="71"/>
    </row>
    <row r="4048" spans="1:13" x14ac:dyDescent="0.25">
      <c r="A4048" s="2"/>
      <c r="B4048" s="11"/>
      <c r="C4048" s="26"/>
      <c r="M4048" s="71"/>
    </row>
    <row r="4049" spans="1:13" x14ac:dyDescent="0.25">
      <c r="A4049" s="2"/>
      <c r="B4049" s="11"/>
      <c r="C4049" s="26"/>
      <c r="M4049" s="71"/>
    </row>
    <row r="4050" spans="1:13" x14ac:dyDescent="0.25">
      <c r="A4050" s="2"/>
      <c r="B4050" s="11"/>
      <c r="C4050" s="26"/>
      <c r="M4050" s="71"/>
    </row>
    <row r="4051" spans="1:13" x14ac:dyDescent="0.25">
      <c r="A4051" s="2"/>
      <c r="B4051" s="11"/>
      <c r="C4051" s="26"/>
      <c r="M4051" s="71"/>
    </row>
    <row r="4052" spans="1:13" x14ac:dyDescent="0.25">
      <c r="A4052" s="2"/>
      <c r="B4052" s="11"/>
      <c r="C4052" s="26"/>
      <c r="M4052" s="71"/>
    </row>
    <row r="4053" spans="1:13" x14ac:dyDescent="0.25">
      <c r="A4053" s="2"/>
      <c r="B4053" s="11"/>
      <c r="C4053" s="26"/>
      <c r="M4053" s="71"/>
    </row>
    <row r="4054" spans="1:13" x14ac:dyDescent="0.25">
      <c r="A4054" s="2"/>
      <c r="B4054" s="11"/>
      <c r="C4054" s="26"/>
      <c r="M4054" s="71"/>
    </row>
    <row r="4055" spans="1:13" x14ac:dyDescent="0.25">
      <c r="A4055" s="2"/>
      <c r="B4055" s="11"/>
      <c r="C4055" s="26"/>
      <c r="M4055" s="71"/>
    </row>
    <row r="4056" spans="1:13" x14ac:dyDescent="0.25">
      <c r="A4056" s="2"/>
      <c r="B4056" s="11"/>
      <c r="C4056" s="26"/>
      <c r="M4056" s="71"/>
    </row>
    <row r="4057" spans="1:13" x14ac:dyDescent="0.25">
      <c r="A4057" s="2"/>
      <c r="B4057" s="11"/>
      <c r="C4057" s="26"/>
      <c r="M4057" s="71"/>
    </row>
    <row r="4058" spans="1:13" x14ac:dyDescent="0.25">
      <c r="A4058" s="2"/>
      <c r="B4058" s="11"/>
      <c r="C4058" s="26"/>
      <c r="M4058" s="71"/>
    </row>
    <row r="4059" spans="1:13" x14ac:dyDescent="0.25">
      <c r="A4059" s="2"/>
      <c r="B4059" s="11"/>
      <c r="C4059" s="26"/>
      <c r="M4059" s="71"/>
    </row>
    <row r="4060" spans="1:13" x14ac:dyDescent="0.25">
      <c r="A4060" s="2"/>
      <c r="B4060" s="11"/>
      <c r="C4060" s="26"/>
      <c r="M4060" s="71"/>
    </row>
    <row r="4061" spans="1:13" x14ac:dyDescent="0.25">
      <c r="A4061" s="2"/>
      <c r="B4061" s="11"/>
      <c r="C4061" s="26"/>
      <c r="M4061" s="71"/>
    </row>
    <row r="4062" spans="1:13" x14ac:dyDescent="0.25">
      <c r="A4062" s="2"/>
      <c r="B4062" s="11"/>
      <c r="C4062" s="26"/>
      <c r="M4062" s="71"/>
    </row>
    <row r="4063" spans="1:13" x14ac:dyDescent="0.25">
      <c r="A4063" s="2"/>
      <c r="B4063" s="11"/>
      <c r="C4063" s="26"/>
      <c r="M4063" s="71"/>
    </row>
    <row r="4064" spans="1:13" x14ac:dyDescent="0.25">
      <c r="A4064" s="2"/>
      <c r="B4064" s="11"/>
      <c r="C4064" s="26"/>
      <c r="M4064" s="71"/>
    </row>
    <row r="4065" spans="1:13" x14ac:dyDescent="0.25">
      <c r="A4065" s="2"/>
      <c r="B4065" s="11"/>
      <c r="C4065" s="26"/>
      <c r="M4065" s="71"/>
    </row>
    <row r="4066" spans="1:13" x14ac:dyDescent="0.25">
      <c r="A4066" s="2"/>
      <c r="B4066" s="11"/>
      <c r="C4066" s="26"/>
      <c r="M4066" s="71"/>
    </row>
    <row r="4067" spans="1:13" x14ac:dyDescent="0.25">
      <c r="A4067" s="2"/>
      <c r="B4067" s="11"/>
      <c r="C4067" s="26"/>
      <c r="M4067" s="71"/>
    </row>
    <row r="4068" spans="1:13" x14ac:dyDescent="0.25">
      <c r="A4068" s="2"/>
      <c r="B4068" s="11"/>
      <c r="C4068" s="26"/>
      <c r="M4068" s="71"/>
    </row>
    <row r="4069" spans="1:13" x14ac:dyDescent="0.25">
      <c r="A4069" s="2"/>
      <c r="B4069" s="11"/>
      <c r="C4069" s="26"/>
      <c r="M4069" s="71"/>
    </row>
    <row r="4070" spans="1:13" x14ac:dyDescent="0.25">
      <c r="A4070" s="2"/>
      <c r="B4070" s="11"/>
      <c r="C4070" s="26"/>
      <c r="M4070" s="71"/>
    </row>
    <row r="4071" spans="1:13" x14ac:dyDescent="0.25">
      <c r="A4071" s="2"/>
      <c r="B4071" s="11"/>
      <c r="C4071" s="26"/>
      <c r="M4071" s="71"/>
    </row>
    <row r="4072" spans="1:13" x14ac:dyDescent="0.25">
      <c r="A4072" s="2"/>
      <c r="B4072" s="11"/>
      <c r="C4072" s="26"/>
      <c r="M4072" s="71"/>
    </row>
    <row r="4073" spans="1:13" x14ac:dyDescent="0.25">
      <c r="A4073" s="2"/>
      <c r="B4073" s="11"/>
      <c r="C4073" s="26"/>
      <c r="M4073" s="71"/>
    </row>
    <row r="4074" spans="1:13" x14ac:dyDescent="0.25">
      <c r="A4074" s="2"/>
      <c r="B4074" s="11"/>
      <c r="C4074" s="26"/>
      <c r="M4074" s="71"/>
    </row>
    <row r="4075" spans="1:13" x14ac:dyDescent="0.25">
      <c r="A4075" s="2"/>
      <c r="B4075" s="11"/>
      <c r="C4075" s="26"/>
      <c r="M4075" s="71"/>
    </row>
    <row r="4076" spans="1:13" x14ac:dyDescent="0.25">
      <c r="A4076" s="2"/>
      <c r="B4076" s="11"/>
      <c r="C4076" s="26"/>
      <c r="M4076" s="71"/>
    </row>
    <row r="4077" spans="1:13" x14ac:dyDescent="0.25">
      <c r="A4077" s="2"/>
      <c r="B4077" s="11"/>
      <c r="C4077" s="26"/>
      <c r="M4077" s="71"/>
    </row>
    <row r="4078" spans="1:13" x14ac:dyDescent="0.25">
      <c r="A4078" s="2"/>
      <c r="B4078" s="11"/>
      <c r="C4078" s="26"/>
      <c r="M4078" s="71"/>
    </row>
    <row r="4079" spans="1:13" x14ac:dyDescent="0.25">
      <c r="A4079" s="2"/>
      <c r="B4079" s="11"/>
      <c r="C4079" s="26"/>
      <c r="M4079" s="71"/>
    </row>
    <row r="4080" spans="1:13" x14ac:dyDescent="0.25">
      <c r="A4080" s="2"/>
      <c r="B4080" s="11"/>
      <c r="C4080" s="26"/>
      <c r="M4080" s="71"/>
    </row>
    <row r="4081" spans="1:13" x14ac:dyDescent="0.25">
      <c r="A4081" s="2"/>
      <c r="B4081" s="11"/>
      <c r="C4081" s="26"/>
      <c r="M4081" s="71"/>
    </row>
    <row r="4082" spans="1:13" x14ac:dyDescent="0.25">
      <c r="A4082" s="2"/>
      <c r="B4082" s="11"/>
      <c r="C4082" s="26"/>
      <c r="M4082" s="71"/>
    </row>
    <row r="4083" spans="1:13" x14ac:dyDescent="0.25">
      <c r="A4083" s="2"/>
      <c r="B4083" s="11"/>
      <c r="C4083" s="26"/>
      <c r="M4083" s="71"/>
    </row>
    <row r="4084" spans="1:13" x14ac:dyDescent="0.25">
      <c r="A4084" s="2"/>
      <c r="B4084" s="11"/>
      <c r="C4084" s="26"/>
      <c r="M4084" s="71"/>
    </row>
    <row r="4085" spans="1:13" x14ac:dyDescent="0.25">
      <c r="A4085" s="2"/>
      <c r="B4085" s="11"/>
      <c r="C4085" s="26"/>
      <c r="M4085" s="71"/>
    </row>
    <row r="4086" spans="1:13" x14ac:dyDescent="0.25">
      <c r="A4086" s="2"/>
      <c r="B4086" s="11"/>
      <c r="C4086" s="26"/>
      <c r="M4086" s="71"/>
    </row>
    <row r="4087" spans="1:13" x14ac:dyDescent="0.25">
      <c r="A4087" s="2"/>
      <c r="B4087" s="11"/>
      <c r="C4087" s="26"/>
      <c r="M4087" s="71"/>
    </row>
    <row r="4088" spans="1:13" x14ac:dyDescent="0.25">
      <c r="A4088" s="2"/>
      <c r="B4088" s="11"/>
      <c r="C4088" s="26"/>
      <c r="M4088" s="71"/>
    </row>
    <row r="4089" spans="1:13" x14ac:dyDescent="0.25">
      <c r="A4089" s="2"/>
      <c r="B4089" s="11"/>
      <c r="C4089" s="26"/>
      <c r="M4089" s="71"/>
    </row>
    <row r="4090" spans="1:13" x14ac:dyDescent="0.25">
      <c r="A4090" s="2"/>
      <c r="B4090" s="11"/>
      <c r="C4090" s="26"/>
      <c r="M4090" s="71"/>
    </row>
    <row r="4091" spans="1:13" x14ac:dyDescent="0.25">
      <c r="A4091" s="2"/>
      <c r="B4091" s="11"/>
      <c r="C4091" s="26"/>
      <c r="M4091" s="71"/>
    </row>
    <row r="4092" spans="1:13" x14ac:dyDescent="0.25">
      <c r="A4092" s="2"/>
      <c r="B4092" s="11"/>
      <c r="C4092" s="26"/>
      <c r="M4092" s="71"/>
    </row>
    <row r="4093" spans="1:13" x14ac:dyDescent="0.25">
      <c r="A4093" s="2"/>
      <c r="B4093" s="11"/>
      <c r="C4093" s="26"/>
      <c r="M4093" s="71"/>
    </row>
    <row r="4094" spans="1:13" x14ac:dyDescent="0.25">
      <c r="A4094" s="2"/>
      <c r="B4094" s="11"/>
      <c r="C4094" s="26"/>
      <c r="M4094" s="71"/>
    </row>
    <row r="4095" spans="1:13" x14ac:dyDescent="0.25">
      <c r="A4095" s="2"/>
      <c r="B4095" s="11"/>
      <c r="C4095" s="26"/>
      <c r="M4095" s="71"/>
    </row>
    <row r="4096" spans="1:13" x14ac:dyDescent="0.25">
      <c r="A4096" s="2"/>
      <c r="B4096" s="11"/>
      <c r="C4096" s="26"/>
      <c r="M4096" s="71"/>
    </row>
    <row r="4097" spans="1:13" x14ac:dyDescent="0.25">
      <c r="A4097" s="2"/>
      <c r="B4097" s="11"/>
      <c r="C4097" s="26"/>
      <c r="M4097" s="71"/>
    </row>
    <row r="4098" spans="1:13" x14ac:dyDescent="0.25">
      <c r="A4098" s="2"/>
      <c r="B4098" s="11"/>
      <c r="C4098" s="26"/>
      <c r="M4098" s="71"/>
    </row>
    <row r="4099" spans="1:13" x14ac:dyDescent="0.25">
      <c r="A4099" s="2"/>
      <c r="B4099" s="11"/>
      <c r="C4099" s="26"/>
      <c r="M4099" s="71"/>
    </row>
    <row r="4100" spans="1:13" x14ac:dyDescent="0.25">
      <c r="A4100" s="2"/>
      <c r="B4100" s="11"/>
      <c r="C4100" s="26"/>
      <c r="M4100" s="71"/>
    </row>
    <row r="4101" spans="1:13" x14ac:dyDescent="0.25">
      <c r="A4101" s="2"/>
      <c r="B4101" s="11"/>
      <c r="C4101" s="26"/>
      <c r="M4101" s="71"/>
    </row>
    <row r="4102" spans="1:13" x14ac:dyDescent="0.25">
      <c r="A4102" s="2"/>
      <c r="B4102" s="11"/>
      <c r="C4102" s="26"/>
      <c r="M4102" s="71"/>
    </row>
    <row r="4103" spans="1:13" x14ac:dyDescent="0.25">
      <c r="A4103" s="2"/>
      <c r="B4103" s="11"/>
      <c r="C4103" s="26"/>
      <c r="M4103" s="71"/>
    </row>
    <row r="4104" spans="1:13" x14ac:dyDescent="0.25">
      <c r="A4104" s="2"/>
      <c r="B4104" s="11"/>
      <c r="C4104" s="26"/>
      <c r="M4104" s="71"/>
    </row>
    <row r="4105" spans="1:13" x14ac:dyDescent="0.25">
      <c r="A4105" s="2"/>
      <c r="B4105" s="11"/>
      <c r="C4105" s="26"/>
      <c r="M4105" s="71"/>
    </row>
    <row r="4106" spans="1:13" x14ac:dyDescent="0.25">
      <c r="A4106" s="2"/>
      <c r="B4106" s="11"/>
      <c r="C4106" s="26"/>
      <c r="M4106" s="71"/>
    </row>
    <row r="4107" spans="1:13" x14ac:dyDescent="0.25">
      <c r="A4107" s="2"/>
      <c r="B4107" s="11"/>
      <c r="C4107" s="26"/>
      <c r="M4107" s="71"/>
    </row>
    <row r="4108" spans="1:13" x14ac:dyDescent="0.25">
      <c r="A4108" s="2"/>
      <c r="B4108" s="11"/>
      <c r="C4108" s="26"/>
      <c r="M4108" s="71"/>
    </row>
    <row r="4109" spans="1:13" x14ac:dyDescent="0.25">
      <c r="A4109" s="2"/>
      <c r="B4109" s="11"/>
      <c r="C4109" s="26"/>
      <c r="M4109" s="71"/>
    </row>
    <row r="4110" spans="1:13" x14ac:dyDescent="0.25">
      <c r="A4110" s="2"/>
      <c r="B4110" s="11"/>
      <c r="C4110" s="26"/>
      <c r="M4110" s="71"/>
    </row>
    <row r="4111" spans="1:13" x14ac:dyDescent="0.25">
      <c r="A4111" s="2"/>
      <c r="B4111" s="11"/>
      <c r="C4111" s="26"/>
      <c r="M4111" s="71"/>
    </row>
    <row r="4112" spans="1:13" x14ac:dyDescent="0.25">
      <c r="A4112" s="2"/>
      <c r="B4112" s="11"/>
      <c r="C4112" s="26"/>
      <c r="M4112" s="71"/>
    </row>
    <row r="4113" spans="1:13" x14ac:dyDescent="0.25">
      <c r="A4113" s="2"/>
      <c r="B4113" s="11"/>
      <c r="C4113" s="26"/>
      <c r="M4113" s="71"/>
    </row>
    <row r="4114" spans="1:13" x14ac:dyDescent="0.25">
      <c r="A4114" s="2"/>
      <c r="B4114" s="11"/>
      <c r="C4114" s="26"/>
      <c r="M4114" s="71"/>
    </row>
    <row r="4115" spans="1:13" x14ac:dyDescent="0.25">
      <c r="A4115" s="2"/>
      <c r="B4115" s="11"/>
      <c r="C4115" s="26"/>
      <c r="M4115" s="71"/>
    </row>
    <row r="4116" spans="1:13" x14ac:dyDescent="0.25">
      <c r="A4116" s="2"/>
      <c r="B4116" s="11"/>
      <c r="C4116" s="26"/>
      <c r="M4116" s="71"/>
    </row>
    <row r="4117" spans="1:13" x14ac:dyDescent="0.25">
      <c r="A4117" s="2"/>
      <c r="B4117" s="11"/>
      <c r="C4117" s="26"/>
      <c r="M4117" s="71"/>
    </row>
    <row r="4118" spans="1:13" x14ac:dyDescent="0.25">
      <c r="A4118" s="2"/>
      <c r="B4118" s="11"/>
      <c r="C4118" s="26"/>
      <c r="M4118" s="71"/>
    </row>
    <row r="4119" spans="1:13" x14ac:dyDescent="0.25">
      <c r="A4119" s="2"/>
      <c r="B4119" s="11"/>
      <c r="C4119" s="26"/>
      <c r="M4119" s="71"/>
    </row>
    <row r="4120" spans="1:13" x14ac:dyDescent="0.25">
      <c r="A4120" s="2"/>
      <c r="B4120" s="11"/>
      <c r="C4120" s="26"/>
      <c r="M4120" s="71"/>
    </row>
    <row r="4121" spans="1:13" x14ac:dyDescent="0.25">
      <c r="A4121" s="2"/>
      <c r="B4121" s="11"/>
      <c r="C4121" s="26"/>
      <c r="M4121" s="71"/>
    </row>
    <row r="4122" spans="1:13" x14ac:dyDescent="0.25">
      <c r="A4122" s="2"/>
      <c r="B4122" s="11"/>
      <c r="C4122" s="26"/>
      <c r="M4122" s="71"/>
    </row>
    <row r="4123" spans="1:13" x14ac:dyDescent="0.25">
      <c r="A4123" s="2"/>
      <c r="B4123" s="11"/>
      <c r="C4123" s="26"/>
      <c r="M4123" s="71"/>
    </row>
    <row r="4124" spans="1:13" x14ac:dyDescent="0.25">
      <c r="A4124" s="2"/>
      <c r="B4124" s="11"/>
      <c r="C4124" s="26"/>
      <c r="M4124" s="71"/>
    </row>
    <row r="4125" spans="1:13" x14ac:dyDescent="0.25">
      <c r="A4125" s="2"/>
      <c r="B4125" s="11"/>
      <c r="C4125" s="26"/>
      <c r="M4125" s="71"/>
    </row>
    <row r="4126" spans="1:13" x14ac:dyDescent="0.25">
      <c r="A4126" s="2"/>
      <c r="B4126" s="11"/>
      <c r="C4126" s="26"/>
      <c r="M4126" s="71"/>
    </row>
    <row r="4127" spans="1:13" x14ac:dyDescent="0.25">
      <c r="A4127" s="2"/>
      <c r="B4127" s="11"/>
      <c r="C4127" s="26"/>
      <c r="M4127" s="71"/>
    </row>
    <row r="4128" spans="1:13" x14ac:dyDescent="0.25">
      <c r="A4128" s="2"/>
      <c r="B4128" s="11"/>
      <c r="C4128" s="26"/>
      <c r="M4128" s="71"/>
    </row>
    <row r="4129" spans="1:13" x14ac:dyDescent="0.25">
      <c r="A4129" s="2"/>
      <c r="B4129" s="11"/>
      <c r="C4129" s="26"/>
      <c r="M4129" s="71"/>
    </row>
    <row r="4130" spans="1:13" x14ac:dyDescent="0.25">
      <c r="A4130" s="2"/>
      <c r="B4130" s="11"/>
      <c r="C4130" s="26"/>
      <c r="M4130" s="71"/>
    </row>
    <row r="4131" spans="1:13" x14ac:dyDescent="0.25">
      <c r="A4131" s="2"/>
      <c r="B4131" s="11"/>
      <c r="C4131" s="26"/>
      <c r="M4131" s="71"/>
    </row>
    <row r="4132" spans="1:13" x14ac:dyDescent="0.25">
      <c r="A4132" s="2"/>
      <c r="B4132" s="11"/>
      <c r="C4132" s="26"/>
      <c r="M4132" s="71"/>
    </row>
    <row r="4133" spans="1:13" x14ac:dyDescent="0.25">
      <c r="A4133" s="2"/>
      <c r="B4133" s="11"/>
      <c r="C4133" s="26"/>
      <c r="M4133" s="71"/>
    </row>
    <row r="4134" spans="1:13" x14ac:dyDescent="0.25">
      <c r="A4134" s="2"/>
      <c r="B4134" s="11"/>
      <c r="C4134" s="26"/>
      <c r="M4134" s="71"/>
    </row>
    <row r="4135" spans="1:13" x14ac:dyDescent="0.25">
      <c r="A4135" s="2"/>
      <c r="B4135" s="11"/>
      <c r="C4135" s="26"/>
      <c r="M4135" s="71"/>
    </row>
    <row r="4136" spans="1:13" x14ac:dyDescent="0.25">
      <c r="A4136" s="2"/>
      <c r="B4136" s="11"/>
      <c r="C4136" s="26"/>
      <c r="M4136" s="71"/>
    </row>
    <row r="4137" spans="1:13" x14ac:dyDescent="0.25">
      <c r="A4137" s="2"/>
      <c r="B4137" s="11"/>
      <c r="C4137" s="26"/>
      <c r="M4137" s="71"/>
    </row>
    <row r="4138" spans="1:13" x14ac:dyDescent="0.25">
      <c r="A4138" s="2"/>
      <c r="B4138" s="11"/>
      <c r="C4138" s="26"/>
      <c r="M4138" s="71"/>
    </row>
    <row r="4139" spans="1:13" x14ac:dyDescent="0.25">
      <c r="A4139" s="2"/>
      <c r="B4139" s="11"/>
      <c r="C4139" s="26"/>
      <c r="M4139" s="71"/>
    </row>
    <row r="4140" spans="1:13" x14ac:dyDescent="0.25">
      <c r="A4140" s="2"/>
      <c r="B4140" s="11"/>
      <c r="C4140" s="26"/>
      <c r="M4140" s="71"/>
    </row>
    <row r="4141" spans="1:13" x14ac:dyDescent="0.25">
      <c r="A4141" s="2"/>
      <c r="B4141" s="11"/>
      <c r="C4141" s="26"/>
      <c r="M4141" s="71"/>
    </row>
    <row r="4142" spans="1:13" x14ac:dyDescent="0.25">
      <c r="A4142" s="2"/>
      <c r="B4142" s="11"/>
      <c r="C4142" s="26"/>
      <c r="M4142" s="71"/>
    </row>
    <row r="4143" spans="1:13" x14ac:dyDescent="0.25">
      <c r="A4143" s="2"/>
      <c r="B4143" s="11"/>
      <c r="C4143" s="26"/>
      <c r="M4143" s="71"/>
    </row>
    <row r="4144" spans="1:13" x14ac:dyDescent="0.25">
      <c r="A4144" s="2"/>
      <c r="B4144" s="11"/>
      <c r="C4144" s="26"/>
      <c r="M4144" s="71"/>
    </row>
    <row r="4145" spans="1:13" x14ac:dyDescent="0.25">
      <c r="A4145" s="2"/>
      <c r="B4145" s="11"/>
      <c r="C4145" s="26"/>
      <c r="M4145" s="71"/>
    </row>
    <row r="4146" spans="1:13" x14ac:dyDescent="0.25">
      <c r="A4146" s="2"/>
      <c r="B4146" s="11"/>
      <c r="C4146" s="26"/>
      <c r="M4146" s="71"/>
    </row>
    <row r="4147" spans="1:13" x14ac:dyDescent="0.25">
      <c r="A4147" s="2"/>
      <c r="B4147" s="11"/>
      <c r="C4147" s="26"/>
      <c r="M4147" s="71"/>
    </row>
    <row r="4148" spans="1:13" x14ac:dyDescent="0.25">
      <c r="A4148" s="2"/>
      <c r="B4148" s="11"/>
      <c r="C4148" s="26"/>
      <c r="M4148" s="71"/>
    </row>
    <row r="4149" spans="1:13" x14ac:dyDescent="0.25">
      <c r="A4149" s="2"/>
      <c r="B4149" s="11"/>
      <c r="C4149" s="26"/>
      <c r="M4149" s="71"/>
    </row>
    <row r="4150" spans="1:13" x14ac:dyDescent="0.25">
      <c r="A4150" s="2"/>
      <c r="B4150" s="11"/>
      <c r="C4150" s="26"/>
      <c r="M4150" s="71"/>
    </row>
    <row r="4151" spans="1:13" x14ac:dyDescent="0.25">
      <c r="A4151" s="2"/>
      <c r="B4151" s="11"/>
      <c r="C4151" s="26"/>
      <c r="M4151" s="71"/>
    </row>
    <row r="4152" spans="1:13" x14ac:dyDescent="0.25">
      <c r="A4152" s="2"/>
      <c r="B4152" s="11"/>
      <c r="C4152" s="26"/>
      <c r="M4152" s="71"/>
    </row>
    <row r="4153" spans="1:13" x14ac:dyDescent="0.25">
      <c r="A4153" s="2"/>
      <c r="B4153" s="11"/>
      <c r="C4153" s="26"/>
      <c r="M4153" s="71"/>
    </row>
    <row r="4154" spans="1:13" x14ac:dyDescent="0.25">
      <c r="A4154" s="2"/>
      <c r="B4154" s="11"/>
      <c r="C4154" s="26"/>
      <c r="M4154" s="71"/>
    </row>
    <row r="4155" spans="1:13" x14ac:dyDescent="0.25">
      <c r="A4155" s="2"/>
      <c r="B4155" s="11"/>
      <c r="C4155" s="26"/>
      <c r="M4155" s="71"/>
    </row>
    <row r="4156" spans="1:13" x14ac:dyDescent="0.25">
      <c r="A4156" s="2"/>
      <c r="B4156" s="11"/>
      <c r="C4156" s="26"/>
      <c r="M4156" s="71"/>
    </row>
    <row r="4157" spans="1:13" x14ac:dyDescent="0.25">
      <c r="A4157" s="2"/>
      <c r="B4157" s="11"/>
      <c r="C4157" s="26"/>
      <c r="M4157" s="71"/>
    </row>
    <row r="4158" spans="1:13" x14ac:dyDescent="0.25">
      <c r="A4158" s="2"/>
      <c r="B4158" s="11"/>
      <c r="C4158" s="26"/>
      <c r="M4158" s="71"/>
    </row>
    <row r="4159" spans="1:13" x14ac:dyDescent="0.25">
      <c r="A4159" s="2"/>
      <c r="B4159" s="11"/>
      <c r="C4159" s="26"/>
      <c r="M4159" s="71"/>
    </row>
    <row r="4160" spans="1:13" x14ac:dyDescent="0.25">
      <c r="A4160" s="2"/>
      <c r="B4160" s="11"/>
      <c r="C4160" s="26"/>
      <c r="M4160" s="71"/>
    </row>
    <row r="4161" spans="1:13" x14ac:dyDescent="0.25">
      <c r="A4161" s="2"/>
      <c r="B4161" s="11"/>
      <c r="C4161" s="26"/>
      <c r="M4161" s="71"/>
    </row>
    <row r="4162" spans="1:13" x14ac:dyDescent="0.25">
      <c r="A4162" s="2"/>
      <c r="B4162" s="11"/>
      <c r="C4162" s="26"/>
      <c r="M4162" s="71"/>
    </row>
    <row r="4163" spans="1:13" x14ac:dyDescent="0.25">
      <c r="A4163" s="2"/>
      <c r="B4163" s="11"/>
      <c r="C4163" s="26"/>
      <c r="M4163" s="71"/>
    </row>
    <row r="4164" spans="1:13" x14ac:dyDescent="0.25">
      <c r="A4164" s="2"/>
      <c r="B4164" s="11"/>
      <c r="C4164" s="26"/>
      <c r="M4164" s="71"/>
    </row>
    <row r="4165" spans="1:13" x14ac:dyDescent="0.25">
      <c r="A4165" s="2"/>
      <c r="B4165" s="11"/>
      <c r="C4165" s="26"/>
      <c r="M4165" s="71"/>
    </row>
    <row r="4166" spans="1:13" x14ac:dyDescent="0.25">
      <c r="A4166" s="2"/>
      <c r="B4166" s="11"/>
      <c r="C4166" s="26"/>
      <c r="M4166" s="71"/>
    </row>
    <row r="4167" spans="1:13" x14ac:dyDescent="0.25">
      <c r="A4167" s="2"/>
      <c r="B4167" s="11"/>
      <c r="C4167" s="26"/>
      <c r="M4167" s="71"/>
    </row>
    <row r="4168" spans="1:13" x14ac:dyDescent="0.25">
      <c r="A4168" s="2"/>
      <c r="B4168" s="11"/>
      <c r="C4168" s="26"/>
      <c r="M4168" s="71"/>
    </row>
    <row r="4169" spans="1:13" x14ac:dyDescent="0.25">
      <c r="A4169" s="2"/>
      <c r="B4169" s="11"/>
      <c r="C4169" s="26"/>
      <c r="M4169" s="71"/>
    </row>
    <row r="4170" spans="1:13" x14ac:dyDescent="0.25">
      <c r="A4170" s="2"/>
      <c r="B4170" s="11"/>
      <c r="C4170" s="26"/>
      <c r="M4170" s="71"/>
    </row>
    <row r="4171" spans="1:13" x14ac:dyDescent="0.25">
      <c r="A4171" s="2"/>
      <c r="B4171" s="11"/>
      <c r="C4171" s="26"/>
      <c r="M4171" s="71"/>
    </row>
    <row r="4172" spans="1:13" x14ac:dyDescent="0.25">
      <c r="A4172" s="2"/>
      <c r="B4172" s="11"/>
      <c r="C4172" s="26"/>
      <c r="M4172" s="71"/>
    </row>
    <row r="4173" spans="1:13" x14ac:dyDescent="0.25">
      <c r="A4173" s="2"/>
      <c r="B4173" s="11"/>
      <c r="C4173" s="26"/>
      <c r="M4173" s="71"/>
    </row>
    <row r="4174" spans="1:13" x14ac:dyDescent="0.25">
      <c r="A4174" s="2"/>
      <c r="B4174" s="11"/>
      <c r="C4174" s="26"/>
      <c r="M4174" s="71"/>
    </row>
    <row r="4175" spans="1:13" x14ac:dyDescent="0.25">
      <c r="A4175" s="2"/>
      <c r="B4175" s="11"/>
      <c r="C4175" s="26"/>
      <c r="M4175" s="71"/>
    </row>
    <row r="4176" spans="1:13" x14ac:dyDescent="0.25">
      <c r="A4176" s="2"/>
      <c r="B4176" s="11"/>
      <c r="C4176" s="26"/>
      <c r="M4176" s="71"/>
    </row>
    <row r="4177" spans="1:13" x14ac:dyDescent="0.25">
      <c r="A4177" s="2"/>
      <c r="B4177" s="11"/>
      <c r="C4177" s="26"/>
      <c r="M4177" s="71"/>
    </row>
    <row r="4178" spans="1:13" x14ac:dyDescent="0.25">
      <c r="A4178" s="2"/>
      <c r="B4178" s="11"/>
      <c r="C4178" s="26"/>
      <c r="M4178" s="71"/>
    </row>
    <row r="4179" spans="1:13" x14ac:dyDescent="0.25">
      <c r="A4179" s="2"/>
      <c r="B4179" s="11"/>
      <c r="C4179" s="26"/>
      <c r="M4179" s="71"/>
    </row>
    <row r="4180" spans="1:13" x14ac:dyDescent="0.25">
      <c r="A4180" s="2"/>
      <c r="B4180" s="11"/>
      <c r="C4180" s="26"/>
      <c r="M4180" s="71"/>
    </row>
    <row r="4181" spans="1:13" x14ac:dyDescent="0.25">
      <c r="A4181" s="2"/>
      <c r="B4181" s="11"/>
      <c r="C4181" s="26"/>
      <c r="M4181" s="71"/>
    </row>
    <row r="4182" spans="1:13" x14ac:dyDescent="0.25">
      <c r="A4182" s="2"/>
      <c r="B4182" s="11"/>
      <c r="C4182" s="26"/>
      <c r="M4182" s="71"/>
    </row>
    <row r="4183" spans="1:13" x14ac:dyDescent="0.25">
      <c r="A4183" s="2"/>
      <c r="B4183" s="11"/>
      <c r="C4183" s="26"/>
      <c r="M4183" s="71"/>
    </row>
    <row r="4184" spans="1:13" x14ac:dyDescent="0.25">
      <c r="A4184" s="2"/>
      <c r="B4184" s="11"/>
      <c r="C4184" s="26"/>
      <c r="M4184" s="71"/>
    </row>
    <row r="4185" spans="1:13" x14ac:dyDescent="0.25">
      <c r="A4185" s="2"/>
      <c r="B4185" s="11"/>
      <c r="C4185" s="26"/>
      <c r="M4185" s="71"/>
    </row>
    <row r="4186" spans="1:13" x14ac:dyDescent="0.25">
      <c r="A4186" s="2"/>
      <c r="B4186" s="11"/>
      <c r="C4186" s="26"/>
      <c r="M4186" s="71"/>
    </row>
    <row r="4187" spans="1:13" x14ac:dyDescent="0.25">
      <c r="A4187" s="2"/>
      <c r="B4187" s="11"/>
      <c r="C4187" s="26"/>
      <c r="M4187" s="71"/>
    </row>
    <row r="4188" spans="1:13" x14ac:dyDescent="0.25">
      <c r="A4188" s="2"/>
      <c r="B4188" s="11"/>
      <c r="C4188" s="26"/>
      <c r="M4188" s="71"/>
    </row>
    <row r="4189" spans="1:13" x14ac:dyDescent="0.25">
      <c r="A4189" s="2"/>
      <c r="B4189" s="11"/>
      <c r="C4189" s="26"/>
      <c r="M4189" s="71"/>
    </row>
    <row r="4190" spans="1:13" x14ac:dyDescent="0.25">
      <c r="A4190" s="2"/>
      <c r="B4190" s="11"/>
      <c r="C4190" s="26"/>
      <c r="M4190" s="71"/>
    </row>
    <row r="4191" spans="1:13" x14ac:dyDescent="0.25">
      <c r="A4191" s="2"/>
      <c r="B4191" s="11"/>
      <c r="C4191" s="26"/>
      <c r="M4191" s="71"/>
    </row>
    <row r="4192" spans="1:13" x14ac:dyDescent="0.25">
      <c r="A4192" s="2"/>
      <c r="B4192" s="11"/>
      <c r="C4192" s="26"/>
      <c r="M4192" s="71"/>
    </row>
    <row r="4193" spans="1:13" x14ac:dyDescent="0.25">
      <c r="A4193" s="2"/>
      <c r="B4193" s="11"/>
      <c r="C4193" s="26"/>
      <c r="M4193" s="71"/>
    </row>
    <row r="4194" spans="1:13" x14ac:dyDescent="0.25">
      <c r="A4194" s="2"/>
      <c r="B4194" s="11"/>
      <c r="C4194" s="26"/>
      <c r="M4194" s="71"/>
    </row>
    <row r="4195" spans="1:13" x14ac:dyDescent="0.25">
      <c r="A4195" s="2"/>
      <c r="B4195" s="11"/>
      <c r="C4195" s="26"/>
      <c r="M4195" s="71"/>
    </row>
    <row r="4196" spans="1:13" x14ac:dyDescent="0.25">
      <c r="A4196" s="2"/>
      <c r="B4196" s="11"/>
      <c r="C4196" s="26"/>
      <c r="M4196" s="71"/>
    </row>
    <row r="4197" spans="1:13" x14ac:dyDescent="0.25">
      <c r="A4197" s="2"/>
      <c r="B4197" s="11"/>
      <c r="C4197" s="26"/>
      <c r="M4197" s="71"/>
    </row>
    <row r="4198" spans="1:13" x14ac:dyDescent="0.25">
      <c r="A4198" s="2"/>
      <c r="B4198" s="11"/>
      <c r="C4198" s="26"/>
      <c r="M4198" s="71"/>
    </row>
    <row r="4199" spans="1:13" x14ac:dyDescent="0.25">
      <c r="A4199" s="2"/>
      <c r="B4199" s="11"/>
      <c r="C4199" s="26"/>
      <c r="M4199" s="71"/>
    </row>
    <row r="4200" spans="1:13" x14ac:dyDescent="0.25">
      <c r="A4200" s="2"/>
      <c r="B4200" s="11"/>
      <c r="C4200" s="26"/>
      <c r="M4200" s="71"/>
    </row>
    <row r="4201" spans="1:13" x14ac:dyDescent="0.25">
      <c r="A4201" s="2"/>
      <c r="B4201" s="11"/>
      <c r="C4201" s="26"/>
      <c r="M4201" s="71"/>
    </row>
    <row r="4202" spans="1:13" x14ac:dyDescent="0.25">
      <c r="A4202" s="2"/>
      <c r="B4202" s="11"/>
      <c r="C4202" s="26"/>
      <c r="M4202" s="71"/>
    </row>
    <row r="4203" spans="1:13" x14ac:dyDescent="0.25">
      <c r="A4203" s="2"/>
      <c r="B4203" s="11"/>
      <c r="C4203" s="26"/>
      <c r="M4203" s="71"/>
    </row>
    <row r="4204" spans="1:13" x14ac:dyDescent="0.25">
      <c r="A4204" s="2"/>
      <c r="B4204" s="11"/>
      <c r="C4204" s="26"/>
      <c r="M4204" s="71"/>
    </row>
    <row r="4205" spans="1:13" x14ac:dyDescent="0.25">
      <c r="A4205" s="2"/>
      <c r="B4205" s="11"/>
      <c r="C4205" s="26"/>
      <c r="M4205" s="71"/>
    </row>
    <row r="4206" spans="1:13" x14ac:dyDescent="0.25">
      <c r="A4206" s="2"/>
      <c r="B4206" s="11"/>
      <c r="C4206" s="26"/>
      <c r="M4206" s="71"/>
    </row>
    <row r="4207" spans="1:13" x14ac:dyDescent="0.25">
      <c r="A4207" s="2"/>
      <c r="B4207" s="11"/>
      <c r="C4207" s="26"/>
      <c r="M4207" s="71"/>
    </row>
    <row r="4208" spans="1:13" x14ac:dyDescent="0.25">
      <c r="A4208" s="2"/>
      <c r="B4208" s="11"/>
      <c r="C4208" s="26"/>
      <c r="M4208" s="71"/>
    </row>
    <row r="4209" spans="1:13" x14ac:dyDescent="0.25">
      <c r="A4209" s="2"/>
      <c r="B4209" s="11"/>
      <c r="C4209" s="26"/>
      <c r="M4209" s="71"/>
    </row>
    <row r="4210" spans="1:13" x14ac:dyDescent="0.25">
      <c r="A4210" s="2"/>
      <c r="B4210" s="11"/>
      <c r="C4210" s="26"/>
      <c r="M4210" s="71"/>
    </row>
    <row r="4211" spans="1:13" x14ac:dyDescent="0.25">
      <c r="A4211" s="2"/>
      <c r="B4211" s="11"/>
      <c r="C4211" s="26"/>
      <c r="M4211" s="71"/>
    </row>
    <row r="4212" spans="1:13" x14ac:dyDescent="0.25">
      <c r="A4212" s="2"/>
      <c r="B4212" s="11"/>
      <c r="C4212" s="26"/>
      <c r="M4212" s="71"/>
    </row>
    <row r="4213" spans="1:13" x14ac:dyDescent="0.25">
      <c r="A4213" s="2"/>
      <c r="B4213" s="11"/>
      <c r="C4213" s="26"/>
      <c r="M4213" s="71"/>
    </row>
    <row r="4214" spans="1:13" x14ac:dyDescent="0.25">
      <c r="A4214" s="2"/>
      <c r="B4214" s="11"/>
      <c r="C4214" s="26"/>
      <c r="M4214" s="71"/>
    </row>
    <row r="4215" spans="1:13" x14ac:dyDescent="0.25">
      <c r="A4215" s="2"/>
      <c r="B4215" s="11"/>
      <c r="C4215" s="26"/>
      <c r="M4215" s="71"/>
    </row>
    <row r="4216" spans="1:13" x14ac:dyDescent="0.25">
      <c r="A4216" s="2"/>
      <c r="B4216" s="11"/>
      <c r="C4216" s="26"/>
      <c r="M4216" s="71"/>
    </row>
    <row r="4217" spans="1:13" x14ac:dyDescent="0.25">
      <c r="A4217" s="2"/>
      <c r="B4217" s="11"/>
      <c r="C4217" s="26"/>
      <c r="M4217" s="71"/>
    </row>
    <row r="4218" spans="1:13" x14ac:dyDescent="0.25">
      <c r="A4218" s="2"/>
      <c r="B4218" s="11"/>
      <c r="C4218" s="26"/>
      <c r="M4218" s="71"/>
    </row>
    <row r="4219" spans="1:13" x14ac:dyDescent="0.25">
      <c r="A4219" s="2"/>
      <c r="B4219" s="11"/>
      <c r="C4219" s="26"/>
      <c r="M4219" s="71"/>
    </row>
    <row r="4220" spans="1:13" x14ac:dyDescent="0.25">
      <c r="A4220" s="2"/>
      <c r="B4220" s="11"/>
      <c r="C4220" s="26"/>
      <c r="M4220" s="71"/>
    </row>
    <row r="4221" spans="1:13" x14ac:dyDescent="0.25">
      <c r="A4221" s="2"/>
      <c r="B4221" s="11"/>
      <c r="C4221" s="26"/>
      <c r="M4221" s="71"/>
    </row>
    <row r="4222" spans="1:13" x14ac:dyDescent="0.25">
      <c r="A4222" s="2"/>
      <c r="B4222" s="11"/>
      <c r="C4222" s="26"/>
      <c r="M4222" s="71"/>
    </row>
    <row r="4223" spans="1:13" x14ac:dyDescent="0.25">
      <c r="A4223" s="2"/>
      <c r="B4223" s="11"/>
      <c r="C4223" s="26"/>
      <c r="M4223" s="71"/>
    </row>
    <row r="4224" spans="1:13" x14ac:dyDescent="0.25">
      <c r="A4224" s="2"/>
      <c r="B4224" s="11"/>
      <c r="C4224" s="26"/>
      <c r="M4224" s="71"/>
    </row>
    <row r="4225" spans="1:13" x14ac:dyDescent="0.25">
      <c r="A4225" s="2"/>
      <c r="B4225" s="11"/>
      <c r="C4225" s="26"/>
      <c r="M4225" s="71"/>
    </row>
    <row r="4226" spans="1:13" x14ac:dyDescent="0.25">
      <c r="A4226" s="2"/>
      <c r="B4226" s="11"/>
      <c r="C4226" s="26"/>
      <c r="M4226" s="71"/>
    </row>
    <row r="4227" spans="1:13" x14ac:dyDescent="0.25">
      <c r="A4227" s="2"/>
      <c r="B4227" s="11"/>
      <c r="C4227" s="26"/>
      <c r="M4227" s="71"/>
    </row>
    <row r="4228" spans="1:13" x14ac:dyDescent="0.25">
      <c r="A4228" s="2"/>
      <c r="B4228" s="11"/>
      <c r="C4228" s="26"/>
      <c r="M4228" s="71"/>
    </row>
    <row r="4229" spans="1:13" x14ac:dyDescent="0.25">
      <c r="A4229" s="2"/>
      <c r="B4229" s="11"/>
      <c r="C4229" s="26"/>
      <c r="M4229" s="71"/>
    </row>
    <row r="4230" spans="1:13" x14ac:dyDescent="0.25">
      <c r="A4230" s="2"/>
      <c r="B4230" s="11"/>
      <c r="C4230" s="26"/>
      <c r="M4230" s="71"/>
    </row>
    <row r="4231" spans="1:13" x14ac:dyDescent="0.25">
      <c r="A4231" s="2"/>
      <c r="B4231" s="11"/>
      <c r="C4231" s="26"/>
      <c r="M4231" s="71"/>
    </row>
    <row r="4232" spans="1:13" x14ac:dyDescent="0.25">
      <c r="A4232" s="2"/>
      <c r="B4232" s="11"/>
      <c r="C4232" s="26"/>
      <c r="M4232" s="71"/>
    </row>
    <row r="4233" spans="1:13" x14ac:dyDescent="0.25">
      <c r="A4233" s="2"/>
      <c r="B4233" s="11"/>
      <c r="C4233" s="26"/>
      <c r="M4233" s="71"/>
    </row>
    <row r="4234" spans="1:13" x14ac:dyDescent="0.25">
      <c r="A4234" s="2"/>
      <c r="B4234" s="11"/>
      <c r="C4234" s="26"/>
      <c r="M4234" s="71"/>
    </row>
    <row r="4235" spans="1:13" x14ac:dyDescent="0.25">
      <c r="A4235" s="2"/>
      <c r="B4235" s="11"/>
      <c r="C4235" s="26"/>
      <c r="M4235" s="71"/>
    </row>
    <row r="4236" spans="1:13" x14ac:dyDescent="0.25">
      <c r="A4236" s="2"/>
      <c r="B4236" s="11"/>
      <c r="C4236" s="26"/>
      <c r="M4236" s="71"/>
    </row>
    <row r="4237" spans="1:13" x14ac:dyDescent="0.25">
      <c r="A4237" s="2"/>
      <c r="B4237" s="11"/>
      <c r="C4237" s="26"/>
      <c r="M4237" s="71"/>
    </row>
    <row r="4238" spans="1:13" x14ac:dyDescent="0.25">
      <c r="A4238" s="2"/>
      <c r="B4238" s="11"/>
      <c r="C4238" s="26"/>
      <c r="M4238" s="71"/>
    </row>
    <row r="4239" spans="1:13" x14ac:dyDescent="0.25">
      <c r="A4239" s="2"/>
      <c r="B4239" s="11"/>
      <c r="C4239" s="26"/>
      <c r="M4239" s="71"/>
    </row>
    <row r="4240" spans="1:13" x14ac:dyDescent="0.25">
      <c r="A4240" s="2"/>
      <c r="B4240" s="11"/>
      <c r="C4240" s="26"/>
      <c r="M4240" s="71"/>
    </row>
    <row r="4241" spans="1:13" x14ac:dyDescent="0.25">
      <c r="A4241" s="2"/>
      <c r="B4241" s="11"/>
      <c r="C4241" s="26"/>
      <c r="M4241" s="71"/>
    </row>
    <row r="4242" spans="1:13" x14ac:dyDescent="0.25">
      <c r="A4242" s="2"/>
      <c r="B4242" s="11"/>
      <c r="C4242" s="26"/>
      <c r="M4242" s="71"/>
    </row>
    <row r="4243" spans="1:13" x14ac:dyDescent="0.25">
      <c r="A4243" s="2"/>
      <c r="B4243" s="11"/>
      <c r="C4243" s="26"/>
      <c r="M4243" s="71"/>
    </row>
    <row r="4244" spans="1:13" x14ac:dyDescent="0.25">
      <c r="A4244" s="2"/>
      <c r="B4244" s="11"/>
      <c r="C4244" s="26"/>
      <c r="M4244" s="71"/>
    </row>
    <row r="4245" spans="1:13" x14ac:dyDescent="0.25">
      <c r="A4245" s="2"/>
      <c r="B4245" s="11"/>
      <c r="C4245" s="26"/>
      <c r="M4245" s="71"/>
    </row>
    <row r="4246" spans="1:13" x14ac:dyDescent="0.25">
      <c r="A4246" s="2"/>
      <c r="B4246" s="11"/>
      <c r="C4246" s="26"/>
      <c r="M4246" s="71"/>
    </row>
    <row r="4247" spans="1:13" x14ac:dyDescent="0.25">
      <c r="A4247" s="2"/>
      <c r="B4247" s="11"/>
      <c r="C4247" s="26"/>
      <c r="M4247" s="71"/>
    </row>
    <row r="4248" spans="1:13" x14ac:dyDescent="0.25">
      <c r="A4248" s="2"/>
      <c r="B4248" s="11"/>
      <c r="C4248" s="26"/>
      <c r="M4248" s="71"/>
    </row>
    <row r="4249" spans="1:13" x14ac:dyDescent="0.25">
      <c r="A4249" s="2"/>
      <c r="B4249" s="11"/>
      <c r="C4249" s="26"/>
      <c r="M4249" s="71"/>
    </row>
    <row r="4250" spans="1:13" x14ac:dyDescent="0.25">
      <c r="A4250" s="2"/>
      <c r="B4250" s="11"/>
      <c r="C4250" s="26"/>
      <c r="M4250" s="71"/>
    </row>
    <row r="4251" spans="1:13" x14ac:dyDescent="0.25">
      <c r="A4251" s="2"/>
      <c r="B4251" s="11"/>
      <c r="C4251" s="26"/>
      <c r="M4251" s="71"/>
    </row>
    <row r="4252" spans="1:13" x14ac:dyDescent="0.25">
      <c r="A4252" s="2"/>
      <c r="B4252" s="11"/>
      <c r="C4252" s="26"/>
      <c r="M4252" s="71"/>
    </row>
    <row r="4253" spans="1:13" x14ac:dyDescent="0.25">
      <c r="A4253" s="2"/>
      <c r="B4253" s="11"/>
      <c r="C4253" s="26"/>
      <c r="M4253" s="71"/>
    </row>
    <row r="4254" spans="1:13" x14ac:dyDescent="0.25">
      <c r="A4254" s="2"/>
      <c r="B4254" s="11"/>
      <c r="C4254" s="26"/>
      <c r="M4254" s="71"/>
    </row>
    <row r="4255" spans="1:13" x14ac:dyDescent="0.25">
      <c r="A4255" s="2"/>
      <c r="B4255" s="11"/>
      <c r="C4255" s="26"/>
      <c r="M4255" s="71"/>
    </row>
    <row r="4256" spans="1:13" x14ac:dyDescent="0.25">
      <c r="A4256" s="2"/>
      <c r="B4256" s="11"/>
      <c r="C4256" s="26"/>
      <c r="M4256" s="71"/>
    </row>
    <row r="4257" spans="1:13" x14ac:dyDescent="0.25">
      <c r="A4257" s="2"/>
      <c r="B4257" s="11"/>
      <c r="C4257" s="26"/>
      <c r="M4257" s="71"/>
    </row>
    <row r="4258" spans="1:13" x14ac:dyDescent="0.25">
      <c r="A4258" s="2"/>
      <c r="B4258" s="11"/>
      <c r="C4258" s="26"/>
      <c r="M4258" s="71"/>
    </row>
    <row r="4259" spans="1:13" x14ac:dyDescent="0.25">
      <c r="A4259" s="2"/>
      <c r="B4259" s="11"/>
      <c r="C4259" s="26"/>
      <c r="M4259" s="71"/>
    </row>
    <row r="4260" spans="1:13" x14ac:dyDescent="0.25">
      <c r="A4260" s="2"/>
      <c r="B4260" s="11"/>
      <c r="C4260" s="26"/>
      <c r="M4260" s="71"/>
    </row>
    <row r="4261" spans="1:13" x14ac:dyDescent="0.25">
      <c r="A4261" s="2"/>
      <c r="B4261" s="11"/>
      <c r="C4261" s="26"/>
      <c r="M4261" s="71"/>
    </row>
    <row r="4262" spans="1:13" x14ac:dyDescent="0.25">
      <c r="A4262" s="2"/>
      <c r="B4262" s="11"/>
      <c r="C4262" s="26"/>
      <c r="M4262" s="71"/>
    </row>
    <row r="4263" spans="1:13" x14ac:dyDescent="0.25">
      <c r="A4263" s="2"/>
      <c r="B4263" s="11"/>
      <c r="C4263" s="26"/>
      <c r="M4263" s="71"/>
    </row>
    <row r="4264" spans="1:13" x14ac:dyDescent="0.25">
      <c r="A4264" s="2"/>
      <c r="B4264" s="11"/>
      <c r="C4264" s="26"/>
      <c r="M4264" s="71"/>
    </row>
    <row r="4265" spans="1:13" x14ac:dyDescent="0.25">
      <c r="A4265" s="2"/>
      <c r="B4265" s="11"/>
      <c r="C4265" s="26"/>
      <c r="M4265" s="71"/>
    </row>
    <row r="4266" spans="1:13" x14ac:dyDescent="0.25">
      <c r="A4266" s="2"/>
      <c r="B4266" s="11"/>
      <c r="C4266" s="26"/>
      <c r="M4266" s="71"/>
    </row>
    <row r="4267" spans="1:13" x14ac:dyDescent="0.25">
      <c r="A4267" s="2"/>
      <c r="B4267" s="11"/>
      <c r="C4267" s="26"/>
      <c r="M4267" s="71"/>
    </row>
    <row r="4268" spans="1:13" x14ac:dyDescent="0.25">
      <c r="A4268" s="2"/>
      <c r="B4268" s="11"/>
      <c r="C4268" s="26"/>
      <c r="M4268" s="71"/>
    </row>
    <row r="4269" spans="1:13" x14ac:dyDescent="0.25">
      <c r="A4269" s="2"/>
      <c r="B4269" s="11"/>
      <c r="C4269" s="26"/>
      <c r="M4269" s="71"/>
    </row>
    <row r="4270" spans="1:13" x14ac:dyDescent="0.25">
      <c r="A4270" s="2"/>
      <c r="B4270" s="11"/>
      <c r="C4270" s="26"/>
      <c r="M4270" s="71"/>
    </row>
    <row r="4271" spans="1:13" x14ac:dyDescent="0.25">
      <c r="A4271" s="2"/>
      <c r="B4271" s="11"/>
      <c r="C4271" s="26"/>
      <c r="M4271" s="71"/>
    </row>
    <row r="4272" spans="1:13" x14ac:dyDescent="0.25">
      <c r="A4272" s="2"/>
      <c r="B4272" s="11"/>
      <c r="C4272" s="26"/>
      <c r="M4272" s="71"/>
    </row>
    <row r="4273" spans="1:13" x14ac:dyDescent="0.25">
      <c r="A4273" s="2"/>
      <c r="B4273" s="11"/>
      <c r="C4273" s="26"/>
      <c r="M4273" s="71"/>
    </row>
    <row r="4274" spans="1:13" x14ac:dyDescent="0.25">
      <c r="A4274" s="2"/>
      <c r="B4274" s="11"/>
      <c r="C4274" s="26"/>
      <c r="M4274" s="71"/>
    </row>
    <row r="4275" spans="1:13" x14ac:dyDescent="0.25">
      <c r="A4275" s="2"/>
      <c r="B4275" s="11"/>
      <c r="C4275" s="26"/>
      <c r="M4275" s="71"/>
    </row>
    <row r="4276" spans="1:13" x14ac:dyDescent="0.25">
      <c r="A4276" s="2"/>
      <c r="B4276" s="11"/>
      <c r="C4276" s="26"/>
      <c r="M4276" s="71"/>
    </row>
    <row r="4277" spans="1:13" x14ac:dyDescent="0.25">
      <c r="A4277" s="2"/>
      <c r="B4277" s="11"/>
      <c r="C4277" s="26"/>
      <c r="M4277" s="71"/>
    </row>
    <row r="4278" spans="1:13" x14ac:dyDescent="0.25">
      <c r="A4278" s="2"/>
      <c r="B4278" s="11"/>
      <c r="C4278" s="26"/>
      <c r="M4278" s="71"/>
    </row>
    <row r="4279" spans="1:13" x14ac:dyDescent="0.25">
      <c r="A4279" s="2"/>
      <c r="B4279" s="11"/>
      <c r="C4279" s="26"/>
      <c r="M4279" s="71"/>
    </row>
    <row r="4280" spans="1:13" x14ac:dyDescent="0.25">
      <c r="A4280" s="2"/>
      <c r="B4280" s="11"/>
      <c r="C4280" s="26"/>
      <c r="M4280" s="71"/>
    </row>
    <row r="4281" spans="1:13" x14ac:dyDescent="0.25">
      <c r="A4281" s="2"/>
      <c r="B4281" s="11"/>
      <c r="C4281" s="26"/>
      <c r="M4281" s="71"/>
    </row>
    <row r="4282" spans="1:13" x14ac:dyDescent="0.25">
      <c r="A4282" s="2"/>
      <c r="B4282" s="11"/>
      <c r="C4282" s="26"/>
      <c r="M4282" s="71"/>
    </row>
    <row r="4283" spans="1:13" x14ac:dyDescent="0.25">
      <c r="A4283" s="2"/>
      <c r="B4283" s="11"/>
      <c r="C4283" s="26"/>
      <c r="M4283" s="71"/>
    </row>
    <row r="4284" spans="1:13" x14ac:dyDescent="0.25">
      <c r="A4284" s="2"/>
      <c r="B4284" s="11"/>
      <c r="C4284" s="26"/>
      <c r="M4284" s="71"/>
    </row>
    <row r="4285" spans="1:13" x14ac:dyDescent="0.25">
      <c r="A4285" s="2"/>
      <c r="B4285" s="11"/>
      <c r="C4285" s="26"/>
      <c r="M4285" s="71"/>
    </row>
    <row r="4286" spans="1:13" x14ac:dyDescent="0.25">
      <c r="A4286" s="2"/>
      <c r="B4286" s="11"/>
      <c r="C4286" s="26"/>
      <c r="M4286" s="71"/>
    </row>
    <row r="4287" spans="1:13" x14ac:dyDescent="0.25">
      <c r="A4287" s="2"/>
      <c r="B4287" s="11"/>
      <c r="C4287" s="26"/>
      <c r="M4287" s="71"/>
    </row>
    <row r="4288" spans="1:13" x14ac:dyDescent="0.25">
      <c r="A4288" s="2"/>
      <c r="B4288" s="11"/>
      <c r="C4288" s="26"/>
      <c r="M4288" s="71"/>
    </row>
    <row r="4289" spans="1:13" x14ac:dyDescent="0.25">
      <c r="A4289" s="2"/>
      <c r="B4289" s="11"/>
      <c r="C4289" s="26"/>
      <c r="M4289" s="71"/>
    </row>
    <row r="4290" spans="1:13" x14ac:dyDescent="0.25">
      <c r="A4290" s="2"/>
      <c r="B4290" s="11"/>
      <c r="C4290" s="26"/>
      <c r="M4290" s="71"/>
    </row>
    <row r="4291" spans="1:13" x14ac:dyDescent="0.25">
      <c r="A4291" s="2"/>
      <c r="B4291" s="11"/>
      <c r="C4291" s="26"/>
      <c r="M4291" s="71"/>
    </row>
    <row r="4292" spans="1:13" x14ac:dyDescent="0.25">
      <c r="A4292" s="2"/>
      <c r="B4292" s="11"/>
      <c r="C4292" s="26"/>
      <c r="M4292" s="71"/>
    </row>
    <row r="4293" spans="1:13" x14ac:dyDescent="0.25">
      <c r="A4293" s="2"/>
      <c r="B4293" s="11"/>
      <c r="C4293" s="26"/>
      <c r="M4293" s="71"/>
    </row>
    <row r="4294" spans="1:13" x14ac:dyDescent="0.25">
      <c r="A4294" s="2"/>
      <c r="B4294" s="11"/>
      <c r="C4294" s="26"/>
      <c r="M4294" s="71"/>
    </row>
    <row r="4295" spans="1:13" x14ac:dyDescent="0.25">
      <c r="A4295" s="2"/>
      <c r="B4295" s="11"/>
      <c r="C4295" s="26"/>
      <c r="M4295" s="71"/>
    </row>
    <row r="4296" spans="1:13" x14ac:dyDescent="0.25">
      <c r="A4296" s="2"/>
      <c r="B4296" s="11"/>
      <c r="C4296" s="26"/>
      <c r="M4296" s="71"/>
    </row>
    <row r="4297" spans="1:13" x14ac:dyDescent="0.25">
      <c r="A4297" s="2"/>
      <c r="B4297" s="11"/>
      <c r="C4297" s="26"/>
      <c r="M4297" s="71"/>
    </row>
    <row r="4298" spans="1:13" x14ac:dyDescent="0.25">
      <c r="A4298" s="2"/>
      <c r="B4298" s="11"/>
      <c r="C4298" s="26"/>
      <c r="M4298" s="71"/>
    </row>
    <row r="4299" spans="1:13" x14ac:dyDescent="0.25">
      <c r="A4299" s="2"/>
      <c r="B4299" s="11"/>
      <c r="C4299" s="26"/>
      <c r="M4299" s="71"/>
    </row>
    <row r="4300" spans="1:13" x14ac:dyDescent="0.25">
      <c r="A4300" s="2"/>
      <c r="B4300" s="11"/>
      <c r="C4300" s="26"/>
      <c r="M4300" s="71"/>
    </row>
    <row r="4301" spans="1:13" x14ac:dyDescent="0.25">
      <c r="A4301" s="2"/>
      <c r="B4301" s="11"/>
      <c r="C4301" s="26"/>
      <c r="M4301" s="71"/>
    </row>
    <row r="4302" spans="1:13" x14ac:dyDescent="0.25">
      <c r="A4302" s="2"/>
      <c r="B4302" s="11"/>
      <c r="C4302" s="26"/>
      <c r="M4302" s="71"/>
    </row>
    <row r="4303" spans="1:13" x14ac:dyDescent="0.25">
      <c r="A4303" s="2"/>
      <c r="B4303" s="11"/>
      <c r="C4303" s="26"/>
      <c r="M4303" s="71"/>
    </row>
    <row r="4304" spans="1:13" x14ac:dyDescent="0.25">
      <c r="A4304" s="2"/>
      <c r="B4304" s="11"/>
      <c r="C4304" s="26"/>
      <c r="M4304" s="71"/>
    </row>
    <row r="4305" spans="1:13" x14ac:dyDescent="0.25">
      <c r="A4305" s="2"/>
      <c r="B4305" s="11"/>
      <c r="C4305" s="26"/>
      <c r="M4305" s="71"/>
    </row>
    <row r="4306" spans="1:13" x14ac:dyDescent="0.25">
      <c r="A4306" s="2"/>
      <c r="B4306" s="11"/>
      <c r="C4306" s="26"/>
      <c r="M4306" s="71"/>
    </row>
    <row r="4307" spans="1:13" x14ac:dyDescent="0.25">
      <c r="A4307" s="2"/>
      <c r="B4307" s="11"/>
      <c r="C4307" s="26"/>
      <c r="M4307" s="71"/>
    </row>
    <row r="4308" spans="1:13" x14ac:dyDescent="0.25">
      <c r="A4308" s="2"/>
      <c r="B4308" s="11"/>
      <c r="C4308" s="26"/>
      <c r="M4308" s="71"/>
    </row>
    <row r="4309" spans="1:13" x14ac:dyDescent="0.25">
      <c r="A4309" s="2"/>
      <c r="B4309" s="11"/>
      <c r="C4309" s="26"/>
      <c r="M4309" s="71"/>
    </row>
    <row r="4310" spans="1:13" x14ac:dyDescent="0.25">
      <c r="A4310" s="2"/>
      <c r="B4310" s="11"/>
      <c r="C4310" s="26"/>
      <c r="M4310" s="71"/>
    </row>
    <row r="4311" spans="1:13" x14ac:dyDescent="0.25">
      <c r="A4311" s="2"/>
      <c r="B4311" s="11"/>
      <c r="C4311" s="26"/>
      <c r="M4311" s="71"/>
    </row>
    <row r="4312" spans="1:13" x14ac:dyDescent="0.25">
      <c r="A4312" s="2"/>
      <c r="B4312" s="11"/>
      <c r="C4312" s="26"/>
      <c r="M4312" s="71"/>
    </row>
    <row r="4313" spans="1:13" x14ac:dyDescent="0.25">
      <c r="A4313" s="2"/>
      <c r="B4313" s="11"/>
      <c r="C4313" s="26"/>
      <c r="M4313" s="71"/>
    </row>
    <row r="4314" spans="1:13" x14ac:dyDescent="0.25">
      <c r="A4314" s="2"/>
      <c r="B4314" s="11"/>
      <c r="C4314" s="26"/>
      <c r="M4314" s="71"/>
    </row>
    <row r="4315" spans="1:13" x14ac:dyDescent="0.25">
      <c r="A4315" s="2"/>
      <c r="B4315" s="11"/>
      <c r="C4315" s="26"/>
      <c r="M4315" s="71"/>
    </row>
    <row r="4316" spans="1:13" x14ac:dyDescent="0.25">
      <c r="A4316" s="2"/>
      <c r="B4316" s="11"/>
      <c r="C4316" s="26"/>
      <c r="M4316" s="71"/>
    </row>
    <row r="4317" spans="1:13" x14ac:dyDescent="0.25">
      <c r="A4317" s="2"/>
      <c r="B4317" s="11"/>
      <c r="C4317" s="26"/>
      <c r="M4317" s="71"/>
    </row>
    <row r="4318" spans="1:13" x14ac:dyDescent="0.25">
      <c r="A4318" s="2"/>
      <c r="B4318" s="11"/>
      <c r="C4318" s="26"/>
      <c r="M4318" s="71"/>
    </row>
    <row r="4319" spans="1:13" x14ac:dyDescent="0.25">
      <c r="A4319" s="2"/>
      <c r="B4319" s="11"/>
      <c r="C4319" s="26"/>
      <c r="M4319" s="71"/>
    </row>
    <row r="4320" spans="1:13" x14ac:dyDescent="0.25">
      <c r="A4320" s="2"/>
      <c r="B4320" s="11"/>
      <c r="C4320" s="26"/>
      <c r="M4320" s="71"/>
    </row>
    <row r="4321" spans="1:13" x14ac:dyDescent="0.25">
      <c r="A4321" s="2"/>
      <c r="B4321" s="11"/>
      <c r="C4321" s="26"/>
      <c r="M4321" s="71"/>
    </row>
    <row r="4322" spans="1:13" x14ac:dyDescent="0.25">
      <c r="A4322" s="2"/>
      <c r="B4322" s="11"/>
      <c r="C4322" s="26"/>
      <c r="M4322" s="71"/>
    </row>
    <row r="4323" spans="1:13" x14ac:dyDescent="0.25">
      <c r="A4323" s="2"/>
      <c r="B4323" s="11"/>
      <c r="C4323" s="26"/>
      <c r="M4323" s="71"/>
    </row>
    <row r="4324" spans="1:13" x14ac:dyDescent="0.25">
      <c r="A4324" s="2"/>
      <c r="B4324" s="11"/>
      <c r="C4324" s="26"/>
      <c r="M4324" s="71"/>
    </row>
    <row r="4325" spans="1:13" x14ac:dyDescent="0.25">
      <c r="A4325" s="2"/>
      <c r="B4325" s="11"/>
      <c r="C4325" s="26"/>
      <c r="M4325" s="71"/>
    </row>
    <row r="4326" spans="1:13" x14ac:dyDescent="0.25">
      <c r="A4326" s="2"/>
      <c r="B4326" s="11"/>
      <c r="C4326" s="26"/>
      <c r="M4326" s="71"/>
    </row>
    <row r="4327" spans="1:13" x14ac:dyDescent="0.25">
      <c r="A4327" s="2"/>
      <c r="B4327" s="11"/>
      <c r="C4327" s="26"/>
      <c r="M4327" s="71"/>
    </row>
    <row r="4328" spans="1:13" x14ac:dyDescent="0.25">
      <c r="A4328" s="2"/>
      <c r="B4328" s="11"/>
      <c r="C4328" s="26"/>
      <c r="M4328" s="71"/>
    </row>
    <row r="4329" spans="1:13" x14ac:dyDescent="0.25">
      <c r="A4329" s="2"/>
      <c r="B4329" s="11"/>
      <c r="C4329" s="26"/>
      <c r="M4329" s="71"/>
    </row>
    <row r="4330" spans="1:13" x14ac:dyDescent="0.25">
      <c r="A4330" s="2"/>
      <c r="B4330" s="11"/>
      <c r="C4330" s="26"/>
      <c r="M4330" s="71"/>
    </row>
    <row r="4331" spans="1:13" x14ac:dyDescent="0.25">
      <c r="A4331" s="2"/>
      <c r="B4331" s="11"/>
      <c r="C4331" s="26"/>
      <c r="M4331" s="71"/>
    </row>
    <row r="4332" spans="1:13" x14ac:dyDescent="0.25">
      <c r="A4332" s="2"/>
      <c r="B4332" s="11"/>
      <c r="C4332" s="26"/>
      <c r="M4332" s="71"/>
    </row>
    <row r="4333" spans="1:13" x14ac:dyDescent="0.25">
      <c r="A4333" s="2"/>
      <c r="B4333" s="11"/>
      <c r="C4333" s="26"/>
      <c r="M4333" s="71"/>
    </row>
    <row r="4334" spans="1:13" x14ac:dyDescent="0.25">
      <c r="A4334" s="2"/>
      <c r="B4334" s="11"/>
      <c r="C4334" s="26"/>
      <c r="M4334" s="71"/>
    </row>
    <row r="4335" spans="1:13" x14ac:dyDescent="0.25">
      <c r="A4335" s="2"/>
      <c r="B4335" s="11"/>
      <c r="C4335" s="26"/>
      <c r="M4335" s="71"/>
    </row>
    <row r="4336" spans="1:13" x14ac:dyDescent="0.25">
      <c r="A4336" s="2"/>
      <c r="B4336" s="11"/>
      <c r="C4336" s="26"/>
      <c r="M4336" s="71"/>
    </row>
    <row r="4337" spans="1:13" x14ac:dyDescent="0.25">
      <c r="A4337" s="2"/>
      <c r="B4337" s="11"/>
      <c r="C4337" s="26"/>
      <c r="M4337" s="71"/>
    </row>
    <row r="4338" spans="1:13" x14ac:dyDescent="0.25">
      <c r="A4338" s="2"/>
      <c r="B4338" s="11"/>
      <c r="C4338" s="26"/>
      <c r="M4338" s="71"/>
    </row>
    <row r="4339" spans="1:13" x14ac:dyDescent="0.25">
      <c r="A4339" s="2"/>
      <c r="B4339" s="11"/>
      <c r="C4339" s="26"/>
      <c r="M4339" s="71"/>
    </row>
    <row r="4340" spans="1:13" x14ac:dyDescent="0.25">
      <c r="A4340" s="2"/>
      <c r="B4340" s="11"/>
      <c r="C4340" s="26"/>
      <c r="M4340" s="71"/>
    </row>
    <row r="4341" spans="1:13" x14ac:dyDescent="0.25">
      <c r="A4341" s="2"/>
      <c r="B4341" s="11"/>
      <c r="C4341" s="26"/>
      <c r="M4341" s="71"/>
    </row>
    <row r="4342" spans="1:13" x14ac:dyDescent="0.25">
      <c r="A4342" s="2"/>
      <c r="B4342" s="11"/>
      <c r="C4342" s="26"/>
      <c r="M4342" s="71"/>
    </row>
    <row r="4343" spans="1:13" x14ac:dyDescent="0.25">
      <c r="A4343" s="2"/>
      <c r="B4343" s="11"/>
      <c r="C4343" s="26"/>
      <c r="M4343" s="71"/>
    </row>
    <row r="4344" spans="1:13" x14ac:dyDescent="0.25">
      <c r="A4344" s="2"/>
      <c r="B4344" s="11"/>
      <c r="C4344" s="26"/>
      <c r="M4344" s="71"/>
    </row>
    <row r="4345" spans="1:13" x14ac:dyDescent="0.25">
      <c r="A4345" s="2"/>
      <c r="B4345" s="11"/>
      <c r="C4345" s="26"/>
      <c r="M4345" s="71"/>
    </row>
    <row r="4346" spans="1:13" x14ac:dyDescent="0.25">
      <c r="A4346" s="2"/>
      <c r="B4346" s="11"/>
      <c r="C4346" s="26"/>
      <c r="M4346" s="71"/>
    </row>
    <row r="4347" spans="1:13" x14ac:dyDescent="0.25">
      <c r="A4347" s="2"/>
      <c r="B4347" s="11"/>
      <c r="C4347" s="26"/>
      <c r="M4347" s="71"/>
    </row>
    <row r="4348" spans="1:13" x14ac:dyDescent="0.25">
      <c r="A4348" s="2"/>
      <c r="B4348" s="11"/>
      <c r="C4348" s="26"/>
      <c r="M4348" s="71"/>
    </row>
    <row r="4349" spans="1:13" x14ac:dyDescent="0.25">
      <c r="A4349" s="2"/>
      <c r="B4349" s="11"/>
      <c r="C4349" s="26"/>
      <c r="M4349" s="71"/>
    </row>
    <row r="4350" spans="1:13" x14ac:dyDescent="0.25">
      <c r="A4350" s="2"/>
      <c r="B4350" s="11"/>
      <c r="C4350" s="26"/>
      <c r="M4350" s="71"/>
    </row>
    <row r="4351" spans="1:13" x14ac:dyDescent="0.25">
      <c r="A4351" s="2"/>
      <c r="B4351" s="11"/>
      <c r="C4351" s="26"/>
      <c r="M4351" s="71"/>
    </row>
    <row r="4352" spans="1:13" x14ac:dyDescent="0.25">
      <c r="A4352" s="2"/>
      <c r="B4352" s="11"/>
      <c r="C4352" s="26"/>
      <c r="M4352" s="71"/>
    </row>
    <row r="4353" spans="1:13" x14ac:dyDescent="0.25">
      <c r="A4353" s="2"/>
      <c r="B4353" s="11"/>
      <c r="C4353" s="26"/>
      <c r="M4353" s="71"/>
    </row>
    <row r="4354" spans="1:13" x14ac:dyDescent="0.25">
      <c r="A4354" s="2"/>
      <c r="B4354" s="11"/>
      <c r="C4354" s="26"/>
      <c r="M4354" s="71"/>
    </row>
    <row r="4355" spans="1:13" x14ac:dyDescent="0.25">
      <c r="A4355" s="2"/>
      <c r="B4355" s="11"/>
      <c r="C4355" s="26"/>
      <c r="M4355" s="71"/>
    </row>
    <row r="4356" spans="1:13" x14ac:dyDescent="0.25">
      <c r="A4356" s="2"/>
      <c r="B4356" s="11"/>
      <c r="C4356" s="26"/>
      <c r="M4356" s="71"/>
    </row>
    <row r="4357" spans="1:13" x14ac:dyDescent="0.25">
      <c r="A4357" s="2"/>
      <c r="B4357" s="11"/>
      <c r="C4357" s="26"/>
      <c r="M4357" s="71"/>
    </row>
    <row r="4358" spans="1:13" x14ac:dyDescent="0.25">
      <c r="A4358" s="2"/>
      <c r="B4358" s="11"/>
      <c r="C4358" s="26"/>
      <c r="M4358" s="71"/>
    </row>
    <row r="4359" spans="1:13" x14ac:dyDescent="0.25">
      <c r="A4359" s="2"/>
      <c r="B4359" s="11"/>
      <c r="C4359" s="26"/>
      <c r="M4359" s="71"/>
    </row>
    <row r="4360" spans="1:13" x14ac:dyDescent="0.25">
      <c r="A4360" s="2"/>
      <c r="B4360" s="11"/>
      <c r="C4360" s="26"/>
      <c r="M4360" s="71"/>
    </row>
    <row r="4361" spans="1:13" x14ac:dyDescent="0.25">
      <c r="A4361" s="2"/>
      <c r="B4361" s="11"/>
      <c r="C4361" s="26"/>
      <c r="M4361" s="71"/>
    </row>
    <row r="4362" spans="1:13" x14ac:dyDescent="0.25">
      <c r="A4362" s="2"/>
      <c r="B4362" s="11"/>
      <c r="C4362" s="26"/>
      <c r="M4362" s="71"/>
    </row>
    <row r="4363" spans="1:13" x14ac:dyDescent="0.25">
      <c r="A4363" s="2"/>
      <c r="B4363" s="11"/>
      <c r="C4363" s="26"/>
      <c r="M4363" s="71"/>
    </row>
    <row r="4364" spans="1:13" x14ac:dyDescent="0.25">
      <c r="A4364" s="2"/>
      <c r="B4364" s="11"/>
      <c r="C4364" s="26"/>
      <c r="M4364" s="71"/>
    </row>
    <row r="4365" spans="1:13" x14ac:dyDescent="0.25">
      <c r="A4365" s="2"/>
      <c r="B4365" s="11"/>
      <c r="C4365" s="26"/>
      <c r="M4365" s="71"/>
    </row>
    <row r="4366" spans="1:13" x14ac:dyDescent="0.25">
      <c r="A4366" s="2"/>
      <c r="B4366" s="11"/>
      <c r="C4366" s="26"/>
      <c r="M4366" s="71"/>
    </row>
    <row r="4367" spans="1:13" x14ac:dyDescent="0.25">
      <c r="A4367" s="2"/>
      <c r="B4367" s="11"/>
      <c r="C4367" s="26"/>
      <c r="M4367" s="71"/>
    </row>
    <row r="4368" spans="1:13" x14ac:dyDescent="0.25">
      <c r="A4368" s="2"/>
      <c r="B4368" s="11"/>
      <c r="C4368" s="26"/>
      <c r="M4368" s="71"/>
    </row>
    <row r="4369" spans="1:13" x14ac:dyDescent="0.25">
      <c r="A4369" s="2"/>
      <c r="B4369" s="11"/>
      <c r="C4369" s="26"/>
      <c r="M4369" s="71"/>
    </row>
    <row r="4370" spans="1:13" x14ac:dyDescent="0.25">
      <c r="A4370" s="2"/>
      <c r="B4370" s="11"/>
      <c r="C4370" s="26"/>
      <c r="M4370" s="71"/>
    </row>
    <row r="4371" spans="1:13" x14ac:dyDescent="0.25">
      <c r="A4371" s="2"/>
      <c r="B4371" s="11"/>
      <c r="C4371" s="26"/>
      <c r="M4371" s="71"/>
    </row>
    <row r="4372" spans="1:13" x14ac:dyDescent="0.25">
      <c r="A4372" s="2"/>
      <c r="B4372" s="11"/>
      <c r="C4372" s="26"/>
      <c r="M4372" s="71"/>
    </row>
    <row r="4373" spans="1:13" x14ac:dyDescent="0.25">
      <c r="A4373" s="2"/>
      <c r="B4373" s="11"/>
      <c r="C4373" s="26"/>
      <c r="M4373" s="71"/>
    </row>
    <row r="4374" spans="1:13" x14ac:dyDescent="0.25">
      <c r="A4374" s="2"/>
      <c r="B4374" s="11"/>
      <c r="C4374" s="26"/>
      <c r="M4374" s="71"/>
    </row>
    <row r="4375" spans="1:13" x14ac:dyDescent="0.25">
      <c r="A4375" s="2"/>
      <c r="B4375" s="11"/>
      <c r="C4375" s="26"/>
      <c r="M4375" s="71"/>
    </row>
    <row r="4376" spans="1:13" x14ac:dyDescent="0.25">
      <c r="A4376" s="2"/>
      <c r="B4376" s="11"/>
      <c r="C4376" s="26"/>
      <c r="M4376" s="71"/>
    </row>
    <row r="4377" spans="1:13" x14ac:dyDescent="0.25">
      <c r="A4377" s="2"/>
      <c r="B4377" s="11"/>
      <c r="C4377" s="26"/>
      <c r="M4377" s="71"/>
    </row>
    <row r="4378" spans="1:13" x14ac:dyDescent="0.25">
      <c r="A4378" s="2"/>
      <c r="B4378" s="11"/>
      <c r="C4378" s="26"/>
      <c r="M4378" s="71"/>
    </row>
    <row r="4379" spans="1:13" x14ac:dyDescent="0.25">
      <c r="A4379" s="2"/>
      <c r="B4379" s="11"/>
      <c r="C4379" s="26"/>
      <c r="M4379" s="71"/>
    </row>
    <row r="4380" spans="1:13" x14ac:dyDescent="0.25">
      <c r="A4380" s="2"/>
      <c r="B4380" s="11"/>
      <c r="C4380" s="26"/>
      <c r="M4380" s="71"/>
    </row>
    <row r="4381" spans="1:13" x14ac:dyDescent="0.25">
      <c r="A4381" s="2"/>
      <c r="B4381" s="11"/>
      <c r="C4381" s="26"/>
      <c r="M4381" s="71"/>
    </row>
    <row r="4382" spans="1:13" x14ac:dyDescent="0.25">
      <c r="A4382" s="2"/>
      <c r="B4382" s="11"/>
      <c r="C4382" s="26"/>
      <c r="M4382" s="71"/>
    </row>
    <row r="4383" spans="1:13" x14ac:dyDescent="0.25">
      <c r="A4383" s="2"/>
      <c r="B4383" s="11"/>
      <c r="C4383" s="26"/>
      <c r="M4383" s="71"/>
    </row>
    <row r="4384" spans="1:13" x14ac:dyDescent="0.25">
      <c r="A4384" s="2"/>
      <c r="B4384" s="11"/>
      <c r="C4384" s="26"/>
      <c r="M4384" s="71"/>
    </row>
    <row r="4385" spans="1:13" x14ac:dyDescent="0.25">
      <c r="A4385" s="2"/>
      <c r="B4385" s="11"/>
      <c r="C4385" s="26"/>
      <c r="M4385" s="71"/>
    </row>
    <row r="4386" spans="1:13" x14ac:dyDescent="0.25">
      <c r="A4386" s="2"/>
      <c r="B4386" s="11"/>
      <c r="C4386" s="26"/>
      <c r="M4386" s="71"/>
    </row>
    <row r="4387" spans="1:13" x14ac:dyDescent="0.25">
      <c r="A4387" s="2"/>
      <c r="B4387" s="11"/>
      <c r="C4387" s="26"/>
      <c r="M4387" s="71"/>
    </row>
    <row r="4388" spans="1:13" x14ac:dyDescent="0.25">
      <c r="A4388" s="2"/>
      <c r="B4388" s="11"/>
      <c r="C4388" s="26"/>
      <c r="M4388" s="71"/>
    </row>
    <row r="4389" spans="1:13" x14ac:dyDescent="0.25">
      <c r="A4389" s="2"/>
      <c r="B4389" s="11"/>
      <c r="C4389" s="26"/>
      <c r="M4389" s="71"/>
    </row>
    <row r="4390" spans="1:13" x14ac:dyDescent="0.25">
      <c r="A4390" s="2"/>
      <c r="B4390" s="11"/>
      <c r="C4390" s="26"/>
      <c r="M4390" s="71"/>
    </row>
    <row r="4391" spans="1:13" x14ac:dyDescent="0.25">
      <c r="A4391" s="2"/>
      <c r="B4391" s="11"/>
      <c r="C4391" s="26"/>
      <c r="M4391" s="71"/>
    </row>
    <row r="4392" spans="1:13" x14ac:dyDescent="0.25">
      <c r="A4392" s="2"/>
      <c r="B4392" s="11"/>
      <c r="C4392" s="26"/>
      <c r="M4392" s="71"/>
    </row>
    <row r="4393" spans="1:13" x14ac:dyDescent="0.25">
      <c r="A4393" s="2"/>
      <c r="B4393" s="11"/>
      <c r="C4393" s="26"/>
      <c r="M4393" s="71"/>
    </row>
    <row r="4394" spans="1:13" x14ac:dyDescent="0.25">
      <c r="A4394" s="2"/>
      <c r="B4394" s="11"/>
      <c r="C4394" s="26"/>
      <c r="M4394" s="71"/>
    </row>
    <row r="4395" spans="1:13" x14ac:dyDescent="0.25">
      <c r="A4395" s="2"/>
      <c r="B4395" s="11"/>
      <c r="C4395" s="26"/>
      <c r="M4395" s="71"/>
    </row>
    <row r="4396" spans="1:13" x14ac:dyDescent="0.25">
      <c r="A4396" s="2"/>
      <c r="B4396" s="11"/>
      <c r="C4396" s="26"/>
      <c r="M4396" s="71"/>
    </row>
    <row r="4397" spans="1:13" x14ac:dyDescent="0.25">
      <c r="A4397" s="2"/>
      <c r="B4397" s="11"/>
      <c r="C4397" s="26"/>
      <c r="M4397" s="71"/>
    </row>
    <row r="4398" spans="1:13" x14ac:dyDescent="0.25">
      <c r="A4398" s="2"/>
      <c r="B4398" s="11"/>
      <c r="C4398" s="26"/>
      <c r="M4398" s="71"/>
    </row>
    <row r="4399" spans="1:13" x14ac:dyDescent="0.25">
      <c r="A4399" s="2"/>
      <c r="B4399" s="11"/>
      <c r="C4399" s="26"/>
      <c r="M4399" s="71"/>
    </row>
    <row r="4400" spans="1:13" x14ac:dyDescent="0.25">
      <c r="A4400" s="2"/>
      <c r="B4400" s="11"/>
      <c r="C4400" s="26"/>
      <c r="M4400" s="71"/>
    </row>
    <row r="4401" spans="1:13" x14ac:dyDescent="0.25">
      <c r="A4401" s="2"/>
      <c r="B4401" s="11"/>
      <c r="C4401" s="26"/>
      <c r="M4401" s="71"/>
    </row>
    <row r="4402" spans="1:13" x14ac:dyDescent="0.25">
      <c r="A4402" s="2"/>
      <c r="B4402" s="11"/>
      <c r="C4402" s="26"/>
      <c r="M4402" s="71"/>
    </row>
    <row r="4403" spans="1:13" x14ac:dyDescent="0.25">
      <c r="A4403" s="2"/>
      <c r="B4403" s="11"/>
      <c r="C4403" s="26"/>
      <c r="M4403" s="71"/>
    </row>
    <row r="4404" spans="1:13" x14ac:dyDescent="0.25">
      <c r="A4404" s="2"/>
      <c r="B4404" s="11"/>
      <c r="C4404" s="26"/>
      <c r="M4404" s="71"/>
    </row>
    <row r="4405" spans="1:13" x14ac:dyDescent="0.25">
      <c r="A4405" s="2"/>
      <c r="B4405" s="11"/>
      <c r="C4405" s="26"/>
      <c r="M4405" s="71"/>
    </row>
    <row r="4406" spans="1:13" x14ac:dyDescent="0.25">
      <c r="A4406" s="2"/>
      <c r="B4406" s="11"/>
      <c r="C4406" s="26"/>
      <c r="M4406" s="71"/>
    </row>
    <row r="4407" spans="1:13" x14ac:dyDescent="0.25">
      <c r="A4407" s="2"/>
      <c r="B4407" s="11"/>
      <c r="C4407" s="26"/>
      <c r="M4407" s="71"/>
    </row>
    <row r="4408" spans="1:13" x14ac:dyDescent="0.25">
      <c r="A4408" s="2"/>
      <c r="B4408" s="11"/>
      <c r="C4408" s="26"/>
      <c r="M4408" s="71"/>
    </row>
    <row r="4409" spans="1:13" x14ac:dyDescent="0.25">
      <c r="A4409" s="2"/>
      <c r="B4409" s="11"/>
      <c r="C4409" s="26"/>
      <c r="M4409" s="71"/>
    </row>
    <row r="4410" spans="1:13" x14ac:dyDescent="0.25">
      <c r="A4410" s="2"/>
      <c r="B4410" s="11"/>
      <c r="C4410" s="26"/>
      <c r="M4410" s="71"/>
    </row>
    <row r="4411" spans="1:13" x14ac:dyDescent="0.25">
      <c r="A4411" s="2"/>
      <c r="B4411" s="11"/>
      <c r="C4411" s="26"/>
      <c r="M4411" s="71"/>
    </row>
    <row r="4412" spans="1:13" x14ac:dyDescent="0.25">
      <c r="A4412" s="2"/>
      <c r="B4412" s="11"/>
      <c r="C4412" s="26"/>
      <c r="M4412" s="71"/>
    </row>
    <row r="4413" spans="1:13" x14ac:dyDescent="0.25">
      <c r="A4413" s="2"/>
      <c r="B4413" s="11"/>
      <c r="C4413" s="26"/>
      <c r="M4413" s="71"/>
    </row>
    <row r="4414" spans="1:13" x14ac:dyDescent="0.25">
      <c r="A4414" s="2"/>
      <c r="B4414" s="11"/>
      <c r="C4414" s="26"/>
      <c r="M4414" s="71"/>
    </row>
    <row r="4415" spans="1:13" x14ac:dyDescent="0.25">
      <c r="A4415" s="2"/>
      <c r="B4415" s="11"/>
      <c r="C4415" s="26"/>
      <c r="M4415" s="71"/>
    </row>
    <row r="4416" spans="1:13" x14ac:dyDescent="0.25">
      <c r="A4416" s="2"/>
      <c r="B4416" s="11"/>
      <c r="C4416" s="26"/>
      <c r="M4416" s="71"/>
    </row>
    <row r="4417" spans="1:13" x14ac:dyDescent="0.25">
      <c r="A4417" s="2"/>
      <c r="B4417" s="11"/>
      <c r="C4417" s="26"/>
      <c r="M4417" s="71"/>
    </row>
    <row r="4418" spans="1:13" x14ac:dyDescent="0.25">
      <c r="A4418" s="2"/>
      <c r="B4418" s="11"/>
      <c r="C4418" s="26"/>
      <c r="M4418" s="71"/>
    </row>
    <row r="4419" spans="1:13" x14ac:dyDescent="0.25">
      <c r="A4419" s="2"/>
      <c r="B4419" s="11"/>
      <c r="C4419" s="26"/>
      <c r="M4419" s="71"/>
    </row>
    <row r="4420" spans="1:13" x14ac:dyDescent="0.25">
      <c r="A4420" s="2"/>
      <c r="B4420" s="11"/>
      <c r="C4420" s="26"/>
      <c r="M4420" s="71"/>
    </row>
    <row r="4421" spans="1:13" x14ac:dyDescent="0.25">
      <c r="A4421" s="2"/>
      <c r="B4421" s="11"/>
      <c r="C4421" s="26"/>
      <c r="M4421" s="71"/>
    </row>
    <row r="4422" spans="1:13" x14ac:dyDescent="0.25">
      <c r="A4422" s="2"/>
      <c r="B4422" s="11"/>
      <c r="C4422" s="26"/>
      <c r="M4422" s="71"/>
    </row>
    <row r="4423" spans="1:13" x14ac:dyDescent="0.25">
      <c r="A4423" s="2"/>
      <c r="B4423" s="11"/>
      <c r="C4423" s="26"/>
      <c r="M4423" s="71"/>
    </row>
    <row r="4424" spans="1:13" x14ac:dyDescent="0.25">
      <c r="A4424" s="2"/>
      <c r="B4424" s="11"/>
      <c r="C4424" s="26"/>
      <c r="M4424" s="71"/>
    </row>
    <row r="4425" spans="1:13" x14ac:dyDescent="0.25">
      <c r="A4425" s="2"/>
      <c r="B4425" s="11"/>
      <c r="C4425" s="26"/>
      <c r="M4425" s="71"/>
    </row>
    <row r="4426" spans="1:13" x14ac:dyDescent="0.25">
      <c r="A4426" s="2"/>
      <c r="B4426" s="11"/>
      <c r="C4426" s="26"/>
      <c r="M4426" s="71"/>
    </row>
    <row r="4427" spans="1:13" x14ac:dyDescent="0.25">
      <c r="A4427" s="2"/>
      <c r="B4427" s="11"/>
      <c r="C4427" s="26"/>
      <c r="M4427" s="71"/>
    </row>
    <row r="4428" spans="1:13" x14ac:dyDescent="0.25">
      <c r="A4428" s="2"/>
      <c r="B4428" s="11"/>
      <c r="C4428" s="26"/>
      <c r="M4428" s="71"/>
    </row>
    <row r="4429" spans="1:13" x14ac:dyDescent="0.25">
      <c r="A4429" s="2"/>
      <c r="B4429" s="11"/>
      <c r="C4429" s="26"/>
      <c r="M4429" s="71"/>
    </row>
    <row r="4430" spans="1:13" x14ac:dyDescent="0.25">
      <c r="A4430" s="2"/>
      <c r="B4430" s="11"/>
      <c r="C4430" s="26"/>
      <c r="M4430" s="71"/>
    </row>
    <row r="4431" spans="1:13" x14ac:dyDescent="0.25">
      <c r="A4431" s="2"/>
      <c r="B4431" s="11"/>
      <c r="C4431" s="26"/>
      <c r="M4431" s="71"/>
    </row>
    <row r="4432" spans="1:13" x14ac:dyDescent="0.25">
      <c r="A4432" s="2"/>
      <c r="B4432" s="11"/>
      <c r="C4432" s="26"/>
      <c r="M4432" s="71"/>
    </row>
    <row r="4433" spans="1:13" x14ac:dyDescent="0.25">
      <c r="A4433" s="2"/>
      <c r="B4433" s="11"/>
      <c r="C4433" s="26"/>
      <c r="M4433" s="71"/>
    </row>
    <row r="4434" spans="1:13" x14ac:dyDescent="0.25">
      <c r="A4434" s="2"/>
      <c r="B4434" s="11"/>
      <c r="C4434" s="26"/>
      <c r="M4434" s="71"/>
    </row>
    <row r="4435" spans="1:13" x14ac:dyDescent="0.25">
      <c r="A4435" s="2"/>
      <c r="B4435" s="11"/>
      <c r="C4435" s="26"/>
      <c r="M4435" s="71"/>
    </row>
    <row r="4436" spans="1:13" x14ac:dyDescent="0.25">
      <c r="A4436" s="2"/>
      <c r="B4436" s="11"/>
      <c r="C4436" s="26"/>
      <c r="M4436" s="71"/>
    </row>
    <row r="4437" spans="1:13" x14ac:dyDescent="0.25">
      <c r="A4437" s="2"/>
      <c r="B4437" s="11"/>
      <c r="C4437" s="26"/>
      <c r="M4437" s="71"/>
    </row>
    <row r="4438" spans="1:13" x14ac:dyDescent="0.25">
      <c r="A4438" s="2"/>
      <c r="B4438" s="11"/>
      <c r="C4438" s="26"/>
      <c r="M4438" s="71"/>
    </row>
    <row r="4439" spans="1:13" x14ac:dyDescent="0.25">
      <c r="A4439" s="2"/>
      <c r="B4439" s="11"/>
      <c r="C4439" s="26"/>
      <c r="M4439" s="71"/>
    </row>
    <row r="4440" spans="1:13" x14ac:dyDescent="0.25">
      <c r="A4440" s="2"/>
      <c r="B4440" s="11"/>
      <c r="C4440" s="26"/>
      <c r="M4440" s="71"/>
    </row>
    <row r="4441" spans="1:13" x14ac:dyDescent="0.25">
      <c r="A4441" s="2"/>
      <c r="B4441" s="11"/>
      <c r="C4441" s="26"/>
      <c r="M4441" s="71"/>
    </row>
    <row r="4442" spans="1:13" x14ac:dyDescent="0.25">
      <c r="A4442" s="2"/>
      <c r="B4442" s="11"/>
      <c r="C4442" s="26"/>
      <c r="M4442" s="71"/>
    </row>
    <row r="4443" spans="1:13" x14ac:dyDescent="0.25">
      <c r="A4443" s="2"/>
      <c r="B4443" s="11"/>
      <c r="C4443" s="26"/>
      <c r="M4443" s="71"/>
    </row>
    <row r="4444" spans="1:13" x14ac:dyDescent="0.25">
      <c r="A4444" s="2"/>
      <c r="B4444" s="11"/>
      <c r="C4444" s="26"/>
      <c r="M4444" s="71"/>
    </row>
    <row r="4445" spans="1:13" x14ac:dyDescent="0.25">
      <c r="A4445" s="2"/>
      <c r="B4445" s="11"/>
      <c r="C4445" s="26"/>
      <c r="M4445" s="71"/>
    </row>
    <row r="4446" spans="1:13" x14ac:dyDescent="0.25">
      <c r="A4446" s="2"/>
      <c r="B4446" s="11"/>
      <c r="C4446" s="26"/>
      <c r="M4446" s="71"/>
    </row>
    <row r="4447" spans="1:13" x14ac:dyDescent="0.25">
      <c r="A4447" s="2"/>
      <c r="B4447" s="11"/>
      <c r="C4447" s="26"/>
      <c r="M4447" s="71"/>
    </row>
    <row r="4448" spans="1:13" x14ac:dyDescent="0.25">
      <c r="A4448" s="2"/>
      <c r="B4448" s="11"/>
      <c r="C4448" s="26"/>
      <c r="M4448" s="71"/>
    </row>
    <row r="4449" spans="1:13" x14ac:dyDescent="0.25">
      <c r="A4449" s="2"/>
      <c r="B4449" s="11"/>
      <c r="C4449" s="26"/>
      <c r="M4449" s="71"/>
    </row>
    <row r="4450" spans="1:13" x14ac:dyDescent="0.25">
      <c r="A4450" s="2"/>
      <c r="B4450" s="11"/>
      <c r="C4450" s="26"/>
      <c r="M4450" s="71"/>
    </row>
    <row r="4451" spans="1:13" x14ac:dyDescent="0.25">
      <c r="A4451" s="2"/>
      <c r="B4451" s="11"/>
      <c r="C4451" s="26"/>
      <c r="M4451" s="71"/>
    </row>
    <row r="4452" spans="1:13" x14ac:dyDescent="0.25">
      <c r="A4452" s="2"/>
      <c r="B4452" s="11"/>
      <c r="C4452" s="26"/>
      <c r="M4452" s="71"/>
    </row>
    <row r="4453" spans="1:13" x14ac:dyDescent="0.25">
      <c r="A4453" s="2"/>
      <c r="B4453" s="11"/>
      <c r="C4453" s="26"/>
      <c r="M4453" s="71"/>
    </row>
    <row r="4454" spans="1:13" x14ac:dyDescent="0.25">
      <c r="A4454" s="2"/>
      <c r="B4454" s="11"/>
      <c r="C4454" s="26"/>
      <c r="M4454" s="71"/>
    </row>
    <row r="4455" spans="1:13" x14ac:dyDescent="0.25">
      <c r="A4455" s="2"/>
      <c r="B4455" s="11"/>
      <c r="C4455" s="26"/>
      <c r="M4455" s="71"/>
    </row>
    <row r="4456" spans="1:13" x14ac:dyDescent="0.25">
      <c r="A4456" s="2"/>
      <c r="B4456" s="11"/>
      <c r="C4456" s="26"/>
      <c r="M4456" s="71"/>
    </row>
    <row r="4457" spans="1:13" x14ac:dyDescent="0.25">
      <c r="A4457" s="2"/>
      <c r="B4457" s="11"/>
      <c r="C4457" s="26"/>
      <c r="M4457" s="71"/>
    </row>
    <row r="4458" spans="1:13" x14ac:dyDescent="0.25">
      <c r="A4458" s="2"/>
      <c r="B4458" s="11"/>
      <c r="C4458" s="26"/>
      <c r="M4458" s="71"/>
    </row>
    <row r="4459" spans="1:13" x14ac:dyDescent="0.25">
      <c r="A4459" s="2"/>
      <c r="B4459" s="11"/>
      <c r="C4459" s="26"/>
      <c r="M4459" s="71"/>
    </row>
    <row r="4460" spans="1:13" x14ac:dyDescent="0.25">
      <c r="A4460" s="2"/>
      <c r="B4460" s="11"/>
      <c r="C4460" s="26"/>
      <c r="M4460" s="71"/>
    </row>
    <row r="4461" spans="1:13" x14ac:dyDescent="0.25">
      <c r="A4461" s="2"/>
      <c r="B4461" s="11"/>
      <c r="C4461" s="26"/>
      <c r="M4461" s="71"/>
    </row>
    <row r="4462" spans="1:13" x14ac:dyDescent="0.25">
      <c r="A4462" s="2"/>
      <c r="B4462" s="11"/>
      <c r="C4462" s="26"/>
      <c r="M4462" s="71"/>
    </row>
    <row r="4463" spans="1:13" x14ac:dyDescent="0.25">
      <c r="A4463" s="2"/>
      <c r="B4463" s="11"/>
      <c r="C4463" s="26"/>
      <c r="M4463" s="71"/>
    </row>
    <row r="4464" spans="1:13" x14ac:dyDescent="0.25">
      <c r="A4464" s="2"/>
      <c r="B4464" s="11"/>
      <c r="C4464" s="26"/>
      <c r="M4464" s="71"/>
    </row>
    <row r="4465" spans="1:13" x14ac:dyDescent="0.25">
      <c r="A4465" s="2"/>
      <c r="B4465" s="11"/>
      <c r="C4465" s="26"/>
      <c r="M4465" s="71"/>
    </row>
    <row r="4466" spans="1:13" x14ac:dyDescent="0.25">
      <c r="A4466" s="2"/>
      <c r="B4466" s="11"/>
      <c r="C4466" s="26"/>
      <c r="M4466" s="71"/>
    </row>
    <row r="4467" spans="1:13" x14ac:dyDescent="0.25">
      <c r="A4467" s="2"/>
      <c r="B4467" s="11"/>
      <c r="C4467" s="26"/>
      <c r="M4467" s="71"/>
    </row>
    <row r="4468" spans="1:13" x14ac:dyDescent="0.25">
      <c r="A4468" s="2"/>
      <c r="B4468" s="11"/>
      <c r="C4468" s="26"/>
      <c r="M4468" s="71"/>
    </row>
    <row r="4469" spans="1:13" x14ac:dyDescent="0.25">
      <c r="A4469" s="2"/>
      <c r="B4469" s="11"/>
      <c r="C4469" s="26"/>
      <c r="M4469" s="71"/>
    </row>
    <row r="4470" spans="1:13" x14ac:dyDescent="0.25">
      <c r="A4470" s="2"/>
      <c r="B4470" s="11"/>
      <c r="C4470" s="26"/>
      <c r="M4470" s="71"/>
    </row>
    <row r="4471" spans="1:13" x14ac:dyDescent="0.25">
      <c r="A4471" s="2"/>
      <c r="B4471" s="11"/>
      <c r="C4471" s="26"/>
      <c r="M4471" s="71"/>
    </row>
    <row r="4472" spans="1:13" x14ac:dyDescent="0.25">
      <c r="A4472" s="2"/>
      <c r="B4472" s="11"/>
      <c r="C4472" s="26"/>
      <c r="M4472" s="71"/>
    </row>
    <row r="4473" spans="1:13" x14ac:dyDescent="0.25">
      <c r="A4473" s="2"/>
      <c r="B4473" s="11"/>
      <c r="C4473" s="26"/>
      <c r="M4473" s="71"/>
    </row>
    <row r="4474" spans="1:13" x14ac:dyDescent="0.25">
      <c r="A4474" s="2"/>
      <c r="B4474" s="11"/>
      <c r="C4474" s="26"/>
      <c r="M4474" s="71"/>
    </row>
    <row r="4475" spans="1:13" x14ac:dyDescent="0.25">
      <c r="A4475" s="2"/>
      <c r="B4475" s="11"/>
      <c r="C4475" s="26"/>
      <c r="M4475" s="71"/>
    </row>
    <row r="4476" spans="1:13" x14ac:dyDescent="0.25">
      <c r="A4476" s="2"/>
      <c r="B4476" s="11"/>
      <c r="C4476" s="26"/>
      <c r="M4476" s="71"/>
    </row>
    <row r="4477" spans="1:13" x14ac:dyDescent="0.25">
      <c r="A4477" s="2"/>
      <c r="B4477" s="11"/>
      <c r="C4477" s="26"/>
      <c r="M4477" s="71"/>
    </row>
    <row r="4478" spans="1:13" x14ac:dyDescent="0.25">
      <c r="A4478" s="2"/>
      <c r="B4478" s="11"/>
      <c r="C4478" s="26"/>
      <c r="M4478" s="71"/>
    </row>
    <row r="4479" spans="1:13" x14ac:dyDescent="0.25">
      <c r="A4479" s="2"/>
      <c r="B4479" s="11"/>
      <c r="C4479" s="26"/>
      <c r="M4479" s="71"/>
    </row>
    <row r="4480" spans="1:13" x14ac:dyDescent="0.25">
      <c r="A4480" s="2"/>
      <c r="B4480" s="11"/>
      <c r="C4480" s="26"/>
      <c r="M4480" s="71"/>
    </row>
    <row r="4481" spans="1:13" x14ac:dyDescent="0.25">
      <c r="A4481" s="2"/>
      <c r="B4481" s="11"/>
      <c r="C4481" s="26"/>
      <c r="M4481" s="71"/>
    </row>
    <row r="4482" spans="1:13" x14ac:dyDescent="0.25">
      <c r="A4482" s="2"/>
      <c r="B4482" s="11"/>
      <c r="C4482" s="26"/>
      <c r="M4482" s="71"/>
    </row>
    <row r="4483" spans="1:13" x14ac:dyDescent="0.25">
      <c r="A4483" s="2"/>
      <c r="B4483" s="11"/>
      <c r="C4483" s="26"/>
      <c r="M4483" s="71"/>
    </row>
    <row r="4484" spans="1:13" x14ac:dyDescent="0.25">
      <c r="A4484" s="2"/>
      <c r="B4484" s="11"/>
      <c r="C4484" s="26"/>
      <c r="M4484" s="71"/>
    </row>
    <row r="4485" spans="1:13" x14ac:dyDescent="0.25">
      <c r="A4485" s="2"/>
      <c r="B4485" s="11"/>
      <c r="C4485" s="26"/>
      <c r="M4485" s="71"/>
    </row>
    <row r="4486" spans="1:13" x14ac:dyDescent="0.25">
      <c r="A4486" s="2"/>
      <c r="B4486" s="11"/>
      <c r="C4486" s="26"/>
      <c r="M4486" s="71"/>
    </row>
    <row r="4487" spans="1:13" x14ac:dyDescent="0.25">
      <c r="A4487" s="2"/>
      <c r="B4487" s="11"/>
      <c r="C4487" s="26"/>
      <c r="M4487" s="71"/>
    </row>
    <row r="4488" spans="1:13" x14ac:dyDescent="0.25">
      <c r="A4488" s="2"/>
      <c r="B4488" s="11"/>
      <c r="C4488" s="26"/>
      <c r="M4488" s="71"/>
    </row>
    <row r="4489" spans="1:13" x14ac:dyDescent="0.25">
      <c r="A4489" s="2"/>
      <c r="B4489" s="11"/>
      <c r="C4489" s="26"/>
      <c r="M4489" s="71"/>
    </row>
    <row r="4490" spans="1:13" x14ac:dyDescent="0.25">
      <c r="A4490" s="2"/>
      <c r="B4490" s="11"/>
      <c r="C4490" s="26"/>
      <c r="M4490" s="71"/>
    </row>
    <row r="4491" spans="1:13" x14ac:dyDescent="0.25">
      <c r="A4491" s="2"/>
      <c r="B4491" s="11"/>
      <c r="C4491" s="26"/>
      <c r="M4491" s="71"/>
    </row>
    <row r="4492" spans="1:13" x14ac:dyDescent="0.25">
      <c r="A4492" s="2"/>
      <c r="B4492" s="11"/>
      <c r="C4492" s="26"/>
      <c r="M4492" s="71"/>
    </row>
    <row r="4493" spans="1:13" x14ac:dyDescent="0.25">
      <c r="A4493" s="2"/>
      <c r="B4493" s="11"/>
      <c r="C4493" s="26"/>
      <c r="M4493" s="71"/>
    </row>
    <row r="4494" spans="1:13" x14ac:dyDescent="0.25">
      <c r="A4494" s="2"/>
      <c r="B4494" s="11"/>
      <c r="C4494" s="26"/>
      <c r="M4494" s="71"/>
    </row>
    <row r="4495" spans="1:13" x14ac:dyDescent="0.25">
      <c r="A4495" s="2"/>
      <c r="B4495" s="11"/>
      <c r="C4495" s="26"/>
      <c r="M4495" s="71"/>
    </row>
    <row r="4496" spans="1:13" x14ac:dyDescent="0.25">
      <c r="A4496" s="2"/>
      <c r="B4496" s="11"/>
      <c r="C4496" s="26"/>
      <c r="M4496" s="71"/>
    </row>
    <row r="4497" spans="1:13" x14ac:dyDescent="0.25">
      <c r="A4497" s="2"/>
      <c r="B4497" s="11"/>
      <c r="C4497" s="26"/>
      <c r="M4497" s="71"/>
    </row>
    <row r="4498" spans="1:13" x14ac:dyDescent="0.25">
      <c r="A4498" s="2"/>
      <c r="B4498" s="11"/>
      <c r="C4498" s="26"/>
      <c r="M4498" s="71"/>
    </row>
    <row r="4499" spans="1:13" x14ac:dyDescent="0.25">
      <c r="A4499" s="2"/>
      <c r="B4499" s="11"/>
      <c r="C4499" s="26"/>
      <c r="M4499" s="71"/>
    </row>
    <row r="4500" spans="1:13" x14ac:dyDescent="0.25">
      <c r="A4500" s="2"/>
      <c r="B4500" s="11"/>
      <c r="C4500" s="26"/>
      <c r="M4500" s="71"/>
    </row>
    <row r="4501" spans="1:13" x14ac:dyDescent="0.25">
      <c r="A4501" s="2"/>
      <c r="B4501" s="11"/>
      <c r="C4501" s="26"/>
      <c r="M4501" s="71"/>
    </row>
    <row r="4502" spans="1:13" x14ac:dyDescent="0.25">
      <c r="A4502" s="2"/>
      <c r="B4502" s="11"/>
      <c r="C4502" s="26"/>
      <c r="M4502" s="71"/>
    </row>
    <row r="4503" spans="1:13" x14ac:dyDescent="0.25">
      <c r="A4503" s="2"/>
      <c r="B4503" s="11"/>
      <c r="C4503" s="26"/>
      <c r="M4503" s="71"/>
    </row>
    <row r="4504" spans="1:13" x14ac:dyDescent="0.25">
      <c r="A4504" s="2"/>
      <c r="B4504" s="11"/>
      <c r="C4504" s="26"/>
      <c r="M4504" s="71"/>
    </row>
    <row r="4505" spans="1:13" x14ac:dyDescent="0.25">
      <c r="A4505" s="2"/>
      <c r="B4505" s="11"/>
      <c r="C4505" s="26"/>
      <c r="M4505" s="71"/>
    </row>
    <row r="4506" spans="1:13" x14ac:dyDescent="0.25">
      <c r="A4506" s="2"/>
      <c r="B4506" s="11"/>
      <c r="C4506" s="26"/>
      <c r="M4506" s="71"/>
    </row>
    <row r="4507" spans="1:13" x14ac:dyDescent="0.25">
      <c r="A4507" s="2"/>
      <c r="B4507" s="11"/>
      <c r="C4507" s="26"/>
      <c r="M4507" s="71"/>
    </row>
    <row r="4508" spans="1:13" x14ac:dyDescent="0.25">
      <c r="A4508" s="2"/>
      <c r="B4508" s="11"/>
      <c r="C4508" s="26"/>
      <c r="M4508" s="71"/>
    </row>
    <row r="4509" spans="1:13" x14ac:dyDescent="0.25">
      <c r="A4509" s="2"/>
      <c r="B4509" s="11"/>
      <c r="C4509" s="26"/>
      <c r="M4509" s="71"/>
    </row>
    <row r="4510" spans="1:13" x14ac:dyDescent="0.25">
      <c r="A4510" s="2"/>
      <c r="B4510" s="11"/>
      <c r="C4510" s="26"/>
      <c r="M4510" s="71"/>
    </row>
    <row r="4511" spans="1:13" x14ac:dyDescent="0.25">
      <c r="A4511" s="2"/>
      <c r="B4511" s="11"/>
      <c r="C4511" s="26"/>
      <c r="M4511" s="71"/>
    </row>
    <row r="4512" spans="1:13" x14ac:dyDescent="0.25">
      <c r="A4512" s="2"/>
      <c r="B4512" s="11"/>
      <c r="C4512" s="26"/>
      <c r="M4512" s="71"/>
    </row>
    <row r="4513" spans="1:13" x14ac:dyDescent="0.25">
      <c r="A4513" s="2"/>
      <c r="B4513" s="11"/>
      <c r="C4513" s="26"/>
      <c r="M4513" s="71"/>
    </row>
    <row r="4514" spans="1:13" x14ac:dyDescent="0.25">
      <c r="A4514" s="2"/>
      <c r="B4514" s="11"/>
      <c r="C4514" s="26"/>
      <c r="M4514" s="71"/>
    </row>
    <row r="4515" spans="1:13" x14ac:dyDescent="0.25">
      <c r="A4515" s="2"/>
      <c r="B4515" s="11"/>
      <c r="C4515" s="26"/>
      <c r="M4515" s="71"/>
    </row>
    <row r="4516" spans="1:13" x14ac:dyDescent="0.25">
      <c r="A4516" s="2"/>
      <c r="B4516" s="11"/>
      <c r="C4516" s="26"/>
      <c r="M4516" s="71"/>
    </row>
    <row r="4517" spans="1:13" x14ac:dyDescent="0.25">
      <c r="A4517" s="2"/>
      <c r="B4517" s="11"/>
      <c r="C4517" s="26"/>
      <c r="M4517" s="71"/>
    </row>
    <row r="4518" spans="1:13" x14ac:dyDescent="0.25">
      <c r="A4518" s="2"/>
      <c r="B4518" s="11"/>
      <c r="C4518" s="26"/>
      <c r="M4518" s="71"/>
    </row>
    <row r="4519" spans="1:13" x14ac:dyDescent="0.25">
      <c r="A4519" s="2"/>
      <c r="B4519" s="11"/>
      <c r="C4519" s="26"/>
      <c r="M4519" s="71"/>
    </row>
    <row r="4520" spans="1:13" x14ac:dyDescent="0.25">
      <c r="A4520" s="2"/>
      <c r="B4520" s="11"/>
      <c r="C4520" s="26"/>
      <c r="M4520" s="71"/>
    </row>
    <row r="4521" spans="1:13" x14ac:dyDescent="0.25">
      <c r="A4521" s="2"/>
      <c r="B4521" s="11"/>
      <c r="C4521" s="26"/>
      <c r="M4521" s="71"/>
    </row>
    <row r="4522" spans="1:13" x14ac:dyDescent="0.25">
      <c r="A4522" s="2"/>
      <c r="B4522" s="11"/>
      <c r="C4522" s="26"/>
      <c r="M4522" s="71"/>
    </row>
    <row r="4523" spans="1:13" x14ac:dyDescent="0.25">
      <c r="A4523" s="2"/>
      <c r="B4523" s="11"/>
      <c r="C4523" s="26"/>
      <c r="M4523" s="71"/>
    </row>
    <row r="4524" spans="1:13" x14ac:dyDescent="0.25">
      <c r="A4524" s="2"/>
      <c r="B4524" s="11"/>
      <c r="C4524" s="26"/>
      <c r="M4524" s="71"/>
    </row>
    <row r="4525" spans="1:13" x14ac:dyDescent="0.25">
      <c r="A4525" s="2"/>
      <c r="B4525" s="11"/>
      <c r="C4525" s="26"/>
      <c r="M4525" s="71"/>
    </row>
    <row r="4526" spans="1:13" x14ac:dyDescent="0.25">
      <c r="A4526" s="2"/>
      <c r="B4526" s="11"/>
      <c r="C4526" s="26"/>
      <c r="M4526" s="71"/>
    </row>
    <row r="4527" spans="1:13" x14ac:dyDescent="0.25">
      <c r="A4527" s="2"/>
      <c r="B4527" s="11"/>
      <c r="C4527" s="26"/>
      <c r="M4527" s="71"/>
    </row>
    <row r="4528" spans="1:13" x14ac:dyDescent="0.25">
      <c r="A4528" s="2"/>
      <c r="B4528" s="11"/>
      <c r="C4528" s="26"/>
      <c r="M4528" s="71"/>
    </row>
    <row r="4529" spans="1:13" x14ac:dyDescent="0.25">
      <c r="A4529" s="2"/>
      <c r="B4529" s="11"/>
      <c r="C4529" s="26"/>
      <c r="M4529" s="71"/>
    </row>
    <row r="4530" spans="1:13" x14ac:dyDescent="0.25">
      <c r="A4530" s="2"/>
      <c r="B4530" s="11"/>
      <c r="C4530" s="26"/>
      <c r="M4530" s="71"/>
    </row>
    <row r="4531" spans="1:13" x14ac:dyDescent="0.25">
      <c r="A4531" s="2"/>
      <c r="B4531" s="11"/>
      <c r="C4531" s="26"/>
      <c r="M4531" s="71"/>
    </row>
    <row r="4532" spans="1:13" x14ac:dyDescent="0.25">
      <c r="A4532" s="2"/>
      <c r="B4532" s="11"/>
      <c r="C4532" s="26"/>
      <c r="M4532" s="71"/>
    </row>
    <row r="4533" spans="1:13" x14ac:dyDescent="0.25">
      <c r="A4533" s="2"/>
      <c r="B4533" s="11"/>
      <c r="C4533" s="26"/>
      <c r="M4533" s="71"/>
    </row>
    <row r="4534" spans="1:13" x14ac:dyDescent="0.25">
      <c r="A4534" s="2"/>
      <c r="B4534" s="11"/>
      <c r="C4534" s="26"/>
      <c r="M4534" s="71"/>
    </row>
    <row r="4535" spans="1:13" x14ac:dyDescent="0.25">
      <c r="A4535" s="2"/>
      <c r="B4535" s="11"/>
      <c r="C4535" s="26"/>
      <c r="M4535" s="71"/>
    </row>
    <row r="4536" spans="1:13" x14ac:dyDescent="0.25">
      <c r="A4536" s="2"/>
      <c r="B4536" s="11"/>
      <c r="C4536" s="26"/>
      <c r="M4536" s="71"/>
    </row>
    <row r="4537" spans="1:13" x14ac:dyDescent="0.25">
      <c r="A4537" s="2"/>
      <c r="B4537" s="11"/>
      <c r="C4537" s="26"/>
      <c r="M4537" s="71"/>
    </row>
    <row r="4538" spans="1:13" x14ac:dyDescent="0.25">
      <c r="A4538" s="2"/>
      <c r="B4538" s="11"/>
      <c r="C4538" s="26"/>
      <c r="M4538" s="71"/>
    </row>
    <row r="4539" spans="1:13" x14ac:dyDescent="0.25">
      <c r="A4539" s="2"/>
      <c r="B4539" s="11"/>
      <c r="C4539" s="26"/>
      <c r="M4539" s="71"/>
    </row>
    <row r="4540" spans="1:13" x14ac:dyDescent="0.25">
      <c r="A4540" s="2"/>
      <c r="B4540" s="11"/>
      <c r="C4540" s="26"/>
      <c r="M4540" s="71"/>
    </row>
    <row r="4541" spans="1:13" x14ac:dyDescent="0.25">
      <c r="A4541" s="2"/>
      <c r="B4541" s="11"/>
      <c r="C4541" s="26"/>
      <c r="M4541" s="71"/>
    </row>
    <row r="4542" spans="1:13" x14ac:dyDescent="0.25">
      <c r="A4542" s="2"/>
      <c r="B4542" s="11"/>
      <c r="C4542" s="26"/>
      <c r="M4542" s="71"/>
    </row>
    <row r="4543" spans="1:13" x14ac:dyDescent="0.25">
      <c r="A4543" s="2"/>
      <c r="B4543" s="11"/>
      <c r="C4543" s="26"/>
      <c r="M4543" s="71"/>
    </row>
    <row r="4544" spans="1:13" x14ac:dyDescent="0.25">
      <c r="A4544" s="2"/>
      <c r="B4544" s="11"/>
      <c r="C4544" s="26"/>
      <c r="M4544" s="71"/>
    </row>
    <row r="4545" spans="1:13" x14ac:dyDescent="0.25">
      <c r="A4545" s="2"/>
      <c r="B4545" s="11"/>
      <c r="C4545" s="26"/>
      <c r="M4545" s="71"/>
    </row>
    <row r="4546" spans="1:13" x14ac:dyDescent="0.25">
      <c r="A4546" s="2"/>
      <c r="B4546" s="11"/>
      <c r="C4546" s="26"/>
      <c r="M4546" s="71"/>
    </row>
    <row r="4547" spans="1:13" x14ac:dyDescent="0.25">
      <c r="A4547" s="2"/>
      <c r="B4547" s="11"/>
      <c r="C4547" s="26"/>
      <c r="M4547" s="71"/>
    </row>
    <row r="4548" spans="1:13" x14ac:dyDescent="0.25">
      <c r="A4548" s="2"/>
      <c r="B4548" s="11"/>
      <c r="C4548" s="26"/>
      <c r="M4548" s="71"/>
    </row>
    <row r="4549" spans="1:13" x14ac:dyDescent="0.25">
      <c r="A4549" s="2"/>
      <c r="B4549" s="11"/>
      <c r="C4549" s="26"/>
      <c r="M4549" s="71"/>
    </row>
    <row r="4550" spans="1:13" x14ac:dyDescent="0.25">
      <c r="A4550" s="2"/>
      <c r="B4550" s="11"/>
      <c r="C4550" s="26"/>
      <c r="M4550" s="71"/>
    </row>
    <row r="4551" spans="1:13" x14ac:dyDescent="0.25">
      <c r="A4551" s="2"/>
      <c r="B4551" s="11"/>
      <c r="C4551" s="26"/>
      <c r="M4551" s="71"/>
    </row>
    <row r="4552" spans="1:13" x14ac:dyDescent="0.25">
      <c r="A4552" s="2"/>
      <c r="B4552" s="11"/>
      <c r="C4552" s="26"/>
      <c r="M4552" s="71"/>
    </row>
    <row r="4553" spans="1:13" x14ac:dyDescent="0.25">
      <c r="A4553" s="2"/>
      <c r="B4553" s="11"/>
      <c r="C4553" s="26"/>
      <c r="M4553" s="71"/>
    </row>
    <row r="4554" spans="1:13" x14ac:dyDescent="0.25">
      <c r="A4554" s="2"/>
      <c r="B4554" s="11"/>
      <c r="C4554" s="26"/>
      <c r="M4554" s="71"/>
    </row>
    <row r="4555" spans="1:13" x14ac:dyDescent="0.25">
      <c r="A4555" s="2"/>
      <c r="B4555" s="11"/>
      <c r="C4555" s="26"/>
      <c r="M4555" s="71"/>
    </row>
    <row r="4556" spans="1:13" x14ac:dyDescent="0.25">
      <c r="A4556" s="2"/>
      <c r="B4556" s="11"/>
      <c r="C4556" s="26"/>
      <c r="M4556" s="71"/>
    </row>
    <row r="4557" spans="1:13" x14ac:dyDescent="0.25">
      <c r="A4557" s="2"/>
      <c r="B4557" s="11"/>
      <c r="C4557" s="26"/>
      <c r="M4557" s="71"/>
    </row>
    <row r="4558" spans="1:13" x14ac:dyDescent="0.25">
      <c r="A4558" s="2"/>
      <c r="B4558" s="11"/>
      <c r="C4558" s="26"/>
      <c r="M4558" s="71"/>
    </row>
    <row r="4559" spans="1:13" x14ac:dyDescent="0.25">
      <c r="A4559" s="2"/>
      <c r="B4559" s="11"/>
      <c r="C4559" s="26"/>
      <c r="M4559" s="71"/>
    </row>
    <row r="4560" spans="1:13" x14ac:dyDescent="0.25">
      <c r="A4560" s="2"/>
      <c r="B4560" s="11"/>
      <c r="C4560" s="26"/>
      <c r="M4560" s="71"/>
    </row>
    <row r="4561" spans="1:13" x14ac:dyDescent="0.25">
      <c r="A4561" s="2"/>
      <c r="B4561" s="11"/>
      <c r="C4561" s="26"/>
      <c r="M4561" s="71"/>
    </row>
    <row r="4562" spans="1:13" x14ac:dyDescent="0.25">
      <c r="A4562" s="2"/>
      <c r="B4562" s="11"/>
      <c r="C4562" s="26"/>
      <c r="M4562" s="71"/>
    </row>
    <row r="4563" spans="1:13" x14ac:dyDescent="0.25">
      <c r="A4563" s="2"/>
      <c r="B4563" s="11"/>
      <c r="C4563" s="26"/>
      <c r="M4563" s="71"/>
    </row>
    <row r="4564" spans="1:13" x14ac:dyDescent="0.25">
      <c r="A4564" s="2"/>
      <c r="B4564" s="11"/>
      <c r="C4564" s="26"/>
      <c r="M4564" s="71"/>
    </row>
    <row r="4565" spans="1:13" x14ac:dyDescent="0.25">
      <c r="A4565" s="2"/>
      <c r="B4565" s="11"/>
      <c r="C4565" s="26"/>
      <c r="M4565" s="71"/>
    </row>
    <row r="4566" spans="1:13" x14ac:dyDescent="0.25">
      <c r="A4566" s="2"/>
      <c r="B4566" s="11"/>
      <c r="C4566" s="26"/>
      <c r="M4566" s="71"/>
    </row>
    <row r="4567" spans="1:13" x14ac:dyDescent="0.25">
      <c r="A4567" s="2"/>
      <c r="B4567" s="11"/>
      <c r="C4567" s="26"/>
      <c r="M4567" s="71"/>
    </row>
    <row r="4568" spans="1:13" x14ac:dyDescent="0.25">
      <c r="A4568" s="2"/>
      <c r="B4568" s="11"/>
      <c r="C4568" s="26"/>
      <c r="M4568" s="71"/>
    </row>
    <row r="4569" spans="1:13" x14ac:dyDescent="0.25">
      <c r="A4569" s="2"/>
      <c r="B4569" s="11"/>
      <c r="C4569" s="26"/>
      <c r="M4569" s="71"/>
    </row>
    <row r="4570" spans="1:13" x14ac:dyDescent="0.25">
      <c r="A4570" s="2"/>
      <c r="B4570" s="11"/>
      <c r="C4570" s="26"/>
      <c r="M4570" s="71"/>
    </row>
    <row r="4571" spans="1:13" x14ac:dyDescent="0.25">
      <c r="A4571" s="2"/>
      <c r="B4571" s="11"/>
      <c r="C4571" s="26"/>
      <c r="M4571" s="71"/>
    </row>
    <row r="4572" spans="1:13" x14ac:dyDescent="0.25">
      <c r="A4572" s="2"/>
      <c r="B4572" s="11"/>
      <c r="C4572" s="26"/>
      <c r="M4572" s="71"/>
    </row>
    <row r="4573" spans="1:13" x14ac:dyDescent="0.25">
      <c r="A4573" s="2"/>
      <c r="B4573" s="11"/>
      <c r="C4573" s="26"/>
      <c r="M4573" s="71"/>
    </row>
    <row r="4574" spans="1:13" x14ac:dyDescent="0.25">
      <c r="A4574" s="2"/>
      <c r="B4574" s="11"/>
      <c r="C4574" s="26"/>
      <c r="M4574" s="71"/>
    </row>
    <row r="4575" spans="1:13" x14ac:dyDescent="0.25">
      <c r="A4575" s="2"/>
      <c r="B4575" s="11"/>
      <c r="C4575" s="26"/>
      <c r="M4575" s="71"/>
    </row>
    <row r="4576" spans="1:13" x14ac:dyDescent="0.25">
      <c r="A4576" s="2"/>
      <c r="B4576" s="11"/>
      <c r="C4576" s="26"/>
      <c r="M4576" s="71"/>
    </row>
    <row r="4577" spans="1:13" x14ac:dyDescent="0.25">
      <c r="A4577" s="2"/>
      <c r="B4577" s="11"/>
      <c r="C4577" s="26"/>
      <c r="M4577" s="71"/>
    </row>
    <row r="4578" spans="1:13" x14ac:dyDescent="0.25">
      <c r="A4578" s="2"/>
      <c r="B4578" s="11"/>
      <c r="C4578" s="26"/>
      <c r="M4578" s="71"/>
    </row>
    <row r="4579" spans="1:13" x14ac:dyDescent="0.25">
      <c r="A4579" s="2"/>
      <c r="B4579" s="11"/>
      <c r="C4579" s="26"/>
      <c r="M4579" s="71"/>
    </row>
    <row r="4580" spans="1:13" x14ac:dyDescent="0.25">
      <c r="A4580" s="2"/>
      <c r="B4580" s="11"/>
      <c r="C4580" s="26"/>
      <c r="M4580" s="71"/>
    </row>
    <row r="4581" spans="1:13" x14ac:dyDescent="0.25">
      <c r="A4581" s="2"/>
      <c r="B4581" s="11"/>
      <c r="C4581" s="26"/>
      <c r="M4581" s="71"/>
    </row>
    <row r="4582" spans="1:13" x14ac:dyDescent="0.25">
      <c r="A4582" s="2"/>
      <c r="B4582" s="11"/>
      <c r="C4582" s="26"/>
      <c r="M4582" s="71"/>
    </row>
    <row r="4583" spans="1:13" x14ac:dyDescent="0.25">
      <c r="A4583" s="2"/>
      <c r="B4583" s="11"/>
      <c r="C4583" s="26"/>
      <c r="M4583" s="71"/>
    </row>
    <row r="4584" spans="1:13" x14ac:dyDescent="0.25">
      <c r="A4584" s="2"/>
      <c r="B4584" s="11"/>
      <c r="C4584" s="26"/>
      <c r="M4584" s="71"/>
    </row>
    <row r="4585" spans="1:13" x14ac:dyDescent="0.25">
      <c r="A4585" s="2"/>
      <c r="B4585" s="11"/>
      <c r="C4585" s="26"/>
      <c r="M4585" s="71"/>
    </row>
    <row r="4586" spans="1:13" x14ac:dyDescent="0.25">
      <c r="A4586" s="2"/>
      <c r="B4586" s="11"/>
      <c r="C4586" s="26"/>
      <c r="M4586" s="71"/>
    </row>
    <row r="4587" spans="1:13" x14ac:dyDescent="0.25">
      <c r="A4587" s="2"/>
      <c r="B4587" s="11"/>
      <c r="C4587" s="26"/>
      <c r="M4587" s="71"/>
    </row>
    <row r="4588" spans="1:13" x14ac:dyDescent="0.25">
      <c r="A4588" s="2"/>
      <c r="B4588" s="11"/>
      <c r="C4588" s="26"/>
      <c r="M4588" s="71"/>
    </row>
    <row r="4589" spans="1:13" x14ac:dyDescent="0.25">
      <c r="A4589" s="2"/>
      <c r="B4589" s="11"/>
      <c r="C4589" s="26"/>
      <c r="M4589" s="71"/>
    </row>
    <row r="4590" spans="1:13" x14ac:dyDescent="0.25">
      <c r="A4590" s="2"/>
      <c r="B4590" s="11"/>
      <c r="C4590" s="26"/>
      <c r="M4590" s="71"/>
    </row>
    <row r="4591" spans="1:13" x14ac:dyDescent="0.25">
      <c r="A4591" s="2"/>
      <c r="B4591" s="11"/>
      <c r="C4591" s="26"/>
      <c r="M4591" s="71"/>
    </row>
    <row r="4592" spans="1:13" x14ac:dyDescent="0.25">
      <c r="A4592" s="2"/>
      <c r="B4592" s="11"/>
      <c r="C4592" s="26"/>
      <c r="M4592" s="71"/>
    </row>
    <row r="4593" spans="1:13" x14ac:dyDescent="0.25">
      <c r="A4593" s="2"/>
      <c r="B4593" s="11"/>
      <c r="C4593" s="26"/>
      <c r="M4593" s="71"/>
    </row>
    <row r="4594" spans="1:13" x14ac:dyDescent="0.25">
      <c r="A4594" s="2"/>
      <c r="B4594" s="11"/>
      <c r="C4594" s="26"/>
      <c r="M4594" s="71"/>
    </row>
    <row r="4595" spans="1:13" x14ac:dyDescent="0.25">
      <c r="A4595" s="2"/>
      <c r="B4595" s="11"/>
      <c r="C4595" s="26"/>
      <c r="M4595" s="71"/>
    </row>
    <row r="4596" spans="1:13" x14ac:dyDescent="0.25">
      <c r="A4596" s="2"/>
      <c r="B4596" s="11"/>
      <c r="C4596" s="26"/>
      <c r="M4596" s="71"/>
    </row>
    <row r="4597" spans="1:13" x14ac:dyDescent="0.25">
      <c r="A4597" s="2"/>
      <c r="B4597" s="11"/>
      <c r="C4597" s="26"/>
      <c r="M4597" s="71"/>
    </row>
    <row r="4598" spans="1:13" x14ac:dyDescent="0.25">
      <c r="A4598" s="2"/>
      <c r="B4598" s="11"/>
      <c r="C4598" s="26"/>
      <c r="M4598" s="71"/>
    </row>
    <row r="4599" spans="1:13" x14ac:dyDescent="0.25">
      <c r="A4599" s="2"/>
      <c r="B4599" s="11"/>
      <c r="C4599" s="26"/>
      <c r="M4599" s="71"/>
    </row>
    <row r="4600" spans="1:13" x14ac:dyDescent="0.25">
      <c r="A4600" s="2"/>
      <c r="B4600" s="11"/>
      <c r="C4600" s="26"/>
      <c r="M4600" s="71"/>
    </row>
    <row r="4601" spans="1:13" x14ac:dyDescent="0.25">
      <c r="A4601" s="2"/>
      <c r="B4601" s="11"/>
      <c r="C4601" s="26"/>
      <c r="M4601" s="71"/>
    </row>
    <row r="4602" spans="1:13" x14ac:dyDescent="0.25">
      <c r="A4602" s="2"/>
      <c r="B4602" s="11"/>
      <c r="C4602" s="26"/>
      <c r="M4602" s="71"/>
    </row>
    <row r="4603" spans="1:13" x14ac:dyDescent="0.25">
      <c r="A4603" s="2"/>
      <c r="B4603" s="11"/>
      <c r="C4603" s="26"/>
      <c r="M4603" s="71"/>
    </row>
    <row r="4604" spans="1:13" x14ac:dyDescent="0.25">
      <c r="A4604" s="2"/>
      <c r="B4604" s="11"/>
      <c r="C4604" s="26"/>
      <c r="M4604" s="71"/>
    </row>
    <row r="4605" spans="1:13" x14ac:dyDescent="0.25">
      <c r="A4605" s="2"/>
      <c r="B4605" s="11"/>
      <c r="C4605" s="26"/>
      <c r="M4605" s="71"/>
    </row>
    <row r="4606" spans="1:13" x14ac:dyDescent="0.25">
      <c r="A4606" s="2"/>
      <c r="B4606" s="11"/>
      <c r="C4606" s="26"/>
      <c r="M4606" s="71"/>
    </row>
    <row r="4607" spans="1:13" x14ac:dyDescent="0.25">
      <c r="A4607" s="2"/>
      <c r="B4607" s="11"/>
      <c r="C4607" s="26"/>
      <c r="M4607" s="71"/>
    </row>
    <row r="4608" spans="1:13" x14ac:dyDescent="0.25">
      <c r="A4608" s="2"/>
      <c r="B4608" s="11"/>
      <c r="C4608" s="26"/>
      <c r="M4608" s="71"/>
    </row>
    <row r="4609" spans="1:13" x14ac:dyDescent="0.25">
      <c r="A4609" s="2"/>
      <c r="B4609" s="11"/>
      <c r="C4609" s="26"/>
      <c r="M4609" s="71"/>
    </row>
    <row r="4610" spans="1:13" x14ac:dyDescent="0.25">
      <c r="A4610" s="2"/>
      <c r="B4610" s="11"/>
      <c r="C4610" s="26"/>
      <c r="M4610" s="71"/>
    </row>
    <row r="4611" spans="1:13" x14ac:dyDescent="0.25">
      <c r="A4611" s="2"/>
      <c r="B4611" s="11"/>
      <c r="C4611" s="26"/>
      <c r="M4611" s="71"/>
    </row>
    <row r="4612" spans="1:13" x14ac:dyDescent="0.25">
      <c r="A4612" s="2"/>
      <c r="B4612" s="11"/>
      <c r="C4612" s="26"/>
      <c r="M4612" s="71"/>
    </row>
    <row r="4613" spans="1:13" x14ac:dyDescent="0.25">
      <c r="A4613" s="2"/>
      <c r="B4613" s="11"/>
      <c r="C4613" s="26"/>
      <c r="M4613" s="71"/>
    </row>
    <row r="4614" spans="1:13" x14ac:dyDescent="0.25">
      <c r="A4614" s="2"/>
      <c r="B4614" s="11"/>
      <c r="C4614" s="26"/>
      <c r="M4614" s="71"/>
    </row>
    <row r="4615" spans="1:13" x14ac:dyDescent="0.25">
      <c r="A4615" s="2"/>
      <c r="B4615" s="11"/>
      <c r="C4615" s="26"/>
      <c r="M4615" s="71"/>
    </row>
    <row r="4616" spans="1:13" x14ac:dyDescent="0.25">
      <c r="A4616" s="2"/>
      <c r="B4616" s="11"/>
      <c r="C4616" s="26"/>
      <c r="M4616" s="71"/>
    </row>
    <row r="4617" spans="1:13" x14ac:dyDescent="0.25">
      <c r="A4617" s="2"/>
      <c r="B4617" s="11"/>
      <c r="C4617" s="26"/>
      <c r="M4617" s="71"/>
    </row>
    <row r="4618" spans="1:13" x14ac:dyDescent="0.25">
      <c r="A4618" s="2"/>
      <c r="B4618" s="11"/>
      <c r="C4618" s="26"/>
      <c r="M4618" s="71"/>
    </row>
    <row r="4619" spans="1:13" x14ac:dyDescent="0.25">
      <c r="A4619" s="2"/>
      <c r="B4619" s="11"/>
      <c r="C4619" s="26"/>
      <c r="M4619" s="71"/>
    </row>
    <row r="4620" spans="1:13" x14ac:dyDescent="0.25">
      <c r="A4620" s="2"/>
      <c r="B4620" s="11"/>
      <c r="C4620" s="26"/>
      <c r="M4620" s="71"/>
    </row>
    <row r="4621" spans="1:13" x14ac:dyDescent="0.25">
      <c r="A4621" s="2"/>
      <c r="B4621" s="11"/>
      <c r="C4621" s="26"/>
      <c r="M4621" s="71"/>
    </row>
    <row r="4622" spans="1:13" x14ac:dyDescent="0.25">
      <c r="A4622" s="2"/>
      <c r="B4622" s="11"/>
      <c r="C4622" s="26"/>
      <c r="M4622" s="71"/>
    </row>
    <row r="4623" spans="1:13" x14ac:dyDescent="0.25">
      <c r="A4623" s="2"/>
      <c r="B4623" s="11"/>
      <c r="C4623" s="26"/>
      <c r="M4623" s="71"/>
    </row>
    <row r="4624" spans="1:13" x14ac:dyDescent="0.25">
      <c r="A4624" s="2"/>
      <c r="B4624" s="11"/>
      <c r="C4624" s="26"/>
      <c r="M4624" s="71"/>
    </row>
    <row r="4625" spans="1:13" x14ac:dyDescent="0.25">
      <c r="A4625" s="2"/>
      <c r="B4625" s="11"/>
      <c r="C4625" s="26"/>
      <c r="M4625" s="71"/>
    </row>
    <row r="4626" spans="1:13" x14ac:dyDescent="0.25">
      <c r="A4626" s="2"/>
      <c r="B4626" s="11"/>
      <c r="C4626" s="26"/>
      <c r="M4626" s="71"/>
    </row>
    <row r="4627" spans="1:13" x14ac:dyDescent="0.25">
      <c r="A4627" s="2"/>
      <c r="B4627" s="11"/>
      <c r="C4627" s="26"/>
      <c r="M4627" s="71"/>
    </row>
    <row r="4628" spans="1:13" x14ac:dyDescent="0.25">
      <c r="A4628" s="2"/>
      <c r="B4628" s="11"/>
      <c r="C4628" s="26"/>
      <c r="M4628" s="71"/>
    </row>
    <row r="4629" spans="1:13" x14ac:dyDescent="0.25">
      <c r="A4629" s="2"/>
      <c r="B4629" s="11"/>
      <c r="C4629" s="26"/>
      <c r="M4629" s="71"/>
    </row>
    <row r="4630" spans="1:13" x14ac:dyDescent="0.25">
      <c r="A4630" s="2"/>
      <c r="B4630" s="11"/>
      <c r="C4630" s="26"/>
      <c r="M4630" s="71"/>
    </row>
    <row r="4631" spans="1:13" x14ac:dyDescent="0.25">
      <c r="A4631" s="2"/>
      <c r="B4631" s="11"/>
      <c r="C4631" s="26"/>
      <c r="M4631" s="71"/>
    </row>
    <row r="4632" spans="1:13" x14ac:dyDescent="0.25">
      <c r="A4632" s="2"/>
      <c r="B4632" s="11"/>
      <c r="C4632" s="26"/>
      <c r="M4632" s="71"/>
    </row>
    <row r="4633" spans="1:13" x14ac:dyDescent="0.25">
      <c r="A4633" s="2"/>
      <c r="B4633" s="11"/>
      <c r="C4633" s="26"/>
      <c r="M4633" s="71"/>
    </row>
    <row r="4634" spans="1:13" x14ac:dyDescent="0.25">
      <c r="A4634" s="2"/>
      <c r="B4634" s="11"/>
      <c r="C4634" s="26"/>
      <c r="M4634" s="71"/>
    </row>
    <row r="4635" spans="1:13" x14ac:dyDescent="0.25">
      <c r="A4635" s="2"/>
      <c r="B4635" s="11"/>
      <c r="C4635" s="26"/>
      <c r="M4635" s="71"/>
    </row>
    <row r="4636" spans="1:13" x14ac:dyDescent="0.25">
      <c r="A4636" s="2"/>
      <c r="B4636" s="11"/>
      <c r="C4636" s="26"/>
      <c r="M4636" s="71"/>
    </row>
    <row r="4637" spans="1:13" x14ac:dyDescent="0.25">
      <c r="A4637" s="2"/>
      <c r="B4637" s="11"/>
      <c r="C4637" s="26"/>
      <c r="M4637" s="71"/>
    </row>
    <row r="4638" spans="1:13" x14ac:dyDescent="0.25">
      <c r="A4638" s="2"/>
      <c r="B4638" s="11"/>
      <c r="C4638" s="26"/>
      <c r="M4638" s="71"/>
    </row>
    <row r="4639" spans="1:13" x14ac:dyDescent="0.25">
      <c r="A4639" s="2"/>
      <c r="B4639" s="11"/>
      <c r="C4639" s="26"/>
      <c r="M4639" s="71"/>
    </row>
    <row r="4640" spans="1:13" x14ac:dyDescent="0.25">
      <c r="A4640" s="2"/>
      <c r="B4640" s="11"/>
      <c r="C4640" s="26"/>
      <c r="M4640" s="71"/>
    </row>
    <row r="4641" spans="1:13" x14ac:dyDescent="0.25">
      <c r="A4641" s="2"/>
      <c r="B4641" s="11"/>
      <c r="C4641" s="26"/>
      <c r="M4641" s="71"/>
    </row>
    <row r="4642" spans="1:13" x14ac:dyDescent="0.25">
      <c r="A4642" s="2"/>
      <c r="B4642" s="11"/>
      <c r="C4642" s="26"/>
      <c r="M4642" s="71"/>
    </row>
    <row r="4643" spans="1:13" x14ac:dyDescent="0.25">
      <c r="A4643" s="2"/>
      <c r="B4643" s="11"/>
      <c r="C4643" s="26"/>
      <c r="M4643" s="71"/>
    </row>
    <row r="4644" spans="1:13" x14ac:dyDescent="0.25">
      <c r="A4644" s="2"/>
      <c r="B4644" s="11"/>
      <c r="C4644" s="26"/>
      <c r="M4644" s="71"/>
    </row>
    <row r="4645" spans="1:13" x14ac:dyDescent="0.25">
      <c r="A4645" s="2"/>
      <c r="B4645" s="11"/>
      <c r="C4645" s="26"/>
      <c r="M4645" s="71"/>
    </row>
    <row r="4646" spans="1:13" x14ac:dyDescent="0.25">
      <c r="A4646" s="2"/>
      <c r="B4646" s="11"/>
      <c r="C4646" s="26"/>
      <c r="M4646" s="71"/>
    </row>
    <row r="4647" spans="1:13" x14ac:dyDescent="0.25">
      <c r="A4647" s="2"/>
      <c r="B4647" s="11"/>
      <c r="C4647" s="26"/>
      <c r="M4647" s="71"/>
    </row>
    <row r="4648" spans="1:13" x14ac:dyDescent="0.25">
      <c r="A4648" s="2"/>
      <c r="B4648" s="11"/>
      <c r="C4648" s="26"/>
      <c r="M4648" s="71"/>
    </row>
    <row r="4649" spans="1:13" x14ac:dyDescent="0.25">
      <c r="A4649" s="2"/>
      <c r="B4649" s="11"/>
      <c r="C4649" s="26"/>
      <c r="M4649" s="71"/>
    </row>
    <row r="4650" spans="1:13" x14ac:dyDescent="0.25">
      <c r="A4650" s="2"/>
      <c r="B4650" s="11"/>
      <c r="C4650" s="26"/>
      <c r="M4650" s="71"/>
    </row>
    <row r="4651" spans="1:13" x14ac:dyDescent="0.25">
      <c r="A4651" s="2"/>
      <c r="B4651" s="11"/>
      <c r="C4651" s="26"/>
      <c r="M4651" s="71"/>
    </row>
    <row r="4652" spans="1:13" x14ac:dyDescent="0.25">
      <c r="A4652" s="2"/>
      <c r="B4652" s="11"/>
      <c r="C4652" s="26"/>
      <c r="M4652" s="71"/>
    </row>
    <row r="4653" spans="1:13" x14ac:dyDescent="0.25">
      <c r="A4653" s="2"/>
      <c r="B4653" s="11"/>
      <c r="C4653" s="26"/>
      <c r="M4653" s="71"/>
    </row>
    <row r="4654" spans="1:13" x14ac:dyDescent="0.25">
      <c r="A4654" s="2"/>
      <c r="B4654" s="11"/>
      <c r="C4654" s="26"/>
      <c r="M4654" s="71"/>
    </row>
    <row r="4655" spans="1:13" x14ac:dyDescent="0.25">
      <c r="A4655" s="2"/>
      <c r="B4655" s="11"/>
      <c r="C4655" s="26"/>
      <c r="M4655" s="71"/>
    </row>
    <row r="4656" spans="1:13" x14ac:dyDescent="0.25">
      <c r="A4656" s="2"/>
      <c r="B4656" s="11"/>
      <c r="C4656" s="26"/>
      <c r="M4656" s="71"/>
    </row>
    <row r="4657" spans="1:13" x14ac:dyDescent="0.25">
      <c r="A4657" s="2"/>
      <c r="B4657" s="11"/>
      <c r="C4657" s="26"/>
      <c r="M4657" s="71"/>
    </row>
    <row r="4658" spans="1:13" x14ac:dyDescent="0.25">
      <c r="A4658" s="2"/>
      <c r="B4658" s="11"/>
      <c r="C4658" s="26"/>
      <c r="M4658" s="71"/>
    </row>
    <row r="4659" spans="1:13" x14ac:dyDescent="0.25">
      <c r="A4659" s="2"/>
      <c r="B4659" s="11"/>
      <c r="C4659" s="26"/>
      <c r="M4659" s="71"/>
    </row>
    <row r="4660" spans="1:13" x14ac:dyDescent="0.25">
      <c r="A4660" s="2"/>
      <c r="B4660" s="11"/>
      <c r="C4660" s="26"/>
      <c r="M4660" s="71"/>
    </row>
    <row r="4661" spans="1:13" x14ac:dyDescent="0.25">
      <c r="A4661" s="2"/>
      <c r="B4661" s="11"/>
      <c r="C4661" s="26"/>
      <c r="M4661" s="71"/>
    </row>
    <row r="4662" spans="1:13" x14ac:dyDescent="0.25">
      <c r="A4662" s="2"/>
      <c r="B4662" s="11"/>
      <c r="C4662" s="26"/>
      <c r="M4662" s="71"/>
    </row>
    <row r="4663" spans="1:13" x14ac:dyDescent="0.25">
      <c r="A4663" s="2"/>
      <c r="B4663" s="11"/>
      <c r="C4663" s="26"/>
      <c r="M4663" s="71"/>
    </row>
    <row r="4664" spans="1:13" x14ac:dyDescent="0.25">
      <c r="A4664" s="2"/>
      <c r="B4664" s="11"/>
      <c r="C4664" s="26"/>
      <c r="M4664" s="71"/>
    </row>
    <row r="4665" spans="1:13" x14ac:dyDescent="0.25">
      <c r="A4665" s="2"/>
      <c r="B4665" s="11"/>
      <c r="C4665" s="26"/>
      <c r="M4665" s="71"/>
    </row>
    <row r="4666" spans="1:13" x14ac:dyDescent="0.25">
      <c r="A4666" s="2"/>
      <c r="B4666" s="11"/>
      <c r="C4666" s="26"/>
      <c r="M4666" s="71"/>
    </row>
    <row r="4667" spans="1:13" x14ac:dyDescent="0.25">
      <c r="A4667" s="2"/>
      <c r="B4667" s="11"/>
      <c r="C4667" s="26"/>
      <c r="M4667" s="71"/>
    </row>
    <row r="4668" spans="1:13" x14ac:dyDescent="0.25">
      <c r="A4668" s="2"/>
      <c r="B4668" s="11"/>
      <c r="C4668" s="26"/>
      <c r="M4668" s="71"/>
    </row>
    <row r="4669" spans="1:13" x14ac:dyDescent="0.25">
      <c r="A4669" s="2"/>
      <c r="B4669" s="11"/>
      <c r="C4669" s="26"/>
      <c r="M4669" s="71"/>
    </row>
    <row r="4670" spans="1:13" x14ac:dyDescent="0.25">
      <c r="A4670" s="2"/>
      <c r="B4670" s="11"/>
      <c r="C4670" s="26"/>
      <c r="M4670" s="71"/>
    </row>
    <row r="4671" spans="1:13" x14ac:dyDescent="0.25">
      <c r="A4671" s="2"/>
      <c r="B4671" s="11"/>
      <c r="C4671" s="26"/>
      <c r="M4671" s="71"/>
    </row>
    <row r="4672" spans="1:13" x14ac:dyDescent="0.25">
      <c r="A4672" s="2"/>
      <c r="B4672" s="11"/>
      <c r="C4672" s="26"/>
      <c r="M4672" s="71"/>
    </row>
    <row r="4673" spans="1:13" x14ac:dyDescent="0.25">
      <c r="A4673" s="2"/>
      <c r="B4673" s="11"/>
      <c r="C4673" s="26"/>
      <c r="M4673" s="71"/>
    </row>
    <row r="4674" spans="1:13" x14ac:dyDescent="0.25">
      <c r="A4674" s="2"/>
      <c r="B4674" s="11"/>
      <c r="C4674" s="26"/>
      <c r="M4674" s="71"/>
    </row>
    <row r="4675" spans="1:13" x14ac:dyDescent="0.25">
      <c r="A4675" s="2"/>
      <c r="B4675" s="11"/>
      <c r="C4675" s="26"/>
      <c r="M4675" s="71"/>
    </row>
    <row r="4676" spans="1:13" x14ac:dyDescent="0.25">
      <c r="A4676" s="2"/>
      <c r="B4676" s="11"/>
      <c r="C4676" s="26"/>
      <c r="M4676" s="71"/>
    </row>
    <row r="4677" spans="1:13" x14ac:dyDescent="0.25">
      <c r="A4677" s="2"/>
      <c r="B4677" s="11"/>
      <c r="C4677" s="26"/>
      <c r="M4677" s="71"/>
    </row>
    <row r="4678" spans="1:13" x14ac:dyDescent="0.25">
      <c r="A4678" s="2"/>
      <c r="B4678" s="11"/>
      <c r="C4678" s="26"/>
      <c r="M4678" s="71"/>
    </row>
    <row r="4679" spans="1:13" x14ac:dyDescent="0.25">
      <c r="A4679" s="2"/>
      <c r="B4679" s="11"/>
      <c r="C4679" s="26"/>
      <c r="M4679" s="71"/>
    </row>
    <row r="4680" spans="1:13" x14ac:dyDescent="0.25">
      <c r="A4680" s="2"/>
      <c r="B4680" s="11"/>
      <c r="C4680" s="26"/>
      <c r="M4680" s="71"/>
    </row>
    <row r="4681" spans="1:13" x14ac:dyDescent="0.25">
      <c r="A4681" s="2"/>
      <c r="B4681" s="11"/>
      <c r="C4681" s="26"/>
      <c r="M4681" s="71"/>
    </row>
    <row r="4682" spans="1:13" x14ac:dyDescent="0.25">
      <c r="A4682" s="2"/>
      <c r="B4682" s="11"/>
      <c r="C4682" s="26"/>
      <c r="M4682" s="71"/>
    </row>
    <row r="4683" spans="1:13" x14ac:dyDescent="0.25">
      <c r="A4683" s="2"/>
      <c r="B4683" s="11"/>
      <c r="C4683" s="26"/>
      <c r="M4683" s="71"/>
    </row>
    <row r="4684" spans="1:13" x14ac:dyDescent="0.25">
      <c r="A4684" s="2"/>
      <c r="B4684" s="11"/>
      <c r="C4684" s="26"/>
      <c r="M4684" s="71"/>
    </row>
    <row r="4685" spans="1:13" x14ac:dyDescent="0.25">
      <c r="A4685" s="2"/>
      <c r="B4685" s="11"/>
      <c r="C4685" s="26"/>
      <c r="M4685" s="71"/>
    </row>
    <row r="4686" spans="1:13" x14ac:dyDescent="0.25">
      <c r="A4686" s="2"/>
      <c r="B4686" s="11"/>
      <c r="C4686" s="26"/>
      <c r="M4686" s="71"/>
    </row>
    <row r="4687" spans="1:13" x14ac:dyDescent="0.25">
      <c r="A4687" s="2"/>
      <c r="B4687" s="11"/>
      <c r="C4687" s="26"/>
      <c r="M4687" s="71"/>
    </row>
    <row r="4688" spans="1:13" x14ac:dyDescent="0.25">
      <c r="A4688" s="2"/>
      <c r="B4688" s="11"/>
      <c r="C4688" s="26"/>
      <c r="M4688" s="71"/>
    </row>
    <row r="4689" spans="1:13" x14ac:dyDescent="0.25">
      <c r="A4689" s="2"/>
      <c r="B4689" s="11"/>
      <c r="C4689" s="26"/>
      <c r="M4689" s="71"/>
    </row>
    <row r="4690" spans="1:13" x14ac:dyDescent="0.25">
      <c r="A4690" s="2"/>
      <c r="B4690" s="11"/>
      <c r="C4690" s="26"/>
      <c r="M4690" s="71"/>
    </row>
    <row r="4691" spans="1:13" x14ac:dyDescent="0.25">
      <c r="A4691" s="2"/>
      <c r="B4691" s="11"/>
      <c r="C4691" s="26"/>
      <c r="M4691" s="71"/>
    </row>
    <row r="4692" spans="1:13" x14ac:dyDescent="0.25">
      <c r="A4692" s="2"/>
      <c r="B4692" s="11"/>
      <c r="C4692" s="26"/>
      <c r="M4692" s="71"/>
    </row>
    <row r="4693" spans="1:13" x14ac:dyDescent="0.25">
      <c r="A4693" s="2"/>
      <c r="B4693" s="11"/>
      <c r="C4693" s="26"/>
      <c r="M4693" s="71"/>
    </row>
    <row r="4694" spans="1:13" x14ac:dyDescent="0.25">
      <c r="A4694" s="2"/>
      <c r="B4694" s="11"/>
      <c r="C4694" s="26"/>
      <c r="M4694" s="71"/>
    </row>
    <row r="4695" spans="1:13" x14ac:dyDescent="0.25">
      <c r="A4695" s="2"/>
      <c r="B4695" s="11"/>
      <c r="C4695" s="26"/>
      <c r="M4695" s="71"/>
    </row>
    <row r="4696" spans="1:13" x14ac:dyDescent="0.25">
      <c r="A4696" s="2"/>
      <c r="B4696" s="11"/>
      <c r="C4696" s="26"/>
      <c r="M4696" s="71"/>
    </row>
    <row r="4697" spans="1:13" x14ac:dyDescent="0.25">
      <c r="A4697" s="2"/>
      <c r="B4697" s="11"/>
      <c r="C4697" s="26"/>
      <c r="M4697" s="71"/>
    </row>
    <row r="4698" spans="1:13" x14ac:dyDescent="0.25">
      <c r="A4698" s="2"/>
      <c r="B4698" s="11"/>
      <c r="C4698" s="26"/>
      <c r="M4698" s="71"/>
    </row>
    <row r="4699" spans="1:13" x14ac:dyDescent="0.25">
      <c r="A4699" s="2"/>
      <c r="B4699" s="11"/>
      <c r="C4699" s="26"/>
      <c r="M4699" s="71"/>
    </row>
    <row r="4700" spans="1:13" x14ac:dyDescent="0.25">
      <c r="A4700" s="2"/>
      <c r="B4700" s="11"/>
      <c r="C4700" s="26"/>
      <c r="M4700" s="71"/>
    </row>
    <row r="4701" spans="1:13" x14ac:dyDescent="0.25">
      <c r="A4701" s="2"/>
      <c r="B4701" s="11"/>
      <c r="C4701" s="26"/>
      <c r="M4701" s="71"/>
    </row>
    <row r="4702" spans="1:13" x14ac:dyDescent="0.25">
      <c r="A4702" s="2"/>
      <c r="B4702" s="11"/>
      <c r="C4702" s="26"/>
      <c r="M4702" s="71"/>
    </row>
    <row r="4703" spans="1:13" x14ac:dyDescent="0.25">
      <c r="A4703" s="2"/>
      <c r="B4703" s="11"/>
      <c r="C4703" s="26"/>
      <c r="M4703" s="71"/>
    </row>
    <row r="4704" spans="1:13" x14ac:dyDescent="0.25">
      <c r="A4704" s="2"/>
      <c r="B4704" s="11"/>
      <c r="C4704" s="26"/>
      <c r="M4704" s="71"/>
    </row>
    <row r="4705" spans="1:13" x14ac:dyDescent="0.25">
      <c r="A4705" s="2"/>
      <c r="B4705" s="11"/>
      <c r="C4705" s="26"/>
      <c r="M4705" s="71"/>
    </row>
    <row r="4706" spans="1:13" x14ac:dyDescent="0.25">
      <c r="A4706" s="2"/>
      <c r="B4706" s="11"/>
      <c r="C4706" s="26"/>
      <c r="M4706" s="71"/>
    </row>
    <row r="4707" spans="1:13" x14ac:dyDescent="0.25">
      <c r="A4707" s="2"/>
      <c r="B4707" s="11"/>
      <c r="C4707" s="26"/>
      <c r="M4707" s="71"/>
    </row>
    <row r="4708" spans="1:13" x14ac:dyDescent="0.25">
      <c r="A4708" s="2"/>
      <c r="B4708" s="11"/>
      <c r="C4708" s="26"/>
      <c r="M4708" s="71"/>
    </row>
    <row r="4709" spans="1:13" x14ac:dyDescent="0.25">
      <c r="A4709" s="2"/>
      <c r="B4709" s="11"/>
      <c r="C4709" s="26"/>
      <c r="M4709" s="71"/>
    </row>
    <row r="4710" spans="1:13" x14ac:dyDescent="0.25">
      <c r="A4710" s="2"/>
      <c r="B4710" s="11"/>
      <c r="C4710" s="26"/>
      <c r="M4710" s="71"/>
    </row>
    <row r="4711" spans="1:13" x14ac:dyDescent="0.25">
      <c r="A4711" s="2"/>
      <c r="B4711" s="11"/>
      <c r="C4711" s="26"/>
      <c r="M4711" s="71"/>
    </row>
    <row r="4712" spans="1:13" x14ac:dyDescent="0.25">
      <c r="A4712" s="2"/>
      <c r="B4712" s="11"/>
      <c r="C4712" s="26"/>
      <c r="M4712" s="71"/>
    </row>
    <row r="4713" spans="1:13" x14ac:dyDescent="0.25">
      <c r="A4713" s="2"/>
      <c r="B4713" s="11"/>
      <c r="C4713" s="26"/>
      <c r="M4713" s="71"/>
    </row>
    <row r="4714" spans="1:13" x14ac:dyDescent="0.25">
      <c r="A4714" s="2"/>
      <c r="B4714" s="11"/>
      <c r="C4714" s="26"/>
      <c r="M4714" s="71"/>
    </row>
    <row r="4715" spans="1:13" x14ac:dyDescent="0.25">
      <c r="A4715" s="2"/>
      <c r="B4715" s="11"/>
      <c r="C4715" s="26"/>
      <c r="M4715" s="71"/>
    </row>
    <row r="4716" spans="1:13" x14ac:dyDescent="0.25">
      <c r="A4716" s="2"/>
      <c r="B4716" s="11"/>
      <c r="C4716" s="26"/>
      <c r="M4716" s="71"/>
    </row>
    <row r="4717" spans="1:13" x14ac:dyDescent="0.25">
      <c r="A4717" s="2"/>
      <c r="B4717" s="11"/>
      <c r="C4717" s="26"/>
      <c r="M4717" s="71"/>
    </row>
    <row r="4718" spans="1:13" x14ac:dyDescent="0.25">
      <c r="A4718" s="2"/>
      <c r="B4718" s="11"/>
      <c r="C4718" s="26"/>
      <c r="M4718" s="71"/>
    </row>
    <row r="4719" spans="1:13" x14ac:dyDescent="0.25">
      <c r="A4719" s="2"/>
      <c r="B4719" s="11"/>
      <c r="C4719" s="26"/>
      <c r="M4719" s="71"/>
    </row>
    <row r="4720" spans="1:13" x14ac:dyDescent="0.25">
      <c r="A4720" s="2"/>
      <c r="B4720" s="11"/>
      <c r="C4720" s="26"/>
      <c r="M4720" s="71"/>
    </row>
    <row r="4721" spans="1:13" x14ac:dyDescent="0.25">
      <c r="A4721" s="2"/>
      <c r="B4721" s="11"/>
      <c r="C4721" s="26"/>
      <c r="M4721" s="71"/>
    </row>
    <row r="4722" spans="1:13" x14ac:dyDescent="0.25">
      <c r="A4722" s="2"/>
      <c r="B4722" s="11"/>
      <c r="C4722" s="26"/>
      <c r="M4722" s="71"/>
    </row>
    <row r="4723" spans="1:13" x14ac:dyDescent="0.25">
      <c r="A4723" s="2"/>
      <c r="B4723" s="11"/>
      <c r="C4723" s="26"/>
      <c r="M4723" s="71"/>
    </row>
    <row r="4724" spans="1:13" x14ac:dyDescent="0.25">
      <c r="A4724" s="2"/>
      <c r="B4724" s="11"/>
      <c r="C4724" s="26"/>
      <c r="M4724" s="71"/>
    </row>
    <row r="4725" spans="1:13" x14ac:dyDescent="0.25">
      <c r="A4725" s="2"/>
      <c r="B4725" s="11"/>
      <c r="C4725" s="26"/>
      <c r="M4725" s="71"/>
    </row>
    <row r="4726" spans="1:13" x14ac:dyDescent="0.25">
      <c r="A4726" s="2"/>
      <c r="B4726" s="11"/>
      <c r="C4726" s="26"/>
      <c r="M4726" s="71"/>
    </row>
    <row r="4727" spans="1:13" x14ac:dyDescent="0.25">
      <c r="A4727" s="2"/>
      <c r="B4727" s="11"/>
      <c r="C4727" s="26"/>
      <c r="M4727" s="71"/>
    </row>
    <row r="4728" spans="1:13" x14ac:dyDescent="0.25">
      <c r="A4728" s="2"/>
      <c r="B4728" s="11"/>
      <c r="C4728" s="26"/>
      <c r="M4728" s="71"/>
    </row>
    <row r="4729" spans="1:13" x14ac:dyDescent="0.25">
      <c r="A4729" s="2"/>
      <c r="B4729" s="11"/>
      <c r="C4729" s="26"/>
      <c r="M4729" s="71"/>
    </row>
    <row r="4730" spans="1:13" x14ac:dyDescent="0.25">
      <c r="A4730" s="2"/>
      <c r="B4730" s="11"/>
      <c r="C4730" s="26"/>
      <c r="M4730" s="71"/>
    </row>
    <row r="4731" spans="1:13" x14ac:dyDescent="0.25">
      <c r="A4731" s="2"/>
      <c r="B4731" s="11"/>
      <c r="C4731" s="26"/>
      <c r="M4731" s="71"/>
    </row>
    <row r="4732" spans="1:13" x14ac:dyDescent="0.25">
      <c r="A4732" s="2"/>
      <c r="B4732" s="11"/>
      <c r="C4732" s="26"/>
      <c r="M4732" s="71"/>
    </row>
    <row r="4733" spans="1:13" x14ac:dyDescent="0.25">
      <c r="A4733" s="2"/>
      <c r="B4733" s="11"/>
      <c r="C4733" s="26"/>
      <c r="M4733" s="71"/>
    </row>
    <row r="4734" spans="1:13" x14ac:dyDescent="0.25">
      <c r="A4734" s="2"/>
      <c r="B4734" s="11"/>
      <c r="C4734" s="26"/>
      <c r="M4734" s="71"/>
    </row>
    <row r="4735" spans="1:13" x14ac:dyDescent="0.25">
      <c r="A4735" s="2"/>
      <c r="B4735" s="11"/>
      <c r="C4735" s="26"/>
      <c r="M4735" s="71"/>
    </row>
    <row r="4736" spans="1:13" x14ac:dyDescent="0.25">
      <c r="A4736" s="2"/>
      <c r="B4736" s="11"/>
      <c r="C4736" s="26"/>
      <c r="M4736" s="71"/>
    </row>
    <row r="4737" spans="1:13" x14ac:dyDescent="0.25">
      <c r="A4737" s="2"/>
      <c r="B4737" s="11"/>
      <c r="C4737" s="26"/>
      <c r="M4737" s="71"/>
    </row>
    <row r="4738" spans="1:13" x14ac:dyDescent="0.25">
      <c r="A4738" s="2"/>
      <c r="B4738" s="11"/>
      <c r="C4738" s="26"/>
      <c r="M4738" s="71"/>
    </row>
    <row r="4739" spans="1:13" x14ac:dyDescent="0.25">
      <c r="A4739" s="2"/>
      <c r="B4739" s="11"/>
      <c r="C4739" s="26"/>
      <c r="M4739" s="71"/>
    </row>
    <row r="4740" spans="1:13" x14ac:dyDescent="0.25">
      <c r="A4740" s="2"/>
      <c r="B4740" s="11"/>
      <c r="C4740" s="26"/>
      <c r="M4740" s="71"/>
    </row>
    <row r="4741" spans="1:13" x14ac:dyDescent="0.25">
      <c r="A4741" s="2"/>
      <c r="B4741" s="11"/>
      <c r="C4741" s="26"/>
      <c r="M4741" s="71"/>
    </row>
    <row r="4742" spans="1:13" x14ac:dyDescent="0.25">
      <c r="A4742" s="2"/>
      <c r="B4742" s="11"/>
      <c r="C4742" s="26"/>
      <c r="M4742" s="71"/>
    </row>
    <row r="4743" spans="1:13" x14ac:dyDescent="0.25">
      <c r="A4743" s="2"/>
      <c r="B4743" s="11"/>
      <c r="C4743" s="26"/>
      <c r="M4743" s="71"/>
    </row>
    <row r="4744" spans="1:13" x14ac:dyDescent="0.25">
      <c r="A4744" s="2"/>
      <c r="B4744" s="11"/>
      <c r="C4744" s="26"/>
      <c r="M4744" s="71"/>
    </row>
    <row r="4745" spans="1:13" x14ac:dyDescent="0.25">
      <c r="A4745" s="2"/>
      <c r="B4745" s="11"/>
      <c r="C4745" s="26"/>
      <c r="M4745" s="71"/>
    </row>
    <row r="4746" spans="1:13" x14ac:dyDescent="0.25">
      <c r="A4746" s="2"/>
      <c r="B4746" s="11"/>
      <c r="C4746" s="26"/>
      <c r="M4746" s="71"/>
    </row>
    <row r="4747" spans="1:13" x14ac:dyDescent="0.25">
      <c r="A4747" s="2"/>
      <c r="B4747" s="11"/>
      <c r="C4747" s="26"/>
      <c r="M4747" s="71"/>
    </row>
    <row r="4748" spans="1:13" x14ac:dyDescent="0.25">
      <c r="A4748" s="2"/>
      <c r="B4748" s="11"/>
      <c r="C4748" s="26"/>
      <c r="M4748" s="71"/>
    </row>
    <row r="4749" spans="1:13" x14ac:dyDescent="0.25">
      <c r="A4749" s="2"/>
      <c r="B4749" s="11"/>
      <c r="C4749" s="26"/>
      <c r="M4749" s="71"/>
    </row>
    <row r="4750" spans="1:13" x14ac:dyDescent="0.25">
      <c r="A4750" s="2"/>
      <c r="B4750" s="11"/>
      <c r="C4750" s="26"/>
      <c r="M4750" s="71"/>
    </row>
    <row r="4751" spans="1:13" x14ac:dyDescent="0.25">
      <c r="A4751" s="2"/>
      <c r="B4751" s="11"/>
      <c r="C4751" s="26"/>
      <c r="M4751" s="71"/>
    </row>
    <row r="4752" spans="1:13" x14ac:dyDescent="0.25">
      <c r="A4752" s="2"/>
      <c r="B4752" s="11"/>
      <c r="C4752" s="26"/>
      <c r="M4752" s="71"/>
    </row>
    <row r="4753" spans="1:13" x14ac:dyDescent="0.25">
      <c r="A4753" s="2"/>
      <c r="B4753" s="11"/>
      <c r="C4753" s="26"/>
      <c r="M4753" s="71"/>
    </row>
    <row r="4754" spans="1:13" x14ac:dyDescent="0.25">
      <c r="A4754" s="2"/>
      <c r="B4754" s="11"/>
      <c r="C4754" s="26"/>
      <c r="M4754" s="71"/>
    </row>
    <row r="4755" spans="1:13" x14ac:dyDescent="0.25">
      <c r="A4755" s="2"/>
      <c r="B4755" s="11"/>
      <c r="C4755" s="26"/>
      <c r="M4755" s="71"/>
    </row>
    <row r="4756" spans="1:13" x14ac:dyDescent="0.25">
      <c r="A4756" s="2"/>
      <c r="B4756" s="11"/>
      <c r="C4756" s="26"/>
      <c r="M4756" s="71"/>
    </row>
    <row r="4757" spans="1:13" x14ac:dyDescent="0.25">
      <c r="A4757" s="2"/>
      <c r="B4757" s="11"/>
      <c r="C4757" s="26"/>
      <c r="M4757" s="71"/>
    </row>
    <row r="4758" spans="1:13" x14ac:dyDescent="0.25">
      <c r="A4758" s="2"/>
      <c r="B4758" s="11"/>
      <c r="C4758" s="26"/>
      <c r="M4758" s="71"/>
    </row>
    <row r="4759" spans="1:13" x14ac:dyDescent="0.25">
      <c r="A4759" s="2"/>
      <c r="B4759" s="11"/>
      <c r="C4759" s="26"/>
      <c r="M4759" s="71"/>
    </row>
    <row r="4760" spans="1:13" x14ac:dyDescent="0.25">
      <c r="A4760" s="2"/>
      <c r="B4760" s="11"/>
      <c r="C4760" s="26"/>
      <c r="M4760" s="71"/>
    </row>
    <row r="4761" spans="1:13" x14ac:dyDescent="0.25">
      <c r="A4761" s="2"/>
      <c r="B4761" s="11"/>
      <c r="C4761" s="26"/>
      <c r="M4761" s="71"/>
    </row>
    <row r="4762" spans="1:13" x14ac:dyDescent="0.25">
      <c r="A4762" s="2"/>
      <c r="B4762" s="11"/>
      <c r="C4762" s="26"/>
      <c r="M4762" s="71"/>
    </row>
    <row r="4763" spans="1:13" x14ac:dyDescent="0.25">
      <c r="A4763" s="2"/>
      <c r="B4763" s="11"/>
      <c r="C4763" s="26"/>
      <c r="M4763" s="71"/>
    </row>
    <row r="4764" spans="1:13" x14ac:dyDescent="0.25">
      <c r="A4764" s="2"/>
      <c r="B4764" s="11"/>
      <c r="C4764" s="26"/>
      <c r="M4764" s="71"/>
    </row>
    <row r="4765" spans="1:13" x14ac:dyDescent="0.25">
      <c r="A4765" s="2"/>
      <c r="B4765" s="11"/>
      <c r="C4765" s="26"/>
      <c r="M4765" s="71"/>
    </row>
    <row r="4766" spans="1:13" x14ac:dyDescent="0.25">
      <c r="A4766" s="2"/>
      <c r="B4766" s="11"/>
      <c r="C4766" s="26"/>
      <c r="M4766" s="71"/>
    </row>
    <row r="4767" spans="1:13" x14ac:dyDescent="0.25">
      <c r="A4767" s="2"/>
      <c r="B4767" s="11"/>
      <c r="C4767" s="26"/>
      <c r="M4767" s="71"/>
    </row>
    <row r="4768" spans="1:13" x14ac:dyDescent="0.25">
      <c r="A4768" s="2"/>
      <c r="B4768" s="11"/>
      <c r="C4768" s="26"/>
      <c r="M4768" s="71"/>
    </row>
    <row r="4769" spans="1:13" x14ac:dyDescent="0.25">
      <c r="A4769" s="2"/>
      <c r="B4769" s="11"/>
      <c r="C4769" s="26"/>
      <c r="M4769" s="71"/>
    </row>
    <row r="4770" spans="1:13" x14ac:dyDescent="0.25">
      <c r="A4770" s="2"/>
      <c r="B4770" s="11"/>
      <c r="C4770" s="26"/>
      <c r="M4770" s="71"/>
    </row>
    <row r="4771" spans="1:13" x14ac:dyDescent="0.25">
      <c r="A4771" s="2"/>
      <c r="B4771" s="11"/>
      <c r="C4771" s="26"/>
      <c r="M4771" s="71"/>
    </row>
    <row r="4772" spans="1:13" x14ac:dyDescent="0.25">
      <c r="A4772" s="2"/>
      <c r="B4772" s="11"/>
      <c r="C4772" s="26"/>
      <c r="M4772" s="71"/>
    </row>
    <row r="4773" spans="1:13" x14ac:dyDescent="0.25">
      <c r="A4773" s="2"/>
      <c r="B4773" s="11"/>
      <c r="C4773" s="26"/>
      <c r="M4773" s="71"/>
    </row>
    <row r="4774" spans="1:13" x14ac:dyDescent="0.25">
      <c r="A4774" s="2"/>
      <c r="B4774" s="11"/>
      <c r="C4774" s="26"/>
      <c r="M4774" s="71"/>
    </row>
    <row r="4775" spans="1:13" x14ac:dyDescent="0.25">
      <c r="A4775" s="2"/>
      <c r="B4775" s="11"/>
      <c r="C4775" s="26"/>
      <c r="M4775" s="71"/>
    </row>
    <row r="4776" spans="1:13" x14ac:dyDescent="0.25">
      <c r="A4776" s="2"/>
      <c r="B4776" s="11"/>
      <c r="C4776" s="26"/>
      <c r="M4776" s="71"/>
    </row>
    <row r="4777" spans="1:13" x14ac:dyDescent="0.25">
      <c r="A4777" s="2"/>
      <c r="B4777" s="11"/>
      <c r="C4777" s="26"/>
      <c r="M4777" s="71"/>
    </row>
    <row r="4778" spans="1:13" x14ac:dyDescent="0.25">
      <c r="A4778" s="2"/>
      <c r="B4778" s="11"/>
      <c r="C4778" s="26"/>
      <c r="M4778" s="71"/>
    </row>
    <row r="4779" spans="1:13" x14ac:dyDescent="0.25">
      <c r="A4779" s="2"/>
      <c r="B4779" s="11"/>
      <c r="C4779" s="26"/>
      <c r="M4779" s="71"/>
    </row>
    <row r="4780" spans="1:13" x14ac:dyDescent="0.25">
      <c r="A4780" s="2"/>
      <c r="B4780" s="11"/>
      <c r="C4780" s="26"/>
      <c r="M4780" s="71"/>
    </row>
    <row r="4781" spans="1:13" x14ac:dyDescent="0.25">
      <c r="A4781" s="2"/>
      <c r="B4781" s="11"/>
      <c r="C4781" s="26"/>
      <c r="M4781" s="71"/>
    </row>
    <row r="4782" spans="1:13" x14ac:dyDescent="0.25">
      <c r="A4782" s="2"/>
      <c r="B4782" s="11"/>
      <c r="C4782" s="26"/>
      <c r="M4782" s="71"/>
    </row>
    <row r="4783" spans="1:13" x14ac:dyDescent="0.25">
      <c r="A4783" s="2"/>
      <c r="B4783" s="11"/>
      <c r="C4783" s="26"/>
      <c r="M4783" s="71"/>
    </row>
    <row r="4784" spans="1:13" x14ac:dyDescent="0.25">
      <c r="A4784" s="2"/>
      <c r="B4784" s="11"/>
      <c r="C4784" s="26"/>
      <c r="M4784" s="71"/>
    </row>
    <row r="4785" spans="1:13" x14ac:dyDescent="0.25">
      <c r="A4785" s="2"/>
      <c r="B4785" s="11"/>
      <c r="C4785" s="26"/>
      <c r="M4785" s="71"/>
    </row>
    <row r="4786" spans="1:13" x14ac:dyDescent="0.25">
      <c r="A4786" s="2"/>
      <c r="B4786" s="11"/>
      <c r="C4786" s="26"/>
      <c r="M4786" s="71"/>
    </row>
    <row r="4787" spans="1:13" x14ac:dyDescent="0.25">
      <c r="A4787" s="2"/>
      <c r="B4787" s="11"/>
      <c r="C4787" s="26"/>
      <c r="M4787" s="71"/>
    </row>
    <row r="4788" spans="1:13" x14ac:dyDescent="0.25">
      <c r="A4788" s="2"/>
      <c r="B4788" s="11"/>
      <c r="C4788" s="26"/>
      <c r="M4788" s="71"/>
    </row>
    <row r="4789" spans="1:13" x14ac:dyDescent="0.25">
      <c r="A4789" s="2"/>
      <c r="B4789" s="11"/>
      <c r="C4789" s="26"/>
      <c r="M4789" s="71"/>
    </row>
    <row r="4790" spans="1:13" x14ac:dyDescent="0.25">
      <c r="A4790" s="2"/>
      <c r="B4790" s="11"/>
      <c r="C4790" s="26"/>
      <c r="M4790" s="71"/>
    </row>
    <row r="4791" spans="1:13" x14ac:dyDescent="0.25">
      <c r="A4791" s="2"/>
      <c r="B4791" s="11"/>
      <c r="C4791" s="26"/>
      <c r="M4791" s="71"/>
    </row>
    <row r="4792" spans="1:13" x14ac:dyDescent="0.25">
      <c r="A4792" s="2"/>
      <c r="B4792" s="11"/>
      <c r="C4792" s="26"/>
      <c r="M4792" s="71"/>
    </row>
    <row r="4793" spans="1:13" x14ac:dyDescent="0.25">
      <c r="A4793" s="2"/>
      <c r="B4793" s="11"/>
      <c r="C4793" s="26"/>
      <c r="M4793" s="71"/>
    </row>
    <row r="4794" spans="1:13" x14ac:dyDescent="0.25">
      <c r="A4794" s="2"/>
      <c r="B4794" s="11"/>
      <c r="C4794" s="26"/>
      <c r="M4794" s="71"/>
    </row>
    <row r="4795" spans="1:13" x14ac:dyDescent="0.25">
      <c r="A4795" s="2"/>
      <c r="B4795" s="11"/>
      <c r="C4795" s="26"/>
      <c r="M4795" s="71"/>
    </row>
    <row r="4796" spans="1:13" x14ac:dyDescent="0.25">
      <c r="A4796" s="2"/>
      <c r="B4796" s="11"/>
      <c r="C4796" s="26"/>
      <c r="M4796" s="71"/>
    </row>
    <row r="4797" spans="1:13" x14ac:dyDescent="0.25">
      <c r="A4797" s="2"/>
      <c r="B4797" s="11"/>
      <c r="C4797" s="26"/>
      <c r="M4797" s="71"/>
    </row>
    <row r="4798" spans="1:13" x14ac:dyDescent="0.25">
      <c r="A4798" s="2"/>
      <c r="B4798" s="11"/>
      <c r="C4798" s="26"/>
      <c r="M4798" s="71"/>
    </row>
    <row r="4799" spans="1:13" x14ac:dyDescent="0.25">
      <c r="A4799" s="2"/>
      <c r="B4799" s="11"/>
      <c r="C4799" s="26"/>
      <c r="M4799" s="71"/>
    </row>
    <row r="4800" spans="1:13" x14ac:dyDescent="0.25">
      <c r="A4800" s="2"/>
      <c r="B4800" s="11"/>
      <c r="C4800" s="26"/>
      <c r="M4800" s="71"/>
    </row>
    <row r="4801" spans="1:13" x14ac:dyDescent="0.25">
      <c r="A4801" s="2"/>
      <c r="B4801" s="11"/>
      <c r="C4801" s="26"/>
      <c r="M4801" s="71"/>
    </row>
    <row r="4802" spans="1:13" x14ac:dyDescent="0.25">
      <c r="A4802" s="2"/>
      <c r="B4802" s="11"/>
      <c r="C4802" s="26"/>
      <c r="M4802" s="71"/>
    </row>
    <row r="4803" spans="1:13" x14ac:dyDescent="0.25">
      <c r="A4803" s="2"/>
      <c r="B4803" s="11"/>
      <c r="C4803" s="26"/>
      <c r="M4803" s="71"/>
    </row>
    <row r="4804" spans="1:13" x14ac:dyDescent="0.25">
      <c r="A4804" s="2"/>
      <c r="B4804" s="11"/>
      <c r="C4804" s="26"/>
      <c r="M4804" s="71"/>
    </row>
    <row r="4805" spans="1:13" x14ac:dyDescent="0.25">
      <c r="A4805" s="2"/>
      <c r="B4805" s="11"/>
      <c r="C4805" s="26"/>
      <c r="M4805" s="71"/>
    </row>
    <row r="4806" spans="1:13" x14ac:dyDescent="0.25">
      <c r="A4806" s="2"/>
      <c r="B4806" s="11"/>
      <c r="C4806" s="26"/>
      <c r="M4806" s="71"/>
    </row>
    <row r="4807" spans="1:13" x14ac:dyDescent="0.25">
      <c r="A4807" s="2"/>
      <c r="B4807" s="11"/>
      <c r="C4807" s="26"/>
      <c r="M4807" s="71"/>
    </row>
    <row r="4808" spans="1:13" x14ac:dyDescent="0.25">
      <c r="A4808" s="2"/>
      <c r="B4808" s="11"/>
      <c r="C4808" s="26"/>
      <c r="M4808" s="71"/>
    </row>
    <row r="4809" spans="1:13" x14ac:dyDescent="0.25">
      <c r="A4809" s="2"/>
      <c r="B4809" s="11"/>
      <c r="C4809" s="26"/>
      <c r="M4809" s="71"/>
    </row>
    <row r="4810" spans="1:13" x14ac:dyDescent="0.25">
      <c r="A4810" s="2"/>
      <c r="B4810" s="11"/>
      <c r="C4810" s="26"/>
      <c r="M4810" s="71"/>
    </row>
    <row r="4811" spans="1:13" x14ac:dyDescent="0.25">
      <c r="A4811" s="2"/>
      <c r="B4811" s="11"/>
      <c r="C4811" s="26"/>
      <c r="M4811" s="71"/>
    </row>
    <row r="4812" spans="1:13" x14ac:dyDescent="0.25">
      <c r="A4812" s="2"/>
      <c r="B4812" s="11"/>
      <c r="C4812" s="26"/>
      <c r="M4812" s="71"/>
    </row>
    <row r="4813" spans="1:13" x14ac:dyDescent="0.25">
      <c r="A4813" s="2"/>
      <c r="B4813" s="11"/>
      <c r="C4813" s="26"/>
      <c r="M4813" s="71"/>
    </row>
    <row r="4814" spans="1:13" x14ac:dyDescent="0.25">
      <c r="A4814" s="2"/>
      <c r="B4814" s="11"/>
      <c r="C4814" s="26"/>
      <c r="M4814" s="71"/>
    </row>
    <row r="4815" spans="1:13" x14ac:dyDescent="0.25">
      <c r="A4815" s="2"/>
      <c r="B4815" s="11"/>
      <c r="C4815" s="26"/>
      <c r="M4815" s="71"/>
    </row>
    <row r="4816" spans="1:13" x14ac:dyDescent="0.25">
      <c r="A4816" s="2"/>
      <c r="B4816" s="11"/>
      <c r="C4816" s="26"/>
      <c r="M4816" s="71"/>
    </row>
    <row r="4817" spans="1:13" x14ac:dyDescent="0.25">
      <c r="A4817" s="2"/>
      <c r="B4817" s="11"/>
      <c r="C4817" s="26"/>
      <c r="M4817" s="71"/>
    </row>
    <row r="4818" spans="1:13" x14ac:dyDescent="0.25">
      <c r="A4818" s="2"/>
      <c r="B4818" s="11"/>
      <c r="C4818" s="26"/>
      <c r="M4818" s="71"/>
    </row>
    <row r="4819" spans="1:13" x14ac:dyDescent="0.25">
      <c r="A4819" s="2"/>
      <c r="B4819" s="11"/>
      <c r="C4819" s="26"/>
      <c r="M4819" s="71"/>
    </row>
    <row r="4820" spans="1:13" x14ac:dyDescent="0.25">
      <c r="A4820" s="2"/>
      <c r="B4820" s="11"/>
      <c r="C4820" s="26"/>
      <c r="M4820" s="71"/>
    </row>
    <row r="4821" spans="1:13" x14ac:dyDescent="0.25">
      <c r="A4821" s="2"/>
      <c r="B4821" s="11"/>
      <c r="C4821" s="26"/>
      <c r="M4821" s="71"/>
    </row>
    <row r="4822" spans="1:13" x14ac:dyDescent="0.25">
      <c r="A4822" s="2"/>
      <c r="B4822" s="11"/>
      <c r="C4822" s="26"/>
      <c r="M4822" s="71"/>
    </row>
    <row r="4823" spans="1:13" x14ac:dyDescent="0.25">
      <c r="A4823" s="2"/>
      <c r="B4823" s="11"/>
      <c r="C4823" s="26"/>
      <c r="M4823" s="71"/>
    </row>
    <row r="4824" spans="1:13" x14ac:dyDescent="0.25">
      <c r="A4824" s="2"/>
      <c r="B4824" s="11"/>
      <c r="C4824" s="26"/>
      <c r="M4824" s="71"/>
    </row>
    <row r="4825" spans="1:13" x14ac:dyDescent="0.25">
      <c r="A4825" s="2"/>
      <c r="B4825" s="11"/>
      <c r="C4825" s="26"/>
      <c r="M4825" s="71"/>
    </row>
    <row r="4826" spans="1:13" x14ac:dyDescent="0.25">
      <c r="A4826" s="2"/>
      <c r="B4826" s="11"/>
      <c r="C4826" s="26"/>
      <c r="M4826" s="71"/>
    </row>
    <row r="4827" spans="1:13" x14ac:dyDescent="0.25">
      <c r="A4827" s="2"/>
      <c r="B4827" s="11"/>
      <c r="C4827" s="26"/>
      <c r="M4827" s="71"/>
    </row>
    <row r="4828" spans="1:13" x14ac:dyDescent="0.25">
      <c r="A4828" s="2"/>
      <c r="B4828" s="11"/>
      <c r="C4828" s="26"/>
      <c r="M4828" s="71"/>
    </row>
    <row r="4829" spans="1:13" x14ac:dyDescent="0.25">
      <c r="A4829" s="2"/>
      <c r="B4829" s="11"/>
      <c r="C4829" s="26"/>
      <c r="M4829" s="71"/>
    </row>
    <row r="4830" spans="1:13" x14ac:dyDescent="0.25">
      <c r="A4830" s="2"/>
      <c r="B4830" s="11"/>
      <c r="C4830" s="26"/>
      <c r="M4830" s="71"/>
    </row>
    <row r="4831" spans="1:13" x14ac:dyDescent="0.25">
      <c r="A4831" s="2"/>
      <c r="B4831" s="11"/>
      <c r="C4831" s="26"/>
      <c r="M4831" s="71"/>
    </row>
    <row r="4832" spans="1:13" x14ac:dyDescent="0.25">
      <c r="A4832" s="2"/>
      <c r="B4832" s="11"/>
      <c r="C4832" s="26"/>
      <c r="M4832" s="71"/>
    </row>
    <row r="4833" spans="1:13" x14ac:dyDescent="0.25">
      <c r="A4833" s="2"/>
      <c r="B4833" s="11"/>
      <c r="C4833" s="26"/>
      <c r="M4833" s="71"/>
    </row>
    <row r="4834" spans="1:13" x14ac:dyDescent="0.25">
      <c r="A4834" s="2"/>
      <c r="B4834" s="11"/>
      <c r="C4834" s="26"/>
      <c r="M4834" s="71"/>
    </row>
    <row r="4835" spans="1:13" x14ac:dyDescent="0.25">
      <c r="A4835" s="2"/>
      <c r="B4835" s="11"/>
      <c r="C4835" s="26"/>
      <c r="M4835" s="71"/>
    </row>
    <row r="4836" spans="1:13" x14ac:dyDescent="0.25">
      <c r="A4836" s="2"/>
      <c r="B4836" s="11"/>
      <c r="C4836" s="26"/>
      <c r="M4836" s="71"/>
    </row>
    <row r="4837" spans="1:13" x14ac:dyDescent="0.25">
      <c r="A4837" s="2"/>
      <c r="B4837" s="11"/>
      <c r="C4837" s="26"/>
      <c r="M4837" s="71"/>
    </row>
    <row r="4838" spans="1:13" x14ac:dyDescent="0.25">
      <c r="A4838" s="2"/>
      <c r="B4838" s="11"/>
      <c r="C4838" s="26"/>
      <c r="M4838" s="71"/>
    </row>
    <row r="4839" spans="1:13" x14ac:dyDescent="0.25">
      <c r="A4839" s="2"/>
      <c r="B4839" s="11"/>
      <c r="C4839" s="26"/>
      <c r="M4839" s="71"/>
    </row>
    <row r="4840" spans="1:13" x14ac:dyDescent="0.25">
      <c r="A4840" s="2"/>
      <c r="B4840" s="11"/>
      <c r="C4840" s="26"/>
      <c r="M4840" s="71"/>
    </row>
    <row r="4841" spans="1:13" x14ac:dyDescent="0.25">
      <c r="A4841" s="2"/>
      <c r="B4841" s="11"/>
      <c r="C4841" s="26"/>
      <c r="M4841" s="71"/>
    </row>
    <row r="4842" spans="1:13" x14ac:dyDescent="0.25">
      <c r="A4842" s="2"/>
      <c r="B4842" s="11"/>
      <c r="C4842" s="26"/>
      <c r="M4842" s="71"/>
    </row>
    <row r="4843" spans="1:13" x14ac:dyDescent="0.25">
      <c r="A4843" s="2"/>
      <c r="B4843" s="11"/>
      <c r="C4843" s="26"/>
      <c r="M4843" s="71"/>
    </row>
    <row r="4844" spans="1:13" x14ac:dyDescent="0.25">
      <c r="A4844" s="2"/>
      <c r="B4844" s="11"/>
      <c r="C4844" s="26"/>
      <c r="M4844" s="71"/>
    </row>
    <row r="4845" spans="1:13" x14ac:dyDescent="0.25">
      <c r="A4845" s="2"/>
      <c r="B4845" s="11"/>
      <c r="C4845" s="26"/>
      <c r="M4845" s="71"/>
    </row>
    <row r="4846" spans="1:13" x14ac:dyDescent="0.25">
      <c r="A4846" s="2"/>
      <c r="B4846" s="11"/>
      <c r="C4846" s="26"/>
      <c r="M4846" s="71"/>
    </row>
    <row r="4847" spans="1:13" x14ac:dyDescent="0.25">
      <c r="A4847" s="2"/>
      <c r="B4847" s="11"/>
      <c r="C4847" s="26"/>
      <c r="M4847" s="71"/>
    </row>
    <row r="4848" spans="1:13" x14ac:dyDescent="0.25">
      <c r="A4848" s="2"/>
      <c r="B4848" s="11"/>
      <c r="C4848" s="26"/>
      <c r="M4848" s="71"/>
    </row>
    <row r="4849" spans="1:13" x14ac:dyDescent="0.25">
      <c r="A4849" s="2"/>
      <c r="B4849" s="11"/>
      <c r="C4849" s="26"/>
      <c r="M4849" s="71"/>
    </row>
    <row r="4850" spans="1:13" x14ac:dyDescent="0.25">
      <c r="A4850" s="2"/>
      <c r="B4850" s="11"/>
      <c r="C4850" s="26"/>
      <c r="M4850" s="71"/>
    </row>
    <row r="4851" spans="1:13" x14ac:dyDescent="0.25">
      <c r="A4851" s="2"/>
      <c r="B4851" s="11"/>
      <c r="C4851" s="26"/>
      <c r="M4851" s="71"/>
    </row>
    <row r="4852" spans="1:13" x14ac:dyDescent="0.25">
      <c r="A4852" s="2"/>
      <c r="B4852" s="11"/>
      <c r="C4852" s="26"/>
      <c r="M4852" s="71"/>
    </row>
    <row r="4853" spans="1:13" x14ac:dyDescent="0.25">
      <c r="A4853" s="2"/>
      <c r="B4853" s="11"/>
      <c r="C4853" s="26"/>
      <c r="M4853" s="71"/>
    </row>
    <row r="4854" spans="1:13" x14ac:dyDescent="0.25">
      <c r="A4854" s="2"/>
      <c r="B4854" s="11"/>
      <c r="C4854" s="26"/>
      <c r="M4854" s="71"/>
    </row>
    <row r="4855" spans="1:13" x14ac:dyDescent="0.25">
      <c r="A4855" s="2"/>
      <c r="B4855" s="11"/>
      <c r="C4855" s="26"/>
      <c r="M4855" s="71"/>
    </row>
    <row r="4856" spans="1:13" x14ac:dyDescent="0.25">
      <c r="A4856" s="2"/>
      <c r="B4856" s="11"/>
      <c r="C4856" s="26"/>
      <c r="M4856" s="71"/>
    </row>
    <row r="4857" spans="1:13" x14ac:dyDescent="0.25">
      <c r="A4857" s="2"/>
      <c r="B4857" s="11"/>
      <c r="C4857" s="26"/>
      <c r="M4857" s="71"/>
    </row>
    <row r="4858" spans="1:13" x14ac:dyDescent="0.25">
      <c r="A4858" s="2"/>
      <c r="B4858" s="11"/>
      <c r="C4858" s="26"/>
      <c r="M4858" s="71"/>
    </row>
    <row r="4859" spans="1:13" x14ac:dyDescent="0.25">
      <c r="A4859" s="2"/>
      <c r="B4859" s="11"/>
      <c r="C4859" s="26"/>
      <c r="M4859" s="71"/>
    </row>
    <row r="4860" spans="1:13" x14ac:dyDescent="0.25">
      <c r="A4860" s="2"/>
      <c r="B4860" s="11"/>
      <c r="C4860" s="26"/>
      <c r="M4860" s="71"/>
    </row>
    <row r="4861" spans="1:13" x14ac:dyDescent="0.25">
      <c r="A4861" s="2"/>
      <c r="B4861" s="11"/>
      <c r="C4861" s="26"/>
      <c r="M4861" s="71"/>
    </row>
    <row r="4862" spans="1:13" x14ac:dyDescent="0.25">
      <c r="A4862" s="2"/>
      <c r="B4862" s="11"/>
      <c r="C4862" s="26"/>
      <c r="M4862" s="71"/>
    </row>
    <row r="4863" spans="1:13" x14ac:dyDescent="0.25">
      <c r="A4863" s="2"/>
      <c r="B4863" s="11"/>
      <c r="C4863" s="26"/>
      <c r="M4863" s="71"/>
    </row>
    <row r="4864" spans="1:13" x14ac:dyDescent="0.25">
      <c r="A4864" s="2"/>
      <c r="B4864" s="11"/>
      <c r="C4864" s="26"/>
      <c r="M4864" s="71"/>
    </row>
    <row r="4865" spans="1:13" x14ac:dyDescent="0.25">
      <c r="A4865" s="2"/>
      <c r="B4865" s="11"/>
      <c r="C4865" s="26"/>
      <c r="M4865" s="71"/>
    </row>
    <row r="4866" spans="1:13" x14ac:dyDescent="0.25">
      <c r="A4866" s="2"/>
      <c r="B4866" s="11"/>
      <c r="C4866" s="26"/>
      <c r="M4866" s="71"/>
    </row>
    <row r="4867" spans="1:13" x14ac:dyDescent="0.25">
      <c r="A4867" s="2"/>
      <c r="B4867" s="11"/>
      <c r="C4867" s="26"/>
      <c r="M4867" s="71"/>
    </row>
    <row r="4868" spans="1:13" x14ac:dyDescent="0.25">
      <c r="A4868" s="2"/>
      <c r="B4868" s="11"/>
      <c r="C4868" s="26"/>
      <c r="M4868" s="71"/>
    </row>
    <row r="4869" spans="1:13" x14ac:dyDescent="0.25">
      <c r="A4869" s="2"/>
      <c r="B4869" s="11"/>
      <c r="C4869" s="26"/>
      <c r="M4869" s="71"/>
    </row>
    <row r="4870" spans="1:13" x14ac:dyDescent="0.25">
      <c r="A4870" s="2"/>
      <c r="B4870" s="11"/>
      <c r="C4870" s="26"/>
      <c r="M4870" s="71"/>
    </row>
    <row r="4871" spans="1:13" x14ac:dyDescent="0.25">
      <c r="A4871" s="2"/>
      <c r="B4871" s="11"/>
      <c r="C4871" s="26"/>
      <c r="M4871" s="71"/>
    </row>
    <row r="4872" spans="1:13" x14ac:dyDescent="0.25">
      <c r="A4872" s="2"/>
      <c r="B4872" s="11"/>
      <c r="C4872" s="26"/>
      <c r="M4872" s="71"/>
    </row>
    <row r="4873" spans="1:13" x14ac:dyDescent="0.25">
      <c r="A4873" s="2"/>
      <c r="B4873" s="11"/>
      <c r="C4873" s="26"/>
      <c r="M4873" s="71"/>
    </row>
    <row r="4874" spans="1:13" x14ac:dyDescent="0.25">
      <c r="A4874" s="2"/>
      <c r="B4874" s="11"/>
      <c r="C4874" s="26"/>
      <c r="M4874" s="71"/>
    </row>
    <row r="4875" spans="1:13" x14ac:dyDescent="0.25">
      <c r="A4875" s="2"/>
      <c r="B4875" s="11"/>
      <c r="C4875" s="26"/>
      <c r="M4875" s="71"/>
    </row>
    <row r="4876" spans="1:13" x14ac:dyDescent="0.25">
      <c r="A4876" s="2"/>
      <c r="B4876" s="11"/>
      <c r="C4876" s="26"/>
      <c r="M4876" s="71"/>
    </row>
    <row r="4877" spans="1:13" x14ac:dyDescent="0.25">
      <c r="A4877" s="2"/>
      <c r="B4877" s="11"/>
      <c r="C4877" s="26"/>
      <c r="M4877" s="71"/>
    </row>
    <row r="4878" spans="1:13" x14ac:dyDescent="0.25">
      <c r="A4878" s="2"/>
      <c r="B4878" s="11"/>
      <c r="C4878" s="26"/>
      <c r="M4878" s="71"/>
    </row>
    <row r="4879" spans="1:13" x14ac:dyDescent="0.25">
      <c r="A4879" s="2"/>
      <c r="B4879" s="11"/>
      <c r="C4879" s="26"/>
      <c r="M4879" s="71"/>
    </row>
    <row r="4880" spans="1:13" x14ac:dyDescent="0.25">
      <c r="A4880" s="2"/>
      <c r="B4880" s="11"/>
      <c r="C4880" s="26"/>
      <c r="M4880" s="71"/>
    </row>
    <row r="4881" spans="1:13" x14ac:dyDescent="0.25">
      <c r="A4881" s="2"/>
      <c r="B4881" s="11"/>
      <c r="C4881" s="26"/>
      <c r="M4881" s="71"/>
    </row>
    <row r="4882" spans="1:13" x14ac:dyDescent="0.25">
      <c r="A4882" s="2"/>
      <c r="B4882" s="11"/>
      <c r="C4882" s="26"/>
      <c r="M4882" s="71"/>
    </row>
    <row r="4883" spans="1:13" x14ac:dyDescent="0.25">
      <c r="A4883" s="2"/>
      <c r="B4883" s="11"/>
      <c r="C4883" s="26"/>
      <c r="M4883" s="71"/>
    </row>
    <row r="4884" spans="1:13" x14ac:dyDescent="0.25">
      <c r="A4884" s="2"/>
      <c r="B4884" s="11"/>
      <c r="C4884" s="26"/>
      <c r="M4884" s="71"/>
    </row>
    <row r="4885" spans="1:13" x14ac:dyDescent="0.25">
      <c r="A4885" s="2"/>
      <c r="B4885" s="11"/>
      <c r="C4885" s="26"/>
      <c r="M4885" s="71"/>
    </row>
    <row r="4886" spans="1:13" x14ac:dyDescent="0.25">
      <c r="A4886" s="2"/>
      <c r="B4886" s="11"/>
      <c r="C4886" s="26"/>
      <c r="M4886" s="71"/>
    </row>
    <row r="4887" spans="1:13" x14ac:dyDescent="0.25">
      <c r="A4887" s="2"/>
      <c r="B4887" s="11"/>
      <c r="C4887" s="26"/>
      <c r="M4887" s="71"/>
    </row>
    <row r="4888" spans="1:13" x14ac:dyDescent="0.25">
      <c r="A4888" s="2"/>
      <c r="B4888" s="11"/>
      <c r="C4888" s="26"/>
      <c r="M4888" s="71"/>
    </row>
    <row r="4889" spans="1:13" x14ac:dyDescent="0.25">
      <c r="A4889" s="2"/>
      <c r="B4889" s="11"/>
      <c r="C4889" s="26"/>
      <c r="M4889" s="71"/>
    </row>
    <row r="4890" spans="1:13" x14ac:dyDescent="0.25">
      <c r="A4890" s="2"/>
      <c r="B4890" s="11"/>
      <c r="C4890" s="26"/>
      <c r="M4890" s="71"/>
    </row>
    <row r="4891" spans="1:13" x14ac:dyDescent="0.25">
      <c r="A4891" s="2"/>
      <c r="B4891" s="11"/>
      <c r="C4891" s="26"/>
      <c r="M4891" s="71"/>
    </row>
    <row r="4892" spans="1:13" x14ac:dyDescent="0.25">
      <c r="A4892" s="2"/>
      <c r="B4892" s="11"/>
      <c r="C4892" s="26"/>
      <c r="M4892" s="71"/>
    </row>
    <row r="4893" spans="1:13" x14ac:dyDescent="0.25">
      <c r="A4893" s="2"/>
      <c r="B4893" s="11"/>
      <c r="C4893" s="26"/>
      <c r="M4893" s="71"/>
    </row>
    <row r="4894" spans="1:13" x14ac:dyDescent="0.25">
      <c r="A4894" s="2"/>
      <c r="B4894" s="11"/>
      <c r="C4894" s="26"/>
      <c r="M4894" s="71"/>
    </row>
    <row r="4895" spans="1:13" x14ac:dyDescent="0.25">
      <c r="A4895" s="2"/>
      <c r="B4895" s="11"/>
      <c r="C4895" s="26"/>
      <c r="M4895" s="71"/>
    </row>
    <row r="4896" spans="1:13" x14ac:dyDescent="0.25">
      <c r="A4896" s="2"/>
      <c r="B4896" s="11"/>
      <c r="C4896" s="26"/>
      <c r="M4896" s="71"/>
    </row>
    <row r="4897" spans="1:13" x14ac:dyDescent="0.25">
      <c r="A4897" s="2"/>
      <c r="B4897" s="11"/>
      <c r="C4897" s="26"/>
      <c r="M4897" s="71"/>
    </row>
    <row r="4898" spans="1:13" x14ac:dyDescent="0.25">
      <c r="A4898" s="2"/>
      <c r="B4898" s="11"/>
      <c r="C4898" s="26"/>
      <c r="M4898" s="71"/>
    </row>
    <row r="4899" spans="1:13" x14ac:dyDescent="0.25">
      <c r="A4899" s="2"/>
      <c r="B4899" s="11"/>
      <c r="C4899" s="26"/>
      <c r="M4899" s="71"/>
    </row>
    <row r="4900" spans="1:13" x14ac:dyDescent="0.25">
      <c r="A4900" s="2"/>
      <c r="B4900" s="11"/>
      <c r="C4900" s="26"/>
      <c r="M4900" s="71"/>
    </row>
    <row r="4901" spans="1:13" x14ac:dyDescent="0.25">
      <c r="A4901" s="2"/>
      <c r="B4901" s="11"/>
      <c r="C4901" s="26"/>
      <c r="M4901" s="71"/>
    </row>
    <row r="4902" spans="1:13" x14ac:dyDescent="0.25">
      <c r="A4902" s="2"/>
      <c r="B4902" s="11"/>
      <c r="C4902" s="26"/>
      <c r="M4902" s="71"/>
    </row>
    <row r="4903" spans="1:13" x14ac:dyDescent="0.25">
      <c r="A4903" s="2"/>
      <c r="B4903" s="11"/>
      <c r="C4903" s="26"/>
      <c r="M4903" s="71"/>
    </row>
    <row r="4904" spans="1:13" x14ac:dyDescent="0.25">
      <c r="A4904" s="2"/>
      <c r="B4904" s="11"/>
      <c r="C4904" s="26"/>
      <c r="M4904" s="71"/>
    </row>
    <row r="4905" spans="1:13" x14ac:dyDescent="0.25">
      <c r="A4905" s="2"/>
      <c r="B4905" s="11"/>
      <c r="C4905" s="26"/>
      <c r="M4905" s="71"/>
    </row>
    <row r="4906" spans="1:13" x14ac:dyDescent="0.25">
      <c r="A4906" s="2"/>
      <c r="B4906" s="11"/>
      <c r="C4906" s="26"/>
      <c r="M4906" s="71"/>
    </row>
    <row r="4907" spans="1:13" x14ac:dyDescent="0.25">
      <c r="A4907" s="2"/>
      <c r="B4907" s="11"/>
      <c r="C4907" s="26"/>
      <c r="M4907" s="71"/>
    </row>
    <row r="4908" spans="1:13" x14ac:dyDescent="0.25">
      <c r="A4908" s="2"/>
      <c r="B4908" s="11"/>
      <c r="C4908" s="26"/>
      <c r="M4908" s="71"/>
    </row>
    <row r="4909" spans="1:13" x14ac:dyDescent="0.25">
      <c r="A4909" s="2"/>
      <c r="B4909" s="11"/>
      <c r="C4909" s="26"/>
      <c r="M4909" s="71"/>
    </row>
    <row r="4910" spans="1:13" x14ac:dyDescent="0.25">
      <c r="A4910" s="2"/>
      <c r="B4910" s="11"/>
      <c r="C4910" s="26"/>
      <c r="M4910" s="71"/>
    </row>
    <row r="4911" spans="1:13" x14ac:dyDescent="0.25">
      <c r="A4911" s="2"/>
      <c r="B4911" s="11"/>
      <c r="C4911" s="26"/>
      <c r="M4911" s="71"/>
    </row>
    <row r="4912" spans="1:13" x14ac:dyDescent="0.25">
      <c r="A4912" s="2"/>
      <c r="B4912" s="11"/>
      <c r="C4912" s="26"/>
      <c r="M4912" s="71"/>
    </row>
    <row r="4913" spans="1:13" x14ac:dyDescent="0.25">
      <c r="A4913" s="2"/>
      <c r="B4913" s="11"/>
      <c r="C4913" s="26"/>
      <c r="M4913" s="71"/>
    </row>
    <row r="4914" spans="1:13" x14ac:dyDescent="0.25">
      <c r="A4914" s="2"/>
      <c r="B4914" s="11"/>
      <c r="C4914" s="26"/>
      <c r="M4914" s="71"/>
    </row>
    <row r="4915" spans="1:13" x14ac:dyDescent="0.25">
      <c r="A4915" s="2"/>
      <c r="B4915" s="11"/>
      <c r="C4915" s="26"/>
      <c r="M4915" s="71"/>
    </row>
    <row r="4916" spans="1:13" x14ac:dyDescent="0.25">
      <c r="A4916" s="2"/>
      <c r="B4916" s="11"/>
      <c r="C4916" s="26"/>
      <c r="M4916" s="71"/>
    </row>
    <row r="4917" spans="1:13" x14ac:dyDescent="0.25">
      <c r="A4917" s="2"/>
      <c r="B4917" s="11"/>
      <c r="C4917" s="26"/>
      <c r="M4917" s="71"/>
    </row>
    <row r="4918" spans="1:13" x14ac:dyDescent="0.25">
      <c r="A4918" s="2"/>
      <c r="B4918" s="11"/>
      <c r="C4918" s="26"/>
      <c r="M4918" s="71"/>
    </row>
    <row r="4919" spans="1:13" x14ac:dyDescent="0.25">
      <c r="A4919" s="2"/>
      <c r="B4919" s="11"/>
      <c r="C4919" s="26"/>
      <c r="M4919" s="71"/>
    </row>
    <row r="4920" spans="1:13" x14ac:dyDescent="0.25">
      <c r="A4920" s="2"/>
      <c r="B4920" s="11"/>
      <c r="C4920" s="26"/>
      <c r="M4920" s="71"/>
    </row>
    <row r="4921" spans="1:13" x14ac:dyDescent="0.25">
      <c r="A4921" s="2"/>
      <c r="B4921" s="11"/>
      <c r="C4921" s="26"/>
      <c r="M4921" s="71"/>
    </row>
    <row r="4922" spans="1:13" x14ac:dyDescent="0.25">
      <c r="A4922" s="2"/>
      <c r="B4922" s="11"/>
      <c r="C4922" s="26"/>
      <c r="M4922" s="71"/>
    </row>
    <row r="4923" spans="1:13" x14ac:dyDescent="0.25">
      <c r="A4923" s="2"/>
      <c r="B4923" s="11"/>
      <c r="C4923" s="26"/>
      <c r="M4923" s="71"/>
    </row>
    <row r="4924" spans="1:13" x14ac:dyDescent="0.25">
      <c r="A4924" s="2"/>
      <c r="B4924" s="11"/>
      <c r="C4924" s="26"/>
      <c r="M4924" s="71"/>
    </row>
    <row r="4925" spans="1:13" x14ac:dyDescent="0.25">
      <c r="A4925" s="2"/>
      <c r="B4925" s="11"/>
      <c r="C4925" s="26"/>
      <c r="M4925" s="71"/>
    </row>
    <row r="4926" spans="1:13" x14ac:dyDescent="0.25">
      <c r="A4926" s="2"/>
      <c r="B4926" s="11"/>
      <c r="C4926" s="26"/>
      <c r="M4926" s="71"/>
    </row>
    <row r="4927" spans="1:13" x14ac:dyDescent="0.25">
      <c r="A4927" s="2"/>
      <c r="B4927" s="11"/>
      <c r="C4927" s="26"/>
      <c r="M4927" s="71"/>
    </row>
    <row r="4928" spans="1:13" x14ac:dyDescent="0.25">
      <c r="A4928" s="2"/>
      <c r="B4928" s="11"/>
      <c r="C4928" s="26"/>
      <c r="M4928" s="71"/>
    </row>
    <row r="4929" spans="1:13" x14ac:dyDescent="0.25">
      <c r="A4929" s="2"/>
      <c r="B4929" s="11"/>
      <c r="C4929" s="26"/>
      <c r="M4929" s="71"/>
    </row>
    <row r="4930" spans="1:13" x14ac:dyDescent="0.25">
      <c r="A4930" s="2"/>
      <c r="B4930" s="11"/>
      <c r="C4930" s="26"/>
      <c r="M4930" s="71"/>
    </row>
    <row r="4931" spans="1:13" x14ac:dyDescent="0.25">
      <c r="A4931" s="2"/>
      <c r="B4931" s="11"/>
      <c r="C4931" s="26"/>
      <c r="M4931" s="71"/>
    </row>
    <row r="4932" spans="1:13" x14ac:dyDescent="0.25">
      <c r="A4932" s="2"/>
      <c r="B4932" s="11"/>
      <c r="C4932" s="26"/>
      <c r="M4932" s="71"/>
    </row>
    <row r="4933" spans="1:13" x14ac:dyDescent="0.25">
      <c r="A4933" s="2"/>
      <c r="B4933" s="11"/>
      <c r="C4933" s="26"/>
      <c r="M4933" s="71"/>
    </row>
    <row r="4934" spans="1:13" x14ac:dyDescent="0.25">
      <c r="A4934" s="2"/>
      <c r="B4934" s="11"/>
      <c r="C4934" s="26"/>
      <c r="M4934" s="71"/>
    </row>
    <row r="4935" spans="1:13" x14ac:dyDescent="0.25">
      <c r="A4935" s="2"/>
      <c r="B4935" s="11"/>
      <c r="C4935" s="26"/>
      <c r="M4935" s="71"/>
    </row>
    <row r="4936" spans="1:13" x14ac:dyDescent="0.25">
      <c r="A4936" s="2"/>
      <c r="B4936" s="11"/>
      <c r="C4936" s="26"/>
      <c r="M4936" s="71"/>
    </row>
    <row r="4937" spans="1:13" x14ac:dyDescent="0.25">
      <c r="A4937" s="2"/>
      <c r="B4937" s="11"/>
      <c r="C4937" s="26"/>
      <c r="M4937" s="71"/>
    </row>
    <row r="4938" spans="1:13" x14ac:dyDescent="0.25">
      <c r="A4938" s="2"/>
      <c r="B4938" s="11"/>
      <c r="C4938" s="26"/>
      <c r="M4938" s="71"/>
    </row>
    <row r="4939" spans="1:13" x14ac:dyDescent="0.25">
      <c r="A4939" s="2"/>
      <c r="B4939" s="11"/>
      <c r="C4939" s="26"/>
      <c r="M4939" s="71"/>
    </row>
    <row r="4940" spans="1:13" x14ac:dyDescent="0.25">
      <c r="A4940" s="2"/>
      <c r="B4940" s="11"/>
      <c r="C4940" s="26"/>
      <c r="M4940" s="71"/>
    </row>
    <row r="4941" spans="1:13" x14ac:dyDescent="0.25">
      <c r="A4941" s="2"/>
      <c r="B4941" s="11"/>
      <c r="C4941" s="26"/>
      <c r="M4941" s="71"/>
    </row>
    <row r="4942" spans="1:13" x14ac:dyDescent="0.25">
      <c r="A4942" s="2"/>
      <c r="B4942" s="11"/>
      <c r="C4942" s="26"/>
      <c r="M4942" s="71"/>
    </row>
    <row r="4943" spans="1:13" x14ac:dyDescent="0.25">
      <c r="A4943" s="2"/>
      <c r="B4943" s="11"/>
      <c r="C4943" s="26"/>
      <c r="M4943" s="71"/>
    </row>
    <row r="4944" spans="1:13" x14ac:dyDescent="0.25">
      <c r="A4944" s="2"/>
      <c r="B4944" s="11"/>
      <c r="C4944" s="26"/>
      <c r="M4944" s="71"/>
    </row>
    <row r="4945" spans="1:13" x14ac:dyDescent="0.25">
      <c r="A4945" s="2"/>
      <c r="B4945" s="11"/>
      <c r="C4945" s="26"/>
      <c r="M4945" s="71"/>
    </row>
    <row r="4946" spans="1:13" x14ac:dyDescent="0.25">
      <c r="A4946" s="2"/>
      <c r="B4946" s="11"/>
      <c r="C4946" s="26"/>
      <c r="M4946" s="71"/>
    </row>
    <row r="4947" spans="1:13" x14ac:dyDescent="0.25">
      <c r="A4947" s="2"/>
      <c r="B4947" s="11"/>
      <c r="C4947" s="26"/>
      <c r="M4947" s="71"/>
    </row>
    <row r="4948" spans="1:13" x14ac:dyDescent="0.25">
      <c r="A4948" s="2"/>
      <c r="B4948" s="11"/>
      <c r="C4948" s="26"/>
      <c r="M4948" s="71"/>
    </row>
    <row r="4949" spans="1:13" x14ac:dyDescent="0.25">
      <c r="A4949" s="2"/>
      <c r="B4949" s="11"/>
      <c r="C4949" s="26"/>
      <c r="M4949" s="71"/>
    </row>
    <row r="4950" spans="1:13" x14ac:dyDescent="0.25">
      <c r="A4950" s="2"/>
      <c r="B4950" s="11"/>
      <c r="C4950" s="26"/>
      <c r="M4950" s="71"/>
    </row>
    <row r="4951" spans="1:13" x14ac:dyDescent="0.25">
      <c r="A4951" s="2"/>
      <c r="B4951" s="11"/>
      <c r="C4951" s="26"/>
      <c r="M4951" s="71"/>
    </row>
    <row r="4952" spans="1:13" x14ac:dyDescent="0.25">
      <c r="A4952" s="2"/>
      <c r="B4952" s="11"/>
      <c r="C4952" s="26"/>
      <c r="M4952" s="71"/>
    </row>
    <row r="4953" spans="1:13" x14ac:dyDescent="0.25">
      <c r="A4953" s="2"/>
      <c r="B4953" s="11"/>
      <c r="C4953" s="26"/>
      <c r="M4953" s="71"/>
    </row>
    <row r="4954" spans="1:13" x14ac:dyDescent="0.25">
      <c r="A4954" s="2"/>
      <c r="B4954" s="11"/>
      <c r="C4954" s="26"/>
      <c r="M4954" s="71"/>
    </row>
    <row r="4955" spans="1:13" x14ac:dyDescent="0.25">
      <c r="A4955" s="2"/>
      <c r="B4955" s="11"/>
      <c r="C4955" s="26"/>
      <c r="M4955" s="71"/>
    </row>
    <row r="4956" spans="1:13" x14ac:dyDescent="0.25">
      <c r="A4956" s="2"/>
      <c r="B4956" s="11"/>
      <c r="C4956" s="26"/>
      <c r="M4956" s="71"/>
    </row>
    <row r="4957" spans="1:13" x14ac:dyDescent="0.25">
      <c r="A4957" s="2"/>
      <c r="B4957" s="11"/>
      <c r="C4957" s="26"/>
      <c r="M4957" s="71"/>
    </row>
    <row r="4958" spans="1:13" x14ac:dyDescent="0.25">
      <c r="A4958" s="2"/>
      <c r="B4958" s="11"/>
      <c r="C4958" s="26"/>
      <c r="M4958" s="71"/>
    </row>
    <row r="4959" spans="1:13" x14ac:dyDescent="0.25">
      <c r="A4959" s="2"/>
      <c r="B4959" s="11"/>
      <c r="C4959" s="26"/>
      <c r="M4959" s="71"/>
    </row>
    <row r="4960" spans="1:13" x14ac:dyDescent="0.25">
      <c r="A4960" s="2"/>
      <c r="B4960" s="11"/>
      <c r="C4960" s="26"/>
      <c r="M4960" s="71"/>
    </row>
    <row r="4961" spans="1:13" x14ac:dyDescent="0.25">
      <c r="A4961" s="2"/>
      <c r="B4961" s="11"/>
      <c r="C4961" s="26"/>
      <c r="M4961" s="71"/>
    </row>
    <row r="4962" spans="1:13" x14ac:dyDescent="0.25">
      <c r="A4962" s="2"/>
      <c r="B4962" s="11"/>
      <c r="C4962" s="26"/>
      <c r="M4962" s="71"/>
    </row>
    <row r="4963" spans="1:13" x14ac:dyDescent="0.25">
      <c r="A4963" s="2"/>
      <c r="B4963" s="11"/>
      <c r="C4963" s="26"/>
      <c r="M4963" s="71"/>
    </row>
    <row r="4964" spans="1:13" x14ac:dyDescent="0.25">
      <c r="A4964" s="2"/>
      <c r="B4964" s="11"/>
      <c r="C4964" s="26"/>
      <c r="M4964" s="71"/>
    </row>
    <row r="4965" spans="1:13" x14ac:dyDescent="0.25">
      <c r="A4965" s="2"/>
      <c r="B4965" s="11"/>
      <c r="C4965" s="26"/>
      <c r="M4965" s="71"/>
    </row>
    <row r="4966" spans="1:13" x14ac:dyDescent="0.25">
      <c r="A4966" s="2"/>
      <c r="B4966" s="11"/>
      <c r="C4966" s="26"/>
      <c r="M4966" s="71"/>
    </row>
    <row r="4967" spans="1:13" x14ac:dyDescent="0.25">
      <c r="A4967" s="2"/>
      <c r="B4967" s="11"/>
      <c r="C4967" s="26"/>
      <c r="M4967" s="71"/>
    </row>
    <row r="4968" spans="1:13" x14ac:dyDescent="0.25">
      <c r="A4968" s="2"/>
      <c r="B4968" s="11"/>
      <c r="C4968" s="26"/>
      <c r="M4968" s="71"/>
    </row>
    <row r="4969" spans="1:13" x14ac:dyDescent="0.25">
      <c r="A4969" s="2"/>
      <c r="B4969" s="11"/>
      <c r="C4969" s="26"/>
      <c r="M4969" s="71"/>
    </row>
    <row r="4970" spans="1:13" x14ac:dyDescent="0.25">
      <c r="A4970" s="2"/>
      <c r="B4970" s="11"/>
      <c r="C4970" s="26"/>
      <c r="M4970" s="71"/>
    </row>
    <row r="4971" spans="1:13" x14ac:dyDescent="0.25">
      <c r="A4971" s="2"/>
      <c r="B4971" s="11"/>
      <c r="C4971" s="26"/>
      <c r="M4971" s="71"/>
    </row>
    <row r="4972" spans="1:13" x14ac:dyDescent="0.25">
      <c r="A4972" s="2"/>
      <c r="B4972" s="11"/>
      <c r="C4972" s="26"/>
      <c r="M4972" s="71"/>
    </row>
    <row r="4973" spans="1:13" x14ac:dyDescent="0.25">
      <c r="A4973" s="2"/>
      <c r="B4973" s="11"/>
      <c r="C4973" s="26"/>
      <c r="M4973" s="71"/>
    </row>
    <row r="4974" spans="1:13" x14ac:dyDescent="0.25">
      <c r="A4974" s="2"/>
      <c r="B4974" s="11"/>
      <c r="C4974" s="26"/>
      <c r="M4974" s="71"/>
    </row>
    <row r="4975" spans="1:13" x14ac:dyDescent="0.25">
      <c r="A4975" s="2"/>
      <c r="B4975" s="11"/>
      <c r="C4975" s="26"/>
      <c r="M4975" s="71"/>
    </row>
    <row r="4976" spans="1:13" x14ac:dyDescent="0.25">
      <c r="A4976" s="2"/>
      <c r="B4976" s="11"/>
      <c r="C4976" s="26"/>
      <c r="M4976" s="71"/>
    </row>
    <row r="4977" spans="1:13" x14ac:dyDescent="0.25">
      <c r="A4977" s="2"/>
      <c r="B4977" s="11"/>
      <c r="C4977" s="26"/>
      <c r="M4977" s="71"/>
    </row>
    <row r="4978" spans="1:13" x14ac:dyDescent="0.25">
      <c r="A4978" s="2"/>
      <c r="B4978" s="11"/>
      <c r="C4978" s="26"/>
      <c r="M4978" s="71"/>
    </row>
    <row r="4979" spans="1:13" x14ac:dyDescent="0.25">
      <c r="A4979" s="2"/>
      <c r="B4979" s="11"/>
      <c r="C4979" s="26"/>
      <c r="M4979" s="71"/>
    </row>
    <row r="4980" spans="1:13" x14ac:dyDescent="0.25">
      <c r="A4980" s="2"/>
      <c r="B4980" s="11"/>
      <c r="C4980" s="26"/>
      <c r="M4980" s="71"/>
    </row>
    <row r="4981" spans="1:13" x14ac:dyDescent="0.25">
      <c r="A4981" s="2"/>
      <c r="B4981" s="11"/>
      <c r="C4981" s="26"/>
      <c r="M4981" s="71"/>
    </row>
    <row r="4982" spans="1:13" x14ac:dyDescent="0.25">
      <c r="A4982" s="2"/>
      <c r="B4982" s="11"/>
      <c r="C4982" s="26"/>
      <c r="M4982" s="71"/>
    </row>
    <row r="4983" spans="1:13" x14ac:dyDescent="0.25">
      <c r="A4983" s="2"/>
      <c r="B4983" s="11"/>
      <c r="C4983" s="26"/>
      <c r="M4983" s="71"/>
    </row>
    <row r="4984" spans="1:13" x14ac:dyDescent="0.25">
      <c r="A4984" s="2"/>
      <c r="B4984" s="11"/>
      <c r="C4984" s="26"/>
      <c r="M4984" s="71"/>
    </row>
    <row r="4985" spans="1:13" x14ac:dyDescent="0.25">
      <c r="A4985" s="2"/>
      <c r="B4985" s="11"/>
      <c r="C4985" s="26"/>
      <c r="M4985" s="71"/>
    </row>
    <row r="4986" spans="1:13" x14ac:dyDescent="0.25">
      <c r="A4986" s="2"/>
      <c r="B4986" s="11"/>
      <c r="C4986" s="26"/>
      <c r="M4986" s="71"/>
    </row>
    <row r="4987" spans="1:13" x14ac:dyDescent="0.25">
      <c r="A4987" s="2"/>
      <c r="B4987" s="11"/>
      <c r="C4987" s="26"/>
      <c r="M4987" s="71"/>
    </row>
    <row r="4988" spans="1:13" x14ac:dyDescent="0.25">
      <c r="A4988" s="2"/>
      <c r="B4988" s="11"/>
      <c r="C4988" s="26"/>
      <c r="M4988" s="71"/>
    </row>
    <row r="4989" spans="1:13" x14ac:dyDescent="0.25">
      <c r="A4989" s="2"/>
      <c r="B4989" s="11"/>
      <c r="C4989" s="26"/>
      <c r="M4989" s="71"/>
    </row>
    <row r="4990" spans="1:13" x14ac:dyDescent="0.25">
      <c r="A4990" s="2"/>
      <c r="B4990" s="11"/>
      <c r="C4990" s="26"/>
      <c r="M4990" s="71"/>
    </row>
    <row r="4991" spans="1:13" x14ac:dyDescent="0.25">
      <c r="A4991" s="2"/>
      <c r="B4991" s="11"/>
      <c r="C4991" s="26"/>
      <c r="M4991" s="71"/>
    </row>
    <row r="4992" spans="1:13" x14ac:dyDescent="0.25">
      <c r="A4992" s="2"/>
      <c r="B4992" s="11"/>
      <c r="C4992" s="26"/>
      <c r="M4992" s="71"/>
    </row>
    <row r="4993" spans="1:13" x14ac:dyDescent="0.25">
      <c r="A4993" s="2"/>
      <c r="B4993" s="11"/>
      <c r="C4993" s="26"/>
      <c r="M4993" s="71"/>
    </row>
    <row r="4994" spans="1:13" x14ac:dyDescent="0.25">
      <c r="A4994" s="2"/>
      <c r="B4994" s="11"/>
      <c r="C4994" s="26"/>
      <c r="M4994" s="71"/>
    </row>
    <row r="4995" spans="1:13" x14ac:dyDescent="0.25">
      <c r="A4995" s="2"/>
      <c r="B4995" s="11"/>
      <c r="C4995" s="26"/>
      <c r="M4995" s="71"/>
    </row>
    <row r="4996" spans="1:13" x14ac:dyDescent="0.25">
      <c r="A4996" s="2"/>
      <c r="B4996" s="11"/>
      <c r="C4996" s="26"/>
      <c r="M4996" s="71"/>
    </row>
    <row r="4997" spans="1:13" x14ac:dyDescent="0.25">
      <c r="A4997" s="2"/>
      <c r="B4997" s="11"/>
      <c r="C4997" s="26"/>
      <c r="M4997" s="71"/>
    </row>
    <row r="4998" spans="1:13" x14ac:dyDescent="0.25">
      <c r="A4998" s="2"/>
      <c r="B4998" s="11"/>
      <c r="C4998" s="26"/>
      <c r="M4998" s="71"/>
    </row>
    <row r="4999" spans="1:13" x14ac:dyDescent="0.25">
      <c r="A4999" s="2"/>
      <c r="B4999" s="11"/>
      <c r="C4999" s="26"/>
      <c r="M4999" s="71"/>
    </row>
    <row r="5000" spans="1:13" x14ac:dyDescent="0.25">
      <c r="A5000" s="2"/>
      <c r="B5000" s="11"/>
      <c r="C5000" s="26"/>
      <c r="M5000" s="71"/>
    </row>
    <row r="5001" spans="1:13" x14ac:dyDescent="0.25">
      <c r="A5001" s="2"/>
      <c r="B5001" s="11"/>
      <c r="C5001" s="26"/>
      <c r="M5001" s="71"/>
    </row>
    <row r="5002" spans="1:13" x14ac:dyDescent="0.25">
      <c r="A5002" s="2"/>
      <c r="B5002" s="11"/>
      <c r="C5002" s="26"/>
      <c r="M5002" s="71"/>
    </row>
    <row r="5003" spans="1:13" x14ac:dyDescent="0.25">
      <c r="A5003" s="2"/>
      <c r="B5003" s="11"/>
      <c r="C5003" s="26"/>
      <c r="M5003" s="71"/>
    </row>
    <row r="5004" spans="1:13" x14ac:dyDescent="0.25">
      <c r="A5004" s="2"/>
      <c r="B5004" s="11"/>
      <c r="C5004" s="26"/>
      <c r="M5004" s="71"/>
    </row>
    <row r="5005" spans="1:13" x14ac:dyDescent="0.25">
      <c r="A5005" s="2"/>
      <c r="B5005" s="11"/>
      <c r="C5005" s="26"/>
      <c r="M5005" s="71"/>
    </row>
    <row r="5006" spans="1:13" x14ac:dyDescent="0.25">
      <c r="A5006" s="2"/>
      <c r="B5006" s="11"/>
      <c r="C5006" s="26"/>
      <c r="M5006" s="71"/>
    </row>
    <row r="5007" spans="1:13" x14ac:dyDescent="0.25">
      <c r="A5007" s="2"/>
      <c r="B5007" s="11"/>
      <c r="C5007" s="26"/>
      <c r="M5007" s="71"/>
    </row>
    <row r="5008" spans="1:13" x14ac:dyDescent="0.25">
      <c r="A5008" s="2"/>
      <c r="B5008" s="11"/>
      <c r="C5008" s="26"/>
      <c r="M5008" s="71"/>
    </row>
    <row r="5009" spans="1:13" x14ac:dyDescent="0.25">
      <c r="A5009" s="2"/>
      <c r="B5009" s="11"/>
      <c r="C5009" s="26"/>
      <c r="M5009" s="71"/>
    </row>
    <row r="5010" spans="1:13" x14ac:dyDescent="0.25">
      <c r="A5010" s="2"/>
      <c r="B5010" s="11"/>
      <c r="C5010" s="26"/>
      <c r="M5010" s="71"/>
    </row>
    <row r="5011" spans="1:13" x14ac:dyDescent="0.25">
      <c r="A5011" s="2"/>
      <c r="B5011" s="11"/>
      <c r="C5011" s="26"/>
      <c r="M5011" s="71"/>
    </row>
    <row r="5012" spans="1:13" x14ac:dyDescent="0.25">
      <c r="A5012" s="2"/>
      <c r="B5012" s="11"/>
      <c r="C5012" s="26"/>
      <c r="M5012" s="71"/>
    </row>
    <row r="5013" spans="1:13" x14ac:dyDescent="0.25">
      <c r="A5013" s="2"/>
      <c r="B5013" s="11"/>
      <c r="C5013" s="26"/>
      <c r="M5013" s="71"/>
    </row>
    <row r="5014" spans="1:13" x14ac:dyDescent="0.25">
      <c r="A5014" s="2"/>
      <c r="B5014" s="11"/>
      <c r="C5014" s="26"/>
      <c r="M5014" s="71"/>
    </row>
    <row r="5015" spans="1:13" x14ac:dyDescent="0.25">
      <c r="A5015" s="2"/>
      <c r="B5015" s="11"/>
      <c r="C5015" s="26"/>
      <c r="M5015" s="71"/>
    </row>
    <row r="5016" spans="1:13" x14ac:dyDescent="0.25">
      <c r="A5016" s="2"/>
      <c r="B5016" s="11"/>
      <c r="C5016" s="26"/>
      <c r="M5016" s="71"/>
    </row>
    <row r="5017" spans="1:13" x14ac:dyDescent="0.25">
      <c r="A5017" s="2"/>
      <c r="B5017" s="11"/>
      <c r="C5017" s="26"/>
      <c r="M5017" s="71"/>
    </row>
    <row r="5018" spans="1:13" x14ac:dyDescent="0.25">
      <c r="A5018" s="2"/>
      <c r="B5018" s="11"/>
      <c r="C5018" s="26"/>
      <c r="M5018" s="71"/>
    </row>
    <row r="5019" spans="1:13" x14ac:dyDescent="0.25">
      <c r="A5019" s="2"/>
      <c r="B5019" s="11"/>
      <c r="C5019" s="26"/>
      <c r="M5019" s="71"/>
    </row>
    <row r="5020" spans="1:13" x14ac:dyDescent="0.25">
      <c r="A5020" s="2"/>
      <c r="B5020" s="11"/>
      <c r="C5020" s="26"/>
      <c r="M5020" s="71"/>
    </row>
    <row r="5021" spans="1:13" x14ac:dyDescent="0.25">
      <c r="A5021" s="2"/>
      <c r="B5021" s="11"/>
      <c r="C5021" s="26"/>
      <c r="M5021" s="71"/>
    </row>
    <row r="5022" spans="1:13" x14ac:dyDescent="0.25">
      <c r="A5022" s="2"/>
      <c r="B5022" s="11"/>
      <c r="C5022" s="26"/>
      <c r="M5022" s="71"/>
    </row>
    <row r="5023" spans="1:13" x14ac:dyDescent="0.25">
      <c r="A5023" s="2"/>
      <c r="B5023" s="11"/>
      <c r="C5023" s="26"/>
      <c r="M5023" s="71"/>
    </row>
    <row r="5024" spans="1:13" x14ac:dyDescent="0.25">
      <c r="A5024" s="2"/>
      <c r="B5024" s="11"/>
      <c r="C5024" s="26"/>
      <c r="M5024" s="71"/>
    </row>
    <row r="5025" spans="1:13" x14ac:dyDescent="0.25">
      <c r="A5025" s="2"/>
      <c r="B5025" s="11"/>
      <c r="C5025" s="26"/>
      <c r="M5025" s="71"/>
    </row>
    <row r="5026" spans="1:13" x14ac:dyDescent="0.25">
      <c r="A5026" s="2"/>
      <c r="B5026" s="11"/>
      <c r="C5026" s="26"/>
      <c r="M5026" s="71"/>
    </row>
    <row r="5027" spans="1:13" x14ac:dyDescent="0.25">
      <c r="A5027" s="2"/>
      <c r="B5027" s="11"/>
      <c r="C5027" s="26"/>
      <c r="M5027" s="71"/>
    </row>
    <row r="5028" spans="1:13" x14ac:dyDescent="0.25">
      <c r="A5028" s="2"/>
      <c r="B5028" s="11"/>
      <c r="C5028" s="26"/>
      <c r="M5028" s="71"/>
    </row>
    <row r="5029" spans="1:13" x14ac:dyDescent="0.25">
      <c r="A5029" s="2"/>
      <c r="B5029" s="11"/>
      <c r="C5029" s="26"/>
      <c r="M5029" s="71"/>
    </row>
    <row r="5030" spans="1:13" x14ac:dyDescent="0.25">
      <c r="A5030" s="2"/>
      <c r="B5030" s="11"/>
      <c r="C5030" s="26"/>
      <c r="M5030" s="71"/>
    </row>
    <row r="5031" spans="1:13" x14ac:dyDescent="0.25">
      <c r="A5031" s="2"/>
      <c r="B5031" s="11"/>
      <c r="C5031" s="26"/>
      <c r="M5031" s="71"/>
    </row>
    <row r="5032" spans="1:13" x14ac:dyDescent="0.25">
      <c r="A5032" s="2"/>
      <c r="B5032" s="11"/>
      <c r="C5032" s="26"/>
      <c r="M5032" s="71"/>
    </row>
    <row r="5033" spans="1:13" x14ac:dyDescent="0.25">
      <c r="A5033" s="2"/>
      <c r="B5033" s="11"/>
      <c r="C5033" s="26"/>
      <c r="M5033" s="71"/>
    </row>
    <row r="5034" spans="1:13" x14ac:dyDescent="0.25">
      <c r="A5034" s="2"/>
      <c r="B5034" s="11"/>
      <c r="C5034" s="26"/>
      <c r="M5034" s="71"/>
    </row>
    <row r="5035" spans="1:13" x14ac:dyDescent="0.25">
      <c r="A5035" s="2"/>
      <c r="B5035" s="11"/>
      <c r="C5035" s="26"/>
      <c r="M5035" s="71"/>
    </row>
    <row r="5036" spans="1:13" x14ac:dyDescent="0.25">
      <c r="A5036" s="2"/>
      <c r="B5036" s="11"/>
      <c r="C5036" s="26"/>
      <c r="M5036" s="71"/>
    </row>
    <row r="5037" spans="1:13" x14ac:dyDescent="0.25">
      <c r="A5037" s="2"/>
      <c r="B5037" s="11"/>
      <c r="C5037" s="26"/>
      <c r="M5037" s="71"/>
    </row>
    <row r="5038" spans="1:13" x14ac:dyDescent="0.25">
      <c r="A5038" s="2"/>
      <c r="B5038" s="11"/>
      <c r="C5038" s="26"/>
      <c r="M5038" s="71"/>
    </row>
    <row r="5039" spans="1:13" x14ac:dyDescent="0.25">
      <c r="A5039" s="2"/>
      <c r="B5039" s="11"/>
      <c r="C5039" s="26"/>
      <c r="M5039" s="71"/>
    </row>
    <row r="5040" spans="1:13" x14ac:dyDescent="0.25">
      <c r="A5040" s="2"/>
      <c r="B5040" s="11"/>
      <c r="C5040" s="26"/>
      <c r="M5040" s="71"/>
    </row>
    <row r="5041" spans="1:13" x14ac:dyDescent="0.25">
      <c r="A5041" s="2"/>
      <c r="B5041" s="11"/>
      <c r="C5041" s="26"/>
      <c r="M5041" s="71"/>
    </row>
    <row r="5042" spans="1:13" x14ac:dyDescent="0.25">
      <c r="A5042" s="2"/>
      <c r="B5042" s="11"/>
      <c r="C5042" s="26"/>
      <c r="M5042" s="71"/>
    </row>
    <row r="5043" spans="1:13" x14ac:dyDescent="0.25">
      <c r="A5043" s="2"/>
      <c r="B5043" s="11"/>
      <c r="C5043" s="26"/>
      <c r="M5043" s="71"/>
    </row>
    <row r="5044" spans="1:13" x14ac:dyDescent="0.25">
      <c r="A5044" s="2"/>
      <c r="B5044" s="11"/>
      <c r="C5044" s="26"/>
      <c r="M5044" s="71"/>
    </row>
    <row r="5045" spans="1:13" x14ac:dyDescent="0.25">
      <c r="A5045" s="2"/>
      <c r="B5045" s="11"/>
      <c r="C5045" s="26"/>
      <c r="M5045" s="71"/>
    </row>
    <row r="5046" spans="1:13" x14ac:dyDescent="0.25">
      <c r="A5046" s="2"/>
      <c r="B5046" s="11"/>
      <c r="C5046" s="26"/>
      <c r="M5046" s="71"/>
    </row>
    <row r="5047" spans="1:13" x14ac:dyDescent="0.25">
      <c r="A5047" s="2"/>
      <c r="B5047" s="11"/>
      <c r="C5047" s="26"/>
      <c r="M5047" s="71"/>
    </row>
    <row r="5048" spans="1:13" x14ac:dyDescent="0.25">
      <c r="A5048" s="2"/>
      <c r="B5048" s="11"/>
      <c r="C5048" s="26"/>
      <c r="M5048" s="71"/>
    </row>
    <row r="5049" spans="1:13" x14ac:dyDescent="0.25">
      <c r="A5049" s="2"/>
      <c r="B5049" s="11"/>
      <c r="C5049" s="26"/>
      <c r="M5049" s="71"/>
    </row>
    <row r="5050" spans="1:13" x14ac:dyDescent="0.25">
      <c r="A5050" s="2"/>
      <c r="B5050" s="11"/>
      <c r="C5050" s="26"/>
      <c r="M5050" s="71"/>
    </row>
    <row r="5051" spans="1:13" x14ac:dyDescent="0.25">
      <c r="A5051" s="2"/>
      <c r="B5051" s="11"/>
      <c r="C5051" s="26"/>
      <c r="M5051" s="71"/>
    </row>
    <row r="5052" spans="1:13" x14ac:dyDescent="0.25">
      <c r="A5052" s="2"/>
      <c r="B5052" s="11"/>
      <c r="C5052" s="26"/>
      <c r="M5052" s="71"/>
    </row>
    <row r="5053" spans="1:13" x14ac:dyDescent="0.25">
      <c r="A5053" s="2"/>
      <c r="B5053" s="11"/>
      <c r="C5053" s="26"/>
      <c r="M5053" s="71"/>
    </row>
    <row r="5054" spans="1:13" x14ac:dyDescent="0.25">
      <c r="A5054" s="2"/>
      <c r="B5054" s="11"/>
      <c r="C5054" s="26"/>
      <c r="M5054" s="71"/>
    </row>
    <row r="5055" spans="1:13" x14ac:dyDescent="0.25">
      <c r="A5055" s="2"/>
      <c r="B5055" s="11"/>
      <c r="C5055" s="26"/>
      <c r="M5055" s="71"/>
    </row>
    <row r="5056" spans="1:13" x14ac:dyDescent="0.25">
      <c r="A5056" s="2"/>
      <c r="B5056" s="11"/>
      <c r="C5056" s="26"/>
      <c r="M5056" s="71"/>
    </row>
    <row r="5057" spans="1:13" x14ac:dyDescent="0.25">
      <c r="A5057" s="2"/>
      <c r="B5057" s="11"/>
      <c r="C5057" s="26"/>
      <c r="M5057" s="71"/>
    </row>
    <row r="5058" spans="1:13" x14ac:dyDescent="0.25">
      <c r="A5058" s="2"/>
      <c r="B5058" s="11"/>
      <c r="C5058" s="26"/>
      <c r="M5058" s="71"/>
    </row>
    <row r="5059" spans="1:13" x14ac:dyDescent="0.25">
      <c r="A5059" s="2"/>
      <c r="B5059" s="11"/>
      <c r="C5059" s="26"/>
      <c r="M5059" s="71"/>
    </row>
    <row r="5060" spans="1:13" x14ac:dyDescent="0.25">
      <c r="A5060" s="2"/>
      <c r="B5060" s="11"/>
      <c r="C5060" s="26"/>
      <c r="M5060" s="71"/>
    </row>
    <row r="5061" spans="1:13" x14ac:dyDescent="0.25">
      <c r="A5061" s="2"/>
      <c r="B5061" s="11"/>
      <c r="C5061" s="26"/>
      <c r="M5061" s="71"/>
    </row>
    <row r="5062" spans="1:13" x14ac:dyDescent="0.25">
      <c r="A5062" s="2"/>
      <c r="B5062" s="11"/>
      <c r="C5062" s="26"/>
      <c r="M5062" s="71"/>
    </row>
    <row r="5063" spans="1:13" x14ac:dyDescent="0.25">
      <c r="A5063" s="2"/>
      <c r="B5063" s="11"/>
      <c r="C5063" s="26"/>
      <c r="M5063" s="71"/>
    </row>
    <row r="5064" spans="1:13" x14ac:dyDescent="0.25">
      <c r="A5064" s="2"/>
      <c r="B5064" s="11"/>
      <c r="C5064" s="26"/>
      <c r="M5064" s="71"/>
    </row>
    <row r="5065" spans="1:13" x14ac:dyDescent="0.25">
      <c r="A5065" s="2"/>
      <c r="B5065" s="11"/>
      <c r="C5065" s="26"/>
      <c r="M5065" s="71"/>
    </row>
    <row r="5066" spans="1:13" x14ac:dyDescent="0.25">
      <c r="A5066" s="2"/>
      <c r="B5066" s="11"/>
      <c r="C5066" s="26"/>
      <c r="M5066" s="71"/>
    </row>
    <row r="5067" spans="1:13" x14ac:dyDescent="0.25">
      <c r="A5067" s="2"/>
      <c r="B5067" s="11"/>
      <c r="C5067" s="26"/>
      <c r="M5067" s="71"/>
    </row>
    <row r="5068" spans="1:13" x14ac:dyDescent="0.25">
      <c r="A5068" s="2"/>
      <c r="B5068" s="11"/>
      <c r="C5068" s="26"/>
      <c r="M5068" s="71"/>
    </row>
    <row r="5069" spans="1:13" x14ac:dyDescent="0.25">
      <c r="A5069" s="2"/>
      <c r="B5069" s="11"/>
      <c r="C5069" s="26"/>
      <c r="M5069" s="71"/>
    </row>
    <row r="5070" spans="1:13" x14ac:dyDescent="0.25">
      <c r="A5070" s="2"/>
      <c r="B5070" s="11"/>
      <c r="C5070" s="26"/>
      <c r="M5070" s="71"/>
    </row>
    <row r="5071" spans="1:13" x14ac:dyDescent="0.25">
      <c r="A5071" s="2"/>
      <c r="B5071" s="11"/>
      <c r="C5071" s="26"/>
      <c r="M5071" s="71"/>
    </row>
    <row r="5072" spans="1:13" x14ac:dyDescent="0.25">
      <c r="A5072" s="2"/>
      <c r="B5072" s="11"/>
      <c r="C5072" s="26"/>
      <c r="M5072" s="71"/>
    </row>
    <row r="5073" spans="1:13" x14ac:dyDescent="0.25">
      <c r="A5073" s="2"/>
      <c r="B5073" s="11"/>
      <c r="C5073" s="26"/>
      <c r="M5073" s="71"/>
    </row>
    <row r="5074" spans="1:13" x14ac:dyDescent="0.25">
      <c r="A5074" s="2"/>
      <c r="B5074" s="11"/>
      <c r="C5074" s="26"/>
      <c r="M5074" s="71"/>
    </row>
    <row r="5075" spans="1:13" x14ac:dyDescent="0.25">
      <c r="A5075" s="2"/>
      <c r="B5075" s="11"/>
      <c r="C5075" s="26"/>
      <c r="M5075" s="71"/>
    </row>
    <row r="5076" spans="1:13" x14ac:dyDescent="0.25">
      <c r="A5076" s="2"/>
      <c r="B5076" s="11"/>
      <c r="C5076" s="26"/>
      <c r="M5076" s="71"/>
    </row>
    <row r="5077" spans="1:13" x14ac:dyDescent="0.25">
      <c r="A5077" s="2"/>
      <c r="B5077" s="11"/>
      <c r="C5077" s="26"/>
      <c r="M5077" s="71"/>
    </row>
    <row r="5078" spans="1:13" x14ac:dyDescent="0.25">
      <c r="A5078" s="2"/>
      <c r="B5078" s="11"/>
      <c r="C5078" s="26"/>
      <c r="M5078" s="71"/>
    </row>
    <row r="5079" spans="1:13" x14ac:dyDescent="0.25">
      <c r="A5079" s="2"/>
      <c r="B5079" s="11"/>
      <c r="C5079" s="26"/>
      <c r="M5079" s="71"/>
    </row>
    <row r="5080" spans="1:13" x14ac:dyDescent="0.25">
      <c r="A5080" s="2"/>
      <c r="B5080" s="11"/>
      <c r="C5080" s="26"/>
      <c r="M5080" s="71"/>
    </row>
    <row r="5081" spans="1:13" x14ac:dyDescent="0.25">
      <c r="A5081" s="2"/>
      <c r="B5081" s="11"/>
      <c r="C5081" s="26"/>
      <c r="M5081" s="71"/>
    </row>
    <row r="5082" spans="1:13" x14ac:dyDescent="0.25">
      <c r="A5082" s="2"/>
      <c r="B5082" s="11"/>
      <c r="C5082" s="26"/>
      <c r="M5082" s="71"/>
    </row>
    <row r="5083" spans="1:13" x14ac:dyDescent="0.25">
      <c r="A5083" s="2"/>
      <c r="B5083" s="11"/>
      <c r="C5083" s="26"/>
      <c r="M5083" s="71"/>
    </row>
    <row r="5084" spans="1:13" x14ac:dyDescent="0.25">
      <c r="A5084" s="2"/>
      <c r="B5084" s="11"/>
      <c r="C5084" s="26"/>
      <c r="M5084" s="71"/>
    </row>
    <row r="5085" spans="1:13" x14ac:dyDescent="0.25">
      <c r="A5085" s="2"/>
      <c r="B5085" s="11"/>
      <c r="C5085" s="26"/>
      <c r="M5085" s="71"/>
    </row>
    <row r="5086" spans="1:13" x14ac:dyDescent="0.25">
      <c r="A5086" s="2"/>
      <c r="B5086" s="11"/>
      <c r="C5086" s="26"/>
      <c r="M5086" s="71"/>
    </row>
    <row r="5087" spans="1:13" x14ac:dyDescent="0.25">
      <c r="A5087" s="2"/>
      <c r="B5087" s="11"/>
      <c r="C5087" s="26"/>
      <c r="M5087" s="71"/>
    </row>
    <row r="5088" spans="1:13" x14ac:dyDescent="0.25">
      <c r="A5088" s="2"/>
      <c r="B5088" s="11"/>
      <c r="C5088" s="26"/>
      <c r="M5088" s="71"/>
    </row>
    <row r="5089" spans="1:13" x14ac:dyDescent="0.25">
      <c r="A5089" s="2"/>
      <c r="B5089" s="11"/>
      <c r="C5089" s="26"/>
      <c r="M5089" s="71"/>
    </row>
    <row r="5090" spans="1:13" x14ac:dyDescent="0.25">
      <c r="A5090" s="2"/>
      <c r="B5090" s="11"/>
      <c r="C5090" s="26"/>
      <c r="M5090" s="71"/>
    </row>
    <row r="5091" spans="1:13" x14ac:dyDescent="0.25">
      <c r="A5091" s="2"/>
      <c r="B5091" s="11"/>
      <c r="C5091" s="26"/>
      <c r="M5091" s="71"/>
    </row>
    <row r="5092" spans="1:13" x14ac:dyDescent="0.25">
      <c r="A5092" s="2"/>
      <c r="B5092" s="11"/>
      <c r="C5092" s="26"/>
      <c r="M5092" s="71"/>
    </row>
    <row r="5093" spans="1:13" x14ac:dyDescent="0.25">
      <c r="A5093" s="2"/>
      <c r="B5093" s="11"/>
      <c r="C5093" s="26"/>
      <c r="M5093" s="71"/>
    </row>
    <row r="5094" spans="1:13" x14ac:dyDescent="0.25">
      <c r="A5094" s="2"/>
      <c r="B5094" s="11"/>
      <c r="C5094" s="26"/>
      <c r="M5094" s="71"/>
    </row>
    <row r="5095" spans="1:13" x14ac:dyDescent="0.25">
      <c r="A5095" s="2"/>
      <c r="B5095" s="11"/>
      <c r="C5095" s="26"/>
      <c r="M5095" s="71"/>
    </row>
    <row r="5096" spans="1:13" x14ac:dyDescent="0.25">
      <c r="A5096" s="2"/>
      <c r="B5096" s="11"/>
      <c r="C5096" s="26"/>
      <c r="M5096" s="71"/>
    </row>
    <row r="5097" spans="1:13" x14ac:dyDescent="0.25">
      <c r="A5097" s="2"/>
      <c r="B5097" s="11"/>
      <c r="C5097" s="26"/>
      <c r="M5097" s="71"/>
    </row>
    <row r="5098" spans="1:13" x14ac:dyDescent="0.25">
      <c r="A5098" s="2"/>
      <c r="B5098" s="11"/>
      <c r="C5098" s="26"/>
      <c r="M5098" s="71"/>
    </row>
    <row r="5099" spans="1:13" x14ac:dyDescent="0.25">
      <c r="A5099" s="2"/>
      <c r="B5099" s="11"/>
      <c r="C5099" s="26"/>
      <c r="M5099" s="71"/>
    </row>
    <row r="5100" spans="1:13" x14ac:dyDescent="0.25">
      <c r="A5100" s="2"/>
      <c r="B5100" s="11"/>
      <c r="C5100" s="26"/>
      <c r="M5100" s="71"/>
    </row>
    <row r="5101" spans="1:13" x14ac:dyDescent="0.25">
      <c r="A5101" s="2"/>
      <c r="B5101" s="11"/>
      <c r="C5101" s="26"/>
      <c r="M5101" s="71"/>
    </row>
    <row r="5102" spans="1:13" x14ac:dyDescent="0.25">
      <c r="A5102" s="2"/>
      <c r="B5102" s="11"/>
      <c r="C5102" s="26"/>
      <c r="M5102" s="71"/>
    </row>
    <row r="5103" spans="1:13" x14ac:dyDescent="0.25">
      <c r="A5103" s="2"/>
      <c r="B5103" s="11"/>
      <c r="C5103" s="26"/>
      <c r="M5103" s="71"/>
    </row>
    <row r="5104" spans="1:13" x14ac:dyDescent="0.25">
      <c r="A5104" s="2"/>
      <c r="B5104" s="11"/>
      <c r="C5104" s="26"/>
      <c r="M5104" s="71"/>
    </row>
    <row r="5105" spans="1:13" x14ac:dyDescent="0.25">
      <c r="A5105" s="2"/>
      <c r="B5105" s="11"/>
      <c r="C5105" s="26"/>
      <c r="M5105" s="71"/>
    </row>
    <row r="5106" spans="1:13" x14ac:dyDescent="0.25">
      <c r="A5106" s="2"/>
      <c r="B5106" s="11"/>
      <c r="C5106" s="26"/>
      <c r="M5106" s="71"/>
    </row>
    <row r="5107" spans="1:13" x14ac:dyDescent="0.25">
      <c r="A5107" s="2"/>
      <c r="B5107" s="11"/>
      <c r="C5107" s="26"/>
      <c r="M5107" s="71"/>
    </row>
    <row r="5108" spans="1:13" x14ac:dyDescent="0.25">
      <c r="A5108" s="2"/>
      <c r="B5108" s="11"/>
      <c r="C5108" s="26"/>
      <c r="M5108" s="71"/>
    </row>
    <row r="5109" spans="1:13" x14ac:dyDescent="0.25">
      <c r="A5109" s="2"/>
      <c r="B5109" s="11"/>
      <c r="C5109" s="26"/>
      <c r="M5109" s="71"/>
    </row>
    <row r="5110" spans="1:13" x14ac:dyDescent="0.25">
      <c r="A5110" s="2"/>
      <c r="B5110" s="11"/>
      <c r="C5110" s="26"/>
      <c r="M5110" s="71"/>
    </row>
    <row r="5111" spans="1:13" x14ac:dyDescent="0.25">
      <c r="A5111" s="2"/>
      <c r="B5111" s="11"/>
      <c r="C5111" s="26"/>
      <c r="M5111" s="71"/>
    </row>
    <row r="5112" spans="1:13" x14ac:dyDescent="0.25">
      <c r="A5112" s="2"/>
      <c r="B5112" s="11"/>
      <c r="C5112" s="26"/>
      <c r="M5112" s="71"/>
    </row>
    <row r="5113" spans="1:13" x14ac:dyDescent="0.25">
      <c r="A5113" s="2"/>
      <c r="B5113" s="11"/>
      <c r="C5113" s="26"/>
      <c r="M5113" s="71"/>
    </row>
    <row r="5114" spans="1:13" x14ac:dyDescent="0.25">
      <c r="A5114" s="2"/>
      <c r="B5114" s="11"/>
      <c r="C5114" s="26"/>
      <c r="M5114" s="71"/>
    </row>
    <row r="5115" spans="1:13" x14ac:dyDescent="0.25">
      <c r="A5115" s="2"/>
      <c r="B5115" s="11"/>
      <c r="C5115" s="26"/>
      <c r="M5115" s="71"/>
    </row>
    <row r="5116" spans="1:13" x14ac:dyDescent="0.25">
      <c r="A5116" s="2"/>
      <c r="B5116" s="11"/>
      <c r="C5116" s="26"/>
      <c r="M5116" s="71"/>
    </row>
    <row r="5117" spans="1:13" x14ac:dyDescent="0.25">
      <c r="A5117" s="2"/>
      <c r="B5117" s="11"/>
      <c r="C5117" s="26"/>
      <c r="M5117" s="71"/>
    </row>
    <row r="5118" spans="1:13" x14ac:dyDescent="0.25">
      <c r="A5118" s="2"/>
      <c r="B5118" s="11"/>
      <c r="C5118" s="26"/>
      <c r="M5118" s="71"/>
    </row>
    <row r="5119" spans="1:13" x14ac:dyDescent="0.25">
      <c r="A5119" s="2"/>
      <c r="B5119" s="11"/>
      <c r="C5119" s="26"/>
      <c r="M5119" s="71"/>
    </row>
    <row r="5120" spans="1:13" x14ac:dyDescent="0.25">
      <c r="A5120" s="2"/>
      <c r="B5120" s="11"/>
      <c r="C5120" s="26"/>
      <c r="M5120" s="71"/>
    </row>
    <row r="5121" spans="1:13" x14ac:dyDescent="0.25">
      <c r="A5121" s="2"/>
      <c r="B5121" s="11"/>
      <c r="C5121" s="26"/>
      <c r="M5121" s="71"/>
    </row>
    <row r="5122" spans="1:13" x14ac:dyDescent="0.25">
      <c r="A5122" s="2"/>
      <c r="B5122" s="11"/>
      <c r="C5122" s="26"/>
      <c r="M5122" s="71"/>
    </row>
    <row r="5123" spans="1:13" x14ac:dyDescent="0.25">
      <c r="A5123" s="2"/>
      <c r="B5123" s="11"/>
      <c r="C5123" s="26"/>
      <c r="M5123" s="71"/>
    </row>
    <row r="5124" spans="1:13" x14ac:dyDescent="0.25">
      <c r="A5124" s="2"/>
      <c r="B5124" s="11"/>
      <c r="C5124" s="26"/>
      <c r="M5124" s="71"/>
    </row>
    <row r="5125" spans="1:13" x14ac:dyDescent="0.25">
      <c r="A5125" s="2"/>
      <c r="B5125" s="11"/>
      <c r="C5125" s="26"/>
      <c r="M5125" s="71"/>
    </row>
    <row r="5126" spans="1:13" x14ac:dyDescent="0.25">
      <c r="A5126" s="2"/>
      <c r="B5126" s="11"/>
      <c r="C5126" s="26"/>
      <c r="M5126" s="71"/>
    </row>
    <row r="5127" spans="1:13" x14ac:dyDescent="0.25">
      <c r="A5127" s="2"/>
      <c r="B5127" s="11"/>
      <c r="C5127" s="26"/>
      <c r="M5127" s="71"/>
    </row>
    <row r="5128" spans="1:13" x14ac:dyDescent="0.25">
      <c r="A5128" s="2"/>
      <c r="B5128" s="11"/>
      <c r="C5128" s="26"/>
      <c r="M5128" s="71"/>
    </row>
    <row r="5129" spans="1:13" x14ac:dyDescent="0.25">
      <c r="A5129" s="2"/>
      <c r="B5129" s="11"/>
      <c r="C5129" s="26"/>
      <c r="M5129" s="71"/>
    </row>
    <row r="5130" spans="1:13" x14ac:dyDescent="0.25">
      <c r="A5130" s="2"/>
      <c r="B5130" s="11"/>
      <c r="C5130" s="26"/>
      <c r="M5130" s="71"/>
    </row>
    <row r="5131" spans="1:13" x14ac:dyDescent="0.25">
      <c r="A5131" s="2"/>
      <c r="B5131" s="11"/>
      <c r="C5131" s="26"/>
      <c r="M5131" s="71"/>
    </row>
    <row r="5132" spans="1:13" x14ac:dyDescent="0.25">
      <c r="A5132" s="2"/>
      <c r="B5132" s="11"/>
      <c r="C5132" s="26"/>
      <c r="M5132" s="71"/>
    </row>
    <row r="5133" spans="1:13" x14ac:dyDescent="0.25">
      <c r="A5133" s="2"/>
      <c r="B5133" s="11"/>
      <c r="C5133" s="26"/>
      <c r="M5133" s="71"/>
    </row>
    <row r="5134" spans="1:13" x14ac:dyDescent="0.25">
      <c r="A5134" s="2"/>
      <c r="B5134" s="11"/>
      <c r="C5134" s="26"/>
      <c r="M5134" s="71"/>
    </row>
    <row r="5135" spans="1:13" x14ac:dyDescent="0.25">
      <c r="A5135" s="2"/>
      <c r="B5135" s="11"/>
      <c r="C5135" s="26"/>
      <c r="M5135" s="71"/>
    </row>
    <row r="5136" spans="1:13" x14ac:dyDescent="0.25">
      <c r="A5136" s="2"/>
      <c r="B5136" s="11"/>
      <c r="C5136" s="26"/>
      <c r="M5136" s="71"/>
    </row>
    <row r="5137" spans="1:13" x14ac:dyDescent="0.25">
      <c r="A5137" s="2"/>
      <c r="B5137" s="11"/>
      <c r="C5137" s="26"/>
      <c r="M5137" s="71"/>
    </row>
    <row r="5138" spans="1:13" x14ac:dyDescent="0.25">
      <c r="A5138" s="2"/>
      <c r="B5138" s="11"/>
      <c r="C5138" s="26"/>
      <c r="M5138" s="71"/>
    </row>
    <row r="5139" spans="1:13" x14ac:dyDescent="0.25">
      <c r="A5139" s="2"/>
      <c r="B5139" s="11"/>
      <c r="C5139" s="26"/>
      <c r="M5139" s="71"/>
    </row>
    <row r="5140" spans="1:13" x14ac:dyDescent="0.25">
      <c r="A5140" s="2"/>
      <c r="B5140" s="11"/>
      <c r="C5140" s="26"/>
      <c r="M5140" s="71"/>
    </row>
    <row r="5141" spans="1:13" x14ac:dyDescent="0.25">
      <c r="A5141" s="2"/>
      <c r="B5141" s="11"/>
      <c r="C5141" s="26"/>
      <c r="M5141" s="71"/>
    </row>
    <row r="5142" spans="1:13" x14ac:dyDescent="0.25">
      <c r="A5142" s="2"/>
      <c r="B5142" s="11"/>
      <c r="C5142" s="26"/>
      <c r="M5142" s="71"/>
    </row>
    <row r="5143" spans="1:13" x14ac:dyDescent="0.25">
      <c r="A5143" s="2"/>
      <c r="B5143" s="11"/>
      <c r="C5143" s="26"/>
      <c r="M5143" s="71"/>
    </row>
    <row r="5144" spans="1:13" x14ac:dyDescent="0.25">
      <c r="A5144" s="2"/>
      <c r="B5144" s="11"/>
      <c r="C5144" s="26"/>
      <c r="M5144" s="71"/>
    </row>
    <row r="5145" spans="1:13" x14ac:dyDescent="0.25">
      <c r="A5145" s="2"/>
      <c r="B5145" s="11"/>
      <c r="C5145" s="26"/>
      <c r="M5145" s="71"/>
    </row>
    <row r="5146" spans="1:13" x14ac:dyDescent="0.25">
      <c r="A5146" s="2"/>
      <c r="B5146" s="11"/>
      <c r="C5146" s="26"/>
      <c r="M5146" s="71"/>
    </row>
    <row r="5147" spans="1:13" x14ac:dyDescent="0.25">
      <c r="A5147" s="2"/>
      <c r="B5147" s="11"/>
      <c r="C5147" s="26"/>
      <c r="M5147" s="71"/>
    </row>
    <row r="5148" spans="1:13" x14ac:dyDescent="0.25">
      <c r="A5148" s="2"/>
      <c r="B5148" s="11"/>
      <c r="C5148" s="26"/>
      <c r="M5148" s="71"/>
    </row>
    <row r="5149" spans="1:13" x14ac:dyDescent="0.25">
      <c r="A5149" s="2"/>
      <c r="B5149" s="11"/>
      <c r="C5149" s="26"/>
      <c r="M5149" s="71"/>
    </row>
    <row r="5150" spans="1:13" x14ac:dyDescent="0.25">
      <c r="A5150" s="2"/>
      <c r="B5150" s="11"/>
      <c r="C5150" s="26"/>
      <c r="M5150" s="71"/>
    </row>
    <row r="5151" spans="1:13" x14ac:dyDescent="0.25">
      <c r="A5151" s="2"/>
      <c r="B5151" s="11"/>
      <c r="C5151" s="26"/>
      <c r="M5151" s="71"/>
    </row>
    <row r="5152" spans="1:13" x14ac:dyDescent="0.25">
      <c r="A5152" s="2"/>
      <c r="B5152" s="11"/>
      <c r="C5152" s="26"/>
      <c r="M5152" s="71"/>
    </row>
    <row r="5153" spans="1:13" x14ac:dyDescent="0.25">
      <c r="A5153" s="2"/>
      <c r="B5153" s="11"/>
      <c r="C5153" s="26"/>
      <c r="M5153" s="71"/>
    </row>
    <row r="5154" spans="1:13" x14ac:dyDescent="0.25">
      <c r="A5154" s="2"/>
      <c r="B5154" s="11"/>
      <c r="C5154" s="26"/>
      <c r="M5154" s="71"/>
    </row>
    <row r="5155" spans="1:13" x14ac:dyDescent="0.25">
      <c r="A5155" s="2"/>
      <c r="B5155" s="11"/>
      <c r="C5155" s="26"/>
      <c r="M5155" s="71"/>
    </row>
    <row r="5156" spans="1:13" x14ac:dyDescent="0.25">
      <c r="A5156" s="2"/>
      <c r="B5156" s="11"/>
      <c r="C5156" s="26"/>
      <c r="M5156" s="71"/>
    </row>
    <row r="5157" spans="1:13" x14ac:dyDescent="0.25">
      <c r="A5157" s="2"/>
      <c r="B5157" s="11"/>
      <c r="C5157" s="26"/>
      <c r="M5157" s="71"/>
    </row>
    <row r="5158" spans="1:13" x14ac:dyDescent="0.25">
      <c r="A5158" s="2"/>
      <c r="B5158" s="11"/>
      <c r="C5158" s="26"/>
      <c r="M5158" s="71"/>
    </row>
    <row r="5159" spans="1:13" x14ac:dyDescent="0.25">
      <c r="A5159" s="2"/>
      <c r="B5159" s="11"/>
      <c r="C5159" s="26"/>
      <c r="M5159" s="71"/>
    </row>
    <row r="5160" spans="1:13" x14ac:dyDescent="0.25">
      <c r="A5160" s="2"/>
      <c r="B5160" s="11"/>
      <c r="C5160" s="26"/>
      <c r="M5160" s="71"/>
    </row>
    <row r="5161" spans="1:13" x14ac:dyDescent="0.25">
      <c r="A5161" s="2"/>
      <c r="B5161" s="11"/>
      <c r="C5161" s="26"/>
      <c r="M5161" s="71"/>
    </row>
    <row r="5162" spans="1:13" x14ac:dyDescent="0.25">
      <c r="A5162" s="2"/>
      <c r="B5162" s="11"/>
      <c r="C5162" s="26"/>
      <c r="M5162" s="71"/>
    </row>
    <row r="5163" spans="1:13" x14ac:dyDescent="0.25">
      <c r="A5163" s="2"/>
      <c r="B5163" s="11"/>
      <c r="C5163" s="26"/>
      <c r="M5163" s="71"/>
    </row>
    <row r="5164" spans="1:13" x14ac:dyDescent="0.25">
      <c r="A5164" s="2"/>
      <c r="B5164" s="11"/>
      <c r="C5164" s="26"/>
      <c r="M5164" s="71"/>
    </row>
    <row r="5165" spans="1:13" x14ac:dyDescent="0.25">
      <c r="A5165" s="2"/>
      <c r="B5165" s="11"/>
      <c r="C5165" s="26"/>
      <c r="M5165" s="71"/>
    </row>
    <row r="5166" spans="1:13" x14ac:dyDescent="0.25">
      <c r="A5166" s="2"/>
      <c r="B5166" s="11"/>
      <c r="C5166" s="26"/>
      <c r="M5166" s="71"/>
    </row>
    <row r="5167" spans="1:13" x14ac:dyDescent="0.25">
      <c r="A5167" s="2"/>
      <c r="B5167" s="11"/>
      <c r="C5167" s="26"/>
      <c r="M5167" s="71"/>
    </row>
    <row r="5168" spans="1:13" x14ac:dyDescent="0.25">
      <c r="A5168" s="2"/>
      <c r="B5168" s="11"/>
      <c r="C5168" s="26"/>
      <c r="M5168" s="71"/>
    </row>
    <row r="5169" spans="1:13" x14ac:dyDescent="0.25">
      <c r="A5169" s="2"/>
      <c r="B5169" s="11"/>
      <c r="C5169" s="26"/>
      <c r="M5169" s="71"/>
    </row>
    <row r="5170" spans="1:13" x14ac:dyDescent="0.25">
      <c r="A5170" s="2"/>
      <c r="B5170" s="11"/>
      <c r="C5170" s="26"/>
      <c r="M5170" s="71"/>
    </row>
    <row r="5171" spans="1:13" x14ac:dyDescent="0.25">
      <c r="A5171" s="2"/>
      <c r="B5171" s="11"/>
      <c r="C5171" s="26"/>
      <c r="M5171" s="71"/>
    </row>
    <row r="5172" spans="1:13" x14ac:dyDescent="0.25">
      <c r="A5172" s="2"/>
      <c r="B5172" s="11"/>
      <c r="C5172" s="26"/>
      <c r="M5172" s="71"/>
    </row>
    <row r="5173" spans="1:13" x14ac:dyDescent="0.25">
      <c r="A5173" s="2"/>
      <c r="B5173" s="11"/>
      <c r="C5173" s="26"/>
      <c r="M5173" s="71"/>
    </row>
    <row r="5174" spans="1:13" x14ac:dyDescent="0.25">
      <c r="A5174" s="2"/>
      <c r="B5174" s="11"/>
      <c r="C5174" s="26"/>
      <c r="M5174" s="71"/>
    </row>
    <row r="5175" spans="1:13" x14ac:dyDescent="0.25">
      <c r="A5175" s="2"/>
      <c r="B5175" s="11"/>
      <c r="C5175" s="26"/>
      <c r="M5175" s="71"/>
    </row>
    <row r="5176" spans="1:13" x14ac:dyDescent="0.25">
      <c r="A5176" s="2"/>
      <c r="B5176" s="11"/>
      <c r="C5176" s="26"/>
      <c r="M5176" s="71"/>
    </row>
    <row r="5177" spans="1:13" x14ac:dyDescent="0.25">
      <c r="A5177" s="2"/>
      <c r="B5177" s="11"/>
      <c r="C5177" s="26"/>
      <c r="M5177" s="71"/>
    </row>
    <row r="5178" spans="1:13" x14ac:dyDescent="0.25">
      <c r="A5178" s="2"/>
      <c r="B5178" s="11"/>
      <c r="C5178" s="26"/>
      <c r="M5178" s="71"/>
    </row>
    <row r="5179" spans="1:13" x14ac:dyDescent="0.25">
      <c r="A5179" s="2"/>
      <c r="B5179" s="11"/>
      <c r="C5179" s="26"/>
      <c r="M5179" s="71"/>
    </row>
    <row r="5180" spans="1:13" x14ac:dyDescent="0.25">
      <c r="A5180" s="2"/>
      <c r="B5180" s="11"/>
      <c r="C5180" s="26"/>
      <c r="M5180" s="71"/>
    </row>
    <row r="5181" spans="1:13" x14ac:dyDescent="0.25">
      <c r="A5181" s="2"/>
      <c r="B5181" s="11"/>
      <c r="C5181" s="26"/>
      <c r="M5181" s="71"/>
    </row>
    <row r="5182" spans="1:13" x14ac:dyDescent="0.25">
      <c r="A5182" s="2"/>
      <c r="B5182" s="11"/>
      <c r="C5182" s="26"/>
      <c r="M5182" s="71"/>
    </row>
    <row r="5183" spans="1:13" x14ac:dyDescent="0.25">
      <c r="A5183" s="2"/>
      <c r="B5183" s="11"/>
      <c r="C5183" s="26"/>
      <c r="M5183" s="71"/>
    </row>
    <row r="5184" spans="1:13" x14ac:dyDescent="0.25">
      <c r="A5184" s="2"/>
      <c r="B5184" s="11"/>
      <c r="C5184" s="26"/>
      <c r="M5184" s="71"/>
    </row>
    <row r="5185" spans="1:13" x14ac:dyDescent="0.25">
      <c r="A5185" s="2"/>
      <c r="B5185" s="11"/>
      <c r="C5185" s="26"/>
      <c r="M5185" s="71"/>
    </row>
    <row r="5186" spans="1:13" x14ac:dyDescent="0.25">
      <c r="A5186" s="2"/>
      <c r="B5186" s="11"/>
      <c r="C5186" s="26"/>
      <c r="M5186" s="71"/>
    </row>
    <row r="5187" spans="1:13" x14ac:dyDescent="0.25">
      <c r="A5187" s="2"/>
      <c r="B5187" s="11"/>
      <c r="C5187" s="26"/>
      <c r="M5187" s="71"/>
    </row>
    <row r="5188" spans="1:13" x14ac:dyDescent="0.25">
      <c r="A5188" s="2"/>
      <c r="B5188" s="11"/>
      <c r="C5188" s="26"/>
      <c r="M5188" s="71"/>
    </row>
    <row r="5189" spans="1:13" x14ac:dyDescent="0.25">
      <c r="A5189" s="2"/>
      <c r="B5189" s="11"/>
      <c r="C5189" s="26"/>
      <c r="M5189" s="71"/>
    </row>
    <row r="5190" spans="1:13" x14ac:dyDescent="0.25">
      <c r="A5190" s="2"/>
      <c r="B5190" s="11"/>
      <c r="C5190" s="26"/>
      <c r="M5190" s="71"/>
    </row>
    <row r="5191" spans="1:13" x14ac:dyDescent="0.25">
      <c r="A5191" s="2"/>
      <c r="B5191" s="11"/>
      <c r="C5191" s="26"/>
      <c r="M5191" s="71"/>
    </row>
    <row r="5192" spans="1:13" x14ac:dyDescent="0.25">
      <c r="A5192" s="2"/>
      <c r="B5192" s="11"/>
      <c r="C5192" s="26"/>
      <c r="M5192" s="71"/>
    </row>
    <row r="5193" spans="1:13" x14ac:dyDescent="0.25">
      <c r="A5193" s="2"/>
      <c r="B5193" s="11"/>
      <c r="C5193" s="26"/>
      <c r="M5193" s="71"/>
    </row>
    <row r="5194" spans="1:13" x14ac:dyDescent="0.25">
      <c r="A5194" s="2"/>
      <c r="B5194" s="11"/>
      <c r="C5194" s="26"/>
      <c r="M5194" s="71"/>
    </row>
    <row r="5195" spans="1:13" x14ac:dyDescent="0.25">
      <c r="A5195" s="2"/>
      <c r="B5195" s="11"/>
      <c r="C5195" s="26"/>
      <c r="M5195" s="71"/>
    </row>
    <row r="5196" spans="1:13" x14ac:dyDescent="0.25">
      <c r="A5196" s="2"/>
      <c r="B5196" s="11"/>
      <c r="C5196" s="26"/>
      <c r="M5196" s="71"/>
    </row>
    <row r="5197" spans="1:13" x14ac:dyDescent="0.25">
      <c r="A5197" s="2"/>
      <c r="B5197" s="11"/>
      <c r="C5197" s="26"/>
      <c r="M5197" s="71"/>
    </row>
    <row r="5198" spans="1:13" x14ac:dyDescent="0.25">
      <c r="A5198" s="2"/>
      <c r="B5198" s="11"/>
      <c r="C5198" s="26"/>
      <c r="M5198" s="71"/>
    </row>
    <row r="5199" spans="1:13" x14ac:dyDescent="0.25">
      <c r="A5199" s="2"/>
      <c r="B5199" s="11"/>
      <c r="C5199" s="26"/>
      <c r="M5199" s="71"/>
    </row>
    <row r="5200" spans="1:13" x14ac:dyDescent="0.25">
      <c r="A5200" s="2"/>
      <c r="B5200" s="11"/>
      <c r="C5200" s="26"/>
      <c r="M5200" s="71"/>
    </row>
    <row r="5201" spans="1:13" x14ac:dyDescent="0.25">
      <c r="A5201" s="2"/>
      <c r="B5201" s="11"/>
      <c r="C5201" s="26"/>
      <c r="M5201" s="71"/>
    </row>
    <row r="5202" spans="1:13" x14ac:dyDescent="0.25">
      <c r="A5202" s="2"/>
      <c r="B5202" s="11"/>
      <c r="C5202" s="26"/>
      <c r="M5202" s="71"/>
    </row>
    <row r="5203" spans="1:13" x14ac:dyDescent="0.25">
      <c r="A5203" s="2"/>
      <c r="B5203" s="11"/>
      <c r="C5203" s="26"/>
      <c r="M5203" s="71"/>
    </row>
    <row r="5204" spans="1:13" x14ac:dyDescent="0.25">
      <c r="A5204" s="2"/>
      <c r="B5204" s="11"/>
      <c r="C5204" s="26"/>
      <c r="M5204" s="71"/>
    </row>
    <row r="5205" spans="1:13" x14ac:dyDescent="0.25">
      <c r="A5205" s="2"/>
      <c r="B5205" s="11"/>
      <c r="C5205" s="26"/>
      <c r="M5205" s="71"/>
    </row>
    <row r="5206" spans="1:13" x14ac:dyDescent="0.25">
      <c r="A5206" s="2"/>
      <c r="B5206" s="11"/>
      <c r="C5206" s="26"/>
      <c r="M5206" s="71"/>
    </row>
    <row r="5207" spans="1:13" x14ac:dyDescent="0.25">
      <c r="A5207" s="2"/>
      <c r="B5207" s="11"/>
      <c r="C5207" s="26"/>
      <c r="M5207" s="71"/>
    </row>
    <row r="5208" spans="1:13" x14ac:dyDescent="0.25">
      <c r="A5208" s="2"/>
      <c r="B5208" s="11"/>
      <c r="C5208" s="26"/>
      <c r="M5208" s="71"/>
    </row>
    <row r="5209" spans="1:13" x14ac:dyDescent="0.25">
      <c r="A5209" s="2"/>
      <c r="B5209" s="11"/>
      <c r="C5209" s="26"/>
      <c r="M5209" s="71"/>
    </row>
    <row r="5210" spans="1:13" x14ac:dyDescent="0.25">
      <c r="A5210" s="2"/>
      <c r="B5210" s="11"/>
      <c r="C5210" s="26"/>
      <c r="M5210" s="71"/>
    </row>
    <row r="5211" spans="1:13" x14ac:dyDescent="0.25">
      <c r="A5211" s="2"/>
      <c r="B5211" s="11"/>
      <c r="C5211" s="26"/>
      <c r="M5211" s="71"/>
    </row>
    <row r="5212" spans="1:13" x14ac:dyDescent="0.25">
      <c r="A5212" s="2"/>
      <c r="B5212" s="11"/>
      <c r="C5212" s="26"/>
      <c r="M5212" s="71"/>
    </row>
    <row r="5213" spans="1:13" x14ac:dyDescent="0.25">
      <c r="A5213" s="2"/>
      <c r="B5213" s="11"/>
      <c r="C5213" s="26"/>
      <c r="M5213" s="71"/>
    </row>
    <row r="5214" spans="1:13" x14ac:dyDescent="0.25">
      <c r="A5214" s="2"/>
      <c r="B5214" s="11"/>
      <c r="C5214" s="26"/>
      <c r="M5214" s="71"/>
    </row>
    <row r="5215" spans="1:13" x14ac:dyDescent="0.25">
      <c r="A5215" s="2"/>
      <c r="B5215" s="11"/>
      <c r="C5215" s="26"/>
      <c r="M5215" s="71"/>
    </row>
    <row r="5216" spans="1:13" x14ac:dyDescent="0.25">
      <c r="A5216" s="2"/>
      <c r="B5216" s="11"/>
      <c r="C5216" s="26"/>
      <c r="M5216" s="71"/>
    </row>
    <row r="5217" spans="1:13" x14ac:dyDescent="0.25">
      <c r="A5217" s="2"/>
      <c r="B5217" s="11"/>
      <c r="C5217" s="26"/>
      <c r="M5217" s="71"/>
    </row>
    <row r="5218" spans="1:13" x14ac:dyDescent="0.25">
      <c r="A5218" s="2"/>
      <c r="B5218" s="11"/>
      <c r="C5218" s="26"/>
      <c r="M5218" s="71"/>
    </row>
    <row r="5219" spans="1:13" x14ac:dyDescent="0.25">
      <c r="A5219" s="2"/>
      <c r="B5219" s="11"/>
      <c r="C5219" s="26"/>
      <c r="M5219" s="71"/>
    </row>
    <row r="5220" spans="1:13" x14ac:dyDescent="0.25">
      <c r="A5220" s="2"/>
      <c r="B5220" s="11"/>
      <c r="C5220" s="26"/>
      <c r="M5220" s="71"/>
    </row>
    <row r="5221" spans="1:13" x14ac:dyDescent="0.25">
      <c r="A5221" s="2"/>
      <c r="B5221" s="11"/>
      <c r="C5221" s="26"/>
      <c r="M5221" s="71"/>
    </row>
    <row r="5222" spans="1:13" x14ac:dyDescent="0.25">
      <c r="A5222" s="2"/>
      <c r="B5222" s="11"/>
      <c r="C5222" s="26"/>
      <c r="M5222" s="71"/>
    </row>
    <row r="5223" spans="1:13" x14ac:dyDescent="0.25">
      <c r="A5223" s="2"/>
      <c r="B5223" s="11"/>
      <c r="C5223" s="26"/>
      <c r="M5223" s="71"/>
    </row>
    <row r="5224" spans="1:13" x14ac:dyDescent="0.25">
      <c r="A5224" s="2"/>
      <c r="B5224" s="11"/>
      <c r="C5224" s="26"/>
      <c r="M5224" s="71"/>
    </row>
    <row r="5225" spans="1:13" x14ac:dyDescent="0.25">
      <c r="A5225" s="2"/>
      <c r="B5225" s="11"/>
      <c r="C5225" s="26"/>
      <c r="M5225" s="71"/>
    </row>
    <row r="5226" spans="1:13" x14ac:dyDescent="0.25">
      <c r="A5226" s="2"/>
      <c r="B5226" s="11"/>
      <c r="C5226" s="26"/>
      <c r="M5226" s="71"/>
    </row>
    <row r="5227" spans="1:13" x14ac:dyDescent="0.25">
      <c r="A5227" s="2"/>
      <c r="B5227" s="11"/>
      <c r="C5227" s="26"/>
      <c r="M5227" s="71"/>
    </row>
    <row r="5228" spans="1:13" x14ac:dyDescent="0.25">
      <c r="A5228" s="2"/>
      <c r="B5228" s="11"/>
      <c r="C5228" s="26"/>
      <c r="M5228" s="71"/>
    </row>
    <row r="5229" spans="1:13" x14ac:dyDescent="0.25">
      <c r="A5229" s="2"/>
      <c r="B5229" s="11"/>
      <c r="C5229" s="26"/>
      <c r="M5229" s="71"/>
    </row>
    <row r="5230" spans="1:13" x14ac:dyDescent="0.25">
      <c r="A5230" s="2"/>
      <c r="B5230" s="11"/>
      <c r="C5230" s="26"/>
      <c r="M5230" s="71"/>
    </row>
    <row r="5231" spans="1:13" x14ac:dyDescent="0.25">
      <c r="A5231" s="2"/>
      <c r="B5231" s="11"/>
      <c r="C5231" s="26"/>
      <c r="M5231" s="71"/>
    </row>
    <row r="5232" spans="1:13" x14ac:dyDescent="0.25">
      <c r="A5232" s="2"/>
      <c r="B5232" s="11"/>
      <c r="C5232" s="26"/>
      <c r="M5232" s="71"/>
    </row>
    <row r="5233" spans="1:13" x14ac:dyDescent="0.25">
      <c r="A5233" s="2"/>
      <c r="B5233" s="11"/>
      <c r="C5233" s="26"/>
      <c r="M5233" s="71"/>
    </row>
    <row r="5234" spans="1:13" x14ac:dyDescent="0.25">
      <c r="A5234" s="2"/>
      <c r="B5234" s="11"/>
      <c r="C5234" s="26"/>
      <c r="M5234" s="71"/>
    </row>
    <row r="5235" spans="1:13" x14ac:dyDescent="0.25">
      <c r="A5235" s="2"/>
      <c r="B5235" s="11"/>
      <c r="C5235" s="26"/>
      <c r="M5235" s="71"/>
    </row>
    <row r="5236" spans="1:13" x14ac:dyDescent="0.25">
      <c r="A5236" s="2"/>
      <c r="B5236" s="11"/>
      <c r="C5236" s="26"/>
      <c r="M5236" s="71"/>
    </row>
    <row r="5237" spans="1:13" x14ac:dyDescent="0.25">
      <c r="A5237" s="2"/>
      <c r="B5237" s="11"/>
      <c r="C5237" s="26"/>
      <c r="M5237" s="71"/>
    </row>
    <row r="5238" spans="1:13" x14ac:dyDescent="0.25">
      <c r="A5238" s="2"/>
      <c r="B5238" s="11"/>
      <c r="C5238" s="26"/>
      <c r="M5238" s="71"/>
    </row>
    <row r="5239" spans="1:13" x14ac:dyDescent="0.25">
      <c r="A5239" s="2"/>
      <c r="B5239" s="11"/>
      <c r="C5239" s="26"/>
      <c r="M5239" s="71"/>
    </row>
    <row r="5240" spans="1:13" x14ac:dyDescent="0.25">
      <c r="A5240" s="2"/>
      <c r="B5240" s="11"/>
      <c r="C5240" s="26"/>
      <c r="M5240" s="71"/>
    </row>
    <row r="5241" spans="1:13" x14ac:dyDescent="0.25">
      <c r="A5241" s="2"/>
      <c r="B5241" s="11"/>
      <c r="C5241" s="26"/>
      <c r="M5241" s="71"/>
    </row>
    <row r="5242" spans="1:13" x14ac:dyDescent="0.25">
      <c r="A5242" s="2"/>
      <c r="B5242" s="11"/>
      <c r="C5242" s="26"/>
      <c r="M5242" s="71"/>
    </row>
    <row r="5243" spans="1:13" x14ac:dyDescent="0.25">
      <c r="A5243" s="2"/>
      <c r="B5243" s="11"/>
      <c r="C5243" s="26"/>
      <c r="M5243" s="71"/>
    </row>
    <row r="5244" spans="1:13" x14ac:dyDescent="0.25">
      <c r="A5244" s="2"/>
      <c r="B5244" s="11"/>
      <c r="C5244" s="26"/>
      <c r="M5244" s="71"/>
    </row>
    <row r="5245" spans="1:13" x14ac:dyDescent="0.25">
      <c r="A5245" s="2"/>
      <c r="B5245" s="11"/>
      <c r="C5245" s="26"/>
      <c r="M5245" s="71"/>
    </row>
    <row r="5246" spans="1:13" x14ac:dyDescent="0.25">
      <c r="A5246" s="2"/>
      <c r="B5246" s="11"/>
      <c r="C5246" s="26"/>
      <c r="M5246" s="71"/>
    </row>
    <row r="5247" spans="1:13" x14ac:dyDescent="0.25">
      <c r="A5247" s="2"/>
      <c r="B5247" s="11"/>
      <c r="C5247" s="26"/>
      <c r="M5247" s="71"/>
    </row>
    <row r="5248" spans="1:13" x14ac:dyDescent="0.25">
      <c r="A5248" s="2"/>
      <c r="B5248" s="11"/>
      <c r="C5248" s="26"/>
      <c r="M5248" s="71"/>
    </row>
    <row r="5249" spans="1:13" x14ac:dyDescent="0.25">
      <c r="A5249" s="2"/>
      <c r="B5249" s="11"/>
      <c r="C5249" s="26"/>
      <c r="M5249" s="71"/>
    </row>
    <row r="5250" spans="1:13" x14ac:dyDescent="0.25">
      <c r="A5250" s="2"/>
      <c r="B5250" s="11"/>
      <c r="C5250" s="26"/>
      <c r="M5250" s="71"/>
    </row>
    <row r="5251" spans="1:13" x14ac:dyDescent="0.25">
      <c r="A5251" s="2"/>
      <c r="B5251" s="11"/>
      <c r="C5251" s="26"/>
      <c r="M5251" s="71"/>
    </row>
    <row r="5252" spans="1:13" x14ac:dyDescent="0.25">
      <c r="A5252" s="2"/>
      <c r="B5252" s="11"/>
      <c r="C5252" s="26"/>
      <c r="M5252" s="71"/>
    </row>
    <row r="5253" spans="1:13" x14ac:dyDescent="0.25">
      <c r="A5253" s="2"/>
      <c r="B5253" s="11"/>
      <c r="C5253" s="26"/>
      <c r="M5253" s="71"/>
    </row>
    <row r="5254" spans="1:13" x14ac:dyDescent="0.25">
      <c r="A5254" s="2"/>
      <c r="B5254" s="11"/>
      <c r="C5254" s="26"/>
      <c r="M5254" s="71"/>
    </row>
    <row r="5255" spans="1:13" x14ac:dyDescent="0.25">
      <c r="A5255" s="2"/>
      <c r="B5255" s="11"/>
      <c r="C5255" s="26"/>
      <c r="M5255" s="71"/>
    </row>
    <row r="5256" spans="1:13" x14ac:dyDescent="0.25">
      <c r="A5256" s="2"/>
      <c r="B5256" s="11"/>
      <c r="C5256" s="26"/>
      <c r="M5256" s="71"/>
    </row>
    <row r="5257" spans="1:13" x14ac:dyDescent="0.25">
      <c r="A5257" s="2"/>
      <c r="B5257" s="11"/>
      <c r="C5257" s="26"/>
      <c r="M5257" s="71"/>
    </row>
    <row r="5258" spans="1:13" x14ac:dyDescent="0.25">
      <c r="A5258" s="2"/>
      <c r="B5258" s="11"/>
      <c r="C5258" s="26"/>
      <c r="M5258" s="71"/>
    </row>
    <row r="5259" spans="1:13" x14ac:dyDescent="0.25">
      <c r="A5259" s="2"/>
      <c r="B5259" s="11"/>
      <c r="C5259" s="26"/>
      <c r="M5259" s="71"/>
    </row>
    <row r="5260" spans="1:13" x14ac:dyDescent="0.25">
      <c r="A5260" s="2"/>
      <c r="B5260" s="11"/>
      <c r="C5260" s="26"/>
      <c r="M5260" s="71"/>
    </row>
    <row r="5261" spans="1:13" x14ac:dyDescent="0.25">
      <c r="A5261" s="2"/>
      <c r="B5261" s="11"/>
      <c r="C5261" s="26"/>
      <c r="M5261" s="71"/>
    </row>
    <row r="5262" spans="1:13" x14ac:dyDescent="0.25">
      <c r="A5262" s="2"/>
      <c r="B5262" s="11"/>
      <c r="C5262" s="26"/>
      <c r="M5262" s="71"/>
    </row>
    <row r="5263" spans="1:13" x14ac:dyDescent="0.25">
      <c r="A5263" s="2"/>
      <c r="B5263" s="11"/>
      <c r="C5263" s="26"/>
      <c r="M5263" s="71"/>
    </row>
    <row r="5264" spans="1:13" x14ac:dyDescent="0.25">
      <c r="A5264" s="2"/>
      <c r="B5264" s="11"/>
      <c r="C5264" s="26"/>
      <c r="M5264" s="71"/>
    </row>
    <row r="5265" spans="1:13" x14ac:dyDescent="0.25">
      <c r="A5265" s="2"/>
      <c r="B5265" s="11"/>
      <c r="C5265" s="26"/>
      <c r="M5265" s="71"/>
    </row>
    <row r="5266" spans="1:13" x14ac:dyDescent="0.25">
      <c r="A5266" s="2"/>
      <c r="B5266" s="11"/>
      <c r="C5266" s="26"/>
      <c r="M5266" s="71"/>
    </row>
    <row r="5267" spans="1:13" x14ac:dyDescent="0.25">
      <c r="A5267" s="2"/>
      <c r="B5267" s="11"/>
      <c r="C5267" s="26"/>
      <c r="M5267" s="71"/>
    </row>
    <row r="5268" spans="1:13" x14ac:dyDescent="0.25">
      <c r="A5268" s="2"/>
      <c r="B5268" s="11"/>
      <c r="C5268" s="26"/>
      <c r="M5268" s="71"/>
    </row>
    <row r="5269" spans="1:13" x14ac:dyDescent="0.25">
      <c r="A5269" s="2"/>
      <c r="B5269" s="11"/>
      <c r="C5269" s="26"/>
      <c r="M5269" s="71"/>
    </row>
    <row r="5270" spans="1:13" x14ac:dyDescent="0.25">
      <c r="A5270" s="2"/>
      <c r="B5270" s="11"/>
      <c r="C5270" s="26"/>
      <c r="M5270" s="71"/>
    </row>
    <row r="5271" spans="1:13" x14ac:dyDescent="0.25">
      <c r="A5271" s="2"/>
      <c r="B5271" s="11"/>
      <c r="C5271" s="26"/>
      <c r="M5271" s="71"/>
    </row>
    <row r="5272" spans="1:13" x14ac:dyDescent="0.25">
      <c r="A5272" s="2"/>
      <c r="B5272" s="11"/>
      <c r="C5272" s="26"/>
      <c r="M5272" s="71"/>
    </row>
    <row r="5273" spans="1:13" x14ac:dyDescent="0.25">
      <c r="A5273" s="2"/>
      <c r="B5273" s="11"/>
      <c r="C5273" s="26"/>
      <c r="M5273" s="71"/>
    </row>
    <row r="5274" spans="1:13" x14ac:dyDescent="0.25">
      <c r="A5274" s="2"/>
      <c r="B5274" s="11"/>
      <c r="C5274" s="26"/>
      <c r="M5274" s="71"/>
    </row>
    <row r="5275" spans="1:13" x14ac:dyDescent="0.25">
      <c r="A5275" s="2"/>
      <c r="B5275" s="11"/>
      <c r="C5275" s="26"/>
      <c r="M5275" s="71"/>
    </row>
    <row r="5276" spans="1:13" x14ac:dyDescent="0.25">
      <c r="A5276" s="2"/>
      <c r="B5276" s="11"/>
      <c r="C5276" s="26"/>
      <c r="M5276" s="71"/>
    </row>
    <row r="5277" spans="1:13" x14ac:dyDescent="0.25">
      <c r="A5277" s="2"/>
      <c r="B5277" s="11"/>
      <c r="C5277" s="26"/>
      <c r="M5277" s="71"/>
    </row>
    <row r="5278" spans="1:13" x14ac:dyDescent="0.25">
      <c r="A5278" s="2"/>
      <c r="B5278" s="11"/>
      <c r="C5278" s="26"/>
      <c r="M5278" s="71"/>
    </row>
    <row r="5279" spans="1:13" x14ac:dyDescent="0.25">
      <c r="A5279" s="2"/>
      <c r="B5279" s="11"/>
      <c r="C5279" s="26"/>
      <c r="M5279" s="71"/>
    </row>
    <row r="5280" spans="1:13" x14ac:dyDescent="0.25">
      <c r="A5280" s="2"/>
      <c r="B5280" s="11"/>
      <c r="C5280" s="26"/>
      <c r="M5280" s="71"/>
    </row>
    <row r="5281" spans="1:13" x14ac:dyDescent="0.25">
      <c r="A5281" s="2"/>
      <c r="B5281" s="11"/>
      <c r="C5281" s="26"/>
      <c r="M5281" s="71"/>
    </row>
    <row r="5282" spans="1:13" x14ac:dyDescent="0.25">
      <c r="A5282" s="2"/>
      <c r="B5282" s="11"/>
      <c r="C5282" s="26"/>
      <c r="M5282" s="71"/>
    </row>
    <row r="5283" spans="1:13" x14ac:dyDescent="0.25">
      <c r="A5283" s="2"/>
      <c r="B5283" s="11"/>
      <c r="C5283" s="26"/>
      <c r="M5283" s="71"/>
    </row>
    <row r="5284" spans="1:13" x14ac:dyDescent="0.25">
      <c r="A5284" s="2"/>
      <c r="B5284" s="11"/>
      <c r="C5284" s="26"/>
      <c r="M5284" s="71"/>
    </row>
    <row r="5285" spans="1:13" x14ac:dyDescent="0.25">
      <c r="A5285" s="2"/>
      <c r="B5285" s="11"/>
      <c r="C5285" s="26"/>
      <c r="M5285" s="71"/>
    </row>
    <row r="5286" spans="1:13" x14ac:dyDescent="0.25">
      <c r="A5286" s="2"/>
      <c r="B5286" s="11"/>
      <c r="C5286" s="26"/>
      <c r="M5286" s="71"/>
    </row>
    <row r="5287" spans="1:13" x14ac:dyDescent="0.25">
      <c r="A5287" s="2"/>
      <c r="B5287" s="11"/>
      <c r="C5287" s="26"/>
      <c r="M5287" s="71"/>
    </row>
    <row r="5288" spans="1:13" x14ac:dyDescent="0.25">
      <c r="A5288" s="2"/>
      <c r="B5288" s="11"/>
      <c r="C5288" s="26"/>
      <c r="M5288" s="71"/>
    </row>
    <row r="5289" spans="1:13" x14ac:dyDescent="0.25">
      <c r="A5289" s="2"/>
      <c r="B5289" s="11"/>
      <c r="C5289" s="26"/>
      <c r="M5289" s="71"/>
    </row>
    <row r="5290" spans="1:13" x14ac:dyDescent="0.25">
      <c r="A5290" s="2"/>
      <c r="B5290" s="11"/>
      <c r="C5290" s="26"/>
      <c r="M5290" s="71"/>
    </row>
    <row r="5291" spans="1:13" x14ac:dyDescent="0.25">
      <c r="A5291" s="2"/>
      <c r="B5291" s="11"/>
      <c r="C5291" s="26"/>
      <c r="M5291" s="71"/>
    </row>
    <row r="5292" spans="1:13" x14ac:dyDescent="0.25">
      <c r="A5292" s="2"/>
      <c r="B5292" s="11"/>
      <c r="C5292" s="26"/>
      <c r="M5292" s="71"/>
    </row>
    <row r="5293" spans="1:13" x14ac:dyDescent="0.25">
      <c r="A5293" s="2"/>
      <c r="B5293" s="11"/>
      <c r="C5293" s="26"/>
      <c r="M5293" s="71"/>
    </row>
    <row r="5294" spans="1:13" x14ac:dyDescent="0.25">
      <c r="A5294" s="2"/>
      <c r="B5294" s="11"/>
      <c r="C5294" s="26"/>
      <c r="M5294" s="71"/>
    </row>
    <row r="5295" spans="1:13" x14ac:dyDescent="0.25">
      <c r="A5295" s="2"/>
      <c r="B5295" s="11"/>
      <c r="C5295" s="26"/>
      <c r="M5295" s="71"/>
    </row>
    <row r="5296" spans="1:13" x14ac:dyDescent="0.25">
      <c r="A5296" s="2"/>
      <c r="B5296" s="11"/>
      <c r="C5296" s="26"/>
      <c r="M5296" s="71"/>
    </row>
    <row r="5297" spans="1:13" x14ac:dyDescent="0.25">
      <c r="A5297" s="2"/>
      <c r="B5297" s="11"/>
      <c r="C5297" s="26"/>
      <c r="M5297" s="71"/>
    </row>
    <row r="5298" spans="1:13" x14ac:dyDescent="0.25">
      <c r="A5298" s="2"/>
      <c r="B5298" s="11"/>
      <c r="C5298" s="26"/>
      <c r="M5298" s="71"/>
    </row>
    <row r="5299" spans="1:13" x14ac:dyDescent="0.25">
      <c r="A5299" s="2"/>
      <c r="B5299" s="11"/>
      <c r="C5299" s="26"/>
      <c r="M5299" s="71"/>
    </row>
    <row r="5300" spans="1:13" x14ac:dyDescent="0.25">
      <c r="A5300" s="2"/>
      <c r="B5300" s="11"/>
      <c r="C5300" s="26"/>
      <c r="M5300" s="71"/>
    </row>
    <row r="5301" spans="1:13" x14ac:dyDescent="0.25">
      <c r="A5301" s="2"/>
      <c r="B5301" s="11"/>
      <c r="C5301" s="26"/>
      <c r="M5301" s="71"/>
    </row>
    <row r="5302" spans="1:13" x14ac:dyDescent="0.25">
      <c r="A5302" s="2"/>
      <c r="B5302" s="11"/>
      <c r="C5302" s="26"/>
      <c r="M5302" s="71"/>
    </row>
    <row r="5303" spans="1:13" x14ac:dyDescent="0.25">
      <c r="A5303" s="2"/>
      <c r="B5303" s="11"/>
      <c r="C5303" s="26"/>
      <c r="M5303" s="71"/>
    </row>
    <row r="5304" spans="1:13" x14ac:dyDescent="0.25">
      <c r="A5304" s="2"/>
      <c r="B5304" s="11"/>
      <c r="C5304" s="26"/>
      <c r="M5304" s="71"/>
    </row>
    <row r="5305" spans="1:13" x14ac:dyDescent="0.25">
      <c r="A5305" s="2"/>
      <c r="B5305" s="11"/>
      <c r="C5305" s="26"/>
      <c r="M5305" s="71"/>
    </row>
    <row r="5306" spans="1:13" x14ac:dyDescent="0.25">
      <c r="A5306" s="2"/>
      <c r="B5306" s="11"/>
      <c r="C5306" s="26"/>
      <c r="M5306" s="71"/>
    </row>
    <row r="5307" spans="1:13" x14ac:dyDescent="0.25">
      <c r="A5307" s="2"/>
      <c r="B5307" s="11"/>
      <c r="C5307" s="26"/>
      <c r="M5307" s="71"/>
    </row>
    <row r="5308" spans="1:13" x14ac:dyDescent="0.25">
      <c r="A5308" s="2"/>
      <c r="B5308" s="11"/>
      <c r="C5308" s="26"/>
      <c r="M5308" s="71"/>
    </row>
    <row r="5309" spans="1:13" x14ac:dyDescent="0.25">
      <c r="A5309" s="2"/>
      <c r="B5309" s="11"/>
      <c r="C5309" s="26"/>
      <c r="M5309" s="71"/>
    </row>
    <row r="5310" spans="1:13" x14ac:dyDescent="0.25">
      <c r="A5310" s="2"/>
      <c r="B5310" s="11"/>
      <c r="C5310" s="26"/>
      <c r="M5310" s="71"/>
    </row>
    <row r="5311" spans="1:13" x14ac:dyDescent="0.25">
      <c r="A5311" s="2"/>
      <c r="B5311" s="11"/>
      <c r="C5311" s="26"/>
      <c r="M5311" s="71"/>
    </row>
    <row r="5312" spans="1:13" x14ac:dyDescent="0.25">
      <c r="A5312" s="2"/>
      <c r="B5312" s="11"/>
      <c r="C5312" s="26"/>
      <c r="M5312" s="71"/>
    </row>
    <row r="5313" spans="1:13" x14ac:dyDescent="0.25">
      <c r="A5313" s="2"/>
      <c r="B5313" s="11"/>
      <c r="C5313" s="26"/>
      <c r="M5313" s="71"/>
    </row>
    <row r="5314" spans="1:13" x14ac:dyDescent="0.25">
      <c r="A5314" s="2"/>
      <c r="B5314" s="11"/>
      <c r="C5314" s="26"/>
      <c r="M5314" s="71"/>
    </row>
    <row r="5315" spans="1:13" x14ac:dyDescent="0.25">
      <c r="A5315" s="2"/>
      <c r="B5315" s="11"/>
      <c r="C5315" s="26"/>
      <c r="M5315" s="71"/>
    </row>
    <row r="5316" spans="1:13" x14ac:dyDescent="0.25">
      <c r="A5316" s="2"/>
      <c r="B5316" s="11"/>
      <c r="C5316" s="26"/>
      <c r="M5316" s="71"/>
    </row>
    <row r="5317" spans="1:13" x14ac:dyDescent="0.25">
      <c r="A5317" s="2"/>
      <c r="B5317" s="11"/>
      <c r="C5317" s="26"/>
      <c r="M5317" s="71"/>
    </row>
    <row r="5318" spans="1:13" x14ac:dyDescent="0.25">
      <c r="A5318" s="2"/>
      <c r="B5318" s="11"/>
      <c r="C5318" s="26"/>
      <c r="M5318" s="71"/>
    </row>
    <row r="5319" spans="1:13" x14ac:dyDescent="0.25">
      <c r="A5319" s="2"/>
      <c r="B5319" s="11"/>
      <c r="C5319" s="26"/>
      <c r="M5319" s="71"/>
    </row>
    <row r="5320" spans="1:13" x14ac:dyDescent="0.25">
      <c r="A5320" s="2"/>
      <c r="B5320" s="11"/>
      <c r="C5320" s="26"/>
      <c r="M5320" s="71"/>
    </row>
    <row r="5321" spans="1:13" x14ac:dyDescent="0.25">
      <c r="A5321" s="2"/>
      <c r="B5321" s="11"/>
      <c r="C5321" s="26"/>
      <c r="M5321" s="71"/>
    </row>
    <row r="5322" spans="1:13" x14ac:dyDescent="0.25">
      <c r="A5322" s="2"/>
      <c r="B5322" s="11"/>
      <c r="C5322" s="26"/>
      <c r="M5322" s="71"/>
    </row>
    <row r="5323" spans="1:13" x14ac:dyDescent="0.25">
      <c r="A5323" s="2"/>
      <c r="B5323" s="11"/>
      <c r="C5323" s="26"/>
      <c r="M5323" s="71"/>
    </row>
    <row r="5324" spans="1:13" x14ac:dyDescent="0.25">
      <c r="A5324" s="2"/>
      <c r="B5324" s="11"/>
      <c r="C5324" s="26"/>
      <c r="M5324" s="71"/>
    </row>
    <row r="5325" spans="1:13" x14ac:dyDescent="0.25">
      <c r="A5325" s="2"/>
      <c r="B5325" s="11"/>
      <c r="C5325" s="26"/>
      <c r="M5325" s="71"/>
    </row>
    <row r="5326" spans="1:13" x14ac:dyDescent="0.25">
      <c r="A5326" s="2"/>
      <c r="B5326" s="11"/>
      <c r="C5326" s="26"/>
      <c r="M5326" s="71"/>
    </row>
    <row r="5327" spans="1:13" x14ac:dyDescent="0.25">
      <c r="A5327" s="2"/>
      <c r="B5327" s="11"/>
      <c r="C5327" s="26"/>
      <c r="M5327" s="71"/>
    </row>
    <row r="5328" spans="1:13" x14ac:dyDescent="0.25">
      <c r="A5328" s="2"/>
      <c r="B5328" s="11"/>
      <c r="C5328" s="26"/>
      <c r="M5328" s="71"/>
    </row>
    <row r="5329" spans="1:13" x14ac:dyDescent="0.25">
      <c r="A5329" s="2"/>
      <c r="B5329" s="11"/>
      <c r="C5329" s="26"/>
      <c r="M5329" s="71"/>
    </row>
    <row r="5330" spans="1:13" x14ac:dyDescent="0.25">
      <c r="A5330" s="2"/>
      <c r="B5330" s="11"/>
      <c r="C5330" s="26"/>
      <c r="M5330" s="71"/>
    </row>
    <row r="5331" spans="1:13" x14ac:dyDescent="0.25">
      <c r="A5331" s="2"/>
      <c r="B5331" s="11"/>
      <c r="C5331" s="26"/>
      <c r="M5331" s="71"/>
    </row>
    <row r="5332" spans="1:13" x14ac:dyDescent="0.25">
      <c r="A5332" s="2"/>
      <c r="B5332" s="11"/>
      <c r="C5332" s="26"/>
      <c r="M5332" s="71"/>
    </row>
    <row r="5333" spans="1:13" x14ac:dyDescent="0.25">
      <c r="A5333" s="2"/>
      <c r="B5333" s="11"/>
      <c r="C5333" s="26"/>
      <c r="M5333" s="71"/>
    </row>
    <row r="5334" spans="1:13" x14ac:dyDescent="0.25">
      <c r="A5334" s="2"/>
      <c r="B5334" s="11"/>
      <c r="C5334" s="26"/>
      <c r="M5334" s="71"/>
    </row>
    <row r="5335" spans="1:13" x14ac:dyDescent="0.25">
      <c r="A5335" s="2"/>
      <c r="B5335" s="11"/>
      <c r="C5335" s="26"/>
      <c r="M5335" s="71"/>
    </row>
    <row r="5336" spans="1:13" x14ac:dyDescent="0.25">
      <c r="A5336" s="2"/>
      <c r="B5336" s="11"/>
      <c r="C5336" s="26"/>
      <c r="M5336" s="71"/>
    </row>
    <row r="5337" spans="1:13" x14ac:dyDescent="0.25">
      <c r="A5337" s="2"/>
      <c r="B5337" s="11"/>
      <c r="C5337" s="26"/>
      <c r="M5337" s="71"/>
    </row>
    <row r="5338" spans="1:13" x14ac:dyDescent="0.25">
      <c r="A5338" s="2"/>
      <c r="B5338" s="11"/>
      <c r="C5338" s="26"/>
      <c r="M5338" s="71"/>
    </row>
    <row r="5339" spans="1:13" x14ac:dyDescent="0.25">
      <c r="A5339" s="2"/>
      <c r="B5339" s="11"/>
      <c r="C5339" s="26"/>
      <c r="M5339" s="71"/>
    </row>
    <row r="5340" spans="1:13" x14ac:dyDescent="0.25">
      <c r="A5340" s="2"/>
      <c r="B5340" s="11"/>
      <c r="C5340" s="26"/>
      <c r="M5340" s="71"/>
    </row>
    <row r="5341" spans="1:13" x14ac:dyDescent="0.25">
      <c r="A5341" s="2"/>
      <c r="B5341" s="11"/>
      <c r="C5341" s="26"/>
      <c r="M5341" s="71"/>
    </row>
    <row r="5342" spans="1:13" x14ac:dyDescent="0.25">
      <c r="A5342" s="2"/>
      <c r="B5342" s="11"/>
      <c r="C5342" s="26"/>
      <c r="M5342" s="71"/>
    </row>
    <row r="5343" spans="1:13" x14ac:dyDescent="0.25">
      <c r="A5343" s="2"/>
      <c r="B5343" s="11"/>
      <c r="C5343" s="26"/>
      <c r="M5343" s="71"/>
    </row>
    <row r="5344" spans="1:13" x14ac:dyDescent="0.25">
      <c r="A5344" s="2"/>
      <c r="B5344" s="11"/>
      <c r="C5344" s="26"/>
      <c r="M5344" s="71"/>
    </row>
    <row r="5345" spans="1:13" x14ac:dyDescent="0.25">
      <c r="A5345" s="2"/>
      <c r="B5345" s="11"/>
      <c r="C5345" s="26"/>
      <c r="M5345" s="71"/>
    </row>
    <row r="5346" spans="1:13" x14ac:dyDescent="0.25">
      <c r="A5346" s="2"/>
      <c r="B5346" s="11"/>
      <c r="C5346" s="26"/>
      <c r="M5346" s="71"/>
    </row>
    <row r="5347" spans="1:13" x14ac:dyDescent="0.25">
      <c r="A5347" s="2"/>
      <c r="B5347" s="11"/>
      <c r="C5347" s="26"/>
      <c r="M5347" s="71"/>
    </row>
    <row r="5348" spans="1:13" x14ac:dyDescent="0.25">
      <c r="A5348" s="2"/>
      <c r="B5348" s="11"/>
      <c r="C5348" s="26"/>
      <c r="M5348" s="71"/>
    </row>
    <row r="5349" spans="1:13" x14ac:dyDescent="0.25">
      <c r="A5349" s="2"/>
      <c r="B5349" s="11"/>
      <c r="C5349" s="26"/>
      <c r="M5349" s="71"/>
    </row>
    <row r="5350" spans="1:13" x14ac:dyDescent="0.25">
      <c r="A5350" s="2"/>
      <c r="B5350" s="11"/>
      <c r="C5350" s="26"/>
      <c r="M5350" s="71"/>
    </row>
    <row r="5351" spans="1:13" x14ac:dyDescent="0.25">
      <c r="A5351" s="2"/>
      <c r="B5351" s="11"/>
      <c r="C5351" s="26"/>
      <c r="M5351" s="71"/>
    </row>
    <row r="5352" spans="1:13" x14ac:dyDescent="0.25">
      <c r="A5352" s="2"/>
      <c r="B5352" s="11"/>
      <c r="C5352" s="26"/>
      <c r="M5352" s="71"/>
    </row>
    <row r="5353" spans="1:13" x14ac:dyDescent="0.25">
      <c r="A5353" s="2"/>
      <c r="B5353" s="11"/>
      <c r="C5353" s="26"/>
      <c r="M5353" s="71"/>
    </row>
    <row r="5354" spans="1:13" x14ac:dyDescent="0.25">
      <c r="A5354" s="2"/>
      <c r="B5354" s="11"/>
      <c r="C5354" s="26"/>
      <c r="M5354" s="71"/>
    </row>
    <row r="5355" spans="1:13" x14ac:dyDescent="0.25">
      <c r="A5355" s="2"/>
      <c r="B5355" s="11"/>
      <c r="C5355" s="26"/>
      <c r="M5355" s="71"/>
    </row>
    <row r="5356" spans="1:13" x14ac:dyDescent="0.25">
      <c r="A5356" s="2"/>
      <c r="B5356" s="11"/>
      <c r="C5356" s="26"/>
      <c r="M5356" s="71"/>
    </row>
    <row r="5357" spans="1:13" x14ac:dyDescent="0.25">
      <c r="A5357" s="2"/>
      <c r="B5357" s="11"/>
      <c r="C5357" s="26"/>
      <c r="M5357" s="71"/>
    </row>
    <row r="5358" spans="1:13" x14ac:dyDescent="0.25">
      <c r="A5358" s="2"/>
      <c r="B5358" s="11"/>
      <c r="C5358" s="26"/>
      <c r="M5358" s="71"/>
    </row>
    <row r="5359" spans="1:13" x14ac:dyDescent="0.25">
      <c r="A5359" s="2"/>
      <c r="B5359" s="11"/>
      <c r="C5359" s="26"/>
      <c r="M5359" s="71"/>
    </row>
    <row r="5360" spans="1:13" x14ac:dyDescent="0.25">
      <c r="A5360" s="2"/>
      <c r="B5360" s="11"/>
      <c r="C5360" s="26"/>
      <c r="M5360" s="71"/>
    </row>
    <row r="5361" spans="1:13" x14ac:dyDescent="0.25">
      <c r="A5361" s="2"/>
      <c r="B5361" s="11"/>
      <c r="C5361" s="26"/>
      <c r="M5361" s="71"/>
    </row>
    <row r="5362" spans="1:13" x14ac:dyDescent="0.25">
      <c r="A5362" s="2"/>
      <c r="B5362" s="11"/>
      <c r="C5362" s="26"/>
      <c r="M5362" s="71"/>
    </row>
    <row r="5363" spans="1:13" x14ac:dyDescent="0.25">
      <c r="A5363" s="2"/>
      <c r="B5363" s="11"/>
      <c r="C5363" s="26"/>
      <c r="M5363" s="71"/>
    </row>
    <row r="5364" spans="1:13" x14ac:dyDescent="0.25">
      <c r="A5364" s="2"/>
      <c r="B5364" s="11"/>
      <c r="C5364" s="26"/>
      <c r="M5364" s="71"/>
    </row>
    <row r="5365" spans="1:13" x14ac:dyDescent="0.25">
      <c r="A5365" s="2"/>
      <c r="B5365" s="11"/>
      <c r="C5365" s="26"/>
      <c r="M5365" s="71"/>
    </row>
    <row r="5366" spans="1:13" x14ac:dyDescent="0.25">
      <c r="A5366" s="2"/>
      <c r="B5366" s="11"/>
      <c r="C5366" s="26"/>
      <c r="M5366" s="71"/>
    </row>
    <row r="5367" spans="1:13" x14ac:dyDescent="0.25">
      <c r="A5367" s="2"/>
      <c r="B5367" s="11"/>
      <c r="C5367" s="26"/>
      <c r="M5367" s="71"/>
    </row>
    <row r="5368" spans="1:13" x14ac:dyDescent="0.25">
      <c r="A5368" s="2"/>
      <c r="B5368" s="11"/>
      <c r="C5368" s="26"/>
      <c r="M5368" s="71"/>
    </row>
    <row r="5369" spans="1:13" x14ac:dyDescent="0.25">
      <c r="A5369" s="2"/>
      <c r="B5369" s="11"/>
      <c r="C5369" s="26"/>
      <c r="M5369" s="71"/>
    </row>
    <row r="5370" spans="1:13" x14ac:dyDescent="0.25">
      <c r="A5370" s="2"/>
      <c r="B5370" s="11"/>
      <c r="C5370" s="26"/>
      <c r="M5370" s="71"/>
    </row>
    <row r="5371" spans="1:13" x14ac:dyDescent="0.25">
      <c r="A5371" s="2"/>
      <c r="B5371" s="11"/>
      <c r="C5371" s="26"/>
      <c r="M5371" s="71"/>
    </row>
    <row r="5372" spans="1:13" x14ac:dyDescent="0.25">
      <c r="A5372" s="2"/>
      <c r="B5372" s="11"/>
      <c r="C5372" s="26"/>
      <c r="M5372" s="71"/>
    </row>
    <row r="5373" spans="1:13" x14ac:dyDescent="0.25">
      <c r="A5373" s="2"/>
      <c r="B5373" s="11"/>
      <c r="C5373" s="26"/>
      <c r="M5373" s="71"/>
    </row>
    <row r="5374" spans="1:13" x14ac:dyDescent="0.25">
      <c r="A5374" s="2"/>
      <c r="B5374" s="11"/>
      <c r="C5374" s="26"/>
      <c r="M5374" s="71"/>
    </row>
    <row r="5375" spans="1:13" x14ac:dyDescent="0.25">
      <c r="A5375" s="2"/>
      <c r="B5375" s="11"/>
      <c r="C5375" s="26"/>
      <c r="M5375" s="71"/>
    </row>
    <row r="5376" spans="1:13" x14ac:dyDescent="0.25">
      <c r="A5376" s="2"/>
      <c r="B5376" s="11"/>
      <c r="C5376" s="26"/>
      <c r="M5376" s="71"/>
    </row>
    <row r="5377" spans="1:13" x14ac:dyDescent="0.25">
      <c r="A5377" s="2"/>
      <c r="B5377" s="11"/>
      <c r="C5377" s="26"/>
      <c r="M5377" s="71"/>
    </row>
    <row r="5378" spans="1:13" x14ac:dyDescent="0.25">
      <c r="A5378" s="2"/>
      <c r="B5378" s="11"/>
      <c r="C5378" s="26"/>
      <c r="M5378" s="71"/>
    </row>
    <row r="5379" spans="1:13" x14ac:dyDescent="0.25">
      <c r="A5379" s="2"/>
      <c r="B5379" s="11"/>
      <c r="C5379" s="26"/>
      <c r="M5379" s="71"/>
    </row>
    <row r="5380" spans="1:13" x14ac:dyDescent="0.25">
      <c r="A5380" s="2"/>
      <c r="B5380" s="11"/>
      <c r="C5380" s="26"/>
      <c r="M5380" s="71"/>
    </row>
    <row r="5381" spans="1:13" x14ac:dyDescent="0.25">
      <c r="A5381" s="2"/>
      <c r="B5381" s="11"/>
      <c r="C5381" s="26"/>
      <c r="M5381" s="71"/>
    </row>
    <row r="5382" spans="1:13" x14ac:dyDescent="0.25">
      <c r="A5382" s="2"/>
      <c r="B5382" s="11"/>
      <c r="C5382" s="26"/>
      <c r="M5382" s="71"/>
    </row>
    <row r="5383" spans="1:13" x14ac:dyDescent="0.25">
      <c r="A5383" s="2"/>
      <c r="B5383" s="11"/>
      <c r="C5383" s="26"/>
      <c r="M5383" s="71"/>
    </row>
    <row r="5384" spans="1:13" x14ac:dyDescent="0.25">
      <c r="A5384" s="2"/>
      <c r="B5384" s="11"/>
      <c r="C5384" s="26"/>
      <c r="M5384" s="71"/>
    </row>
    <row r="5385" spans="1:13" x14ac:dyDescent="0.25">
      <c r="A5385" s="2"/>
      <c r="B5385" s="11"/>
      <c r="C5385" s="26"/>
      <c r="M5385" s="71"/>
    </row>
    <row r="5386" spans="1:13" x14ac:dyDescent="0.25">
      <c r="A5386" s="2"/>
      <c r="B5386" s="11"/>
      <c r="C5386" s="26"/>
      <c r="M5386" s="71"/>
    </row>
    <row r="5387" spans="1:13" x14ac:dyDescent="0.25">
      <c r="A5387" s="2"/>
      <c r="B5387" s="11"/>
      <c r="C5387" s="26"/>
      <c r="M5387" s="71"/>
    </row>
    <row r="5388" spans="1:13" x14ac:dyDescent="0.25">
      <c r="A5388" s="2"/>
      <c r="B5388" s="11"/>
      <c r="C5388" s="26"/>
      <c r="M5388" s="71"/>
    </row>
    <row r="5389" spans="1:13" x14ac:dyDescent="0.25">
      <c r="A5389" s="2"/>
      <c r="B5389" s="11"/>
      <c r="C5389" s="26"/>
      <c r="M5389" s="71"/>
    </row>
    <row r="5390" spans="1:13" x14ac:dyDescent="0.25">
      <c r="A5390" s="2"/>
      <c r="B5390" s="11"/>
      <c r="C5390" s="26"/>
      <c r="M5390" s="71"/>
    </row>
    <row r="5391" spans="1:13" x14ac:dyDescent="0.25">
      <c r="A5391" s="2"/>
      <c r="B5391" s="11"/>
      <c r="C5391" s="26"/>
      <c r="M5391" s="71"/>
    </row>
    <row r="5392" spans="1:13" x14ac:dyDescent="0.25">
      <c r="A5392" s="2"/>
      <c r="B5392" s="11"/>
      <c r="C5392" s="26"/>
      <c r="M5392" s="71"/>
    </row>
    <row r="5393" spans="1:13" x14ac:dyDescent="0.25">
      <c r="A5393" s="2"/>
      <c r="B5393" s="11"/>
      <c r="C5393" s="26"/>
      <c r="M5393" s="71"/>
    </row>
    <row r="5394" spans="1:13" x14ac:dyDescent="0.25">
      <c r="A5394" s="2"/>
      <c r="B5394" s="11"/>
      <c r="C5394" s="26"/>
      <c r="M5394" s="71"/>
    </row>
    <row r="5395" spans="1:13" x14ac:dyDescent="0.25">
      <c r="A5395" s="2"/>
      <c r="B5395" s="11"/>
      <c r="C5395" s="26"/>
      <c r="M5395" s="71"/>
    </row>
    <row r="5396" spans="1:13" x14ac:dyDescent="0.25">
      <c r="A5396" s="2"/>
      <c r="B5396" s="11"/>
      <c r="C5396" s="26"/>
      <c r="M5396" s="71"/>
    </row>
    <row r="5397" spans="1:13" x14ac:dyDescent="0.25">
      <c r="A5397" s="2"/>
      <c r="B5397" s="11"/>
      <c r="C5397" s="26"/>
      <c r="M5397" s="71"/>
    </row>
    <row r="5398" spans="1:13" x14ac:dyDescent="0.25">
      <c r="A5398" s="2"/>
      <c r="B5398" s="11"/>
      <c r="C5398" s="26"/>
      <c r="M5398" s="71"/>
    </row>
    <row r="5399" spans="1:13" x14ac:dyDescent="0.25">
      <c r="A5399" s="2"/>
      <c r="B5399" s="11"/>
      <c r="C5399" s="26"/>
      <c r="M5399" s="71"/>
    </row>
    <row r="5400" spans="1:13" x14ac:dyDescent="0.25">
      <c r="A5400" s="2"/>
      <c r="B5400" s="11"/>
      <c r="C5400" s="26"/>
      <c r="M5400" s="71"/>
    </row>
    <row r="5401" spans="1:13" x14ac:dyDescent="0.25">
      <c r="A5401" s="2"/>
      <c r="B5401" s="11"/>
      <c r="C5401" s="26"/>
      <c r="M5401" s="71"/>
    </row>
    <row r="5402" spans="1:13" x14ac:dyDescent="0.25">
      <c r="A5402" s="2"/>
      <c r="B5402" s="11"/>
      <c r="C5402" s="26"/>
      <c r="M5402" s="71"/>
    </row>
    <row r="5403" spans="1:13" x14ac:dyDescent="0.25">
      <c r="A5403" s="2"/>
      <c r="B5403" s="11"/>
      <c r="C5403" s="26"/>
      <c r="M5403" s="71"/>
    </row>
    <row r="5404" spans="1:13" x14ac:dyDescent="0.25">
      <c r="A5404" s="2"/>
      <c r="B5404" s="11"/>
      <c r="C5404" s="26"/>
      <c r="M5404" s="71"/>
    </row>
    <row r="5405" spans="1:13" x14ac:dyDescent="0.25">
      <c r="A5405" s="2"/>
      <c r="B5405" s="11"/>
      <c r="C5405" s="26"/>
      <c r="M5405" s="71"/>
    </row>
    <row r="5406" spans="1:13" x14ac:dyDescent="0.25">
      <c r="A5406" s="2"/>
      <c r="B5406" s="11"/>
      <c r="C5406" s="26"/>
      <c r="M5406" s="71"/>
    </row>
    <row r="5407" spans="1:13" x14ac:dyDescent="0.25">
      <c r="A5407" s="2"/>
      <c r="B5407" s="11"/>
      <c r="C5407" s="26"/>
      <c r="M5407" s="71"/>
    </row>
    <row r="5408" spans="1:13" x14ac:dyDescent="0.25">
      <c r="A5408" s="2"/>
      <c r="B5408" s="11"/>
      <c r="C5408" s="26"/>
      <c r="M5408" s="71"/>
    </row>
    <row r="5409" spans="1:13" x14ac:dyDescent="0.25">
      <c r="A5409" s="2"/>
      <c r="B5409" s="11"/>
      <c r="C5409" s="26"/>
      <c r="M5409" s="71"/>
    </row>
    <row r="5410" spans="1:13" x14ac:dyDescent="0.25">
      <c r="A5410" s="2"/>
      <c r="B5410" s="11"/>
      <c r="C5410" s="26"/>
      <c r="M5410" s="71"/>
    </row>
    <row r="5411" spans="1:13" x14ac:dyDescent="0.25">
      <c r="A5411" s="2"/>
      <c r="B5411" s="11"/>
      <c r="C5411" s="26"/>
      <c r="M5411" s="71"/>
    </row>
    <row r="5412" spans="1:13" x14ac:dyDescent="0.25">
      <c r="A5412" s="2"/>
      <c r="B5412" s="11"/>
      <c r="C5412" s="26"/>
      <c r="M5412" s="71"/>
    </row>
    <row r="5413" spans="1:13" x14ac:dyDescent="0.25">
      <c r="A5413" s="2"/>
      <c r="B5413" s="11"/>
      <c r="C5413" s="26"/>
      <c r="M5413" s="71"/>
    </row>
    <row r="5414" spans="1:13" x14ac:dyDescent="0.25">
      <c r="A5414" s="2"/>
      <c r="B5414" s="11"/>
      <c r="C5414" s="26"/>
      <c r="M5414" s="71"/>
    </row>
    <row r="5415" spans="1:13" x14ac:dyDescent="0.25">
      <c r="A5415" s="2"/>
      <c r="B5415" s="11"/>
      <c r="C5415" s="26"/>
      <c r="M5415" s="71"/>
    </row>
    <row r="5416" spans="1:13" x14ac:dyDescent="0.25">
      <c r="A5416" s="2"/>
      <c r="B5416" s="11"/>
      <c r="C5416" s="26"/>
      <c r="M5416" s="71"/>
    </row>
    <row r="5417" spans="1:13" x14ac:dyDescent="0.25">
      <c r="A5417" s="2"/>
      <c r="B5417" s="11"/>
      <c r="C5417" s="26"/>
      <c r="M5417" s="71"/>
    </row>
    <row r="5418" spans="1:13" x14ac:dyDescent="0.25">
      <c r="A5418" s="2"/>
      <c r="B5418" s="11"/>
      <c r="C5418" s="26"/>
      <c r="M5418" s="71"/>
    </row>
    <row r="5419" spans="1:13" x14ac:dyDescent="0.25">
      <c r="A5419" s="2"/>
      <c r="B5419" s="11"/>
      <c r="C5419" s="26"/>
      <c r="M5419" s="71"/>
    </row>
    <row r="5420" spans="1:13" x14ac:dyDescent="0.25">
      <c r="A5420" s="2"/>
      <c r="B5420" s="11"/>
      <c r="C5420" s="26"/>
      <c r="M5420" s="71"/>
    </row>
    <row r="5421" spans="1:13" x14ac:dyDescent="0.25">
      <c r="A5421" s="2"/>
      <c r="B5421" s="11"/>
      <c r="C5421" s="26"/>
      <c r="M5421" s="71"/>
    </row>
    <row r="5422" spans="1:13" x14ac:dyDescent="0.25">
      <c r="A5422" s="2"/>
      <c r="B5422" s="11"/>
      <c r="C5422" s="26"/>
      <c r="M5422" s="71"/>
    </row>
    <row r="5423" spans="1:13" x14ac:dyDescent="0.25">
      <c r="A5423" s="2"/>
      <c r="B5423" s="11"/>
      <c r="C5423" s="26"/>
      <c r="M5423" s="71"/>
    </row>
    <row r="5424" spans="1:13" x14ac:dyDescent="0.25">
      <c r="A5424" s="2"/>
      <c r="B5424" s="11"/>
      <c r="C5424" s="26"/>
      <c r="M5424" s="71"/>
    </row>
    <row r="5425" spans="1:13" x14ac:dyDescent="0.25">
      <c r="A5425" s="2"/>
      <c r="B5425" s="11"/>
      <c r="C5425" s="26"/>
      <c r="M5425" s="71"/>
    </row>
    <row r="5426" spans="1:13" x14ac:dyDescent="0.25">
      <c r="A5426" s="2"/>
      <c r="B5426" s="11"/>
      <c r="C5426" s="26"/>
      <c r="M5426" s="71"/>
    </row>
    <row r="5427" spans="1:13" x14ac:dyDescent="0.25">
      <c r="A5427" s="2"/>
      <c r="B5427" s="11"/>
      <c r="C5427" s="26"/>
      <c r="M5427" s="71"/>
    </row>
    <row r="5428" spans="1:13" x14ac:dyDescent="0.25">
      <c r="A5428" s="2"/>
      <c r="B5428" s="11"/>
      <c r="C5428" s="26"/>
      <c r="M5428" s="71"/>
    </row>
    <row r="5429" spans="1:13" x14ac:dyDescent="0.25">
      <c r="A5429" s="2"/>
      <c r="B5429" s="11"/>
      <c r="C5429" s="26"/>
      <c r="M5429" s="71"/>
    </row>
    <row r="5430" spans="1:13" x14ac:dyDescent="0.25">
      <c r="A5430" s="2"/>
      <c r="B5430" s="11"/>
      <c r="C5430" s="26"/>
      <c r="M5430" s="71"/>
    </row>
    <row r="5431" spans="1:13" x14ac:dyDescent="0.25">
      <c r="A5431" s="2"/>
      <c r="B5431" s="11"/>
      <c r="C5431" s="26"/>
      <c r="M5431" s="71"/>
    </row>
    <row r="5432" spans="1:13" x14ac:dyDescent="0.25">
      <c r="A5432" s="2"/>
      <c r="B5432" s="11"/>
      <c r="C5432" s="26"/>
      <c r="M5432" s="71"/>
    </row>
    <row r="5433" spans="1:13" x14ac:dyDescent="0.25">
      <c r="A5433" s="2"/>
      <c r="B5433" s="11"/>
      <c r="C5433" s="26"/>
      <c r="M5433" s="71"/>
    </row>
    <row r="5434" spans="1:13" x14ac:dyDescent="0.25">
      <c r="A5434" s="2"/>
      <c r="B5434" s="11"/>
      <c r="C5434" s="26"/>
      <c r="M5434" s="71"/>
    </row>
    <row r="5435" spans="1:13" x14ac:dyDescent="0.25">
      <c r="A5435" s="2"/>
      <c r="B5435" s="11"/>
      <c r="C5435" s="26"/>
      <c r="M5435" s="71"/>
    </row>
    <row r="5436" spans="1:13" x14ac:dyDescent="0.25">
      <c r="A5436" s="2"/>
      <c r="B5436" s="11"/>
      <c r="C5436" s="26"/>
      <c r="M5436" s="71"/>
    </row>
    <row r="5437" spans="1:13" x14ac:dyDescent="0.25">
      <c r="A5437" s="2"/>
      <c r="B5437" s="11"/>
      <c r="C5437" s="26"/>
      <c r="M5437" s="71"/>
    </row>
    <row r="5438" spans="1:13" x14ac:dyDescent="0.25">
      <c r="A5438" s="2"/>
      <c r="B5438" s="11"/>
      <c r="C5438" s="26"/>
      <c r="M5438" s="71"/>
    </row>
    <row r="5439" spans="1:13" x14ac:dyDescent="0.25">
      <c r="A5439" s="2"/>
      <c r="B5439" s="11"/>
      <c r="C5439" s="26"/>
      <c r="M5439" s="71"/>
    </row>
    <row r="5440" spans="1:13" x14ac:dyDescent="0.25">
      <c r="A5440" s="2"/>
      <c r="B5440" s="11"/>
      <c r="C5440" s="26"/>
      <c r="M5440" s="71"/>
    </row>
    <row r="5441" spans="1:13" x14ac:dyDescent="0.25">
      <c r="A5441" s="2"/>
      <c r="B5441" s="11"/>
      <c r="C5441" s="26"/>
      <c r="M5441" s="71"/>
    </row>
    <row r="5442" spans="1:13" x14ac:dyDescent="0.25">
      <c r="A5442" s="2"/>
      <c r="B5442" s="11"/>
      <c r="C5442" s="26"/>
      <c r="M5442" s="71"/>
    </row>
    <row r="5443" spans="1:13" x14ac:dyDescent="0.25">
      <c r="A5443" s="2"/>
      <c r="B5443" s="11"/>
      <c r="C5443" s="26"/>
      <c r="M5443" s="71"/>
    </row>
    <row r="5444" spans="1:13" x14ac:dyDescent="0.25">
      <c r="A5444" s="2"/>
      <c r="B5444" s="11"/>
      <c r="C5444" s="26"/>
      <c r="M5444" s="71"/>
    </row>
    <row r="5445" spans="1:13" x14ac:dyDescent="0.25">
      <c r="A5445" s="2"/>
      <c r="B5445" s="11"/>
      <c r="C5445" s="26"/>
      <c r="M5445" s="71"/>
    </row>
    <row r="5446" spans="1:13" x14ac:dyDescent="0.25">
      <c r="A5446" s="2"/>
      <c r="B5446" s="11"/>
      <c r="C5446" s="26"/>
      <c r="M5446" s="71"/>
    </row>
    <row r="5447" spans="1:13" x14ac:dyDescent="0.25">
      <c r="A5447" s="2"/>
      <c r="B5447" s="11"/>
      <c r="C5447" s="26"/>
      <c r="M5447" s="71"/>
    </row>
    <row r="5448" spans="1:13" x14ac:dyDescent="0.25">
      <c r="A5448" s="2"/>
      <c r="B5448" s="11"/>
      <c r="C5448" s="26"/>
      <c r="M5448" s="71"/>
    </row>
    <row r="5449" spans="1:13" x14ac:dyDescent="0.25">
      <c r="A5449" s="2"/>
      <c r="B5449" s="11"/>
      <c r="C5449" s="26"/>
      <c r="M5449" s="71"/>
    </row>
    <row r="5450" spans="1:13" x14ac:dyDescent="0.25">
      <c r="A5450" s="2"/>
      <c r="B5450" s="11"/>
      <c r="C5450" s="26"/>
      <c r="M5450" s="71"/>
    </row>
    <row r="5451" spans="1:13" x14ac:dyDescent="0.25">
      <c r="A5451" s="2"/>
      <c r="B5451" s="11"/>
      <c r="C5451" s="26"/>
      <c r="M5451" s="71"/>
    </row>
    <row r="5452" spans="1:13" x14ac:dyDescent="0.25">
      <c r="A5452" s="2"/>
      <c r="B5452" s="11"/>
      <c r="C5452" s="26"/>
      <c r="M5452" s="71"/>
    </row>
    <row r="5453" spans="1:13" x14ac:dyDescent="0.25">
      <c r="A5453" s="2"/>
      <c r="B5453" s="11"/>
      <c r="C5453" s="26"/>
      <c r="M5453" s="71"/>
    </row>
    <row r="5454" spans="1:13" x14ac:dyDescent="0.25">
      <c r="A5454" s="2"/>
      <c r="B5454" s="11"/>
      <c r="C5454" s="26"/>
      <c r="M5454" s="71"/>
    </row>
    <row r="5455" spans="1:13" x14ac:dyDescent="0.25">
      <c r="A5455" s="2"/>
      <c r="B5455" s="11"/>
      <c r="C5455" s="26"/>
      <c r="M5455" s="71"/>
    </row>
    <row r="5456" spans="1:13" x14ac:dyDescent="0.25">
      <c r="A5456" s="2"/>
      <c r="B5456" s="11"/>
      <c r="C5456" s="26"/>
      <c r="M5456" s="71"/>
    </row>
    <row r="5457" spans="1:13" x14ac:dyDescent="0.25">
      <c r="A5457" s="2"/>
      <c r="B5457" s="11"/>
      <c r="C5457" s="26"/>
      <c r="M5457" s="71"/>
    </row>
    <row r="5458" spans="1:13" x14ac:dyDescent="0.25">
      <c r="A5458" s="2"/>
      <c r="B5458" s="11"/>
      <c r="C5458" s="26"/>
      <c r="M5458" s="71"/>
    </row>
    <row r="5459" spans="1:13" x14ac:dyDescent="0.25">
      <c r="A5459" s="2"/>
      <c r="B5459" s="11"/>
      <c r="C5459" s="26"/>
      <c r="M5459" s="71"/>
    </row>
    <row r="5460" spans="1:13" x14ac:dyDescent="0.25">
      <c r="A5460" s="2"/>
      <c r="B5460" s="11"/>
      <c r="C5460" s="26"/>
      <c r="M5460" s="71"/>
    </row>
    <row r="5461" spans="1:13" x14ac:dyDescent="0.25">
      <c r="A5461" s="2"/>
      <c r="B5461" s="11"/>
      <c r="C5461" s="26"/>
      <c r="M5461" s="71"/>
    </row>
    <row r="5462" spans="1:13" x14ac:dyDescent="0.25">
      <c r="A5462" s="2"/>
      <c r="B5462" s="11"/>
      <c r="C5462" s="26"/>
      <c r="M5462" s="71"/>
    </row>
    <row r="5463" spans="1:13" x14ac:dyDescent="0.25">
      <c r="A5463" s="2"/>
      <c r="B5463" s="11"/>
      <c r="C5463" s="26"/>
      <c r="M5463" s="71"/>
    </row>
    <row r="5464" spans="1:13" x14ac:dyDescent="0.25">
      <c r="A5464" s="2"/>
      <c r="B5464" s="11"/>
      <c r="C5464" s="26"/>
      <c r="M5464" s="71"/>
    </row>
    <row r="5465" spans="1:13" x14ac:dyDescent="0.25">
      <c r="A5465" s="2"/>
      <c r="B5465" s="11"/>
      <c r="C5465" s="26"/>
      <c r="M5465" s="71"/>
    </row>
    <row r="5466" spans="1:13" x14ac:dyDescent="0.25">
      <c r="A5466" s="2"/>
      <c r="B5466" s="11"/>
      <c r="C5466" s="26"/>
      <c r="M5466" s="71"/>
    </row>
    <row r="5467" spans="1:13" x14ac:dyDescent="0.25">
      <c r="A5467" s="2"/>
      <c r="B5467" s="11"/>
      <c r="C5467" s="26"/>
      <c r="M5467" s="71"/>
    </row>
    <row r="5468" spans="1:13" x14ac:dyDescent="0.25">
      <c r="A5468" s="2"/>
      <c r="B5468" s="11"/>
      <c r="C5468" s="26"/>
      <c r="M5468" s="71"/>
    </row>
    <row r="5469" spans="1:13" x14ac:dyDescent="0.25">
      <c r="A5469" s="2"/>
      <c r="B5469" s="11"/>
      <c r="C5469" s="26"/>
      <c r="M5469" s="71"/>
    </row>
    <row r="5470" spans="1:13" x14ac:dyDescent="0.25">
      <c r="A5470" s="2"/>
      <c r="B5470" s="11"/>
      <c r="C5470" s="26"/>
      <c r="M5470" s="71"/>
    </row>
    <row r="5471" spans="1:13" x14ac:dyDescent="0.25">
      <c r="A5471" s="2"/>
      <c r="B5471" s="11"/>
      <c r="C5471" s="26"/>
      <c r="M5471" s="71"/>
    </row>
    <row r="5472" spans="1:13" x14ac:dyDescent="0.25">
      <c r="A5472" s="2"/>
      <c r="B5472" s="11"/>
      <c r="C5472" s="26"/>
      <c r="M5472" s="71"/>
    </row>
    <row r="5473" spans="1:13" x14ac:dyDescent="0.25">
      <c r="A5473" s="2"/>
      <c r="B5473" s="11"/>
      <c r="C5473" s="26"/>
      <c r="M5473" s="71"/>
    </row>
    <row r="5474" spans="1:13" x14ac:dyDescent="0.25">
      <c r="A5474" s="2"/>
      <c r="B5474" s="11"/>
      <c r="C5474" s="26"/>
      <c r="M5474" s="71"/>
    </row>
    <row r="5475" spans="1:13" x14ac:dyDescent="0.25">
      <c r="A5475" s="2"/>
      <c r="B5475" s="11"/>
      <c r="C5475" s="26"/>
      <c r="M5475" s="71"/>
    </row>
    <row r="5476" spans="1:13" x14ac:dyDescent="0.25">
      <c r="A5476" s="2"/>
      <c r="B5476" s="11"/>
      <c r="C5476" s="26"/>
      <c r="M5476" s="71"/>
    </row>
    <row r="5477" spans="1:13" x14ac:dyDescent="0.25">
      <c r="A5477" s="2"/>
      <c r="B5477" s="11"/>
      <c r="C5477" s="26"/>
      <c r="M5477" s="71"/>
    </row>
    <row r="5478" spans="1:13" x14ac:dyDescent="0.25">
      <c r="A5478" s="2"/>
      <c r="B5478" s="11"/>
      <c r="C5478" s="26"/>
      <c r="M5478" s="71"/>
    </row>
    <row r="5479" spans="1:13" x14ac:dyDescent="0.25">
      <c r="A5479" s="2"/>
      <c r="B5479" s="11"/>
      <c r="C5479" s="26"/>
      <c r="M5479" s="71"/>
    </row>
    <row r="5480" spans="1:13" x14ac:dyDescent="0.25">
      <c r="A5480" s="2"/>
      <c r="B5480" s="11"/>
      <c r="C5480" s="26"/>
      <c r="M5480" s="71"/>
    </row>
    <row r="5481" spans="1:13" x14ac:dyDescent="0.25">
      <c r="A5481" s="2"/>
      <c r="B5481" s="11"/>
      <c r="C5481" s="26"/>
      <c r="M5481" s="71"/>
    </row>
    <row r="5482" spans="1:13" x14ac:dyDescent="0.25">
      <c r="A5482" s="2"/>
      <c r="B5482" s="11"/>
      <c r="C5482" s="26"/>
      <c r="M5482" s="71"/>
    </row>
    <row r="5483" spans="1:13" x14ac:dyDescent="0.25">
      <c r="A5483" s="2"/>
      <c r="B5483" s="11"/>
      <c r="C5483" s="26"/>
      <c r="M5483" s="71"/>
    </row>
    <row r="5484" spans="1:13" x14ac:dyDescent="0.25">
      <c r="A5484" s="2"/>
      <c r="B5484" s="11"/>
      <c r="C5484" s="26"/>
      <c r="M5484" s="71"/>
    </row>
    <row r="5485" spans="1:13" x14ac:dyDescent="0.25">
      <c r="A5485" s="2"/>
      <c r="B5485" s="11"/>
      <c r="C5485" s="26"/>
      <c r="M5485" s="71"/>
    </row>
    <row r="5486" spans="1:13" x14ac:dyDescent="0.25">
      <c r="A5486" s="2"/>
      <c r="B5486" s="11"/>
      <c r="C5486" s="26"/>
      <c r="M5486" s="71"/>
    </row>
    <row r="5487" spans="1:13" x14ac:dyDescent="0.25">
      <c r="A5487" s="2"/>
      <c r="B5487" s="11"/>
      <c r="C5487" s="26"/>
      <c r="M5487" s="71"/>
    </row>
    <row r="5488" spans="1:13" x14ac:dyDescent="0.25">
      <c r="A5488" s="2"/>
      <c r="B5488" s="11"/>
      <c r="C5488" s="26"/>
      <c r="M5488" s="71"/>
    </row>
    <row r="5489" spans="1:13" x14ac:dyDescent="0.25">
      <c r="A5489" s="2"/>
      <c r="B5489" s="11"/>
      <c r="C5489" s="26"/>
      <c r="M5489" s="71"/>
    </row>
    <row r="5490" spans="1:13" x14ac:dyDescent="0.25">
      <c r="A5490" s="2"/>
      <c r="B5490" s="11"/>
      <c r="C5490" s="26"/>
      <c r="M5490" s="71"/>
    </row>
    <row r="5491" spans="1:13" x14ac:dyDescent="0.25">
      <c r="A5491" s="2"/>
      <c r="B5491" s="11"/>
      <c r="C5491" s="26"/>
      <c r="M5491" s="71"/>
    </row>
    <row r="5492" spans="1:13" x14ac:dyDescent="0.25">
      <c r="A5492" s="2"/>
      <c r="B5492" s="11"/>
      <c r="C5492" s="26"/>
      <c r="M5492" s="71"/>
    </row>
    <row r="5493" spans="1:13" x14ac:dyDescent="0.25">
      <c r="A5493" s="2"/>
      <c r="B5493" s="11"/>
      <c r="C5493" s="26"/>
      <c r="M5493" s="71"/>
    </row>
    <row r="5494" spans="1:13" x14ac:dyDescent="0.25">
      <c r="A5494" s="2"/>
      <c r="B5494" s="11"/>
      <c r="C5494" s="26"/>
      <c r="M5494" s="71"/>
    </row>
    <row r="5495" spans="1:13" x14ac:dyDescent="0.25">
      <c r="A5495" s="2"/>
      <c r="B5495" s="11"/>
      <c r="C5495" s="26"/>
      <c r="M5495" s="71"/>
    </row>
    <row r="5496" spans="1:13" x14ac:dyDescent="0.25">
      <c r="A5496" s="2"/>
      <c r="B5496" s="11"/>
      <c r="C5496" s="26"/>
      <c r="M5496" s="71"/>
    </row>
    <row r="5497" spans="1:13" x14ac:dyDescent="0.25">
      <c r="A5497" s="2"/>
      <c r="B5497" s="11"/>
      <c r="C5497" s="26"/>
      <c r="M5497" s="71"/>
    </row>
    <row r="5498" spans="1:13" x14ac:dyDescent="0.25">
      <c r="A5498" s="2"/>
      <c r="B5498" s="11"/>
      <c r="C5498" s="26"/>
      <c r="M5498" s="71"/>
    </row>
    <row r="5499" spans="1:13" x14ac:dyDescent="0.25">
      <c r="A5499" s="2"/>
      <c r="B5499" s="11"/>
      <c r="C5499" s="26"/>
      <c r="M5499" s="71"/>
    </row>
    <row r="5500" spans="1:13" x14ac:dyDescent="0.25">
      <c r="A5500" s="2"/>
      <c r="B5500" s="11"/>
      <c r="C5500" s="26"/>
      <c r="M5500" s="71"/>
    </row>
    <row r="5501" spans="1:13" x14ac:dyDescent="0.25">
      <c r="A5501" s="2"/>
      <c r="B5501" s="11"/>
      <c r="C5501" s="26"/>
      <c r="M5501" s="71"/>
    </row>
    <row r="5502" spans="1:13" x14ac:dyDescent="0.25">
      <c r="A5502" s="2"/>
      <c r="B5502" s="11"/>
      <c r="C5502" s="26"/>
      <c r="M5502" s="71"/>
    </row>
    <row r="5503" spans="1:13" x14ac:dyDescent="0.25">
      <c r="A5503" s="2"/>
      <c r="B5503" s="11"/>
      <c r="C5503" s="26"/>
      <c r="M5503" s="71"/>
    </row>
    <row r="5504" spans="1:13" x14ac:dyDescent="0.25">
      <c r="A5504" s="2"/>
      <c r="B5504" s="11"/>
      <c r="C5504" s="26"/>
      <c r="M5504" s="71"/>
    </row>
    <row r="5505" spans="1:13" x14ac:dyDescent="0.25">
      <c r="A5505" s="2"/>
      <c r="B5505" s="11"/>
      <c r="C5505" s="26"/>
      <c r="M5505" s="71"/>
    </row>
    <row r="5506" spans="1:13" x14ac:dyDescent="0.25">
      <c r="A5506" s="2"/>
      <c r="B5506" s="11"/>
      <c r="C5506" s="26"/>
      <c r="M5506" s="71"/>
    </row>
    <row r="5507" spans="1:13" x14ac:dyDescent="0.25">
      <c r="A5507" s="2"/>
      <c r="B5507" s="11"/>
      <c r="C5507" s="26"/>
      <c r="M5507" s="71"/>
    </row>
    <row r="5508" spans="1:13" x14ac:dyDescent="0.25">
      <c r="A5508" s="2"/>
      <c r="B5508" s="11"/>
      <c r="C5508" s="26"/>
      <c r="M5508" s="71"/>
    </row>
    <row r="5509" spans="1:13" x14ac:dyDescent="0.25">
      <c r="A5509" s="2"/>
      <c r="B5509" s="11"/>
      <c r="C5509" s="26"/>
      <c r="M5509" s="71"/>
    </row>
    <row r="5510" spans="1:13" x14ac:dyDescent="0.25">
      <c r="A5510" s="2"/>
      <c r="B5510" s="11"/>
      <c r="C5510" s="26"/>
      <c r="M5510" s="71"/>
    </row>
    <row r="5511" spans="1:13" x14ac:dyDescent="0.25">
      <c r="A5511" s="2"/>
      <c r="B5511" s="11"/>
      <c r="C5511" s="26"/>
      <c r="M5511" s="71"/>
    </row>
    <row r="5512" spans="1:13" x14ac:dyDescent="0.25">
      <c r="A5512" s="2"/>
      <c r="B5512" s="11"/>
      <c r="C5512" s="26"/>
      <c r="M5512" s="71"/>
    </row>
    <row r="5513" spans="1:13" x14ac:dyDescent="0.25">
      <c r="A5513" s="2"/>
      <c r="B5513" s="11"/>
      <c r="C5513" s="26"/>
      <c r="M5513" s="71"/>
    </row>
    <row r="5514" spans="1:13" x14ac:dyDescent="0.25">
      <c r="A5514" s="2"/>
      <c r="B5514" s="11"/>
      <c r="C5514" s="26"/>
      <c r="M5514" s="71"/>
    </row>
    <row r="5515" spans="1:13" x14ac:dyDescent="0.25">
      <c r="A5515" s="2"/>
      <c r="B5515" s="11"/>
      <c r="C5515" s="26"/>
      <c r="M5515" s="71"/>
    </row>
    <row r="5516" spans="1:13" x14ac:dyDescent="0.25">
      <c r="A5516" s="2"/>
      <c r="B5516" s="11"/>
      <c r="C5516" s="26"/>
      <c r="M5516" s="71"/>
    </row>
    <row r="5517" spans="1:13" x14ac:dyDescent="0.25">
      <c r="A5517" s="2"/>
      <c r="B5517" s="11"/>
      <c r="C5517" s="26"/>
      <c r="M5517" s="71"/>
    </row>
    <row r="5518" spans="1:13" x14ac:dyDescent="0.25">
      <c r="A5518" s="2"/>
      <c r="B5518" s="11"/>
      <c r="C5518" s="26"/>
      <c r="M5518" s="71"/>
    </row>
    <row r="5519" spans="1:13" x14ac:dyDescent="0.25">
      <c r="A5519" s="2"/>
      <c r="B5519" s="11"/>
      <c r="C5519" s="26"/>
      <c r="M5519" s="71"/>
    </row>
    <row r="5520" spans="1:13" x14ac:dyDescent="0.25">
      <c r="A5520" s="2"/>
      <c r="B5520" s="11"/>
      <c r="C5520" s="26"/>
      <c r="M5520" s="71"/>
    </row>
    <row r="5521" spans="1:13" x14ac:dyDescent="0.25">
      <c r="A5521" s="2"/>
      <c r="B5521" s="11"/>
      <c r="C5521" s="26"/>
      <c r="M5521" s="71"/>
    </row>
    <row r="5522" spans="1:13" x14ac:dyDescent="0.25">
      <c r="A5522" s="2"/>
      <c r="B5522" s="11"/>
      <c r="C5522" s="26"/>
      <c r="M5522" s="71"/>
    </row>
    <row r="5523" spans="1:13" x14ac:dyDescent="0.25">
      <c r="A5523" s="2"/>
      <c r="B5523" s="11"/>
      <c r="C5523" s="26"/>
      <c r="M5523" s="71"/>
    </row>
    <row r="5524" spans="1:13" x14ac:dyDescent="0.25">
      <c r="A5524" s="2"/>
      <c r="B5524" s="11"/>
      <c r="C5524" s="26"/>
      <c r="M5524" s="71"/>
    </row>
    <row r="5525" spans="1:13" x14ac:dyDescent="0.25">
      <c r="A5525" s="2"/>
      <c r="B5525" s="11"/>
      <c r="C5525" s="26"/>
      <c r="M5525" s="71"/>
    </row>
    <row r="5526" spans="1:13" x14ac:dyDescent="0.25">
      <c r="A5526" s="2"/>
      <c r="B5526" s="11"/>
      <c r="C5526" s="26"/>
      <c r="M5526" s="71"/>
    </row>
    <row r="5527" spans="1:13" x14ac:dyDescent="0.25">
      <c r="A5527" s="2"/>
      <c r="B5527" s="11"/>
      <c r="C5527" s="26"/>
      <c r="M5527" s="71"/>
    </row>
    <row r="5528" spans="1:13" x14ac:dyDescent="0.25">
      <c r="A5528" s="2"/>
      <c r="B5528" s="11"/>
      <c r="C5528" s="26"/>
      <c r="M5528" s="71"/>
    </row>
    <row r="5529" spans="1:13" x14ac:dyDescent="0.25">
      <c r="A5529" s="2"/>
      <c r="B5529" s="11"/>
      <c r="C5529" s="26"/>
      <c r="M5529" s="71"/>
    </row>
    <row r="5530" spans="1:13" x14ac:dyDescent="0.25">
      <c r="A5530" s="2"/>
      <c r="B5530" s="11"/>
      <c r="C5530" s="26"/>
      <c r="M5530" s="71"/>
    </row>
    <row r="5531" spans="1:13" x14ac:dyDescent="0.25">
      <c r="A5531" s="2"/>
      <c r="B5531" s="11"/>
      <c r="C5531" s="26"/>
      <c r="M5531" s="71"/>
    </row>
    <row r="5532" spans="1:13" x14ac:dyDescent="0.25">
      <c r="A5532" s="2"/>
      <c r="B5532" s="11"/>
      <c r="C5532" s="26"/>
      <c r="M5532" s="71"/>
    </row>
    <row r="5533" spans="1:13" x14ac:dyDescent="0.25">
      <c r="A5533" s="2"/>
      <c r="B5533" s="11"/>
      <c r="C5533" s="26"/>
      <c r="M5533" s="71"/>
    </row>
    <row r="5534" spans="1:13" x14ac:dyDescent="0.25">
      <c r="A5534" s="2"/>
      <c r="B5534" s="11"/>
      <c r="C5534" s="26"/>
      <c r="M5534" s="71"/>
    </row>
    <row r="5535" spans="1:13" x14ac:dyDescent="0.25">
      <c r="A5535" s="2"/>
      <c r="B5535" s="11"/>
      <c r="C5535" s="26"/>
      <c r="M5535" s="71"/>
    </row>
    <row r="5536" spans="1:13" x14ac:dyDescent="0.25">
      <c r="A5536" s="2"/>
      <c r="B5536" s="11"/>
      <c r="C5536" s="26"/>
      <c r="M5536" s="71"/>
    </row>
    <row r="5537" spans="1:13" x14ac:dyDescent="0.25">
      <c r="A5537" s="2"/>
      <c r="B5537" s="11"/>
      <c r="C5537" s="26"/>
      <c r="M5537" s="71"/>
    </row>
    <row r="5538" spans="1:13" x14ac:dyDescent="0.25">
      <c r="A5538" s="2"/>
      <c r="B5538" s="11"/>
      <c r="C5538" s="26"/>
      <c r="M5538" s="71"/>
    </row>
    <row r="5539" spans="1:13" x14ac:dyDescent="0.25">
      <c r="A5539" s="2"/>
      <c r="B5539" s="11"/>
      <c r="C5539" s="26"/>
      <c r="M5539" s="71"/>
    </row>
    <row r="5540" spans="1:13" x14ac:dyDescent="0.25">
      <c r="A5540" s="2"/>
      <c r="B5540" s="11"/>
      <c r="C5540" s="26"/>
      <c r="M5540" s="71"/>
    </row>
    <row r="5541" spans="1:13" x14ac:dyDescent="0.25">
      <c r="A5541" s="2"/>
      <c r="B5541" s="11"/>
      <c r="C5541" s="26"/>
      <c r="M5541" s="71"/>
    </row>
    <row r="5542" spans="1:13" x14ac:dyDescent="0.25">
      <c r="A5542" s="2"/>
      <c r="B5542" s="11"/>
      <c r="C5542" s="26"/>
      <c r="M5542" s="71"/>
    </row>
    <row r="5543" spans="1:13" x14ac:dyDescent="0.25">
      <c r="A5543" s="2"/>
      <c r="B5543" s="11"/>
      <c r="C5543" s="26"/>
      <c r="M5543" s="71"/>
    </row>
    <row r="5544" spans="1:13" x14ac:dyDescent="0.25">
      <c r="A5544" s="2"/>
      <c r="B5544" s="11"/>
      <c r="C5544" s="26"/>
      <c r="M5544" s="71"/>
    </row>
    <row r="5545" spans="1:13" x14ac:dyDescent="0.25">
      <c r="A5545" s="2"/>
      <c r="B5545" s="11"/>
      <c r="C5545" s="26"/>
      <c r="M5545" s="71"/>
    </row>
    <row r="5546" spans="1:13" x14ac:dyDescent="0.25">
      <c r="A5546" s="2"/>
      <c r="B5546" s="11"/>
      <c r="C5546" s="26"/>
      <c r="M5546" s="71"/>
    </row>
    <row r="5547" spans="1:13" x14ac:dyDescent="0.25">
      <c r="A5547" s="2"/>
      <c r="B5547" s="11"/>
      <c r="C5547" s="26"/>
      <c r="M5547" s="71"/>
    </row>
    <row r="5548" spans="1:13" x14ac:dyDescent="0.25">
      <c r="A5548" s="2"/>
      <c r="B5548" s="11"/>
      <c r="C5548" s="26"/>
      <c r="M5548" s="71"/>
    </row>
    <row r="5549" spans="1:13" x14ac:dyDescent="0.25">
      <c r="A5549" s="2"/>
      <c r="B5549" s="11"/>
      <c r="C5549" s="26"/>
      <c r="M5549" s="71"/>
    </row>
    <row r="5550" spans="1:13" x14ac:dyDescent="0.25">
      <c r="A5550" s="2"/>
      <c r="B5550" s="11"/>
      <c r="C5550" s="26"/>
      <c r="M5550" s="71"/>
    </row>
    <row r="5551" spans="1:13" x14ac:dyDescent="0.25">
      <c r="A5551" s="2"/>
      <c r="B5551" s="11"/>
      <c r="C5551" s="26"/>
      <c r="M5551" s="71"/>
    </row>
    <row r="5552" spans="1:13" x14ac:dyDescent="0.25">
      <c r="A5552" s="2"/>
      <c r="B5552" s="11"/>
      <c r="C5552" s="26"/>
      <c r="M5552" s="71"/>
    </row>
    <row r="5553" spans="1:13" x14ac:dyDescent="0.25">
      <c r="A5553" s="2"/>
      <c r="B5553" s="11"/>
      <c r="C5553" s="26"/>
      <c r="M5553" s="71"/>
    </row>
    <row r="5554" spans="1:13" x14ac:dyDescent="0.25">
      <c r="A5554" s="2"/>
      <c r="B5554" s="11"/>
      <c r="C5554" s="26"/>
      <c r="M5554" s="71"/>
    </row>
    <row r="5555" spans="1:13" x14ac:dyDescent="0.25">
      <c r="A5555" s="2"/>
      <c r="B5555" s="11"/>
      <c r="C5555" s="26"/>
      <c r="M5555" s="71"/>
    </row>
    <row r="5556" spans="1:13" x14ac:dyDescent="0.25">
      <c r="A5556" s="2"/>
      <c r="B5556" s="11"/>
      <c r="C5556" s="26"/>
      <c r="M5556" s="71"/>
    </row>
    <row r="5557" spans="1:13" x14ac:dyDescent="0.25">
      <c r="A5557" s="2"/>
      <c r="B5557" s="11"/>
      <c r="C5557" s="26"/>
      <c r="M5557" s="71"/>
    </row>
    <row r="5558" spans="1:13" x14ac:dyDescent="0.25">
      <c r="A5558" s="2"/>
      <c r="B5558" s="11"/>
      <c r="C5558" s="26"/>
      <c r="M5558" s="71"/>
    </row>
    <row r="5559" spans="1:13" x14ac:dyDescent="0.25">
      <c r="A5559" s="2"/>
      <c r="B5559" s="11"/>
      <c r="C5559" s="26"/>
      <c r="M5559" s="71"/>
    </row>
    <row r="5560" spans="1:13" x14ac:dyDescent="0.25">
      <c r="A5560" s="2"/>
      <c r="B5560" s="11"/>
      <c r="C5560" s="26"/>
      <c r="M5560" s="71"/>
    </row>
    <row r="5561" spans="1:13" x14ac:dyDescent="0.25">
      <c r="A5561" s="2"/>
      <c r="B5561" s="11"/>
      <c r="C5561" s="26"/>
      <c r="M5561" s="71"/>
    </row>
    <row r="5562" spans="1:13" x14ac:dyDescent="0.25">
      <c r="A5562" s="2"/>
      <c r="B5562" s="11"/>
      <c r="C5562" s="26"/>
      <c r="M5562" s="71"/>
    </row>
    <row r="5563" spans="1:13" x14ac:dyDescent="0.25">
      <c r="A5563" s="2"/>
      <c r="B5563" s="11"/>
      <c r="C5563" s="26"/>
      <c r="M5563" s="71"/>
    </row>
    <row r="5564" spans="1:13" x14ac:dyDescent="0.25">
      <c r="A5564" s="2"/>
      <c r="B5564" s="11"/>
      <c r="C5564" s="26"/>
      <c r="M5564" s="71"/>
    </row>
    <row r="5565" spans="1:13" x14ac:dyDescent="0.25">
      <c r="A5565" s="2"/>
      <c r="B5565" s="11"/>
      <c r="C5565" s="26"/>
      <c r="M5565" s="71"/>
    </row>
    <row r="5566" spans="1:13" x14ac:dyDescent="0.25">
      <c r="A5566" s="2"/>
      <c r="B5566" s="11"/>
      <c r="C5566" s="26"/>
      <c r="M5566" s="71"/>
    </row>
    <row r="5567" spans="1:13" x14ac:dyDescent="0.25">
      <c r="A5567" s="2"/>
      <c r="B5567" s="11"/>
      <c r="C5567" s="26"/>
      <c r="M5567" s="71"/>
    </row>
    <row r="5568" spans="1:13" x14ac:dyDescent="0.25">
      <c r="A5568" s="2"/>
      <c r="B5568" s="11"/>
      <c r="C5568" s="26"/>
      <c r="M5568" s="71"/>
    </row>
    <row r="5569" spans="1:13" x14ac:dyDescent="0.25">
      <c r="A5569" s="2"/>
      <c r="B5569" s="11"/>
      <c r="C5569" s="26"/>
      <c r="M5569" s="71"/>
    </row>
    <row r="5570" spans="1:13" x14ac:dyDescent="0.25">
      <c r="A5570" s="2"/>
      <c r="B5570" s="11"/>
      <c r="C5570" s="26"/>
      <c r="M5570" s="71"/>
    </row>
    <row r="5571" spans="1:13" x14ac:dyDescent="0.25">
      <c r="A5571" s="2"/>
      <c r="B5571" s="11"/>
      <c r="C5571" s="26"/>
      <c r="M5571" s="71"/>
    </row>
    <row r="5572" spans="1:13" x14ac:dyDescent="0.25">
      <c r="A5572" s="2"/>
      <c r="B5572" s="11"/>
      <c r="C5572" s="26"/>
      <c r="M5572" s="71"/>
    </row>
    <row r="5573" spans="1:13" x14ac:dyDescent="0.25">
      <c r="A5573" s="2"/>
      <c r="B5573" s="11"/>
      <c r="C5573" s="26"/>
      <c r="M5573" s="71"/>
    </row>
    <row r="5574" spans="1:13" x14ac:dyDescent="0.25">
      <c r="A5574" s="2"/>
      <c r="B5574" s="11"/>
      <c r="C5574" s="26"/>
      <c r="M5574" s="71"/>
    </row>
    <row r="5575" spans="1:13" x14ac:dyDescent="0.25">
      <c r="A5575" s="2"/>
      <c r="B5575" s="11"/>
      <c r="C5575" s="26"/>
      <c r="M5575" s="71"/>
    </row>
    <row r="5576" spans="1:13" x14ac:dyDescent="0.25">
      <c r="A5576" s="2"/>
      <c r="B5576" s="11"/>
      <c r="C5576" s="26"/>
      <c r="M5576" s="71"/>
    </row>
    <row r="5577" spans="1:13" x14ac:dyDescent="0.25">
      <c r="A5577" s="2"/>
      <c r="B5577" s="11"/>
      <c r="C5577" s="26"/>
      <c r="M5577" s="71"/>
    </row>
    <row r="5578" spans="1:13" x14ac:dyDescent="0.25">
      <c r="A5578" s="2"/>
      <c r="B5578" s="11"/>
      <c r="C5578" s="26"/>
      <c r="M5578" s="71"/>
    </row>
    <row r="5579" spans="1:13" x14ac:dyDescent="0.25">
      <c r="A5579" s="2"/>
      <c r="B5579" s="11"/>
      <c r="C5579" s="26"/>
      <c r="M5579" s="71"/>
    </row>
    <row r="5580" spans="1:13" x14ac:dyDescent="0.25">
      <c r="A5580" s="2"/>
      <c r="B5580" s="11"/>
      <c r="C5580" s="26"/>
      <c r="M5580" s="71"/>
    </row>
    <row r="5581" spans="1:13" x14ac:dyDescent="0.25">
      <c r="A5581" s="2"/>
      <c r="B5581" s="11"/>
      <c r="C5581" s="26"/>
      <c r="M5581" s="71"/>
    </row>
    <row r="5582" spans="1:13" x14ac:dyDescent="0.25">
      <c r="A5582" s="2"/>
      <c r="B5582" s="11"/>
      <c r="C5582" s="26"/>
      <c r="M5582" s="71"/>
    </row>
    <row r="5583" spans="1:13" x14ac:dyDescent="0.25">
      <c r="A5583" s="2"/>
      <c r="B5583" s="11"/>
      <c r="C5583" s="26"/>
      <c r="M5583" s="71"/>
    </row>
    <row r="5584" spans="1:13" x14ac:dyDescent="0.25">
      <c r="A5584" s="2"/>
      <c r="B5584" s="11"/>
      <c r="C5584" s="26"/>
      <c r="M5584" s="71"/>
    </row>
    <row r="5585" spans="1:13" x14ac:dyDescent="0.25">
      <c r="A5585" s="2"/>
      <c r="B5585" s="11"/>
      <c r="C5585" s="26"/>
      <c r="M5585" s="71"/>
    </row>
    <row r="5586" spans="1:13" x14ac:dyDescent="0.25">
      <c r="A5586" s="2"/>
      <c r="B5586" s="11"/>
      <c r="C5586" s="26"/>
      <c r="M5586" s="71"/>
    </row>
    <row r="5587" spans="1:13" x14ac:dyDescent="0.25">
      <c r="A5587" s="2"/>
      <c r="B5587" s="11"/>
      <c r="C5587" s="26"/>
      <c r="M5587" s="71"/>
    </row>
    <row r="5588" spans="1:13" x14ac:dyDescent="0.25">
      <c r="A5588" s="2"/>
      <c r="B5588" s="11"/>
      <c r="C5588" s="26"/>
      <c r="M5588" s="71"/>
    </row>
    <row r="5589" spans="1:13" x14ac:dyDescent="0.25">
      <c r="A5589" s="2"/>
      <c r="B5589" s="11"/>
      <c r="C5589" s="26"/>
      <c r="M5589" s="71"/>
    </row>
    <row r="5590" spans="1:13" x14ac:dyDescent="0.25">
      <c r="A5590" s="2"/>
      <c r="B5590" s="11"/>
      <c r="C5590" s="26"/>
      <c r="M5590" s="71"/>
    </row>
    <row r="5591" spans="1:13" x14ac:dyDescent="0.25">
      <c r="A5591" s="2"/>
      <c r="B5591" s="11"/>
      <c r="C5591" s="26"/>
      <c r="M5591" s="71"/>
    </row>
    <row r="5592" spans="1:13" x14ac:dyDescent="0.25">
      <c r="A5592" s="2"/>
      <c r="B5592" s="11"/>
      <c r="C5592" s="26"/>
      <c r="M5592" s="71"/>
    </row>
    <row r="5593" spans="1:13" x14ac:dyDescent="0.25">
      <c r="A5593" s="2"/>
      <c r="B5593" s="11"/>
      <c r="C5593" s="26"/>
      <c r="M5593" s="71"/>
    </row>
    <row r="5594" spans="1:13" x14ac:dyDescent="0.25">
      <c r="A5594" s="2"/>
      <c r="B5594" s="11"/>
      <c r="C5594" s="26"/>
      <c r="M5594" s="71"/>
    </row>
    <row r="5595" spans="1:13" x14ac:dyDescent="0.25">
      <c r="A5595" s="2"/>
      <c r="B5595" s="11"/>
      <c r="C5595" s="26"/>
      <c r="M5595" s="71"/>
    </row>
    <row r="5596" spans="1:13" x14ac:dyDescent="0.25">
      <c r="A5596" s="2"/>
      <c r="B5596" s="11"/>
      <c r="C5596" s="26"/>
      <c r="M5596" s="71"/>
    </row>
    <row r="5597" spans="1:13" x14ac:dyDescent="0.25">
      <c r="A5597" s="2"/>
      <c r="B5597" s="11"/>
      <c r="C5597" s="26"/>
      <c r="M5597" s="71"/>
    </row>
    <row r="5598" spans="1:13" x14ac:dyDescent="0.25">
      <c r="A5598" s="2"/>
      <c r="B5598" s="11"/>
      <c r="C5598" s="26"/>
      <c r="M5598" s="71"/>
    </row>
    <row r="5599" spans="1:13" x14ac:dyDescent="0.25">
      <c r="A5599" s="2"/>
      <c r="B5599" s="11"/>
      <c r="C5599" s="26"/>
      <c r="M5599" s="71"/>
    </row>
    <row r="5600" spans="1:13" x14ac:dyDescent="0.25">
      <c r="A5600" s="2"/>
      <c r="B5600" s="11"/>
      <c r="C5600" s="26"/>
      <c r="M5600" s="71"/>
    </row>
    <row r="5601" spans="1:13" x14ac:dyDescent="0.25">
      <c r="A5601" s="2"/>
      <c r="B5601" s="11"/>
      <c r="C5601" s="26"/>
      <c r="M5601" s="71"/>
    </row>
    <row r="5602" spans="1:13" x14ac:dyDescent="0.25">
      <c r="A5602" s="2"/>
      <c r="B5602" s="11"/>
      <c r="C5602" s="26"/>
      <c r="M5602" s="71"/>
    </row>
    <row r="5603" spans="1:13" x14ac:dyDescent="0.25">
      <c r="A5603" s="2"/>
      <c r="B5603" s="11"/>
      <c r="C5603" s="26"/>
      <c r="M5603" s="71"/>
    </row>
    <row r="5604" spans="1:13" x14ac:dyDescent="0.25">
      <c r="A5604" s="2"/>
      <c r="B5604" s="11"/>
      <c r="C5604" s="26"/>
      <c r="M5604" s="71"/>
    </row>
    <row r="5605" spans="1:13" x14ac:dyDescent="0.25">
      <c r="A5605" s="2"/>
      <c r="B5605" s="11"/>
      <c r="C5605" s="26"/>
      <c r="M5605" s="71"/>
    </row>
    <row r="5606" spans="1:13" x14ac:dyDescent="0.25">
      <c r="A5606" s="2"/>
      <c r="B5606" s="11"/>
      <c r="C5606" s="26"/>
      <c r="M5606" s="71"/>
    </row>
    <row r="5607" spans="1:13" x14ac:dyDescent="0.25">
      <c r="A5607" s="2"/>
      <c r="B5607" s="11"/>
      <c r="C5607" s="26"/>
      <c r="M5607" s="71"/>
    </row>
    <row r="5608" spans="1:13" x14ac:dyDescent="0.25">
      <c r="A5608" s="2"/>
      <c r="B5608" s="11"/>
      <c r="C5608" s="26"/>
      <c r="M5608" s="71"/>
    </row>
    <row r="5609" spans="1:13" x14ac:dyDescent="0.25">
      <c r="A5609" s="2"/>
      <c r="B5609" s="11"/>
      <c r="C5609" s="26"/>
      <c r="M5609" s="71"/>
    </row>
    <row r="5610" spans="1:13" x14ac:dyDescent="0.25">
      <c r="A5610" s="2"/>
      <c r="B5610" s="11"/>
      <c r="C5610" s="26"/>
      <c r="M5610" s="71"/>
    </row>
    <row r="5611" spans="1:13" x14ac:dyDescent="0.25">
      <c r="A5611" s="2"/>
      <c r="B5611" s="11"/>
      <c r="C5611" s="26"/>
      <c r="M5611" s="71"/>
    </row>
    <row r="5612" spans="1:13" x14ac:dyDescent="0.25">
      <c r="A5612" s="2"/>
      <c r="B5612" s="11"/>
      <c r="C5612" s="26"/>
      <c r="M5612" s="71"/>
    </row>
    <row r="5613" spans="1:13" x14ac:dyDescent="0.25">
      <c r="A5613" s="2"/>
      <c r="B5613" s="11"/>
      <c r="C5613" s="26"/>
      <c r="M5613" s="71"/>
    </row>
    <row r="5614" spans="1:13" x14ac:dyDescent="0.25">
      <c r="A5614" s="2"/>
      <c r="B5614" s="11"/>
      <c r="C5614" s="26"/>
      <c r="M5614" s="71"/>
    </row>
    <row r="5615" spans="1:13" x14ac:dyDescent="0.25">
      <c r="A5615" s="2"/>
      <c r="B5615" s="11"/>
      <c r="C5615" s="26"/>
      <c r="M5615" s="71"/>
    </row>
    <row r="5616" spans="1:13" x14ac:dyDescent="0.25">
      <c r="A5616" s="2"/>
      <c r="B5616" s="11"/>
      <c r="C5616" s="26"/>
      <c r="M5616" s="71"/>
    </row>
    <row r="5617" spans="1:13" x14ac:dyDescent="0.25">
      <c r="A5617" s="2"/>
      <c r="B5617" s="11"/>
      <c r="C5617" s="26"/>
      <c r="M5617" s="71"/>
    </row>
    <row r="5618" spans="1:13" x14ac:dyDescent="0.25">
      <c r="A5618" s="2"/>
      <c r="B5618" s="11"/>
      <c r="C5618" s="26"/>
      <c r="M5618" s="71"/>
    </row>
    <row r="5619" spans="1:13" x14ac:dyDescent="0.25">
      <c r="A5619" s="2"/>
      <c r="B5619" s="11"/>
      <c r="C5619" s="26"/>
      <c r="M5619" s="71"/>
    </row>
    <row r="5620" spans="1:13" x14ac:dyDescent="0.25">
      <c r="A5620" s="2"/>
      <c r="B5620" s="11"/>
      <c r="C5620" s="26"/>
      <c r="M5620" s="71"/>
    </row>
    <row r="5621" spans="1:13" x14ac:dyDescent="0.25">
      <c r="A5621" s="2"/>
      <c r="B5621" s="11"/>
      <c r="C5621" s="26"/>
      <c r="M5621" s="71"/>
    </row>
    <row r="5622" spans="1:13" x14ac:dyDescent="0.25">
      <c r="A5622" s="2"/>
      <c r="B5622" s="11"/>
      <c r="C5622" s="26"/>
      <c r="M5622" s="71"/>
    </row>
    <row r="5623" spans="1:13" x14ac:dyDescent="0.25">
      <c r="A5623" s="2"/>
      <c r="B5623" s="11"/>
      <c r="C5623" s="26"/>
      <c r="M5623" s="71"/>
    </row>
    <row r="5624" spans="1:13" x14ac:dyDescent="0.25">
      <c r="A5624" s="2"/>
      <c r="B5624" s="11"/>
      <c r="C5624" s="26"/>
      <c r="M5624" s="71"/>
    </row>
    <row r="5625" spans="1:13" x14ac:dyDescent="0.25">
      <c r="A5625" s="2"/>
      <c r="B5625" s="11"/>
      <c r="C5625" s="26"/>
      <c r="M5625" s="71"/>
    </row>
    <row r="5626" spans="1:13" x14ac:dyDescent="0.25">
      <c r="A5626" s="2"/>
      <c r="B5626" s="11"/>
      <c r="C5626" s="26"/>
      <c r="M5626" s="71"/>
    </row>
    <row r="5627" spans="1:13" x14ac:dyDescent="0.25">
      <c r="A5627" s="2"/>
      <c r="B5627" s="11"/>
      <c r="C5627" s="26"/>
      <c r="M5627" s="71"/>
    </row>
    <row r="5628" spans="1:13" x14ac:dyDescent="0.25">
      <c r="A5628" s="2"/>
      <c r="B5628" s="11"/>
      <c r="C5628" s="26"/>
      <c r="M5628" s="71"/>
    </row>
    <row r="5629" spans="1:13" x14ac:dyDescent="0.25">
      <c r="A5629" s="2"/>
      <c r="B5629" s="11"/>
      <c r="C5629" s="26"/>
      <c r="M5629" s="71"/>
    </row>
    <row r="5630" spans="1:13" x14ac:dyDescent="0.25">
      <c r="A5630" s="2"/>
      <c r="B5630" s="11"/>
      <c r="C5630" s="26"/>
      <c r="M5630" s="71"/>
    </row>
    <row r="5631" spans="1:13" x14ac:dyDescent="0.25">
      <c r="A5631" s="2"/>
      <c r="B5631" s="11"/>
      <c r="C5631" s="26"/>
      <c r="M5631" s="71"/>
    </row>
    <row r="5632" spans="1:13" x14ac:dyDescent="0.25">
      <c r="A5632" s="2"/>
      <c r="B5632" s="11"/>
      <c r="C5632" s="26"/>
      <c r="M5632" s="71"/>
    </row>
    <row r="5633" spans="1:13" x14ac:dyDescent="0.25">
      <c r="A5633" s="2"/>
      <c r="B5633" s="11"/>
      <c r="C5633" s="26"/>
      <c r="M5633" s="71"/>
    </row>
    <row r="5634" spans="1:13" x14ac:dyDescent="0.25">
      <c r="A5634" s="2"/>
      <c r="B5634" s="11"/>
      <c r="C5634" s="26"/>
      <c r="M5634" s="71"/>
    </row>
    <row r="5635" spans="1:13" x14ac:dyDescent="0.25">
      <c r="A5635" s="2"/>
      <c r="B5635" s="11"/>
      <c r="C5635" s="26"/>
      <c r="M5635" s="71"/>
    </row>
    <row r="5636" spans="1:13" x14ac:dyDescent="0.25">
      <c r="A5636" s="2"/>
      <c r="B5636" s="11"/>
      <c r="C5636" s="26"/>
      <c r="M5636" s="71"/>
    </row>
    <row r="5637" spans="1:13" x14ac:dyDescent="0.25">
      <c r="A5637" s="2"/>
      <c r="B5637" s="11"/>
      <c r="C5637" s="26"/>
      <c r="M5637" s="71"/>
    </row>
    <row r="5638" spans="1:13" x14ac:dyDescent="0.25">
      <c r="A5638" s="2"/>
      <c r="B5638" s="11"/>
      <c r="C5638" s="26"/>
      <c r="M5638" s="71"/>
    </row>
    <row r="5639" spans="1:13" x14ac:dyDescent="0.25">
      <c r="A5639" s="2"/>
      <c r="B5639" s="11"/>
      <c r="C5639" s="26"/>
      <c r="M5639" s="71"/>
    </row>
    <row r="5640" spans="1:13" x14ac:dyDescent="0.25">
      <c r="A5640" s="2"/>
      <c r="B5640" s="11"/>
      <c r="C5640" s="26"/>
      <c r="M5640" s="71"/>
    </row>
    <row r="5641" spans="1:13" x14ac:dyDescent="0.25">
      <c r="A5641" s="2"/>
      <c r="B5641" s="11"/>
      <c r="C5641" s="26"/>
      <c r="M5641" s="71"/>
    </row>
    <row r="5642" spans="1:13" x14ac:dyDescent="0.25">
      <c r="A5642" s="2"/>
      <c r="B5642" s="11"/>
      <c r="C5642" s="26"/>
      <c r="M5642" s="71"/>
    </row>
    <row r="5643" spans="1:13" x14ac:dyDescent="0.25">
      <c r="A5643" s="2"/>
      <c r="B5643" s="11"/>
      <c r="C5643" s="26"/>
      <c r="M5643" s="71"/>
    </row>
    <row r="5644" spans="1:13" x14ac:dyDescent="0.25">
      <c r="A5644" s="2"/>
      <c r="B5644" s="11"/>
      <c r="C5644" s="26"/>
      <c r="M5644" s="71"/>
    </row>
    <row r="5645" spans="1:13" x14ac:dyDescent="0.25">
      <c r="A5645" s="2"/>
      <c r="B5645" s="11"/>
      <c r="C5645" s="26"/>
      <c r="M5645" s="71"/>
    </row>
    <row r="5646" spans="1:13" x14ac:dyDescent="0.25">
      <c r="A5646" s="2"/>
      <c r="B5646" s="11"/>
      <c r="C5646" s="26"/>
      <c r="M5646" s="71"/>
    </row>
    <row r="5647" spans="1:13" x14ac:dyDescent="0.25">
      <c r="A5647" s="2"/>
      <c r="B5647" s="11"/>
      <c r="C5647" s="26"/>
      <c r="M5647" s="71"/>
    </row>
    <row r="5648" spans="1:13" x14ac:dyDescent="0.25">
      <c r="A5648" s="2"/>
      <c r="B5648" s="11"/>
      <c r="C5648" s="26"/>
      <c r="M5648" s="71"/>
    </row>
    <row r="5649" spans="1:13" x14ac:dyDescent="0.25">
      <c r="A5649" s="2"/>
      <c r="B5649" s="11"/>
      <c r="C5649" s="26"/>
      <c r="M5649" s="71"/>
    </row>
    <row r="5650" spans="1:13" x14ac:dyDescent="0.25">
      <c r="A5650" s="2"/>
      <c r="B5650" s="11"/>
      <c r="C5650" s="26"/>
      <c r="M5650" s="71"/>
    </row>
    <row r="5651" spans="1:13" x14ac:dyDescent="0.25">
      <c r="A5651" s="2"/>
      <c r="B5651" s="11"/>
      <c r="C5651" s="26"/>
      <c r="M5651" s="71"/>
    </row>
    <row r="5652" spans="1:13" x14ac:dyDescent="0.25">
      <c r="A5652" s="2"/>
      <c r="B5652" s="11"/>
      <c r="C5652" s="26"/>
      <c r="M5652" s="71"/>
    </row>
    <row r="5653" spans="1:13" x14ac:dyDescent="0.25">
      <c r="A5653" s="2"/>
      <c r="B5653" s="11"/>
      <c r="C5653" s="26"/>
      <c r="M5653" s="71"/>
    </row>
    <row r="5654" spans="1:13" x14ac:dyDescent="0.25">
      <c r="A5654" s="2"/>
      <c r="B5654" s="11"/>
      <c r="C5654" s="26"/>
      <c r="M5654" s="71"/>
    </row>
    <row r="5655" spans="1:13" x14ac:dyDescent="0.25">
      <c r="A5655" s="2"/>
      <c r="B5655" s="11"/>
      <c r="C5655" s="26"/>
      <c r="M5655" s="71"/>
    </row>
    <row r="5656" spans="1:13" x14ac:dyDescent="0.25">
      <c r="A5656" s="2"/>
      <c r="B5656" s="11"/>
      <c r="C5656" s="26"/>
      <c r="M5656" s="71"/>
    </row>
    <row r="5657" spans="1:13" x14ac:dyDescent="0.25">
      <c r="A5657" s="2"/>
      <c r="B5657" s="11"/>
      <c r="C5657" s="26"/>
      <c r="M5657" s="71"/>
    </row>
    <row r="5658" spans="1:13" x14ac:dyDescent="0.25">
      <c r="A5658" s="2"/>
      <c r="B5658" s="11"/>
      <c r="C5658" s="26"/>
      <c r="M5658" s="71"/>
    </row>
    <row r="5659" spans="1:13" x14ac:dyDescent="0.25">
      <c r="A5659" s="2"/>
      <c r="B5659" s="11"/>
      <c r="C5659" s="26"/>
      <c r="M5659" s="71"/>
    </row>
    <row r="5660" spans="1:13" x14ac:dyDescent="0.25">
      <c r="A5660" s="2"/>
      <c r="B5660" s="11"/>
      <c r="C5660" s="26"/>
      <c r="M5660" s="71"/>
    </row>
    <row r="5661" spans="1:13" x14ac:dyDescent="0.25">
      <c r="A5661" s="2"/>
      <c r="B5661" s="11"/>
      <c r="C5661" s="26"/>
      <c r="M5661" s="71"/>
    </row>
    <row r="5662" spans="1:13" x14ac:dyDescent="0.25">
      <c r="A5662" s="2"/>
      <c r="B5662" s="11"/>
      <c r="C5662" s="26"/>
      <c r="M5662" s="71"/>
    </row>
    <row r="5663" spans="1:13" x14ac:dyDescent="0.25">
      <c r="A5663" s="2"/>
      <c r="B5663" s="11"/>
      <c r="C5663" s="26"/>
      <c r="M5663" s="71"/>
    </row>
    <row r="5664" spans="1:13" x14ac:dyDescent="0.25">
      <c r="A5664" s="2"/>
      <c r="B5664" s="11"/>
      <c r="C5664" s="26"/>
      <c r="M5664" s="71"/>
    </row>
    <row r="5665" spans="1:13" x14ac:dyDescent="0.25">
      <c r="A5665" s="2"/>
      <c r="B5665" s="11"/>
      <c r="C5665" s="26"/>
      <c r="M5665" s="71"/>
    </row>
    <row r="5666" spans="1:13" x14ac:dyDescent="0.25">
      <c r="A5666" s="2"/>
      <c r="B5666" s="11"/>
      <c r="C5666" s="26"/>
      <c r="M5666" s="71"/>
    </row>
    <row r="5667" spans="1:13" x14ac:dyDescent="0.25">
      <c r="A5667" s="2"/>
      <c r="B5667" s="11"/>
      <c r="C5667" s="26"/>
      <c r="M5667" s="71"/>
    </row>
    <row r="5668" spans="1:13" x14ac:dyDescent="0.25">
      <c r="A5668" s="2"/>
      <c r="B5668" s="11"/>
      <c r="C5668" s="26"/>
      <c r="M5668" s="71"/>
    </row>
    <row r="5669" spans="1:13" x14ac:dyDescent="0.25">
      <c r="A5669" s="2"/>
      <c r="B5669" s="11"/>
      <c r="C5669" s="26"/>
      <c r="M5669" s="71"/>
    </row>
    <row r="5670" spans="1:13" x14ac:dyDescent="0.25">
      <c r="A5670" s="2"/>
      <c r="B5670" s="11"/>
      <c r="C5670" s="26"/>
      <c r="M5670" s="71"/>
    </row>
    <row r="5671" spans="1:13" x14ac:dyDescent="0.25">
      <c r="A5671" s="2"/>
      <c r="B5671" s="11"/>
      <c r="C5671" s="26"/>
      <c r="M5671" s="71"/>
    </row>
    <row r="5672" spans="1:13" x14ac:dyDescent="0.25">
      <c r="A5672" s="2"/>
      <c r="B5672" s="11"/>
      <c r="C5672" s="26"/>
      <c r="M5672" s="71"/>
    </row>
    <row r="5673" spans="1:13" x14ac:dyDescent="0.25">
      <c r="A5673" s="2"/>
      <c r="B5673" s="11"/>
      <c r="C5673" s="26"/>
      <c r="M5673" s="71"/>
    </row>
    <row r="5674" spans="1:13" x14ac:dyDescent="0.25">
      <c r="A5674" s="2"/>
      <c r="B5674" s="11"/>
      <c r="C5674" s="26"/>
      <c r="M5674" s="71"/>
    </row>
    <row r="5675" spans="1:13" x14ac:dyDescent="0.25">
      <c r="A5675" s="2"/>
      <c r="B5675" s="11"/>
      <c r="C5675" s="26"/>
      <c r="M5675" s="71"/>
    </row>
    <row r="5676" spans="1:13" x14ac:dyDescent="0.25">
      <c r="A5676" s="2"/>
      <c r="B5676" s="11"/>
      <c r="C5676" s="26"/>
      <c r="M5676" s="71"/>
    </row>
    <row r="5677" spans="1:13" x14ac:dyDescent="0.25">
      <c r="A5677" s="2"/>
      <c r="B5677" s="11"/>
      <c r="C5677" s="26"/>
      <c r="M5677" s="71"/>
    </row>
    <row r="5678" spans="1:13" x14ac:dyDescent="0.25">
      <c r="A5678" s="2"/>
      <c r="B5678" s="11"/>
      <c r="C5678" s="26"/>
      <c r="M5678" s="71"/>
    </row>
    <row r="5679" spans="1:13" x14ac:dyDescent="0.25">
      <c r="A5679" s="2"/>
      <c r="B5679" s="11"/>
      <c r="C5679" s="26"/>
      <c r="M5679" s="71"/>
    </row>
    <row r="5680" spans="1:13" x14ac:dyDescent="0.25">
      <c r="A5680" s="2"/>
      <c r="B5680" s="11"/>
      <c r="C5680" s="26"/>
      <c r="M5680" s="71"/>
    </row>
    <row r="5681" spans="1:13" x14ac:dyDescent="0.25">
      <c r="A5681" s="2"/>
      <c r="B5681" s="11"/>
      <c r="C5681" s="26"/>
      <c r="M5681" s="71"/>
    </row>
    <row r="5682" spans="1:13" x14ac:dyDescent="0.25">
      <c r="A5682" s="2"/>
      <c r="B5682" s="11"/>
      <c r="C5682" s="26"/>
      <c r="M5682" s="71"/>
    </row>
    <row r="5683" spans="1:13" x14ac:dyDescent="0.25">
      <c r="A5683" s="2"/>
      <c r="B5683" s="11"/>
      <c r="C5683" s="26"/>
      <c r="M5683" s="71"/>
    </row>
    <row r="5684" spans="1:13" x14ac:dyDescent="0.25">
      <c r="A5684" s="2"/>
      <c r="B5684" s="11"/>
      <c r="C5684" s="26"/>
      <c r="M5684" s="71"/>
    </row>
    <row r="5685" spans="1:13" x14ac:dyDescent="0.25">
      <c r="A5685" s="2"/>
      <c r="B5685" s="11"/>
      <c r="C5685" s="26"/>
      <c r="M5685" s="71"/>
    </row>
    <row r="5686" spans="1:13" x14ac:dyDescent="0.25">
      <c r="A5686" s="2"/>
      <c r="B5686" s="11"/>
      <c r="C5686" s="26"/>
      <c r="M5686" s="71"/>
    </row>
    <row r="5687" spans="1:13" x14ac:dyDescent="0.25">
      <c r="A5687" s="2"/>
      <c r="B5687" s="11"/>
      <c r="C5687" s="26"/>
      <c r="M5687" s="71"/>
    </row>
    <row r="5688" spans="1:13" x14ac:dyDescent="0.25">
      <c r="A5688" s="2"/>
      <c r="B5688" s="11"/>
      <c r="C5688" s="26"/>
      <c r="M5688" s="71"/>
    </row>
    <row r="5689" spans="1:13" x14ac:dyDescent="0.25">
      <c r="A5689" s="2"/>
      <c r="B5689" s="11"/>
      <c r="C5689" s="26"/>
      <c r="M5689" s="71"/>
    </row>
    <row r="5690" spans="1:13" x14ac:dyDescent="0.25">
      <c r="A5690" s="2"/>
      <c r="B5690" s="11"/>
      <c r="C5690" s="26"/>
      <c r="M5690" s="71"/>
    </row>
    <row r="5691" spans="1:13" x14ac:dyDescent="0.25">
      <c r="A5691" s="2"/>
      <c r="B5691" s="11"/>
      <c r="C5691" s="26"/>
      <c r="M5691" s="71"/>
    </row>
    <row r="5692" spans="1:13" x14ac:dyDescent="0.25">
      <c r="A5692" s="2"/>
      <c r="B5692" s="11"/>
      <c r="C5692" s="26"/>
      <c r="M5692" s="71"/>
    </row>
    <row r="5693" spans="1:13" x14ac:dyDescent="0.25">
      <c r="A5693" s="2"/>
      <c r="B5693" s="11"/>
      <c r="C5693" s="26"/>
      <c r="M5693" s="71"/>
    </row>
    <row r="5694" spans="1:13" x14ac:dyDescent="0.25">
      <c r="A5694" s="2"/>
      <c r="B5694" s="11"/>
      <c r="C5694" s="26"/>
      <c r="M5694" s="71"/>
    </row>
    <row r="5695" spans="1:13" x14ac:dyDescent="0.25">
      <c r="A5695" s="2"/>
      <c r="B5695" s="11"/>
      <c r="C5695" s="26"/>
      <c r="M5695" s="71"/>
    </row>
    <row r="5696" spans="1:13" x14ac:dyDescent="0.25">
      <c r="A5696" s="2"/>
      <c r="B5696" s="11"/>
      <c r="C5696" s="26"/>
      <c r="M5696" s="71"/>
    </row>
    <row r="5697" spans="1:13" x14ac:dyDescent="0.25">
      <c r="A5697" s="2"/>
      <c r="B5697" s="11"/>
      <c r="C5697" s="26"/>
      <c r="M5697" s="71"/>
    </row>
    <row r="5698" spans="1:13" x14ac:dyDescent="0.25">
      <c r="A5698" s="2"/>
      <c r="B5698" s="11"/>
      <c r="C5698" s="26"/>
      <c r="M5698" s="71"/>
    </row>
    <row r="5699" spans="1:13" x14ac:dyDescent="0.25">
      <c r="A5699" s="2"/>
      <c r="B5699" s="11"/>
      <c r="C5699" s="26"/>
      <c r="M5699" s="71"/>
    </row>
    <row r="5700" spans="1:13" x14ac:dyDescent="0.25">
      <c r="A5700" s="2"/>
      <c r="B5700" s="11"/>
      <c r="C5700" s="26"/>
      <c r="M5700" s="71"/>
    </row>
    <row r="5701" spans="1:13" x14ac:dyDescent="0.25">
      <c r="A5701" s="2"/>
      <c r="B5701" s="11"/>
      <c r="C5701" s="26"/>
      <c r="M5701" s="71"/>
    </row>
    <row r="5702" spans="1:13" x14ac:dyDescent="0.25">
      <c r="A5702" s="2"/>
      <c r="B5702" s="11"/>
      <c r="C5702" s="26"/>
      <c r="M5702" s="71"/>
    </row>
    <row r="5703" spans="1:13" x14ac:dyDescent="0.25">
      <c r="A5703" s="2"/>
      <c r="B5703" s="11"/>
      <c r="C5703" s="26"/>
      <c r="M5703" s="71"/>
    </row>
    <row r="5704" spans="1:13" x14ac:dyDescent="0.25">
      <c r="A5704" s="2"/>
      <c r="B5704" s="11"/>
      <c r="C5704" s="26"/>
      <c r="M5704" s="71"/>
    </row>
    <row r="5705" spans="1:13" x14ac:dyDescent="0.25">
      <c r="A5705" s="2"/>
      <c r="B5705" s="11"/>
      <c r="C5705" s="26"/>
      <c r="M5705" s="71"/>
    </row>
    <row r="5706" spans="1:13" x14ac:dyDescent="0.25">
      <c r="A5706" s="2"/>
      <c r="B5706" s="11"/>
      <c r="C5706" s="26"/>
      <c r="M5706" s="71"/>
    </row>
    <row r="5707" spans="1:13" x14ac:dyDescent="0.25">
      <c r="A5707" s="2"/>
      <c r="B5707" s="11"/>
      <c r="C5707" s="26"/>
      <c r="M5707" s="71"/>
    </row>
    <row r="5708" spans="1:13" x14ac:dyDescent="0.25">
      <c r="A5708" s="2"/>
      <c r="B5708" s="11"/>
      <c r="C5708" s="26"/>
      <c r="M5708" s="71"/>
    </row>
    <row r="5709" spans="1:13" x14ac:dyDescent="0.25">
      <c r="A5709" s="2"/>
      <c r="B5709" s="11"/>
      <c r="C5709" s="26"/>
      <c r="M5709" s="71"/>
    </row>
    <row r="5710" spans="1:13" x14ac:dyDescent="0.25">
      <c r="A5710" s="2"/>
      <c r="B5710" s="11"/>
      <c r="C5710" s="26"/>
      <c r="M5710" s="71"/>
    </row>
    <row r="5711" spans="1:13" x14ac:dyDescent="0.25">
      <c r="A5711" s="2"/>
      <c r="B5711" s="11"/>
      <c r="C5711" s="26"/>
      <c r="M5711" s="71"/>
    </row>
    <row r="5712" spans="1:13" x14ac:dyDescent="0.25">
      <c r="A5712" s="2"/>
      <c r="B5712" s="11"/>
      <c r="C5712" s="26"/>
      <c r="M5712" s="71"/>
    </row>
    <row r="5713" spans="1:13" x14ac:dyDescent="0.25">
      <c r="A5713" s="2"/>
      <c r="B5713" s="11"/>
      <c r="C5713" s="26"/>
      <c r="M5713" s="71"/>
    </row>
    <row r="5714" spans="1:13" x14ac:dyDescent="0.25">
      <c r="A5714" s="2"/>
      <c r="B5714" s="11"/>
      <c r="C5714" s="26"/>
      <c r="M5714" s="71"/>
    </row>
    <row r="5715" spans="1:13" x14ac:dyDescent="0.25">
      <c r="A5715" s="2"/>
      <c r="B5715" s="11"/>
      <c r="C5715" s="26"/>
      <c r="M5715" s="71"/>
    </row>
    <row r="5716" spans="1:13" x14ac:dyDescent="0.25">
      <c r="A5716" s="2"/>
      <c r="B5716" s="11"/>
      <c r="C5716" s="26"/>
      <c r="M5716" s="71"/>
    </row>
    <row r="5717" spans="1:13" x14ac:dyDescent="0.25">
      <c r="A5717" s="2"/>
      <c r="B5717" s="11"/>
      <c r="C5717" s="26"/>
      <c r="M5717" s="71"/>
    </row>
    <row r="5718" spans="1:13" x14ac:dyDescent="0.25">
      <c r="A5718" s="2"/>
      <c r="B5718" s="11"/>
      <c r="C5718" s="26"/>
      <c r="M5718" s="71"/>
    </row>
    <row r="5719" spans="1:13" x14ac:dyDescent="0.25">
      <c r="A5719" s="2"/>
      <c r="B5719" s="11"/>
      <c r="C5719" s="26"/>
      <c r="M5719" s="71"/>
    </row>
    <row r="5720" spans="1:13" x14ac:dyDescent="0.25">
      <c r="A5720" s="2"/>
      <c r="B5720" s="11"/>
      <c r="C5720" s="26"/>
      <c r="M5720" s="71"/>
    </row>
    <row r="5721" spans="1:13" x14ac:dyDescent="0.25">
      <c r="A5721" s="2"/>
      <c r="B5721" s="11"/>
      <c r="C5721" s="26"/>
      <c r="M5721" s="71"/>
    </row>
    <row r="5722" spans="1:13" x14ac:dyDescent="0.25">
      <c r="A5722" s="2"/>
      <c r="B5722" s="11"/>
      <c r="C5722" s="26"/>
      <c r="M5722" s="71"/>
    </row>
    <row r="5723" spans="1:13" x14ac:dyDescent="0.25">
      <c r="A5723" s="2"/>
      <c r="B5723" s="11"/>
      <c r="C5723" s="26"/>
      <c r="M5723" s="71"/>
    </row>
    <row r="5724" spans="1:13" x14ac:dyDescent="0.25">
      <c r="A5724" s="2"/>
      <c r="B5724" s="11"/>
      <c r="C5724" s="26"/>
      <c r="M5724" s="71"/>
    </row>
    <row r="5725" spans="1:13" x14ac:dyDescent="0.25">
      <c r="A5725" s="2"/>
      <c r="B5725" s="11"/>
      <c r="C5725" s="26"/>
      <c r="M5725" s="71"/>
    </row>
    <row r="5726" spans="1:13" x14ac:dyDescent="0.25">
      <c r="A5726" s="2"/>
      <c r="B5726" s="11"/>
      <c r="C5726" s="26"/>
      <c r="M5726" s="71"/>
    </row>
    <row r="5727" spans="1:13" x14ac:dyDescent="0.25">
      <c r="A5727" s="2"/>
      <c r="B5727" s="11"/>
      <c r="C5727" s="26"/>
      <c r="M5727" s="71"/>
    </row>
    <row r="5728" spans="1:13" x14ac:dyDescent="0.25">
      <c r="A5728" s="2"/>
      <c r="B5728" s="11"/>
      <c r="C5728" s="26"/>
      <c r="M5728" s="71"/>
    </row>
    <row r="5729" spans="1:13" x14ac:dyDescent="0.25">
      <c r="A5729" s="2"/>
      <c r="B5729" s="11"/>
      <c r="C5729" s="26"/>
      <c r="M5729" s="71"/>
    </row>
    <row r="5730" spans="1:13" x14ac:dyDescent="0.25">
      <c r="A5730" s="2"/>
      <c r="B5730" s="11"/>
      <c r="C5730" s="26"/>
      <c r="M5730" s="71"/>
    </row>
    <row r="5731" spans="1:13" x14ac:dyDescent="0.25">
      <c r="A5731" s="2"/>
      <c r="B5731" s="11"/>
      <c r="C5731" s="26"/>
      <c r="M5731" s="71"/>
    </row>
    <row r="5732" spans="1:13" x14ac:dyDescent="0.25">
      <c r="A5732" s="2"/>
      <c r="B5732" s="11"/>
      <c r="C5732" s="26"/>
      <c r="M5732" s="71"/>
    </row>
    <row r="5733" spans="1:13" x14ac:dyDescent="0.25">
      <c r="A5733" s="2"/>
      <c r="B5733" s="11"/>
      <c r="C5733" s="26"/>
      <c r="M5733" s="71"/>
    </row>
    <row r="5734" spans="1:13" x14ac:dyDescent="0.25">
      <c r="A5734" s="2"/>
      <c r="B5734" s="11"/>
      <c r="C5734" s="26"/>
      <c r="M5734" s="71"/>
    </row>
    <row r="5735" spans="1:13" x14ac:dyDescent="0.25">
      <c r="A5735" s="2"/>
      <c r="B5735" s="11"/>
      <c r="C5735" s="26"/>
      <c r="M5735" s="71"/>
    </row>
    <row r="5736" spans="1:13" x14ac:dyDescent="0.25">
      <c r="A5736" s="2"/>
      <c r="B5736" s="11"/>
      <c r="C5736" s="26"/>
      <c r="M5736" s="71"/>
    </row>
    <row r="5737" spans="1:13" x14ac:dyDescent="0.25">
      <c r="A5737" s="2"/>
      <c r="B5737" s="11"/>
      <c r="C5737" s="26"/>
      <c r="M5737" s="71"/>
    </row>
    <row r="5738" spans="1:13" x14ac:dyDescent="0.25">
      <c r="A5738" s="2"/>
      <c r="B5738" s="11"/>
      <c r="C5738" s="26"/>
      <c r="M5738" s="71"/>
    </row>
    <row r="5739" spans="1:13" x14ac:dyDescent="0.25">
      <c r="A5739" s="2"/>
      <c r="B5739" s="11"/>
      <c r="C5739" s="26"/>
      <c r="M5739" s="71"/>
    </row>
    <row r="5740" spans="1:13" x14ac:dyDescent="0.25">
      <c r="A5740" s="2"/>
      <c r="B5740" s="11"/>
      <c r="C5740" s="26"/>
      <c r="M5740" s="71"/>
    </row>
    <row r="5741" spans="1:13" x14ac:dyDescent="0.25">
      <c r="A5741" s="2"/>
      <c r="B5741" s="11"/>
      <c r="C5741" s="26"/>
      <c r="M5741" s="71"/>
    </row>
    <row r="5742" spans="1:13" x14ac:dyDescent="0.25">
      <c r="A5742" s="2"/>
      <c r="B5742" s="11"/>
      <c r="C5742" s="26"/>
      <c r="M5742" s="71"/>
    </row>
    <row r="5743" spans="1:13" x14ac:dyDescent="0.25">
      <c r="A5743" s="2"/>
      <c r="B5743" s="11"/>
      <c r="C5743" s="26"/>
      <c r="M5743" s="71"/>
    </row>
    <row r="5744" spans="1:13" x14ac:dyDescent="0.25">
      <c r="A5744" s="2"/>
      <c r="B5744" s="11"/>
      <c r="C5744" s="26"/>
      <c r="M5744" s="71"/>
    </row>
    <row r="5745" spans="1:13" x14ac:dyDescent="0.25">
      <c r="A5745" s="2"/>
      <c r="B5745" s="11"/>
      <c r="C5745" s="26"/>
      <c r="M5745" s="71"/>
    </row>
    <row r="5746" spans="1:13" x14ac:dyDescent="0.25">
      <c r="A5746" s="2"/>
      <c r="B5746" s="11"/>
      <c r="C5746" s="26"/>
      <c r="M5746" s="71"/>
    </row>
    <row r="5747" spans="1:13" x14ac:dyDescent="0.25">
      <c r="A5747" s="2"/>
      <c r="B5747" s="11"/>
      <c r="C5747" s="26"/>
      <c r="M5747" s="71"/>
    </row>
    <row r="5748" spans="1:13" x14ac:dyDescent="0.25">
      <c r="A5748" s="2"/>
      <c r="B5748" s="11"/>
      <c r="C5748" s="26"/>
      <c r="M5748" s="71"/>
    </row>
    <row r="5749" spans="1:13" x14ac:dyDescent="0.25">
      <c r="A5749" s="2"/>
      <c r="B5749" s="11"/>
      <c r="C5749" s="26"/>
      <c r="M5749" s="71"/>
    </row>
    <row r="5750" spans="1:13" x14ac:dyDescent="0.25">
      <c r="A5750" s="2"/>
      <c r="B5750" s="11"/>
      <c r="C5750" s="26"/>
      <c r="M5750" s="71"/>
    </row>
    <row r="5751" spans="1:13" x14ac:dyDescent="0.25">
      <c r="A5751" s="2"/>
      <c r="B5751" s="11"/>
      <c r="C5751" s="26"/>
      <c r="M5751" s="71"/>
    </row>
    <row r="5752" spans="1:13" x14ac:dyDescent="0.25">
      <c r="A5752" s="2"/>
      <c r="B5752" s="11"/>
      <c r="C5752" s="26"/>
      <c r="M5752" s="71"/>
    </row>
    <row r="5753" spans="1:13" x14ac:dyDescent="0.25">
      <c r="A5753" s="2"/>
      <c r="B5753" s="11"/>
      <c r="C5753" s="26"/>
      <c r="M5753" s="71"/>
    </row>
    <row r="5754" spans="1:13" x14ac:dyDescent="0.25">
      <c r="A5754" s="2"/>
      <c r="B5754" s="11"/>
      <c r="C5754" s="26"/>
      <c r="M5754" s="71"/>
    </row>
    <row r="5755" spans="1:13" x14ac:dyDescent="0.25">
      <c r="A5755" s="2"/>
      <c r="B5755" s="11"/>
      <c r="C5755" s="26"/>
      <c r="M5755" s="71"/>
    </row>
    <row r="5756" spans="1:13" x14ac:dyDescent="0.25">
      <c r="A5756" s="2"/>
      <c r="B5756" s="11"/>
      <c r="C5756" s="26"/>
      <c r="M5756" s="71"/>
    </row>
    <row r="5757" spans="1:13" x14ac:dyDescent="0.25">
      <c r="A5757" s="2"/>
      <c r="B5757" s="11"/>
      <c r="C5757" s="26"/>
      <c r="M5757" s="71"/>
    </row>
    <row r="5758" spans="1:13" x14ac:dyDescent="0.25">
      <c r="A5758" s="2"/>
      <c r="B5758" s="11"/>
      <c r="C5758" s="26"/>
      <c r="M5758" s="71"/>
    </row>
    <row r="5759" spans="1:13" x14ac:dyDescent="0.25">
      <c r="A5759" s="2"/>
      <c r="B5759" s="11"/>
      <c r="C5759" s="26"/>
      <c r="M5759" s="71"/>
    </row>
    <row r="5760" spans="1:13" x14ac:dyDescent="0.25">
      <c r="A5760" s="2"/>
      <c r="B5760" s="11"/>
      <c r="C5760" s="26"/>
      <c r="M5760" s="71"/>
    </row>
    <row r="5761" spans="1:13" x14ac:dyDescent="0.25">
      <c r="A5761" s="2"/>
      <c r="B5761" s="11"/>
      <c r="C5761" s="26"/>
      <c r="M5761" s="71"/>
    </row>
    <row r="5762" spans="1:13" x14ac:dyDescent="0.25">
      <c r="A5762" s="2"/>
      <c r="B5762" s="11"/>
      <c r="C5762" s="26"/>
      <c r="M5762" s="71"/>
    </row>
    <row r="5763" spans="1:13" x14ac:dyDescent="0.25">
      <c r="A5763" s="2"/>
      <c r="B5763" s="11"/>
      <c r="C5763" s="26"/>
      <c r="M5763" s="71"/>
    </row>
    <row r="5764" spans="1:13" x14ac:dyDescent="0.25">
      <c r="A5764" s="2"/>
      <c r="B5764" s="11"/>
      <c r="C5764" s="26"/>
      <c r="M5764" s="71"/>
    </row>
    <row r="5765" spans="1:13" x14ac:dyDescent="0.25">
      <c r="A5765" s="2"/>
      <c r="B5765" s="11"/>
      <c r="C5765" s="26"/>
      <c r="M5765" s="71"/>
    </row>
    <row r="5766" spans="1:13" x14ac:dyDescent="0.25">
      <c r="A5766" s="2"/>
      <c r="B5766" s="11"/>
      <c r="C5766" s="26"/>
      <c r="M5766" s="71"/>
    </row>
    <row r="5767" spans="1:13" x14ac:dyDescent="0.25">
      <c r="A5767" s="2"/>
      <c r="B5767" s="11"/>
      <c r="C5767" s="26"/>
      <c r="M5767" s="71"/>
    </row>
    <row r="5768" spans="1:13" x14ac:dyDescent="0.25">
      <c r="A5768" s="2"/>
      <c r="B5768" s="11"/>
      <c r="C5768" s="26"/>
      <c r="M5768" s="71"/>
    </row>
    <row r="5769" spans="1:13" x14ac:dyDescent="0.25">
      <c r="A5769" s="2"/>
      <c r="B5769" s="11"/>
      <c r="C5769" s="26"/>
      <c r="M5769" s="71"/>
    </row>
    <row r="5770" spans="1:13" x14ac:dyDescent="0.25">
      <c r="A5770" s="2"/>
      <c r="B5770" s="11"/>
      <c r="C5770" s="26"/>
      <c r="M5770" s="71"/>
    </row>
    <row r="5771" spans="1:13" x14ac:dyDescent="0.25">
      <c r="A5771" s="2"/>
      <c r="B5771" s="11"/>
      <c r="C5771" s="26"/>
      <c r="M5771" s="71"/>
    </row>
    <row r="5772" spans="1:13" x14ac:dyDescent="0.25">
      <c r="A5772" s="2"/>
      <c r="B5772" s="11"/>
      <c r="C5772" s="26"/>
      <c r="M5772" s="71"/>
    </row>
    <row r="5773" spans="1:13" x14ac:dyDescent="0.25">
      <c r="A5773" s="2"/>
      <c r="B5773" s="11"/>
      <c r="C5773" s="26"/>
      <c r="M5773" s="71"/>
    </row>
    <row r="5774" spans="1:13" x14ac:dyDescent="0.25">
      <c r="A5774" s="2"/>
      <c r="B5774" s="11"/>
      <c r="C5774" s="26"/>
      <c r="M5774" s="71"/>
    </row>
    <row r="5775" spans="1:13" x14ac:dyDescent="0.25">
      <c r="A5775" s="2"/>
      <c r="B5775" s="11"/>
      <c r="C5775" s="26"/>
      <c r="M5775" s="71"/>
    </row>
    <row r="5776" spans="1:13" x14ac:dyDescent="0.25">
      <c r="A5776" s="2"/>
      <c r="B5776" s="11"/>
      <c r="C5776" s="26"/>
      <c r="M5776" s="71"/>
    </row>
    <row r="5777" spans="1:13" x14ac:dyDescent="0.25">
      <c r="A5777" s="2"/>
      <c r="B5777" s="11"/>
      <c r="C5777" s="26"/>
      <c r="M5777" s="71"/>
    </row>
    <row r="5778" spans="1:13" x14ac:dyDescent="0.25">
      <c r="A5778" s="2"/>
      <c r="B5778" s="11"/>
      <c r="C5778" s="26"/>
      <c r="M5778" s="71"/>
    </row>
    <row r="5779" spans="1:13" x14ac:dyDescent="0.25">
      <c r="A5779" s="2"/>
      <c r="B5779" s="11"/>
      <c r="C5779" s="26"/>
      <c r="M5779" s="71"/>
    </row>
    <row r="5780" spans="1:13" x14ac:dyDescent="0.25">
      <c r="A5780" s="2"/>
      <c r="B5780" s="11"/>
      <c r="C5780" s="26"/>
      <c r="M5780" s="71"/>
    </row>
    <row r="5781" spans="1:13" x14ac:dyDescent="0.25">
      <c r="A5781" s="2"/>
      <c r="B5781" s="11"/>
      <c r="C5781" s="26"/>
      <c r="M5781" s="71"/>
    </row>
    <row r="5782" spans="1:13" x14ac:dyDescent="0.25">
      <c r="A5782" s="2"/>
      <c r="B5782" s="11"/>
      <c r="C5782" s="26"/>
      <c r="M5782" s="71"/>
    </row>
    <row r="5783" spans="1:13" x14ac:dyDescent="0.25">
      <c r="A5783" s="2"/>
      <c r="B5783" s="11"/>
      <c r="C5783" s="26"/>
      <c r="M5783" s="71"/>
    </row>
    <row r="5784" spans="1:13" x14ac:dyDescent="0.25">
      <c r="A5784" s="2"/>
      <c r="B5784" s="11"/>
      <c r="C5784" s="26"/>
      <c r="M5784" s="71"/>
    </row>
    <row r="5785" spans="1:13" x14ac:dyDescent="0.25">
      <c r="A5785" s="2"/>
      <c r="B5785" s="11"/>
      <c r="C5785" s="26"/>
      <c r="M5785" s="71"/>
    </row>
    <row r="5786" spans="1:13" x14ac:dyDescent="0.25">
      <c r="A5786" s="2"/>
      <c r="B5786" s="11"/>
      <c r="C5786" s="26"/>
      <c r="M5786" s="71"/>
    </row>
    <row r="5787" spans="1:13" x14ac:dyDescent="0.25">
      <c r="A5787" s="2"/>
      <c r="B5787" s="11"/>
      <c r="C5787" s="26"/>
      <c r="M5787" s="71"/>
    </row>
    <row r="5788" spans="1:13" x14ac:dyDescent="0.25">
      <c r="A5788" s="2"/>
      <c r="B5788" s="11"/>
      <c r="C5788" s="26"/>
      <c r="M5788" s="71"/>
    </row>
    <row r="5789" spans="1:13" x14ac:dyDescent="0.25">
      <c r="A5789" s="2"/>
      <c r="B5789" s="11"/>
      <c r="C5789" s="26"/>
      <c r="M5789" s="71"/>
    </row>
    <row r="5790" spans="1:13" x14ac:dyDescent="0.25">
      <c r="A5790" s="2"/>
      <c r="B5790" s="11"/>
      <c r="C5790" s="26"/>
      <c r="M5790" s="71"/>
    </row>
    <row r="5791" spans="1:13" x14ac:dyDescent="0.25">
      <c r="A5791" s="2"/>
      <c r="B5791" s="11"/>
      <c r="C5791" s="26"/>
      <c r="M5791" s="71"/>
    </row>
    <row r="5792" spans="1:13" x14ac:dyDescent="0.25">
      <c r="A5792" s="2"/>
      <c r="B5792" s="11"/>
      <c r="C5792" s="26"/>
      <c r="M5792" s="71"/>
    </row>
    <row r="5793" spans="1:13" x14ac:dyDescent="0.25">
      <c r="A5793" s="2"/>
      <c r="B5793" s="11"/>
      <c r="C5793" s="26"/>
      <c r="M5793" s="71"/>
    </row>
    <row r="5794" spans="1:13" x14ac:dyDescent="0.25">
      <c r="A5794" s="2"/>
      <c r="B5794" s="11"/>
      <c r="C5794" s="26"/>
      <c r="M5794" s="71"/>
    </row>
    <row r="5795" spans="1:13" x14ac:dyDescent="0.25">
      <c r="A5795" s="2"/>
      <c r="B5795" s="11"/>
      <c r="C5795" s="26"/>
      <c r="M5795" s="71"/>
    </row>
    <row r="5796" spans="1:13" x14ac:dyDescent="0.25">
      <c r="A5796" s="2"/>
      <c r="B5796" s="11"/>
      <c r="C5796" s="26"/>
      <c r="M5796" s="71"/>
    </row>
    <row r="5797" spans="1:13" x14ac:dyDescent="0.25">
      <c r="A5797" s="2"/>
      <c r="B5797" s="11"/>
      <c r="C5797" s="26"/>
      <c r="M5797" s="71"/>
    </row>
    <row r="5798" spans="1:13" x14ac:dyDescent="0.25">
      <c r="A5798" s="2"/>
      <c r="B5798" s="11"/>
      <c r="C5798" s="26"/>
      <c r="M5798" s="71"/>
    </row>
    <row r="5799" spans="1:13" x14ac:dyDescent="0.25">
      <c r="A5799" s="2"/>
      <c r="B5799" s="11"/>
      <c r="C5799" s="26"/>
      <c r="M5799" s="71"/>
    </row>
    <row r="5800" spans="1:13" x14ac:dyDescent="0.25">
      <c r="A5800" s="2"/>
      <c r="B5800" s="11"/>
      <c r="C5800" s="26"/>
      <c r="M5800" s="71"/>
    </row>
    <row r="5801" spans="1:13" x14ac:dyDescent="0.25">
      <c r="A5801" s="2"/>
      <c r="B5801" s="11"/>
      <c r="C5801" s="26"/>
      <c r="M5801" s="71"/>
    </row>
    <row r="5802" spans="1:13" x14ac:dyDescent="0.25">
      <c r="A5802" s="2"/>
      <c r="B5802" s="11"/>
      <c r="C5802" s="26"/>
      <c r="M5802" s="71"/>
    </row>
    <row r="5803" spans="1:13" x14ac:dyDescent="0.25">
      <c r="A5803" s="2"/>
      <c r="B5803" s="11"/>
      <c r="C5803" s="26"/>
      <c r="M5803" s="71"/>
    </row>
    <row r="5804" spans="1:13" x14ac:dyDescent="0.25">
      <c r="A5804" s="2"/>
      <c r="B5804" s="11"/>
      <c r="C5804" s="26"/>
      <c r="M5804" s="71"/>
    </row>
    <row r="5805" spans="1:13" x14ac:dyDescent="0.25">
      <c r="A5805" s="2"/>
      <c r="B5805" s="11"/>
      <c r="C5805" s="26"/>
      <c r="M5805" s="71"/>
    </row>
    <row r="5806" spans="1:13" x14ac:dyDescent="0.25">
      <c r="A5806" s="2"/>
      <c r="B5806" s="11"/>
      <c r="C5806" s="26"/>
      <c r="M5806" s="71"/>
    </row>
    <row r="5807" spans="1:13" x14ac:dyDescent="0.25">
      <c r="A5807" s="2"/>
      <c r="B5807" s="11"/>
      <c r="C5807" s="26"/>
      <c r="M5807" s="71"/>
    </row>
    <row r="5808" spans="1:13" x14ac:dyDescent="0.25">
      <c r="A5808" s="2"/>
      <c r="B5808" s="11"/>
      <c r="C5808" s="26"/>
      <c r="M5808" s="71"/>
    </row>
    <row r="5809" spans="1:13" x14ac:dyDescent="0.25">
      <c r="A5809" s="2"/>
      <c r="B5809" s="11"/>
      <c r="C5809" s="26"/>
      <c r="M5809" s="71"/>
    </row>
    <row r="5810" spans="1:13" x14ac:dyDescent="0.25">
      <c r="A5810" s="2"/>
      <c r="B5810" s="11"/>
      <c r="C5810" s="26"/>
      <c r="M5810" s="71"/>
    </row>
    <row r="5811" spans="1:13" x14ac:dyDescent="0.25">
      <c r="A5811" s="2"/>
      <c r="B5811" s="11"/>
      <c r="C5811" s="26"/>
      <c r="M5811" s="71"/>
    </row>
    <row r="5812" spans="1:13" x14ac:dyDescent="0.25">
      <c r="A5812" s="2"/>
      <c r="B5812" s="11"/>
      <c r="C5812" s="26"/>
      <c r="M5812" s="71"/>
    </row>
    <row r="5813" spans="1:13" x14ac:dyDescent="0.25">
      <c r="A5813" s="2"/>
      <c r="B5813" s="11"/>
      <c r="C5813" s="26"/>
      <c r="M5813" s="71"/>
    </row>
    <row r="5814" spans="1:13" x14ac:dyDescent="0.25">
      <c r="A5814" s="2"/>
      <c r="B5814" s="11"/>
      <c r="C5814" s="26"/>
      <c r="M5814" s="71"/>
    </row>
    <row r="5815" spans="1:13" x14ac:dyDescent="0.25">
      <c r="A5815" s="2"/>
      <c r="B5815" s="11"/>
      <c r="C5815" s="26"/>
      <c r="M5815" s="71"/>
    </row>
    <row r="5816" spans="1:13" x14ac:dyDescent="0.25">
      <c r="A5816" s="2"/>
      <c r="B5816" s="11"/>
      <c r="C5816" s="26"/>
      <c r="M5816" s="71"/>
    </row>
    <row r="5817" spans="1:13" x14ac:dyDescent="0.25">
      <c r="A5817" s="2"/>
      <c r="B5817" s="11"/>
      <c r="C5817" s="26"/>
      <c r="M5817" s="71"/>
    </row>
    <row r="5818" spans="1:13" x14ac:dyDescent="0.25">
      <c r="A5818" s="2"/>
      <c r="B5818" s="11"/>
      <c r="C5818" s="26"/>
      <c r="M5818" s="71"/>
    </row>
    <row r="5819" spans="1:13" x14ac:dyDescent="0.25">
      <c r="A5819" s="2"/>
      <c r="B5819" s="11"/>
      <c r="C5819" s="26"/>
      <c r="M5819" s="71"/>
    </row>
    <row r="5820" spans="1:13" x14ac:dyDescent="0.25">
      <c r="A5820" s="2"/>
      <c r="B5820" s="11"/>
      <c r="C5820" s="26"/>
      <c r="M5820" s="71"/>
    </row>
    <row r="5821" spans="1:13" x14ac:dyDescent="0.25">
      <c r="A5821" s="2"/>
      <c r="B5821" s="11"/>
      <c r="C5821" s="26"/>
      <c r="M5821" s="71"/>
    </row>
    <row r="5822" spans="1:13" x14ac:dyDescent="0.25">
      <c r="A5822" s="2"/>
      <c r="B5822" s="11"/>
      <c r="C5822" s="26"/>
      <c r="M5822" s="71"/>
    </row>
    <row r="5823" spans="1:13" x14ac:dyDescent="0.25">
      <c r="A5823" s="2"/>
      <c r="B5823" s="11"/>
      <c r="C5823" s="26"/>
      <c r="M5823" s="71"/>
    </row>
    <row r="5824" spans="1:13" x14ac:dyDescent="0.25">
      <c r="A5824" s="2"/>
      <c r="B5824" s="11"/>
      <c r="C5824" s="26"/>
      <c r="M5824" s="71"/>
    </row>
    <row r="5825" spans="1:13" x14ac:dyDescent="0.25">
      <c r="A5825" s="2"/>
      <c r="B5825" s="11"/>
      <c r="C5825" s="26"/>
      <c r="M5825" s="71"/>
    </row>
    <row r="5826" spans="1:13" x14ac:dyDescent="0.25">
      <c r="A5826" s="2"/>
      <c r="B5826" s="11"/>
      <c r="C5826" s="26"/>
      <c r="M5826" s="71"/>
    </row>
    <row r="5827" spans="1:13" x14ac:dyDescent="0.25">
      <c r="A5827" s="2"/>
      <c r="B5827" s="11"/>
      <c r="C5827" s="26"/>
      <c r="M5827" s="71"/>
    </row>
    <row r="5828" spans="1:13" x14ac:dyDescent="0.25">
      <c r="A5828" s="2"/>
      <c r="B5828" s="11"/>
      <c r="C5828" s="26"/>
      <c r="M5828" s="71"/>
    </row>
    <row r="5829" spans="1:13" x14ac:dyDescent="0.25">
      <c r="A5829" s="2"/>
      <c r="B5829" s="11"/>
      <c r="C5829" s="26"/>
      <c r="M5829" s="71"/>
    </row>
    <row r="5830" spans="1:13" x14ac:dyDescent="0.25">
      <c r="A5830" s="2"/>
      <c r="B5830" s="11"/>
      <c r="C5830" s="26"/>
      <c r="M5830" s="71"/>
    </row>
    <row r="5831" spans="1:13" x14ac:dyDescent="0.25">
      <c r="A5831" s="2"/>
      <c r="B5831" s="11"/>
      <c r="C5831" s="26"/>
      <c r="M5831" s="71"/>
    </row>
    <row r="5832" spans="1:13" x14ac:dyDescent="0.25">
      <c r="A5832" s="2"/>
      <c r="B5832" s="11"/>
      <c r="C5832" s="26"/>
      <c r="M5832" s="71"/>
    </row>
    <row r="5833" spans="1:13" x14ac:dyDescent="0.25">
      <c r="A5833" s="2"/>
      <c r="B5833" s="11"/>
      <c r="C5833" s="26"/>
      <c r="M5833" s="71"/>
    </row>
    <row r="5834" spans="1:13" x14ac:dyDescent="0.25">
      <c r="A5834" s="2"/>
      <c r="B5834" s="11"/>
      <c r="C5834" s="26"/>
      <c r="M5834" s="71"/>
    </row>
    <row r="5835" spans="1:13" x14ac:dyDescent="0.25">
      <c r="A5835" s="2"/>
      <c r="B5835" s="11"/>
      <c r="C5835" s="26"/>
      <c r="M5835" s="71"/>
    </row>
    <row r="5836" spans="1:13" x14ac:dyDescent="0.25">
      <c r="A5836" s="2"/>
      <c r="B5836" s="11"/>
      <c r="C5836" s="26"/>
      <c r="M5836" s="71"/>
    </row>
    <row r="5837" spans="1:13" x14ac:dyDescent="0.25">
      <c r="A5837" s="2"/>
      <c r="B5837" s="11"/>
      <c r="C5837" s="26"/>
      <c r="M5837" s="71"/>
    </row>
    <row r="5838" spans="1:13" x14ac:dyDescent="0.25">
      <c r="A5838" s="2"/>
      <c r="B5838" s="11"/>
      <c r="C5838" s="26"/>
      <c r="M5838" s="71"/>
    </row>
    <row r="5839" spans="1:13" x14ac:dyDescent="0.25">
      <c r="A5839" s="2"/>
      <c r="B5839" s="11"/>
      <c r="C5839" s="26"/>
      <c r="M5839" s="71"/>
    </row>
    <row r="5840" spans="1:13" x14ac:dyDescent="0.25">
      <c r="A5840" s="2"/>
      <c r="B5840" s="11"/>
      <c r="C5840" s="26"/>
      <c r="M5840" s="71"/>
    </row>
    <row r="5841" spans="1:13" x14ac:dyDescent="0.25">
      <c r="A5841" s="2"/>
      <c r="B5841" s="11"/>
      <c r="C5841" s="26"/>
      <c r="M5841" s="71"/>
    </row>
    <row r="5842" spans="1:13" x14ac:dyDescent="0.25">
      <c r="A5842" s="2"/>
      <c r="B5842" s="11"/>
      <c r="C5842" s="26"/>
      <c r="M5842" s="71"/>
    </row>
    <row r="5843" spans="1:13" x14ac:dyDescent="0.25">
      <c r="A5843" s="2"/>
      <c r="B5843" s="11"/>
      <c r="C5843" s="26"/>
      <c r="M5843" s="71"/>
    </row>
    <row r="5844" spans="1:13" x14ac:dyDescent="0.25">
      <c r="A5844" s="2"/>
      <c r="B5844" s="11"/>
      <c r="C5844" s="26"/>
      <c r="M5844" s="71"/>
    </row>
    <row r="5845" spans="1:13" x14ac:dyDescent="0.25">
      <c r="A5845" s="2"/>
      <c r="B5845" s="11"/>
      <c r="C5845" s="26"/>
      <c r="M5845" s="71"/>
    </row>
    <row r="5846" spans="1:13" x14ac:dyDescent="0.25">
      <c r="A5846" s="2"/>
      <c r="B5846" s="11"/>
      <c r="C5846" s="26"/>
      <c r="M5846" s="71"/>
    </row>
    <row r="5847" spans="1:13" x14ac:dyDescent="0.25">
      <c r="A5847" s="2"/>
      <c r="B5847" s="11"/>
      <c r="C5847" s="26"/>
      <c r="M5847" s="71"/>
    </row>
    <row r="5848" spans="1:13" x14ac:dyDescent="0.25">
      <c r="A5848" s="2"/>
      <c r="B5848" s="11"/>
      <c r="C5848" s="26"/>
      <c r="M5848" s="71"/>
    </row>
    <row r="5849" spans="1:13" x14ac:dyDescent="0.25">
      <c r="A5849" s="2"/>
      <c r="B5849" s="11"/>
      <c r="C5849" s="26"/>
      <c r="M5849" s="71"/>
    </row>
  </sheetData>
  <pageMargins left="0.7" right="0.7" top="0.75" bottom="0.75" header="0.3" footer="0.3"/>
  <pageSetup paperSize="9" orientation="portrait" verticalDpi="4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3658"/>
  <sheetViews>
    <sheetView workbookViewId="0">
      <selection activeCell="R22" sqref="R22"/>
    </sheetView>
  </sheetViews>
  <sheetFormatPr defaultRowHeight="15" x14ac:dyDescent="0.25"/>
  <cols>
    <col min="2" max="2" width="6.85546875" customWidth="1"/>
    <col min="3" max="3" width="7.140625" customWidth="1"/>
    <col min="4" max="4" width="5.28515625" customWidth="1"/>
    <col min="9" max="9" width="10.7109375" customWidth="1"/>
    <col min="10" max="11" width="13.140625" customWidth="1"/>
    <col min="12" max="12" width="12.7109375" customWidth="1"/>
    <col min="13" max="13" width="23.85546875" bestFit="1" customWidth="1"/>
    <col min="15" max="15" width="13.140625" bestFit="1" customWidth="1"/>
    <col min="16" max="18" width="13.140625" customWidth="1"/>
    <col min="19" max="19" width="23.85546875" bestFit="1" customWidth="1"/>
    <col min="23" max="23" width="13.140625" customWidth="1"/>
    <col min="24" max="24" width="23.85546875" customWidth="1"/>
    <col min="25" max="25" width="23.85546875" bestFit="1" customWidth="1"/>
  </cols>
  <sheetData>
    <row r="1" spans="2:26" x14ac:dyDescent="0.25">
      <c r="B1" t="s">
        <v>67</v>
      </c>
      <c r="F1" t="s">
        <v>68</v>
      </c>
      <c r="N1" t="s">
        <v>69</v>
      </c>
      <c r="W1" s="73" t="s">
        <v>70</v>
      </c>
      <c r="X1" t="s">
        <v>71</v>
      </c>
      <c r="Y1" t="s">
        <v>72</v>
      </c>
      <c r="Z1" t="s">
        <v>73</v>
      </c>
    </row>
    <row r="2" spans="2:26" x14ac:dyDescent="0.25">
      <c r="B2" s="58" t="s">
        <v>74</v>
      </c>
      <c r="C2" s="58" t="s">
        <v>75</v>
      </c>
      <c r="D2" s="58" t="s">
        <v>76</v>
      </c>
      <c r="F2" s="58" t="s">
        <v>77</v>
      </c>
      <c r="G2" s="58" t="s">
        <v>64</v>
      </c>
      <c r="H2" s="58" t="s">
        <v>78</v>
      </c>
      <c r="M2" s="59"/>
      <c r="N2" s="58" t="s">
        <v>79</v>
      </c>
      <c r="O2" s="58" t="s">
        <v>80</v>
      </c>
      <c r="P2" s="58" t="s">
        <v>81</v>
      </c>
      <c r="Q2" s="54" t="s">
        <v>82</v>
      </c>
      <c r="R2" s="54" t="s">
        <v>83</v>
      </c>
      <c r="W2" s="77">
        <v>1</v>
      </c>
      <c r="X2">
        <v>101.52525951557094</v>
      </c>
      <c r="Y2">
        <v>101.52525951557094</v>
      </c>
      <c r="Z2">
        <f>_xlfn.STDEV.S(Y2:Y121)</f>
        <v>36.57820165026363</v>
      </c>
    </row>
    <row r="3" spans="2:26" x14ac:dyDescent="0.25">
      <c r="B3" s="65">
        <v>1</v>
      </c>
      <c r="C3" s="78">
        <v>77.280899653979219</v>
      </c>
      <c r="D3" s="79">
        <f ca="1">Q3</f>
        <v>31.07386300400437</v>
      </c>
      <c r="F3" s="65">
        <v>2003</v>
      </c>
      <c r="G3" s="78">
        <v>587.88027681660935</v>
      </c>
      <c r="H3" s="79">
        <f ca="1">SUM('markov model'!M7:M371)</f>
        <v>575.51782663938695</v>
      </c>
      <c r="M3" s="59">
        <v>1</v>
      </c>
      <c r="N3" s="58"/>
      <c r="O3" s="58">
        <v>1</v>
      </c>
      <c r="P3" s="59">
        <f ca="1">SUMIFS('markov model'!M$7:M$3656, 'markov model'!L$7:L$3656,"&gt;="&amp;O3,'markov model'!L$7:L$3656,"&lt;"&amp;O4)</f>
        <v>41.405917231416019</v>
      </c>
      <c r="Q3">
        <f ca="1">AVERAGE(P3,P15,P27,P39,P51,P63,P75,P87,P99,P111)</f>
        <v>31.07386300400437</v>
      </c>
      <c r="R3">
        <f ca="1">_xlfn.STDEV.S(P3,P15,P27,P39,P51,P63,P75,P87,P99,P111)</f>
        <v>29.518476569104358</v>
      </c>
      <c r="V3" s="72"/>
      <c r="W3" s="77">
        <v>2</v>
      </c>
      <c r="X3">
        <v>22.080276816609</v>
      </c>
      <c r="Y3">
        <v>22.080276816609</v>
      </c>
    </row>
    <row r="4" spans="2:26" x14ac:dyDescent="0.25">
      <c r="B4" s="65">
        <v>2</v>
      </c>
      <c r="C4" s="78">
        <v>52.237370242214539</v>
      </c>
      <c r="D4" s="79">
        <f t="shared" ref="D4:D14" ca="1" si="0">Q4</f>
        <v>26.015597929384057</v>
      </c>
      <c r="F4" s="65">
        <v>2004</v>
      </c>
      <c r="G4" s="78">
        <v>898.94325259515597</v>
      </c>
      <c r="H4" s="79">
        <f ca="1">SUM('markov model'!M372:M737)</f>
        <v>551.99189570563078</v>
      </c>
      <c r="M4" s="59">
        <v>2</v>
      </c>
      <c r="N4" s="59">
        <v>31</v>
      </c>
      <c r="O4" s="59">
        <f>SUM(N$4:N4)</f>
        <v>31</v>
      </c>
      <c r="P4" s="59">
        <f ca="1">SUMIFS('markov model'!M$7:M$3656, 'markov model'!L$7:L$3656,"&gt;="&amp;O4,'markov model'!L$7:L$3656,"&lt;"&amp;O5)</f>
        <v>27.967549096611549</v>
      </c>
      <c r="Q4">
        <f t="shared" ref="Q4:Q14" ca="1" si="1">AVERAGE(P4,P16,P28,P40,P52,P64,P76,P88,P100,P112)</f>
        <v>26.015597929384057</v>
      </c>
      <c r="R4">
        <f t="shared" ref="R4:R14" ca="1" si="2">_xlfn.STDEV.S(P4,P16,P28,P40,P52,P64,P76,P88,P100,P112)</f>
        <v>25.294784182581267</v>
      </c>
      <c r="V4" s="72"/>
      <c r="W4" s="77">
        <v>3</v>
      </c>
      <c r="X4">
        <v>23.630449826989615</v>
      </c>
      <c r="Y4">
        <v>23.630449826989615</v>
      </c>
    </row>
    <row r="5" spans="2:26" x14ac:dyDescent="0.25">
      <c r="B5" s="65">
        <v>3</v>
      </c>
      <c r="C5" s="78">
        <v>55.498961937716253</v>
      </c>
      <c r="D5" s="79">
        <f t="shared" ca="1" si="0"/>
        <v>34.156896467693969</v>
      </c>
      <c r="F5" s="65">
        <v>2005</v>
      </c>
      <c r="G5" s="78">
        <v>819.81038062283722</v>
      </c>
      <c r="H5" s="79">
        <f ca="1">SUM('markov model'!M738:M1102)</f>
        <v>605.30613145925622</v>
      </c>
      <c r="M5" s="59">
        <v>3</v>
      </c>
      <c r="N5" s="59">
        <v>28</v>
      </c>
      <c r="O5" s="59">
        <f>SUM(N$4:N5)</f>
        <v>59</v>
      </c>
      <c r="P5" s="59">
        <f ca="1">SUMIFS('markov model'!M$7:M$3656, 'markov model'!L$7:L$3656,"&gt;="&amp;O5,'markov model'!L$7:L$3656,"&lt;"&amp;O6)</f>
        <v>56.988068835690129</v>
      </c>
      <c r="Q5">
        <f t="shared" ca="1" si="1"/>
        <v>34.156896467693969</v>
      </c>
      <c r="R5">
        <f t="shared" ca="1" si="2"/>
        <v>31.237683380663803</v>
      </c>
      <c r="V5" s="72"/>
      <c r="W5" s="77">
        <v>4</v>
      </c>
      <c r="X5">
        <v>31.551557093425608</v>
      </c>
      <c r="Y5">
        <v>31.551557093425608</v>
      </c>
    </row>
    <row r="6" spans="2:26" x14ac:dyDescent="0.25">
      <c r="B6" s="65">
        <v>4</v>
      </c>
      <c r="C6" s="78">
        <v>54.071141868512122</v>
      </c>
      <c r="D6" s="79">
        <f t="shared" ca="1" si="0"/>
        <v>26.134974460573591</v>
      </c>
      <c r="F6" s="65">
        <v>2006</v>
      </c>
      <c r="G6" s="78">
        <v>700.90795847750837</v>
      </c>
      <c r="H6" s="79">
        <f ca="1">SUM('markov model'!M1103:M1467)</f>
        <v>542.10626867390533</v>
      </c>
      <c r="M6" s="59">
        <v>4</v>
      </c>
      <c r="N6" s="59">
        <v>31</v>
      </c>
      <c r="O6" s="59">
        <f>SUM(N$4:N6)</f>
        <v>90</v>
      </c>
      <c r="P6" s="59">
        <f ca="1">SUMIFS('markov model'!M$7:M$3656, 'markov model'!L$7:L$3656,"&gt;="&amp;O6,'markov model'!L$7:L$3656,"&lt;"&amp;O7)</f>
        <v>52.718925343956762</v>
      </c>
      <c r="Q6">
        <f t="shared" ca="1" si="1"/>
        <v>26.134974460573591</v>
      </c>
      <c r="R6">
        <f t="shared" ca="1" si="2"/>
        <v>26.029063546402785</v>
      </c>
      <c r="V6" s="72"/>
      <c r="W6" s="77">
        <v>5</v>
      </c>
      <c r="X6">
        <v>79.628373702422124</v>
      </c>
      <c r="Y6">
        <v>79.628373702422124</v>
      </c>
    </row>
    <row r="7" spans="2:26" x14ac:dyDescent="0.25">
      <c r="B7" s="65">
        <v>5</v>
      </c>
      <c r="C7" s="78">
        <v>49.716401384083028</v>
      </c>
      <c r="D7" s="79">
        <f t="shared" ca="1" si="0"/>
        <v>22.696141082520377</v>
      </c>
      <c r="F7" s="65">
        <v>2007</v>
      </c>
      <c r="G7" s="78">
        <v>697.16470588235291</v>
      </c>
      <c r="H7" s="79">
        <f ca="1">SUM('markov model'!M1468:M1832)</f>
        <v>642.68631575193194</v>
      </c>
      <c r="M7" s="59">
        <v>5</v>
      </c>
      <c r="N7" s="59">
        <v>30</v>
      </c>
      <c r="O7" s="59">
        <f>SUM(N$4:N7)</f>
        <v>120</v>
      </c>
      <c r="P7" s="59">
        <f ca="1">SUMIFS('markov model'!M$7:M$3656, 'markov model'!L$7:L$3656,"&gt;="&amp;O7,'markov model'!L$7:L$3656,"&lt;"&amp;O8)</f>
        <v>64.862082676163368</v>
      </c>
      <c r="Q7">
        <f t="shared" ca="1" si="1"/>
        <v>22.696141082520377</v>
      </c>
      <c r="R7">
        <f t="shared" ca="1" si="2"/>
        <v>26.162213606044123</v>
      </c>
      <c r="V7" s="72"/>
      <c r="W7" s="77">
        <v>6</v>
      </c>
      <c r="X7">
        <v>69.797231833910033</v>
      </c>
      <c r="Y7">
        <v>69.797231833910033</v>
      </c>
    </row>
    <row r="8" spans="2:26" x14ac:dyDescent="0.25">
      <c r="B8" s="65">
        <v>6</v>
      </c>
      <c r="C8" s="78">
        <v>78.112249134948115</v>
      </c>
      <c r="D8" s="79">
        <f t="shared" ca="1" si="0"/>
        <v>23.955923077721888</v>
      </c>
      <c r="F8" s="65">
        <v>2008</v>
      </c>
      <c r="G8" s="78">
        <v>1007.3577854671282</v>
      </c>
      <c r="H8" s="79">
        <f ca="1">SUM('markov model'!M1833:M2197)</f>
        <v>216.03885255336132</v>
      </c>
      <c r="M8" s="59">
        <v>6</v>
      </c>
      <c r="N8" s="59">
        <v>31</v>
      </c>
      <c r="O8" s="59">
        <f>SUM(N$4:N8)</f>
        <v>151</v>
      </c>
      <c r="P8" s="59">
        <f ca="1">SUMIFS('markov model'!M$7:M$3656, 'markov model'!L$7:L$3656,"&gt;="&amp;O8,'markov model'!L$7:L$3656,"&lt;"&amp;O9)</f>
        <v>41.513046676439423</v>
      </c>
      <c r="Q8">
        <f t="shared" ca="1" si="1"/>
        <v>23.955923077721888</v>
      </c>
      <c r="R8">
        <f t="shared" ca="1" si="2"/>
        <v>26.541982273660821</v>
      </c>
      <c r="V8" s="72"/>
      <c r="W8" s="77">
        <v>7</v>
      </c>
      <c r="X8">
        <v>37.837370242214526</v>
      </c>
      <c r="Y8">
        <v>37.837370242214526</v>
      </c>
    </row>
    <row r="9" spans="2:26" x14ac:dyDescent="0.25">
      <c r="B9" s="65">
        <v>7</v>
      </c>
      <c r="C9" s="78">
        <v>77.90380622837371</v>
      </c>
      <c r="D9" s="79">
        <f t="shared" ca="1" si="0"/>
        <v>30.567698793766549</v>
      </c>
      <c r="F9" s="65">
        <v>2009</v>
      </c>
      <c r="G9" s="78">
        <v>818.31833910034618</v>
      </c>
      <c r="H9" s="79">
        <f>SUM('markov model'!M2198:M2562)</f>
        <v>0</v>
      </c>
      <c r="M9" s="59">
        <v>7</v>
      </c>
      <c r="N9" s="59">
        <v>30</v>
      </c>
      <c r="O9" s="59">
        <f>SUM(N$4:N9)</f>
        <v>181</v>
      </c>
      <c r="P9" s="59">
        <f ca="1">SUMIFS('markov model'!M$7:M$3656, 'markov model'!L$7:L$3656,"&gt;="&amp;O9,'markov model'!L$7:L$3656,"&lt;"&amp;O10)</f>
        <v>56.053843501522806</v>
      </c>
      <c r="Q9">
        <f t="shared" ca="1" si="1"/>
        <v>30.567698793766549</v>
      </c>
      <c r="R9">
        <f t="shared" ca="1" si="2"/>
        <v>38.36836650595594</v>
      </c>
      <c r="V9" s="72"/>
      <c r="W9" s="77">
        <v>8</v>
      </c>
      <c r="X9">
        <v>10.770242214532871</v>
      </c>
      <c r="Y9">
        <v>10.770242214532871</v>
      </c>
    </row>
    <row r="10" spans="2:26" x14ac:dyDescent="0.25">
      <c r="B10" s="65">
        <v>8</v>
      </c>
      <c r="C10" s="78">
        <v>82.782837370242191</v>
      </c>
      <c r="D10" s="79">
        <f t="shared" ca="1" si="0"/>
        <v>19.850217549372807</v>
      </c>
      <c r="F10" s="65">
        <v>2010</v>
      </c>
      <c r="G10" s="78">
        <v>842.67889273356388</v>
      </c>
      <c r="H10" s="79">
        <f>SUM('markov model'!M2562:M2927)</f>
        <v>0</v>
      </c>
      <c r="M10" s="59">
        <v>8</v>
      </c>
      <c r="N10" s="59">
        <v>31</v>
      </c>
      <c r="O10" s="59">
        <f>SUM(N$4:N10)</f>
        <v>212</v>
      </c>
      <c r="P10" s="59">
        <f ca="1">SUMIFS('markov model'!M$7:M$3656, 'markov model'!L$7:L$3656,"&gt;="&amp;O10,'markov model'!L$7:L$3656,"&lt;"&amp;O11)</f>
        <v>47.517646256326906</v>
      </c>
      <c r="Q10">
        <f t="shared" ca="1" si="1"/>
        <v>19.850217549372807</v>
      </c>
      <c r="R10">
        <f t="shared" ca="1" si="2"/>
        <v>22.458221787739802</v>
      </c>
      <c r="V10" s="72"/>
      <c r="W10" s="77">
        <v>9</v>
      </c>
      <c r="X10">
        <v>47.817993079584774</v>
      </c>
      <c r="Y10">
        <v>47.817993079584774</v>
      </c>
    </row>
    <row r="11" spans="2:26" x14ac:dyDescent="0.25">
      <c r="B11" s="65">
        <v>9</v>
      </c>
      <c r="C11" s="78">
        <v>68.414186851211056</v>
      </c>
      <c r="D11" s="79">
        <f t="shared" ca="1" si="0"/>
        <v>29.465949385559345</v>
      </c>
      <c r="F11" s="65">
        <v>2011</v>
      </c>
      <c r="G11" s="78">
        <v>763.56124567474001</v>
      </c>
      <c r="H11" s="79">
        <f>SUM('markov model'!M2928:M3292)</f>
        <v>0</v>
      </c>
      <c r="J11" s="77"/>
      <c r="K11" s="77"/>
      <c r="M11" s="59">
        <v>9</v>
      </c>
      <c r="N11" s="59">
        <v>31</v>
      </c>
      <c r="O11" s="59">
        <f>SUM(N$4:N11)</f>
        <v>243</v>
      </c>
      <c r="P11" s="59">
        <f ca="1">SUMIFS('markov model'!M$7:M$3656, 'markov model'!L$7:L$3656,"&gt;="&amp;O11,'markov model'!L$7:L$3656,"&lt;"&amp;O12)</f>
        <v>45.557703050689774</v>
      </c>
      <c r="Q11">
        <f t="shared" ca="1" si="1"/>
        <v>29.465949385559345</v>
      </c>
      <c r="R11">
        <f t="shared" ca="1" si="2"/>
        <v>34.442941664285875</v>
      </c>
      <c r="V11" s="72"/>
      <c r="W11" s="77">
        <v>10</v>
      </c>
      <c r="X11">
        <v>39.852595155709345</v>
      </c>
      <c r="Y11">
        <v>39.852595155709345</v>
      </c>
    </row>
    <row r="12" spans="2:26" x14ac:dyDescent="0.25">
      <c r="B12" s="65">
        <v>10</v>
      </c>
      <c r="C12" s="78">
        <v>71.734394463667826</v>
      </c>
      <c r="D12" s="79">
        <f t="shared" ca="1" si="0"/>
        <v>24.942079898262662</v>
      </c>
      <c r="F12" s="65">
        <v>2012</v>
      </c>
      <c r="G12" s="78">
        <v>1040.6532871972315</v>
      </c>
      <c r="H12" s="79">
        <f>SUM('markov model'!M3293:M3657)</f>
        <v>0</v>
      </c>
      <c r="J12" s="77"/>
      <c r="K12" s="77"/>
      <c r="M12" s="59">
        <v>10</v>
      </c>
      <c r="N12" s="59">
        <v>30</v>
      </c>
      <c r="O12" s="59">
        <f>SUM(N$4:N12)</f>
        <v>273</v>
      </c>
      <c r="P12" s="59">
        <f ca="1">SUMIFS('markov model'!M$7:M$3656, 'markov model'!L$7:L$3656,"&gt;="&amp;O12,'markov model'!L$7:L$3656,"&lt;"&amp;O13)</f>
        <v>36.383673455292772</v>
      </c>
      <c r="Q12">
        <f t="shared" ca="1" si="1"/>
        <v>24.942079898262662</v>
      </c>
      <c r="R12">
        <f t="shared" ca="1" si="2"/>
        <v>28.186008257469155</v>
      </c>
      <c r="V12" s="72"/>
      <c r="W12" s="77">
        <v>11</v>
      </c>
      <c r="X12">
        <v>42.539100346020753</v>
      </c>
      <c r="Y12">
        <v>42.539100346020753</v>
      </c>
    </row>
    <row r="13" spans="2:26" x14ac:dyDescent="0.25">
      <c r="B13" s="65">
        <v>11</v>
      </c>
      <c r="C13" s="78">
        <v>78.420207612456807</v>
      </c>
      <c r="D13" s="79">
        <f t="shared" ca="1" si="0"/>
        <v>24.975668754952181</v>
      </c>
      <c r="F13" s="86" t="s">
        <v>73</v>
      </c>
      <c r="G13" s="85">
        <f>_xlfn.STDEV.S(G3:G12)</f>
        <v>140.16844288804049</v>
      </c>
      <c r="H13" s="85">
        <f ca="1">_xlfn.STDEV.S(H3:H12)</f>
        <v>293.24515587285202</v>
      </c>
      <c r="J13" s="77"/>
      <c r="K13" s="77"/>
      <c r="M13" s="59">
        <v>11</v>
      </c>
      <c r="N13" s="59">
        <v>31</v>
      </c>
      <c r="O13" s="59">
        <f>SUM(N$4:N13)</f>
        <v>304</v>
      </c>
      <c r="P13" s="59">
        <f ca="1">SUMIFS('markov model'!M$7:M$3656, 'markov model'!L$7:L$3656,"&gt;="&amp;O13,'markov model'!L$7:L$3656,"&lt;"&amp;O14)</f>
        <v>53.244002418122584</v>
      </c>
      <c r="Q13">
        <f t="shared" ca="1" si="1"/>
        <v>24.975668754952181</v>
      </c>
      <c r="R13">
        <f t="shared" ca="1" si="2"/>
        <v>26.564976959003449</v>
      </c>
      <c r="V13" s="72"/>
      <c r="W13" s="77">
        <v>12</v>
      </c>
      <c r="X13">
        <v>80.849826989619373</v>
      </c>
      <c r="Y13">
        <v>80.849826989619373</v>
      </c>
    </row>
    <row r="14" spans="2:26" x14ac:dyDescent="0.25">
      <c r="B14" s="65">
        <v>12</v>
      </c>
      <c r="C14" s="78">
        <v>71.555155709342571</v>
      </c>
      <c r="D14" s="79">
        <f t="shared" ca="1" si="0"/>
        <v>19.529718674535395</v>
      </c>
      <c r="I14" s="5" t="s">
        <v>84</v>
      </c>
      <c r="J14" s="84" t="s">
        <v>64</v>
      </c>
      <c r="K14" s="83">
        <f>MIN(G3:G12)</f>
        <v>587.88027681660935</v>
      </c>
      <c r="L14" s="83">
        <f>MAX(G3:G12)</f>
        <v>1040.6532871972315</v>
      </c>
      <c r="M14" s="59">
        <v>12</v>
      </c>
      <c r="N14" s="59">
        <v>30</v>
      </c>
      <c r="O14" s="59">
        <f>SUM(N$4:N14)</f>
        <v>334</v>
      </c>
      <c r="P14" s="59">
        <f ca="1">SUMIFS('markov model'!M$7:M$3656, 'markov model'!L$7:L$3656,"&gt;="&amp;O14,'markov model'!L$7:L$3656,"&lt;"&amp;O15)</f>
        <v>51.305368097154485</v>
      </c>
      <c r="Q14">
        <f t="shared" ca="1" si="1"/>
        <v>19.529718674535395</v>
      </c>
      <c r="R14">
        <f t="shared" ca="1" si="2"/>
        <v>22.141699742977593</v>
      </c>
      <c r="V14" s="72"/>
      <c r="W14" s="77">
        <v>13</v>
      </c>
      <c r="X14">
        <v>115.75778546712803</v>
      </c>
      <c r="Y14">
        <v>115.75778546712803</v>
      </c>
    </row>
    <row r="15" spans="2:26" x14ac:dyDescent="0.25">
      <c r="I15" s="5"/>
      <c r="J15" s="84" t="s">
        <v>65</v>
      </c>
      <c r="K15" s="83">
        <f ca="1">MIN(H3:H12)</f>
        <v>0</v>
      </c>
      <c r="L15" s="83">
        <f ca="1">MAX(H3:H12)</f>
        <v>642.68631575193194</v>
      </c>
      <c r="M15" s="59">
        <v>1</v>
      </c>
      <c r="N15" s="59">
        <v>31</v>
      </c>
      <c r="O15" s="59">
        <f>SUM(N$4:N15)</f>
        <v>365</v>
      </c>
      <c r="P15" s="59">
        <f ca="1">SUMIFS('markov model'!M$7:M$3656, 'markov model'!L$7:L$3656,"&gt;="&amp;O15,'markov model'!L$7:L$3656,"&lt;"&amp;O16)</f>
        <v>47.339253712201462</v>
      </c>
      <c r="V15" s="72"/>
      <c r="W15" s="77">
        <v>14</v>
      </c>
      <c r="X15">
        <v>52.662975778546709</v>
      </c>
      <c r="Y15">
        <v>52.662975778546709</v>
      </c>
    </row>
    <row r="16" spans="2:26" x14ac:dyDescent="0.25">
      <c r="I16" s="2"/>
      <c r="J16" s="83"/>
      <c r="K16" s="83"/>
      <c r="L16" s="2"/>
      <c r="M16" s="59">
        <v>2</v>
      </c>
      <c r="N16" s="59">
        <v>31</v>
      </c>
      <c r="O16" s="59">
        <f>SUM(N$4:N16)</f>
        <v>396</v>
      </c>
      <c r="P16" s="59">
        <f ca="1">SUMIFS('markov model'!M$7:M$3656, 'markov model'!L$7:L$3656,"&gt;="&amp;O16,'markov model'!L$7:L$3656,"&lt;"&amp;O17)</f>
        <v>43.278865671740974</v>
      </c>
      <c r="V16" s="72"/>
      <c r="W16" s="77">
        <v>15</v>
      </c>
      <c r="X16">
        <v>59.998615916955018</v>
      </c>
      <c r="Y16">
        <v>59.998615916955018</v>
      </c>
    </row>
    <row r="17" spans="3:25" x14ac:dyDescent="0.25">
      <c r="J17" s="77"/>
      <c r="K17" s="77"/>
      <c r="M17" s="59">
        <v>3</v>
      </c>
      <c r="N17" s="59">
        <v>28</v>
      </c>
      <c r="O17" s="59">
        <f>SUM(N$4:N17)</f>
        <v>424</v>
      </c>
      <c r="P17" s="59">
        <f ca="1">SUMIFS('markov model'!M$7:M$3656, 'markov model'!L$7:L$3656,"&gt;="&amp;O17,'markov model'!L$7:L$3656,"&lt;"&amp;O18)</f>
        <v>61.558992350414904</v>
      </c>
      <c r="S17" s="60" t="s">
        <v>85</v>
      </c>
      <c r="T17" s="60">
        <f>SUM(T20:T48)</f>
        <v>244</v>
      </c>
      <c r="U17" s="60">
        <f ca="1">SUM(U20:U48)</f>
        <v>1927</v>
      </c>
      <c r="V17" s="80" t="s">
        <v>86</v>
      </c>
      <c r="W17" s="77">
        <v>16</v>
      </c>
      <c r="X17">
        <v>53.184083044982707</v>
      </c>
      <c r="Y17">
        <v>53.184083044982707</v>
      </c>
    </row>
    <row r="18" spans="3:25" x14ac:dyDescent="0.25">
      <c r="J18" s="77"/>
      <c r="K18" s="77"/>
      <c r="M18" s="59">
        <v>4</v>
      </c>
      <c r="N18" s="59">
        <v>31</v>
      </c>
      <c r="O18" s="59">
        <f>SUM(N$4:N18)</f>
        <v>455</v>
      </c>
      <c r="P18" s="59">
        <f ca="1">SUMIFS('markov model'!M$7:M$3656, 'markov model'!L$7:L$3656,"&gt;="&amp;O18,'markov model'!L$7:L$3656,"&lt;"&amp;O19)</f>
        <v>32.892836903058843</v>
      </c>
      <c r="S18" s="60"/>
      <c r="T18" s="81">
        <f>MAX(obsdata)</f>
        <v>26.666666666666668</v>
      </c>
      <c r="U18" s="81">
        <f ca="1">MAX(moddata)</f>
        <v>19.121177349562466</v>
      </c>
      <c r="V18" s="80" t="s">
        <v>87</v>
      </c>
      <c r="W18" s="77">
        <v>17</v>
      </c>
      <c r="X18">
        <v>25.549480968858138</v>
      </c>
      <c r="Y18">
        <v>25.549480968858138</v>
      </c>
    </row>
    <row r="19" spans="3:25" x14ac:dyDescent="0.25">
      <c r="J19" s="77"/>
      <c r="K19" s="77"/>
      <c r="M19" s="59">
        <v>5</v>
      </c>
      <c r="N19" s="59">
        <v>30</v>
      </c>
      <c r="O19" s="59">
        <f>SUM(N$4:N19)</f>
        <v>485</v>
      </c>
      <c r="P19" s="59">
        <f ca="1">SUMIFS('markov model'!M$7:M$3656, 'markov model'!L$7:L$3656,"&gt;="&amp;O19,'markov model'!L$7:L$3656,"&lt;"&amp;O20)</f>
        <v>56.382082264365039</v>
      </c>
      <c r="S19" s="60" t="s">
        <v>88</v>
      </c>
      <c r="T19" s="60" t="s">
        <v>64</v>
      </c>
      <c r="U19" s="60" t="s">
        <v>65</v>
      </c>
      <c r="V19" s="80"/>
      <c r="W19" s="77">
        <v>18</v>
      </c>
      <c r="X19">
        <v>112.43737024221454</v>
      </c>
      <c r="Y19">
        <v>112.43737024221454</v>
      </c>
    </row>
    <row r="20" spans="3:25" x14ac:dyDescent="0.25">
      <c r="J20" s="77"/>
      <c r="K20" s="77"/>
      <c r="M20" s="59">
        <v>6</v>
      </c>
      <c r="N20" s="59">
        <v>31</v>
      </c>
      <c r="O20" s="59">
        <f>SUM(N$4:N20)</f>
        <v>516</v>
      </c>
      <c r="P20" s="59">
        <f ca="1">SUMIFS('markov model'!M$7:M$3656, 'markov model'!L$7:L$3656,"&gt;="&amp;O20,'markov model'!L$7:L$3656,"&lt;"&amp;O21)</f>
        <v>45.167865676084496</v>
      </c>
      <c r="S20" s="61">
        <v>0</v>
      </c>
      <c r="T20" s="61">
        <f>COUNTIF(obsdata,"=0")</f>
        <v>88</v>
      </c>
      <c r="U20" s="61">
        <f ca="1">COUNTIF(moddata,"=0")</f>
        <v>799</v>
      </c>
      <c r="V20" s="72"/>
      <c r="W20" s="77">
        <v>19</v>
      </c>
      <c r="X20">
        <v>72.303114186851218</v>
      </c>
      <c r="Y20">
        <v>72.303114186851218</v>
      </c>
    </row>
    <row r="21" spans="3:25" x14ac:dyDescent="0.25">
      <c r="J21" s="77"/>
      <c r="K21" s="77"/>
      <c r="M21" s="59">
        <v>7</v>
      </c>
      <c r="N21" s="59">
        <v>30</v>
      </c>
      <c r="O21" s="59">
        <f>SUM(N$4:N21)</f>
        <v>546</v>
      </c>
      <c r="P21" s="59">
        <f ca="1">SUMIFS('markov model'!M$7:M$3656, 'markov model'!L$7:L$3656,"&gt;="&amp;O21,'markov model'!L$7:L$3656,"&lt;"&amp;O22)</f>
        <v>42.159929590362225</v>
      </c>
      <c r="S21" s="61">
        <v>1</v>
      </c>
      <c r="T21" s="61">
        <f>COUNTIF(obsdata,"&lt;"&amp;S21)-SUM(T$20:T20)</f>
        <v>76</v>
      </c>
      <c r="U21" s="61">
        <f ca="1">COUNTIF(moddata,"&lt;"&amp;S21)-SUM(U$20:U20)</f>
        <v>337</v>
      </c>
      <c r="V21" s="72"/>
      <c r="W21" s="77">
        <v>20</v>
      </c>
      <c r="X21">
        <v>179.82214532871973</v>
      </c>
      <c r="Y21">
        <v>179.82214532871973</v>
      </c>
    </row>
    <row r="22" spans="3:25" x14ac:dyDescent="0.25">
      <c r="J22" s="77"/>
      <c r="K22" s="77"/>
      <c r="M22" s="59">
        <v>8</v>
      </c>
      <c r="N22" s="59">
        <v>31</v>
      </c>
      <c r="O22" s="59">
        <f>SUM(N$4:N22)</f>
        <v>577</v>
      </c>
      <c r="P22" s="59">
        <f ca="1">SUMIFS('markov model'!M$7:M$3656, 'markov model'!L$7:L$3656,"&gt;="&amp;O22,'markov model'!L$7:L$3656,"&lt;"&amp;O23)</f>
        <v>33.665645832575869</v>
      </c>
      <c r="S22" s="61">
        <v>2</v>
      </c>
      <c r="T22" s="61">
        <f>COUNTIF(obsdata,"&lt;"&amp;S22)-SUM(T$20:T21)</f>
        <v>24</v>
      </c>
      <c r="U22" s="61">
        <f ca="1">COUNTIF(moddata,"&lt;"&amp;S22)-SUM(U$20:U21)</f>
        <v>243</v>
      </c>
      <c r="V22" s="72"/>
      <c r="W22" s="77">
        <v>21</v>
      </c>
      <c r="X22">
        <v>27.607612456747404</v>
      </c>
      <c r="Y22">
        <v>27.607612456747404</v>
      </c>
    </row>
    <row r="23" spans="3:25" x14ac:dyDescent="0.25">
      <c r="J23" s="77"/>
      <c r="K23" s="77"/>
      <c r="M23" s="59">
        <v>9</v>
      </c>
      <c r="N23" s="59">
        <v>31</v>
      </c>
      <c r="O23" s="59">
        <f>SUM(N$4:N23)</f>
        <v>608</v>
      </c>
      <c r="P23" s="59">
        <f ca="1">SUMIFS('markov model'!M$7:M$3656, 'markov model'!L$7:L$3656,"&gt;="&amp;O23,'markov model'!L$7:L$3656,"&lt;"&amp;O24)</f>
        <v>57.897787549229321</v>
      </c>
      <c r="S23" s="61">
        <v>3</v>
      </c>
      <c r="T23" s="61">
        <f>COUNTIF(obsdata,"&lt;"&amp;S23)-SUM(T$20:T22)</f>
        <v>13</v>
      </c>
      <c r="U23" s="61">
        <f ca="1">COUNTIF(moddata,"&lt;"&amp;S23)-SUM(U$20:U22)</f>
        <v>148</v>
      </c>
      <c r="V23" s="72"/>
      <c r="W23" s="77">
        <v>22</v>
      </c>
      <c r="X23">
        <v>125.24498269896195</v>
      </c>
      <c r="Y23">
        <v>125.24498269896195</v>
      </c>
    </row>
    <row r="24" spans="3:25" x14ac:dyDescent="0.25">
      <c r="M24" s="59">
        <v>10</v>
      </c>
      <c r="N24" s="59">
        <v>30</v>
      </c>
      <c r="O24" s="59">
        <f>SUM(N$4:N24)</f>
        <v>638</v>
      </c>
      <c r="P24" s="59">
        <f ca="1">SUMIFS('markov model'!M$7:M$3656, 'markov model'!L$7:L$3656,"&gt;="&amp;O24,'markov model'!L$7:L$3656,"&lt;"&amp;O25)</f>
        <v>56.44694387284563</v>
      </c>
      <c r="S24" s="61">
        <v>4</v>
      </c>
      <c r="T24" s="61">
        <f>COUNTIF(obsdata,"&lt;"&amp;S24)-SUM(T$20:T23)</f>
        <v>11</v>
      </c>
      <c r="U24" s="61">
        <f ca="1">COUNTIF(moddata,"&lt;"&amp;S24)-SUM(U$20:U23)</f>
        <v>137</v>
      </c>
      <c r="V24" s="72"/>
      <c r="W24" s="77">
        <v>23</v>
      </c>
      <c r="X24">
        <v>30.249826989619379</v>
      </c>
      <c r="Y24">
        <v>30.249826989619379</v>
      </c>
    </row>
    <row r="25" spans="3:25" x14ac:dyDescent="0.25">
      <c r="M25" s="59">
        <v>11</v>
      </c>
      <c r="N25" s="59">
        <v>31</v>
      </c>
      <c r="O25" s="59">
        <f>SUM(N$4:N25)</f>
        <v>669</v>
      </c>
      <c r="P25" s="59">
        <f ca="1">SUMIFS('markov model'!M$7:M$3656, 'markov model'!L$7:L$3656,"&gt;="&amp;O25,'markov model'!L$7:L$3656,"&lt;"&amp;O26)</f>
        <v>45.72020869665937</v>
      </c>
      <c r="S25" s="61">
        <v>5</v>
      </c>
      <c r="T25" s="61">
        <f>COUNTIF(obsdata,"&lt;"&amp;S25)-SUM(T$20:T24)</f>
        <v>9</v>
      </c>
      <c r="U25" s="61">
        <f ca="1">COUNTIF(moddata,"&lt;"&amp;S25)-SUM(U$20:U24)</f>
        <v>91</v>
      </c>
      <c r="V25" s="72"/>
      <c r="W25" s="77">
        <v>24</v>
      </c>
      <c r="X25">
        <v>44.125259515570932</v>
      </c>
      <c r="Y25">
        <v>44.125259515570932</v>
      </c>
    </row>
    <row r="26" spans="3:25" x14ac:dyDescent="0.25">
      <c r="M26" s="59">
        <v>12</v>
      </c>
      <c r="N26" s="59">
        <v>30</v>
      </c>
      <c r="O26" s="59">
        <f>SUM(N$4:N26)</f>
        <v>699</v>
      </c>
      <c r="P26" s="59">
        <f ca="1">SUMIFS('markov model'!M$7:M$3656, 'markov model'!L$7:L$3656,"&gt;="&amp;O26,'markov model'!L$7:L$3656,"&lt;"&amp;O27)</f>
        <v>26.96930041773637</v>
      </c>
      <c r="S26" s="61">
        <v>6</v>
      </c>
      <c r="T26" s="61">
        <f>COUNTIF(obsdata,"&lt;"&amp;S26)-SUM(T$20:T25)</f>
        <v>6</v>
      </c>
      <c r="U26" s="61">
        <f ca="1">COUNTIF(moddata,"&lt;"&amp;S26)-SUM(U$20:U25)</f>
        <v>49</v>
      </c>
      <c r="V26" s="72"/>
      <c r="W26" s="77">
        <v>25</v>
      </c>
      <c r="X26">
        <v>78.175086505190336</v>
      </c>
      <c r="Y26">
        <v>78.175086505190336</v>
      </c>
    </row>
    <row r="27" spans="3:25" x14ac:dyDescent="0.25">
      <c r="I27" s="5" t="s">
        <v>63</v>
      </c>
      <c r="J27" s="2"/>
      <c r="K27" s="2"/>
      <c r="M27" s="59">
        <v>1</v>
      </c>
      <c r="N27" s="59">
        <v>31</v>
      </c>
      <c r="O27" s="59">
        <f>SUM(N$4:N27)</f>
        <v>730</v>
      </c>
      <c r="P27" s="59">
        <f ca="1">SUMIFS('markov model'!M$7:M$3656, 'markov model'!L$7:L$3656,"&gt;="&amp;O27,'markov model'!L$7:L$3656,"&lt;"&amp;O28)</f>
        <v>68.313418025993542</v>
      </c>
      <c r="S27" s="61">
        <v>7</v>
      </c>
      <c r="T27" s="61">
        <f>COUNTIF(obsdata,"&lt;"&amp;S27)-SUM(T$20:T26)</f>
        <v>2</v>
      </c>
      <c r="U27" s="61">
        <f ca="1">COUNTIF(moddata,"&lt;"&amp;S27)-SUM(U$20:U26)</f>
        <v>29</v>
      </c>
      <c r="V27" s="72"/>
      <c r="W27" s="77">
        <v>26</v>
      </c>
      <c r="X27">
        <v>59.944636678200688</v>
      </c>
      <c r="Y27">
        <v>59.944636678200688</v>
      </c>
    </row>
    <row r="28" spans="3:25" x14ac:dyDescent="0.25">
      <c r="I28" s="5" t="s">
        <v>64</v>
      </c>
      <c r="J28" s="7">
        <f>MAX(obsdata)</f>
        <v>26.666666666666668</v>
      </c>
      <c r="K28" s="7"/>
      <c r="L28" t="s">
        <v>61</v>
      </c>
      <c r="M28" s="59">
        <v>2</v>
      </c>
      <c r="N28" s="59">
        <v>31</v>
      </c>
      <c r="O28" s="59">
        <f>SUM(N$4:N28)</f>
        <v>761</v>
      </c>
      <c r="P28" s="59">
        <f ca="1">SUMIFS('markov model'!M$7:M$3656, 'markov model'!L$7:L$3656,"&gt;="&amp;O28,'markov model'!L$7:L$3656,"&lt;"&amp;O29)</f>
        <v>70.844014184495279</v>
      </c>
      <c r="S28" s="61">
        <v>8</v>
      </c>
      <c r="T28" s="61">
        <f>COUNTIF(obsdata,"&lt;"&amp;S28)-SUM(T$20:T27)</f>
        <v>2</v>
      </c>
      <c r="U28" s="61">
        <f ca="1">COUNTIF(moddata,"&lt;"&amp;S28)-SUM(U$20:U27)</f>
        <v>21</v>
      </c>
      <c r="V28" s="72"/>
      <c r="W28" s="77">
        <v>27</v>
      </c>
      <c r="X28">
        <v>66.731487889273367</v>
      </c>
      <c r="Y28">
        <v>66.731487889273367</v>
      </c>
    </row>
    <row r="29" spans="3:25" x14ac:dyDescent="0.25">
      <c r="C29" t="s">
        <v>89</v>
      </c>
      <c r="D29" s="52">
        <v>36.57820165026363</v>
      </c>
      <c r="H29" s="54"/>
      <c r="I29" s="5" t="s">
        <v>65</v>
      </c>
      <c r="J29" s="7">
        <f ca="1">MAX(moddata)</f>
        <v>19.121177349562466</v>
      </c>
      <c r="K29" s="7"/>
      <c r="L29" t="s">
        <v>61</v>
      </c>
      <c r="M29" s="59">
        <v>3</v>
      </c>
      <c r="N29" s="59">
        <v>28</v>
      </c>
      <c r="O29" s="59">
        <f>SUM(N$4:N29)</f>
        <v>789</v>
      </c>
      <c r="P29" s="59">
        <f ca="1">SUMIFS('markov model'!M$7:M$3656, 'markov model'!L$7:L$3656,"&gt;="&amp;O29,'markov model'!L$7:L$3656,"&lt;"&amp;O30)</f>
        <v>54.741831844871015</v>
      </c>
      <c r="S29" s="61">
        <v>9</v>
      </c>
      <c r="T29" s="61">
        <f>COUNTIF(obsdata,"&lt;"&amp;S29)-SUM(T$20:T28)</f>
        <v>2</v>
      </c>
      <c r="U29" s="61">
        <f ca="1">COUNTIF(moddata,"&lt;"&amp;S29)-SUM(U$20:U28)</f>
        <v>30</v>
      </c>
      <c r="V29" s="72"/>
      <c r="W29" s="77">
        <v>28</v>
      </c>
      <c r="X29">
        <v>108.14809688581313</v>
      </c>
      <c r="Y29">
        <v>108.14809688581313</v>
      </c>
    </row>
    <row r="30" spans="3:25" x14ac:dyDescent="0.25">
      <c r="C30" t="s">
        <v>90</v>
      </c>
      <c r="D30" s="52">
        <f ca="1">AVERAGE(R3:R14)</f>
        <v>28.078868206324078</v>
      </c>
      <c r="M30" s="59">
        <v>4</v>
      </c>
      <c r="N30" s="59">
        <v>31</v>
      </c>
      <c r="O30" s="59">
        <f>SUM(N$4:N30)</f>
        <v>820</v>
      </c>
      <c r="P30" s="59">
        <f ca="1">SUMIFS('markov model'!M$7:M$3656, 'markov model'!L$7:L$3656,"&gt;="&amp;O30,'markov model'!L$7:L$3656,"&lt;"&amp;O31)</f>
        <v>65.73268505755135</v>
      </c>
      <c r="S30" s="61">
        <v>10</v>
      </c>
      <c r="T30" s="61">
        <f>COUNTIF(obsdata,"&lt;"&amp;S30)-SUM(T$20:T29)</f>
        <v>3</v>
      </c>
      <c r="U30" s="61">
        <f ca="1">COUNTIF(moddata,"&lt;"&amp;S30)-SUM(U$20:U29)</f>
        <v>13</v>
      </c>
      <c r="V30" s="72"/>
      <c r="W30" s="77">
        <v>29</v>
      </c>
      <c r="X30">
        <v>39.444290657439446</v>
      </c>
      <c r="Y30">
        <v>39.444290657439446</v>
      </c>
    </row>
    <row r="31" spans="3:25" x14ac:dyDescent="0.25">
      <c r="M31" s="59">
        <v>5</v>
      </c>
      <c r="N31" s="59">
        <v>30</v>
      </c>
      <c r="O31" s="59">
        <f>SUM(N$4:N31)</f>
        <v>850</v>
      </c>
      <c r="P31" s="59">
        <f ca="1">SUMIFS('markov model'!M$7:M$3656, 'markov model'!L$7:L$3656,"&gt;="&amp;O31,'markov model'!L$7:L$3656,"&lt;"&amp;O32)</f>
        <v>42.571023933296317</v>
      </c>
      <c r="S31" s="61">
        <v>11</v>
      </c>
      <c r="T31" s="61">
        <f>COUNTIF(obsdata,"&lt;"&amp;S31)-SUM(T$20:T30)</f>
        <v>2</v>
      </c>
      <c r="U31" s="61">
        <f ca="1">COUNTIF(moddata,"&lt;"&amp;S31)-SUM(U$20:U30)</f>
        <v>8</v>
      </c>
      <c r="V31" s="72"/>
      <c r="W31" s="77">
        <v>30</v>
      </c>
      <c r="X31">
        <v>38.088581314878887</v>
      </c>
      <c r="Y31">
        <v>38.088581314878887</v>
      </c>
    </row>
    <row r="32" spans="3:25" x14ac:dyDescent="0.25">
      <c r="M32" s="59">
        <v>6</v>
      </c>
      <c r="N32" s="59">
        <v>31</v>
      </c>
      <c r="O32" s="59">
        <f>SUM(N$4:N32)</f>
        <v>881</v>
      </c>
      <c r="P32" s="59">
        <f ca="1">SUMIFS('markov model'!M$7:M$3656, 'markov model'!L$7:L$3656,"&gt;="&amp;O32,'markov model'!L$7:L$3656,"&lt;"&amp;O33)</f>
        <v>38.202853704445332</v>
      </c>
      <c r="S32" s="61">
        <v>12</v>
      </c>
      <c r="T32" s="61">
        <f>COUNTIF(obsdata,"&lt;"&amp;S32)-SUM(T$20:T31)</f>
        <v>0</v>
      </c>
      <c r="U32" s="61">
        <f ca="1">COUNTIF(moddata,"&lt;"&amp;S32)-SUM(U$20:U31)</f>
        <v>7</v>
      </c>
      <c r="V32" s="72"/>
      <c r="W32" s="77">
        <v>31</v>
      </c>
      <c r="X32">
        <v>75.505882352941185</v>
      </c>
      <c r="Y32">
        <v>75.505882352941185</v>
      </c>
    </row>
    <row r="33" spans="13:25" x14ac:dyDescent="0.25">
      <c r="M33" s="59">
        <v>7</v>
      </c>
      <c r="N33" s="59">
        <v>30</v>
      </c>
      <c r="O33" s="59">
        <f>SUM(N$4:N33)</f>
        <v>911</v>
      </c>
      <c r="P33" s="59">
        <f ca="1">SUMIFS('markov model'!M$7:M$3656, 'markov model'!L$7:L$3656,"&gt;="&amp;O33,'markov model'!L$7:L$3656,"&lt;"&amp;O34)</f>
        <v>29.729387155842087</v>
      </c>
      <c r="S33" s="61">
        <v>13</v>
      </c>
      <c r="T33" s="61">
        <f>COUNTIF(obsdata,"&lt;"&amp;S33)-SUM(T$20:T32)</f>
        <v>1</v>
      </c>
      <c r="U33" s="61">
        <f ca="1">COUNTIF(moddata,"&lt;"&amp;S33)-SUM(U$20:U32)</f>
        <v>2</v>
      </c>
      <c r="V33" s="72"/>
      <c r="W33" s="77">
        <v>32</v>
      </c>
      <c r="X33">
        <v>41.489273356401391</v>
      </c>
      <c r="Y33">
        <v>41.489273356401391</v>
      </c>
    </row>
    <row r="34" spans="13:25" x14ac:dyDescent="0.25">
      <c r="M34" s="59">
        <v>8</v>
      </c>
      <c r="N34" s="59">
        <v>31</v>
      </c>
      <c r="O34" s="59">
        <f>SUM(N$4:N34)</f>
        <v>942</v>
      </c>
      <c r="P34" s="59">
        <f ca="1">SUMIFS('markov model'!M$7:M$3656, 'markov model'!L$7:L$3656,"&gt;="&amp;O34,'markov model'!L$7:L$3656,"&lt;"&amp;O35)</f>
        <v>46.40740586977364</v>
      </c>
      <c r="S34" s="61">
        <v>14</v>
      </c>
      <c r="T34" s="61">
        <f>COUNTIF(obsdata,"&lt;"&amp;S34)-SUM(T$20:T33)</f>
        <v>1</v>
      </c>
      <c r="U34" s="61">
        <f ca="1">COUNTIF(moddata,"&lt;"&amp;S34)-SUM(U$20:U33)</f>
        <v>5</v>
      </c>
      <c r="V34" s="72"/>
      <c r="W34" s="77">
        <v>33</v>
      </c>
      <c r="X34">
        <v>66.323183391003454</v>
      </c>
      <c r="Y34">
        <v>66.323183391003454</v>
      </c>
    </row>
    <row r="35" spans="13:25" x14ac:dyDescent="0.25">
      <c r="M35" s="59">
        <v>9</v>
      </c>
      <c r="N35" s="59">
        <v>31</v>
      </c>
      <c r="O35" s="59">
        <f>SUM(N$4:N35)</f>
        <v>973</v>
      </c>
      <c r="P35" s="59">
        <f ca="1">SUMIFS('markov model'!M$7:M$3656, 'markov model'!L$7:L$3656,"&gt;="&amp;O35,'markov model'!L$7:L$3656,"&lt;"&amp;O36)</f>
        <v>30.008387301204113</v>
      </c>
      <c r="S35" s="61">
        <v>15</v>
      </c>
      <c r="T35" s="61">
        <f>COUNTIF(obsdata,"&lt;"&amp;S35)-SUM(T$20:T34)</f>
        <v>1</v>
      </c>
      <c r="U35" s="61">
        <f ca="1">COUNTIF(moddata,"&lt;"&amp;S35)-SUM(U$20:U34)</f>
        <v>3</v>
      </c>
      <c r="V35" s="72"/>
      <c r="W35" s="77">
        <v>34</v>
      </c>
      <c r="X35">
        <v>112.95363321799306</v>
      </c>
      <c r="Y35">
        <v>112.95363321799306</v>
      </c>
    </row>
    <row r="36" spans="13:25" x14ac:dyDescent="0.25">
      <c r="M36" s="59">
        <v>10</v>
      </c>
      <c r="N36" s="59">
        <v>30</v>
      </c>
      <c r="O36" s="59">
        <f>SUM(N$4:N36)</f>
        <v>1003</v>
      </c>
      <c r="P36" s="59">
        <f ca="1">SUMIFS('markov model'!M$7:M$3656, 'markov model'!L$7:L$3656,"&gt;="&amp;O36,'markov model'!L$7:L$3656,"&lt;"&amp;O37)</f>
        <v>51.558860952505192</v>
      </c>
      <c r="S36" s="61">
        <v>16</v>
      </c>
      <c r="T36" s="61">
        <f>COUNTIF(obsdata,"&lt;"&amp;S36)-SUM(T$20:T35)</f>
        <v>1</v>
      </c>
      <c r="U36" s="61">
        <f ca="1">COUNTIF(moddata,"&lt;"&amp;S36)-SUM(U$20:U35)</f>
        <v>3</v>
      </c>
      <c r="V36" s="72"/>
      <c r="W36" s="77">
        <v>35</v>
      </c>
      <c r="X36">
        <v>85.788927335640139</v>
      </c>
      <c r="Y36">
        <v>85.788927335640139</v>
      </c>
    </row>
    <row r="37" spans="13:25" x14ac:dyDescent="0.25">
      <c r="M37" s="59">
        <v>11</v>
      </c>
      <c r="N37" s="59">
        <v>31</v>
      </c>
      <c r="O37" s="59">
        <f>SUM(N$4:N37)</f>
        <v>1034</v>
      </c>
      <c r="P37" s="59">
        <f ca="1">SUMIFS('markov model'!M$7:M$3656, 'markov model'!L$7:L$3656,"&gt;="&amp;O37,'markov model'!L$7:L$3656,"&lt;"&amp;O38)</f>
        <v>56.989119357769731</v>
      </c>
      <c r="S37" s="61">
        <v>17</v>
      </c>
      <c r="T37" s="61">
        <f>COUNTIF(obsdata,"&lt;"&amp;S37)-SUM(T$20:T36)</f>
        <v>0</v>
      </c>
      <c r="U37" s="61">
        <f ca="1">COUNTIF(moddata,"&lt;"&amp;S37)-SUM(U$20:U36)</f>
        <v>1</v>
      </c>
      <c r="V37" s="72"/>
      <c r="W37" s="77">
        <v>36</v>
      </c>
      <c r="X37">
        <v>47.217301038062288</v>
      </c>
      <c r="Y37">
        <v>47.217301038062288</v>
      </c>
    </row>
    <row r="38" spans="13:25" x14ac:dyDescent="0.25">
      <c r="M38" s="59">
        <v>12</v>
      </c>
      <c r="N38" s="59">
        <v>30</v>
      </c>
      <c r="O38" s="59">
        <f>SUM(N$4:N38)</f>
        <v>1064</v>
      </c>
      <c r="P38" s="59">
        <f ca="1">SUMIFS('markov model'!M$7:M$3656, 'markov model'!L$7:L$3656,"&gt;="&amp;O38,'markov model'!L$7:L$3656,"&lt;"&amp;O39)</f>
        <v>52.719327239864867</v>
      </c>
      <c r="S38" s="61">
        <v>18</v>
      </c>
      <c r="T38" s="61">
        <f>COUNTIF(obsdata,"&lt;"&amp;S38)-SUM(T$20:T37)</f>
        <v>0</v>
      </c>
      <c r="U38" s="61">
        <f ca="1">COUNTIF(moddata,"&lt;"&amp;S38)-SUM(U$20:U37)</f>
        <v>0</v>
      </c>
      <c r="V38" s="72"/>
      <c r="W38" s="77">
        <v>37</v>
      </c>
      <c r="X38">
        <v>26.39100346020761</v>
      </c>
      <c r="Y38">
        <v>26.39100346020761</v>
      </c>
    </row>
    <row r="39" spans="13:25" x14ac:dyDescent="0.25">
      <c r="M39" s="59">
        <v>1</v>
      </c>
      <c r="N39" s="59">
        <v>31</v>
      </c>
      <c r="O39" s="59">
        <f>SUM(N$4:N39)</f>
        <v>1095</v>
      </c>
      <c r="P39" s="59">
        <f ca="1">SUMIFS('markov model'!M$7:M$3656, 'markov model'!L$7:L$3656,"&gt;="&amp;O39,'markov model'!L$7:L$3656,"&lt;"&amp;O40)</f>
        <v>36.466701584507625</v>
      </c>
      <c r="S39" s="61">
        <v>19</v>
      </c>
      <c r="T39" s="61">
        <f>COUNTIF(obsdata,"&lt;"&amp;S39)-SUM(T$20:T38)</f>
        <v>0</v>
      </c>
      <c r="U39" s="61">
        <f ca="1">COUNTIF(moddata,"&lt;"&amp;S39)-SUM(U$20:U38)</f>
        <v>0</v>
      </c>
      <c r="V39" s="72"/>
      <c r="W39" s="77">
        <v>38</v>
      </c>
      <c r="X39">
        <v>41.177162629757795</v>
      </c>
      <c r="Y39">
        <v>41.177162629757795</v>
      </c>
    </row>
    <row r="40" spans="13:25" x14ac:dyDescent="0.25">
      <c r="M40" s="59">
        <v>2</v>
      </c>
      <c r="N40" s="59">
        <v>31</v>
      </c>
      <c r="O40" s="59">
        <f>SUM(N$4:N40)</f>
        <v>1126</v>
      </c>
      <c r="P40" s="59">
        <f ca="1">SUMIFS('markov model'!M$7:M$3656, 'markov model'!L$7:L$3656,"&gt;="&amp;O40,'markov model'!L$7:L$3656,"&lt;"&amp;O41)</f>
        <v>50.607679769415519</v>
      </c>
      <c r="S40" s="61">
        <v>20</v>
      </c>
      <c r="T40" s="61">
        <f>COUNTIF(obsdata,"&lt;"&amp;S40)-SUM(T$20:T39)</f>
        <v>0</v>
      </c>
      <c r="U40" s="61">
        <f ca="1">COUNTIF(moddata,"&lt;"&amp;S40)-SUM(U$20:U39)</f>
        <v>1</v>
      </c>
      <c r="V40" s="72"/>
      <c r="W40" s="77">
        <v>39</v>
      </c>
      <c r="X40">
        <v>108.78685121107266</v>
      </c>
      <c r="Y40">
        <v>108.78685121107266</v>
      </c>
    </row>
    <row r="41" spans="13:25" x14ac:dyDescent="0.25">
      <c r="M41" s="59">
        <v>3</v>
      </c>
      <c r="N41" s="59">
        <v>28</v>
      </c>
      <c r="O41" s="59">
        <f>SUM(N$4:N41)</f>
        <v>1154</v>
      </c>
      <c r="P41" s="59">
        <f ca="1">SUMIFS('markov model'!M$7:M$3656, 'markov model'!L$7:L$3656,"&gt;="&amp;O41,'markov model'!L$7:L$3656,"&lt;"&amp;O42)</f>
        <v>38.616701028590207</v>
      </c>
      <c r="S41" s="61">
        <v>21</v>
      </c>
      <c r="T41" s="61">
        <f>COUNTIF(obsdata,"&lt;"&amp;S41)-SUM(T$20:T40)</f>
        <v>0</v>
      </c>
      <c r="U41" s="61">
        <f ca="1">COUNTIF(moddata,"&lt;"&amp;S41)-SUM(U$20:U40)</f>
        <v>0</v>
      </c>
      <c r="V41" s="72"/>
      <c r="W41" s="77">
        <v>40</v>
      </c>
      <c r="X41">
        <v>26.057439446366782</v>
      </c>
      <c r="Y41">
        <v>26.057439446366782</v>
      </c>
    </row>
    <row r="42" spans="13:25" x14ac:dyDescent="0.25">
      <c r="M42" s="59">
        <v>4</v>
      </c>
      <c r="N42" s="59">
        <v>31</v>
      </c>
      <c r="O42" s="59">
        <f>SUM(N$4:N42)</f>
        <v>1185</v>
      </c>
      <c r="P42" s="59">
        <f ca="1">SUMIFS('markov model'!M$7:M$3656, 'markov model'!L$7:L$3656,"&gt;="&amp;O42,'markov model'!L$7:L$3656,"&lt;"&amp;O43)</f>
        <v>30.620487600613409</v>
      </c>
      <c r="S42" s="61">
        <v>22.5</v>
      </c>
      <c r="T42" s="61">
        <f>COUNTIF(obsdata,"&lt;"&amp;S42)-SUM(T$20:T41)</f>
        <v>0</v>
      </c>
      <c r="U42" s="61">
        <f ca="1">COUNTIF(moddata,"&lt;"&amp;S42)-SUM(U$20:U41)</f>
        <v>0</v>
      </c>
      <c r="V42" s="72"/>
      <c r="W42" s="77">
        <v>41</v>
      </c>
      <c r="X42">
        <v>80.241522491349457</v>
      </c>
      <c r="Y42">
        <v>80.241522491349457</v>
      </c>
    </row>
    <row r="43" spans="13:25" x14ac:dyDescent="0.25">
      <c r="M43" s="59">
        <v>5</v>
      </c>
      <c r="N43" s="59">
        <v>30</v>
      </c>
      <c r="O43" s="59">
        <f>SUM(N$4:N43)</f>
        <v>1215</v>
      </c>
      <c r="P43" s="59">
        <f ca="1">SUMIFS('markov model'!M$7:M$3656, 'markov model'!L$7:L$3656,"&gt;="&amp;O43,'markov model'!L$7:L$3656,"&lt;"&amp;O44)</f>
        <v>23.851153139737757</v>
      </c>
      <c r="S43" s="61">
        <v>25</v>
      </c>
      <c r="T43" s="61">
        <f>COUNTIF(obsdata,"&lt;"&amp;S43)-SUM(T$20:T42)</f>
        <v>1</v>
      </c>
      <c r="U43" s="61">
        <f ca="1">COUNTIF(moddata,"&lt;"&amp;S43)-SUM(U$20:U42)</f>
        <v>0</v>
      </c>
      <c r="V43" s="72"/>
      <c r="W43" s="77">
        <v>42</v>
      </c>
      <c r="X43">
        <v>20.817993079584774</v>
      </c>
      <c r="Y43">
        <v>20.817993079584774</v>
      </c>
    </row>
    <row r="44" spans="13:25" x14ac:dyDescent="0.25">
      <c r="M44" s="59">
        <v>6</v>
      </c>
      <c r="N44" s="59">
        <v>31</v>
      </c>
      <c r="O44" s="59">
        <f>SUM(N$4:N44)</f>
        <v>1246</v>
      </c>
      <c r="P44" s="59">
        <f ca="1">SUMIFS('markov model'!M$7:M$3656, 'markov model'!L$7:L$3656,"&gt;="&amp;O44,'markov model'!L$7:L$3656,"&lt;"&amp;O45)</f>
        <v>45.48455467360774</v>
      </c>
      <c r="S44" s="61">
        <v>30</v>
      </c>
      <c r="T44" s="61">
        <f>COUNTIF(obsdata,"&lt;"&amp;S44)-SUM(T$20:T43)</f>
        <v>1</v>
      </c>
      <c r="U44" s="61">
        <f ca="1">COUNTIF(moddata,"&lt;"&amp;S44)-SUM(U$20:U43)</f>
        <v>0</v>
      </c>
      <c r="V44" s="72"/>
      <c r="W44" s="77">
        <v>43</v>
      </c>
      <c r="X44">
        <v>18.423529411764708</v>
      </c>
      <c r="Y44">
        <v>18.423529411764708</v>
      </c>
    </row>
    <row r="45" spans="13:25" x14ac:dyDescent="0.25">
      <c r="M45" s="59">
        <v>7</v>
      </c>
      <c r="N45" s="59">
        <v>30</v>
      </c>
      <c r="O45" s="59">
        <f>SUM(N$4:N45)</f>
        <v>1276</v>
      </c>
      <c r="P45" s="59">
        <f ca="1">SUMIFS('markov model'!M$7:M$3656, 'markov model'!L$7:L$3656,"&gt;="&amp;O45,'markov model'!L$7:L$3656,"&lt;"&amp;O46)</f>
        <v>66.561759924800754</v>
      </c>
      <c r="S45" s="61">
        <v>35</v>
      </c>
      <c r="T45" s="61">
        <f>COUNTIF(obsdata,"&lt;"&amp;S45)-SUM(T$20:T44)</f>
        <v>0</v>
      </c>
      <c r="U45" s="61">
        <f ca="1">COUNTIF(moddata,"&lt;"&amp;S45)-SUM(U$20:U44)</f>
        <v>0</v>
      </c>
      <c r="V45" s="72"/>
      <c r="W45" s="77">
        <v>44</v>
      </c>
      <c r="X45">
        <v>79.457439446366806</v>
      </c>
      <c r="Y45">
        <v>79.457439446366806</v>
      </c>
    </row>
    <row r="46" spans="13:25" x14ac:dyDescent="0.25">
      <c r="M46" s="59">
        <v>8</v>
      </c>
      <c r="N46" s="59">
        <v>31</v>
      </c>
      <c r="O46" s="59">
        <f>SUM(N$4:N46)</f>
        <v>1307</v>
      </c>
      <c r="P46" s="59">
        <f ca="1">SUMIFS('markov model'!M$7:M$3656, 'markov model'!L$7:L$3656,"&gt;="&amp;O46,'markov model'!L$7:L$3656,"&lt;"&amp;O47)</f>
        <v>49.955537777344162</v>
      </c>
      <c r="S46" s="61">
        <v>40</v>
      </c>
      <c r="T46" s="61">
        <f>COUNTIF(obsdata,"&lt;"&amp;S46)-SUM(T$20:T45)</f>
        <v>0</v>
      </c>
      <c r="U46" s="61">
        <f ca="1">COUNTIF(moddata,"&lt;"&amp;S46)-SUM(U$20:U45)</f>
        <v>0</v>
      </c>
      <c r="V46" s="72"/>
      <c r="W46" s="77">
        <v>45</v>
      </c>
      <c r="X46">
        <v>69.205536332179932</v>
      </c>
      <c r="Y46">
        <v>69.205536332179932</v>
      </c>
    </row>
    <row r="47" spans="13:25" x14ac:dyDescent="0.25">
      <c r="M47" s="59">
        <v>9</v>
      </c>
      <c r="N47" s="59">
        <v>31</v>
      </c>
      <c r="O47" s="59">
        <f>SUM(N$4:N47)</f>
        <v>1338</v>
      </c>
      <c r="P47" s="59">
        <f ca="1">SUMIFS('markov model'!M$7:M$3656, 'markov model'!L$7:L$3656,"&gt;="&amp;O47,'markov model'!L$7:L$3656,"&lt;"&amp;O48)</f>
        <v>85.018955231508102</v>
      </c>
      <c r="S47" s="61">
        <v>50</v>
      </c>
      <c r="T47" s="61">
        <f>COUNTIF(obsdata,"&lt;"&amp;S47)-SUM(T$20:T46)</f>
        <v>0</v>
      </c>
      <c r="U47" s="61">
        <f ca="1">COUNTIF(moddata,"&lt;"&amp;S47)-SUM(U$20:U46)</f>
        <v>0</v>
      </c>
      <c r="V47" s="72"/>
      <c r="W47" s="77">
        <v>46</v>
      </c>
      <c r="X47">
        <v>104.27058823529413</v>
      </c>
      <c r="Y47">
        <v>104.27058823529413</v>
      </c>
    </row>
    <row r="48" spans="13:25" x14ac:dyDescent="0.25">
      <c r="M48" s="59">
        <v>10</v>
      </c>
      <c r="N48" s="59">
        <v>30</v>
      </c>
      <c r="O48" s="59">
        <f>SUM(N$4:N48)</f>
        <v>1368</v>
      </c>
      <c r="P48" s="59">
        <f ca="1">SUMIFS('markov model'!M$7:M$3656, 'markov model'!L$7:L$3656,"&gt;="&amp;O48,'markov model'!L$7:L$3656,"&lt;"&amp;O49)</f>
        <v>33.981926562065865</v>
      </c>
      <c r="V48" s="72"/>
      <c r="W48" s="77">
        <v>47</v>
      </c>
      <c r="X48">
        <v>54.815224913494816</v>
      </c>
      <c r="Y48">
        <v>54.815224913494816</v>
      </c>
    </row>
    <row r="49" spans="13:25" x14ac:dyDescent="0.25">
      <c r="M49" s="59">
        <v>11</v>
      </c>
      <c r="N49" s="59">
        <v>31</v>
      </c>
      <c r="O49" s="59">
        <f>SUM(N$4:N49)</f>
        <v>1399</v>
      </c>
      <c r="P49" s="59">
        <f ca="1">SUMIFS('markov model'!M$7:M$3656, 'markov model'!L$7:L$3656,"&gt;="&amp;O49,'markov model'!L$7:L$3656,"&lt;"&amp;O50)</f>
        <v>44.023623321296967</v>
      </c>
      <c r="V49" s="72"/>
      <c r="W49" s="77">
        <v>48</v>
      </c>
      <c r="X49">
        <v>71.263667820069202</v>
      </c>
      <c r="Y49">
        <v>71.263667820069202</v>
      </c>
    </row>
    <row r="50" spans="13:25" x14ac:dyDescent="0.25">
      <c r="M50" s="59">
        <v>12</v>
      </c>
      <c r="N50" s="59">
        <v>30</v>
      </c>
      <c r="O50" s="59">
        <f>SUM(N$4:N50)</f>
        <v>1429</v>
      </c>
      <c r="P50" s="59">
        <f ca="1">SUMIFS('markov model'!M$7:M$3656, 'markov model'!L$7:L$3656,"&gt;="&amp;O50,'markov model'!L$7:L$3656,"&lt;"&amp;O51)</f>
        <v>35.31634758837572</v>
      </c>
      <c r="V50" s="72"/>
      <c r="W50" s="77">
        <v>49</v>
      </c>
      <c r="X50">
        <v>87.636678200692046</v>
      </c>
      <c r="Y50">
        <v>87.636678200692046</v>
      </c>
    </row>
    <row r="51" spans="13:25" x14ac:dyDescent="0.25">
      <c r="M51" s="59">
        <v>1</v>
      </c>
      <c r="N51" s="59">
        <v>31</v>
      </c>
      <c r="O51" s="59">
        <f>SUM(N$4:N51)</f>
        <v>1460</v>
      </c>
      <c r="P51" s="59">
        <f ca="1">SUMIFS('markov model'!M$7:M$3656, 'markov model'!L$7:L$3656,"&gt;="&amp;O51,'markov model'!L$7:L$3656,"&lt;"&amp;O52)</f>
        <v>40.216020717015887</v>
      </c>
      <c r="V51" s="72"/>
      <c r="W51" s="77">
        <v>50</v>
      </c>
      <c r="X51">
        <v>80.773010380622836</v>
      </c>
      <c r="Y51">
        <v>80.773010380622836</v>
      </c>
    </row>
    <row r="52" spans="13:25" x14ac:dyDescent="0.25">
      <c r="M52" s="59">
        <v>2</v>
      </c>
      <c r="N52" s="59">
        <v>31</v>
      </c>
      <c r="O52" s="59">
        <f>SUM(N$4:N52)</f>
        <v>1491</v>
      </c>
      <c r="P52" s="59">
        <f ca="1">SUMIFS('markov model'!M$7:M$3656, 'markov model'!L$7:L$3656,"&gt;="&amp;O52,'markov model'!L$7:L$3656,"&lt;"&amp;O53)</f>
        <v>30.899575545714516</v>
      </c>
      <c r="V52" s="72"/>
      <c r="W52" s="77">
        <v>51</v>
      </c>
      <c r="X52">
        <v>33.956401384083044</v>
      </c>
      <c r="Y52">
        <v>33.956401384083044</v>
      </c>
    </row>
    <row r="53" spans="13:25" x14ac:dyDescent="0.25">
      <c r="M53" s="59">
        <v>3</v>
      </c>
      <c r="N53" s="59">
        <v>28</v>
      </c>
      <c r="O53" s="59">
        <f>SUM(N$4:N53)</f>
        <v>1519</v>
      </c>
      <c r="P53" s="59">
        <f ca="1">SUMIFS('markov model'!M$7:M$3656, 'markov model'!L$7:L$3656,"&gt;="&amp;O53,'markov model'!L$7:L$3656,"&lt;"&amp;O54)</f>
        <v>48.742723111726704</v>
      </c>
      <c r="V53" s="72"/>
      <c r="W53" s="77">
        <v>52</v>
      </c>
      <c r="X53">
        <v>10.181314878892731</v>
      </c>
      <c r="Y53">
        <v>10.181314878892731</v>
      </c>
    </row>
    <row r="54" spans="13:25" x14ac:dyDescent="0.25">
      <c r="M54" s="59">
        <v>4</v>
      </c>
      <c r="N54" s="59">
        <v>31</v>
      </c>
      <c r="O54" s="59">
        <f>SUM(N$4:N54)</f>
        <v>1550</v>
      </c>
      <c r="P54" s="59">
        <f ca="1">SUMIFS('markov model'!M$7:M$3656, 'markov model'!L$7:L$3656,"&gt;="&amp;O54,'markov model'!L$7:L$3656,"&lt;"&amp;O55)</f>
        <v>57.822218447612777</v>
      </c>
      <c r="V54" s="72"/>
      <c r="W54" s="77">
        <v>53</v>
      </c>
      <c r="X54">
        <v>49.55709342560553</v>
      </c>
      <c r="Y54">
        <v>49.55709342560553</v>
      </c>
    </row>
    <row r="55" spans="13:25" x14ac:dyDescent="0.25">
      <c r="M55" s="59">
        <v>5</v>
      </c>
      <c r="N55" s="59">
        <v>30</v>
      </c>
      <c r="O55" s="59">
        <f>SUM(N$4:N55)</f>
        <v>1580</v>
      </c>
      <c r="P55" s="59">
        <f ca="1">SUMIFS('markov model'!M$7:M$3656, 'markov model'!L$7:L$3656,"&gt;="&amp;O55,'markov model'!L$7:L$3656,"&lt;"&amp;O56)</f>
        <v>39.295068811641308</v>
      </c>
      <c r="V55" s="72"/>
      <c r="W55" s="77">
        <v>54</v>
      </c>
      <c r="X55">
        <v>133.50242214532875</v>
      </c>
      <c r="Y55">
        <v>133.50242214532875</v>
      </c>
    </row>
    <row r="56" spans="13:25" x14ac:dyDescent="0.25">
      <c r="M56" s="59">
        <v>6</v>
      </c>
      <c r="N56" s="59">
        <v>31</v>
      </c>
      <c r="O56" s="59">
        <f>SUM(N$4:N56)</f>
        <v>1611</v>
      </c>
      <c r="P56" s="59">
        <f ca="1">SUMIFS('markov model'!M$7:M$3656, 'markov model'!L$7:L$3656,"&gt;="&amp;O56,'markov model'!L$7:L$3656,"&lt;"&amp;O57)</f>
        <v>69.190910046641918</v>
      </c>
      <c r="V56" s="72"/>
      <c r="W56" s="77">
        <v>55</v>
      </c>
      <c r="X56">
        <v>78.97231833910034</v>
      </c>
      <c r="Y56">
        <v>78.97231833910034</v>
      </c>
    </row>
    <row r="57" spans="13:25" x14ac:dyDescent="0.25">
      <c r="M57" s="59">
        <v>7</v>
      </c>
      <c r="N57" s="59">
        <v>30</v>
      </c>
      <c r="O57" s="59">
        <f>SUM(N$4:N57)</f>
        <v>1641</v>
      </c>
      <c r="P57" s="59">
        <f ca="1">SUMIFS('markov model'!M$7:M$3656, 'markov model'!L$7:L$3656,"&gt;="&amp;O57,'markov model'!L$7:L$3656,"&lt;"&amp;O58)</f>
        <v>111.17206776513763</v>
      </c>
      <c r="V57" s="72"/>
      <c r="W57" s="77">
        <v>56</v>
      </c>
      <c r="X57">
        <v>36.293425605536335</v>
      </c>
      <c r="Y57">
        <v>36.293425605536335</v>
      </c>
    </row>
    <row r="58" spans="13:25" x14ac:dyDescent="0.25">
      <c r="M58" s="59">
        <v>8</v>
      </c>
      <c r="N58" s="59">
        <v>31</v>
      </c>
      <c r="O58" s="59">
        <f>SUM(N$4:N58)</f>
        <v>1672</v>
      </c>
      <c r="P58" s="59">
        <f ca="1">SUMIFS('markov model'!M$7:M$3656, 'markov model'!L$7:L$3656,"&gt;="&amp;O58,'markov model'!L$7:L$3656,"&lt;"&amp;O59)</f>
        <v>20.95593975770749</v>
      </c>
      <c r="V58" s="72"/>
      <c r="W58" s="77">
        <v>57</v>
      </c>
      <c r="X58">
        <v>28.389619377162632</v>
      </c>
      <c r="Y58">
        <v>28.389619377162632</v>
      </c>
    </row>
    <row r="59" spans="13:25" x14ac:dyDescent="0.25">
      <c r="M59" s="59">
        <v>9</v>
      </c>
      <c r="N59" s="59">
        <v>31</v>
      </c>
      <c r="O59" s="59">
        <f>SUM(N$4:N59)</f>
        <v>1703</v>
      </c>
      <c r="P59" s="59">
        <f ca="1">SUMIFS('markov model'!M$7:M$3656, 'markov model'!L$7:L$3656,"&gt;="&amp;O59,'markov model'!L$7:L$3656,"&lt;"&amp;O60)</f>
        <v>76.176660722962112</v>
      </c>
      <c r="V59" s="72"/>
      <c r="W59" s="77">
        <v>58</v>
      </c>
      <c r="X59">
        <v>20.271280276816608</v>
      </c>
      <c r="Y59">
        <v>20.271280276816608</v>
      </c>
    </row>
    <row r="60" spans="13:25" x14ac:dyDescent="0.25">
      <c r="M60" s="59">
        <v>10</v>
      </c>
      <c r="N60" s="59">
        <v>30</v>
      </c>
      <c r="O60" s="59">
        <f>SUM(N$4:N60)</f>
        <v>1733</v>
      </c>
      <c r="P60" s="59">
        <f ca="1">SUMIFS('markov model'!M$7:M$3656, 'markov model'!L$7:L$3656,"&gt;="&amp;O60,'markov model'!L$7:L$3656,"&lt;"&amp;O61)</f>
        <v>71.049394139917155</v>
      </c>
      <c r="V60" s="72"/>
      <c r="W60" s="77">
        <v>59</v>
      </c>
      <c r="X60">
        <v>72.512110726643598</v>
      </c>
      <c r="Y60">
        <v>72.512110726643598</v>
      </c>
    </row>
    <row r="61" spans="13:25" x14ac:dyDescent="0.25">
      <c r="M61" s="59">
        <v>11</v>
      </c>
      <c r="N61" s="59">
        <v>31</v>
      </c>
      <c r="O61" s="59">
        <f>SUM(N$4:N61)</f>
        <v>1764</v>
      </c>
      <c r="P61" s="59">
        <f ca="1">SUMIFS('markov model'!M$7:M$3656, 'markov model'!L$7:L$3656,"&gt;="&amp;O61,'markov model'!L$7:L$3656,"&lt;"&amp;O62)</f>
        <v>49.779733755673149</v>
      </c>
      <c r="V61" s="72"/>
      <c r="W61" s="77">
        <v>60</v>
      </c>
      <c r="X61">
        <v>65.119031141868518</v>
      </c>
      <c r="Y61">
        <v>65.119031141868518</v>
      </c>
    </row>
    <row r="62" spans="13:25" x14ac:dyDescent="0.25">
      <c r="M62" s="59">
        <v>12</v>
      </c>
      <c r="N62" s="59">
        <v>30</v>
      </c>
      <c r="O62" s="59">
        <f>SUM(N$4:N62)</f>
        <v>1794</v>
      </c>
      <c r="P62" s="59">
        <f ca="1">SUMIFS('markov model'!M$7:M$3656, 'markov model'!L$7:L$3656,"&gt;="&amp;O62,'markov model'!L$7:L$3656,"&lt;"&amp;O63)</f>
        <v>28.986843402222494</v>
      </c>
      <c r="V62" s="72"/>
      <c r="W62" s="77">
        <v>61</v>
      </c>
      <c r="X62">
        <v>137.61314878892739</v>
      </c>
      <c r="Y62">
        <v>137.61314878892739</v>
      </c>
    </row>
    <row r="63" spans="13:25" x14ac:dyDescent="0.25">
      <c r="M63" s="59">
        <v>1</v>
      </c>
      <c r="N63" s="59">
        <v>31</v>
      </c>
      <c r="O63" s="59">
        <f>SUM(N$4:N63)</f>
        <v>1825</v>
      </c>
      <c r="P63" s="59">
        <f ca="1">SUMIFS('markov model'!M$7:M$3656, 'markov model'!L$7:L$3656,"&gt;="&amp;O63,'markov model'!L$7:L$3656,"&lt;"&amp;O64)</f>
        <v>76.997318768909139</v>
      </c>
      <c r="V63" s="72"/>
      <c r="W63" s="77">
        <v>62</v>
      </c>
      <c r="X63">
        <v>31.535640138408304</v>
      </c>
      <c r="Y63">
        <v>31.535640138408304</v>
      </c>
    </row>
    <row r="64" spans="13:25" x14ac:dyDescent="0.25">
      <c r="M64" s="59">
        <v>2</v>
      </c>
      <c r="N64" s="59">
        <v>31</v>
      </c>
      <c r="O64" s="59">
        <f>SUM(N$4:N64)</f>
        <v>1856</v>
      </c>
      <c r="P64" s="59">
        <f ca="1">SUMIFS('markov model'!M$7:M$3656, 'markov model'!L$7:L$3656,"&gt;="&amp;O64,'markov model'!L$7:L$3656,"&lt;"&amp;O65)</f>
        <v>36.558295025862733</v>
      </c>
      <c r="V64" s="72"/>
      <c r="W64" s="77">
        <v>63</v>
      </c>
      <c r="X64">
        <v>66.166782006920414</v>
      </c>
      <c r="Y64">
        <v>66.166782006920414</v>
      </c>
    </row>
    <row r="65" spans="13:25" x14ac:dyDescent="0.25">
      <c r="M65" s="59">
        <v>3</v>
      </c>
      <c r="N65" s="59">
        <v>28</v>
      </c>
      <c r="O65" s="59">
        <f>SUM(N$4:N65)</f>
        <v>1884</v>
      </c>
      <c r="P65" s="59">
        <f ca="1">SUMIFS('markov model'!M$7:M$3656, 'markov model'!L$7:L$3656,"&gt;="&amp;O65,'markov model'!L$7:L$3656,"&lt;"&amp;O66)</f>
        <v>80.920647505646755</v>
      </c>
      <c r="V65" s="72"/>
      <c r="W65" s="77">
        <v>64</v>
      </c>
      <c r="X65">
        <v>111.90657439446369</v>
      </c>
      <c r="Y65">
        <v>111.90657439446369</v>
      </c>
    </row>
    <row r="66" spans="13:25" x14ac:dyDescent="0.25">
      <c r="M66" s="59">
        <v>4</v>
      </c>
      <c r="N66" s="59">
        <v>31</v>
      </c>
      <c r="O66" s="59">
        <f>SUM(N$4:N66)</f>
        <v>1915</v>
      </c>
      <c r="P66" s="59">
        <f ca="1">SUMIFS('markov model'!M$7:M$3656, 'markov model'!L$7:L$3656,"&gt;="&amp;O66,'markov model'!L$7:L$3656,"&lt;"&amp;O67)</f>
        <v>21.562591252942745</v>
      </c>
      <c r="V66" s="72"/>
      <c r="W66" s="77">
        <v>65</v>
      </c>
      <c r="X66">
        <v>23.867128027681659</v>
      </c>
      <c r="Y66">
        <v>23.867128027681659</v>
      </c>
    </row>
    <row r="67" spans="13:25" x14ac:dyDescent="0.25">
      <c r="M67" s="59">
        <v>5</v>
      </c>
      <c r="N67" s="59">
        <v>30</v>
      </c>
      <c r="O67" s="59">
        <f>SUM(N$4:N67)</f>
        <v>1945</v>
      </c>
      <c r="P67" s="59">
        <f>SUMIFS('markov model'!M$7:M$3656, 'markov model'!L$7:L$3656,"&gt;="&amp;O67,'markov model'!L$7:L$3656,"&lt;"&amp;O68)</f>
        <v>0</v>
      </c>
      <c r="V67" s="72"/>
      <c r="W67" s="77">
        <v>66</v>
      </c>
      <c r="X67">
        <v>80.805536332179955</v>
      </c>
      <c r="Y67">
        <v>80.805536332179955</v>
      </c>
    </row>
    <row r="68" spans="13:25" x14ac:dyDescent="0.25">
      <c r="M68" s="59">
        <v>6</v>
      </c>
      <c r="N68" s="59">
        <v>31</v>
      </c>
      <c r="O68" s="59">
        <f>SUM(N$4:N68)</f>
        <v>1976</v>
      </c>
      <c r="P68" s="59">
        <f>SUMIFS('markov model'!M$7:M$3656, 'markov model'!L$7:L$3656,"&gt;="&amp;O68,'markov model'!L$7:L$3656,"&lt;"&amp;O69)</f>
        <v>0</v>
      </c>
      <c r="V68" s="72"/>
      <c r="W68" s="77">
        <v>67</v>
      </c>
      <c r="X68">
        <v>82.804152249134958</v>
      </c>
      <c r="Y68">
        <v>82.804152249134958</v>
      </c>
    </row>
    <row r="69" spans="13:25" x14ac:dyDescent="0.25">
      <c r="M69" s="59">
        <v>7</v>
      </c>
      <c r="N69" s="59">
        <v>30</v>
      </c>
      <c r="O69" s="59">
        <f>SUM(N$4:N69)</f>
        <v>2006</v>
      </c>
      <c r="P69" s="59">
        <f>SUMIFS('markov model'!M$7:M$3656, 'markov model'!L$7:L$3656,"&gt;="&amp;O69,'markov model'!L$7:L$3656,"&lt;"&amp;O70)</f>
        <v>0</v>
      </c>
      <c r="V69" s="72"/>
      <c r="W69" s="77">
        <v>68</v>
      </c>
      <c r="X69">
        <v>123.9660899653979</v>
      </c>
      <c r="Y69">
        <v>123.9660899653979</v>
      </c>
    </row>
    <row r="70" spans="13:25" x14ac:dyDescent="0.25">
      <c r="M70" s="59">
        <v>8</v>
      </c>
      <c r="N70" s="59">
        <v>31</v>
      </c>
      <c r="O70" s="59">
        <f>SUM(N$4:N70)</f>
        <v>2037</v>
      </c>
      <c r="P70" s="59">
        <f>SUMIFS('markov model'!M$7:M$3656, 'markov model'!L$7:L$3656,"&gt;="&amp;O70,'markov model'!L$7:L$3656,"&lt;"&amp;O71)</f>
        <v>0</v>
      </c>
      <c r="V70" s="72"/>
      <c r="W70" s="77">
        <v>69</v>
      </c>
      <c r="X70">
        <v>172.84498269896193</v>
      </c>
      <c r="Y70">
        <v>172.84498269896193</v>
      </c>
    </row>
    <row r="71" spans="13:25" x14ac:dyDescent="0.25">
      <c r="M71" s="59">
        <v>9</v>
      </c>
      <c r="N71" s="59">
        <v>31</v>
      </c>
      <c r="O71" s="59">
        <f>SUM(N$4:N71)</f>
        <v>2068</v>
      </c>
      <c r="P71" s="59">
        <f>SUMIFS('markov model'!M$7:M$3656, 'markov model'!L$7:L$3656,"&gt;="&amp;O71,'markov model'!L$7:L$3656,"&lt;"&amp;O72)</f>
        <v>0</v>
      </c>
      <c r="V71" s="72"/>
      <c r="W71" s="77">
        <v>70</v>
      </c>
      <c r="X71">
        <v>64.908650519031141</v>
      </c>
      <c r="Y71">
        <v>64.908650519031141</v>
      </c>
    </row>
    <row r="72" spans="13:25" x14ac:dyDescent="0.25">
      <c r="M72" s="59">
        <v>10</v>
      </c>
      <c r="N72" s="59">
        <v>30</v>
      </c>
      <c r="O72" s="59">
        <f>SUM(N$4:N72)</f>
        <v>2098</v>
      </c>
      <c r="P72" s="59">
        <f>SUMIFS('markov model'!M$7:M$3656, 'markov model'!L$7:L$3656,"&gt;="&amp;O72,'markov model'!L$7:L$3656,"&lt;"&amp;O73)</f>
        <v>0</v>
      </c>
      <c r="V72" s="72"/>
      <c r="W72" s="77">
        <v>71</v>
      </c>
      <c r="X72">
        <v>55.587543252595154</v>
      </c>
      <c r="Y72">
        <v>55.587543252595154</v>
      </c>
    </row>
    <row r="73" spans="13:25" x14ac:dyDescent="0.25">
      <c r="M73" s="59">
        <v>11</v>
      </c>
      <c r="N73" s="59">
        <v>31</v>
      </c>
      <c r="O73" s="59">
        <f>SUM(N$4:N73)</f>
        <v>2129</v>
      </c>
      <c r="P73" s="59">
        <f>SUMIFS('markov model'!M$7:M$3656, 'markov model'!L$7:L$3656,"&gt;="&amp;O73,'markov model'!L$7:L$3656,"&lt;"&amp;O74)</f>
        <v>0</v>
      </c>
      <c r="V73" s="72"/>
      <c r="W73" s="77">
        <v>72</v>
      </c>
      <c r="X73">
        <v>55.351557093425605</v>
      </c>
      <c r="Y73">
        <v>55.351557093425605</v>
      </c>
    </row>
    <row r="74" spans="13:25" x14ac:dyDescent="0.25">
      <c r="M74" s="59">
        <v>12</v>
      </c>
      <c r="N74" s="59">
        <v>30</v>
      </c>
      <c r="O74" s="59">
        <f>SUM(N$4:N74)</f>
        <v>2159</v>
      </c>
      <c r="P74" s="59">
        <f>SUMIFS('markov model'!M$7:M$3656, 'markov model'!L$7:L$3656,"&gt;="&amp;O74,'markov model'!L$7:L$3656,"&lt;"&amp;O75)</f>
        <v>0</v>
      </c>
      <c r="V74" s="72"/>
      <c r="W74" s="77">
        <v>73</v>
      </c>
      <c r="X74">
        <v>59.311418685121097</v>
      </c>
      <c r="Y74">
        <v>59.311418685121097</v>
      </c>
    </row>
    <row r="75" spans="13:25" x14ac:dyDescent="0.25">
      <c r="M75" s="59">
        <v>1</v>
      </c>
      <c r="N75" s="59">
        <v>31</v>
      </c>
      <c r="O75" s="59">
        <f>SUM(N$4:N75)</f>
        <v>2190</v>
      </c>
      <c r="P75" s="59">
        <f>SUMIFS('markov model'!M$7:M$3656, 'markov model'!L$7:L$3656,"&gt;="&amp;O75,'markov model'!L$7:L$3656,"&lt;"&amp;O76)</f>
        <v>0</v>
      </c>
      <c r="V75" s="72"/>
      <c r="W75" s="77">
        <v>74</v>
      </c>
      <c r="X75">
        <v>50.402076124567465</v>
      </c>
      <c r="Y75">
        <v>50.402076124567465</v>
      </c>
    </row>
    <row r="76" spans="13:25" x14ac:dyDescent="0.25">
      <c r="M76" s="59">
        <v>2</v>
      </c>
      <c r="N76" s="59">
        <v>31</v>
      </c>
      <c r="O76" s="59">
        <f>SUM(N$4:N76)</f>
        <v>2221</v>
      </c>
      <c r="P76" s="59">
        <f>SUMIFS('markov model'!M$7:M$3656, 'markov model'!L$7:L$3656,"&gt;="&amp;O76,'markov model'!L$7:L$3656,"&lt;"&amp;O77)</f>
        <v>0</v>
      </c>
      <c r="V76" s="72"/>
      <c r="W76" s="77">
        <v>75</v>
      </c>
      <c r="X76">
        <v>33.615224913494814</v>
      </c>
      <c r="Y76">
        <v>33.615224913494814</v>
      </c>
    </row>
    <row r="77" spans="13:25" x14ac:dyDescent="0.25">
      <c r="M77" s="59">
        <v>3</v>
      </c>
      <c r="N77" s="59">
        <v>28</v>
      </c>
      <c r="O77" s="59">
        <f>SUM(N$4:N77)</f>
        <v>2249</v>
      </c>
      <c r="P77" s="59">
        <f>SUMIFS('markov model'!M$7:M$3656, 'markov model'!L$7:L$3656,"&gt;="&amp;O77,'markov model'!L$7:L$3656,"&lt;"&amp;O78)</f>
        <v>0</v>
      </c>
      <c r="V77" s="72"/>
      <c r="W77" s="77">
        <v>76</v>
      </c>
      <c r="X77">
        <v>40.101038062283735</v>
      </c>
      <c r="Y77">
        <v>40.101038062283735</v>
      </c>
    </row>
    <row r="78" spans="13:25" x14ac:dyDescent="0.25">
      <c r="M78" s="59">
        <v>4</v>
      </c>
      <c r="N78" s="59">
        <v>31</v>
      </c>
      <c r="O78" s="59">
        <f>SUM(N$4:N78)</f>
        <v>2280</v>
      </c>
      <c r="P78" s="59">
        <f>SUMIFS('markov model'!M$7:M$3656, 'markov model'!L$7:L$3656,"&gt;="&amp;O78,'markov model'!L$7:L$3656,"&lt;"&amp;O79)</f>
        <v>0</v>
      </c>
      <c r="V78" s="72"/>
      <c r="W78" s="77">
        <v>77</v>
      </c>
      <c r="X78">
        <v>46.7757785467128</v>
      </c>
      <c r="Y78">
        <v>46.7757785467128</v>
      </c>
    </row>
    <row r="79" spans="13:25" x14ac:dyDescent="0.25">
      <c r="M79" s="59">
        <v>5</v>
      </c>
      <c r="N79" s="59">
        <v>30</v>
      </c>
      <c r="O79" s="59">
        <f>SUM(N$4:N79)</f>
        <v>2310</v>
      </c>
      <c r="P79" s="59">
        <f>SUMIFS('markov model'!M$7:M$3656, 'markov model'!L$7:L$3656,"&gt;="&amp;O79,'markov model'!L$7:L$3656,"&lt;"&amp;O80)</f>
        <v>0</v>
      </c>
      <c r="V79" s="72"/>
      <c r="W79" s="77">
        <v>78</v>
      </c>
      <c r="X79">
        <v>82.093425605536325</v>
      </c>
      <c r="Y79">
        <v>82.093425605536325</v>
      </c>
    </row>
    <row r="80" spans="13:25" x14ac:dyDescent="0.25">
      <c r="M80" s="59">
        <v>6</v>
      </c>
      <c r="N80" s="59">
        <v>31</v>
      </c>
      <c r="O80" s="59">
        <f>SUM(N$4:N80)</f>
        <v>2341</v>
      </c>
      <c r="P80" s="59">
        <f>SUMIFS('markov model'!M$7:M$3656, 'markov model'!L$7:L$3656,"&gt;="&amp;O80,'markov model'!L$7:L$3656,"&lt;"&amp;O81)</f>
        <v>0</v>
      </c>
      <c r="V80" s="72"/>
      <c r="W80" s="77">
        <v>79</v>
      </c>
      <c r="X80">
        <v>112.80622837370242</v>
      </c>
      <c r="Y80">
        <v>112.80622837370242</v>
      </c>
    </row>
    <row r="81" spans="13:25" x14ac:dyDescent="0.25">
      <c r="M81" s="59">
        <v>7</v>
      </c>
      <c r="N81" s="59">
        <v>30</v>
      </c>
      <c r="O81" s="59">
        <f>SUM(N$4:N81)</f>
        <v>2371</v>
      </c>
      <c r="P81" s="59">
        <f>SUMIFS('markov model'!M$7:M$3656, 'markov model'!L$7:L$3656,"&gt;="&amp;O81,'markov model'!L$7:L$3656,"&lt;"&amp;O82)</f>
        <v>0</v>
      </c>
      <c r="V81" s="72"/>
      <c r="W81" s="77">
        <v>80</v>
      </c>
      <c r="X81">
        <v>71.419377162629758</v>
      </c>
      <c r="Y81">
        <v>71.419377162629758</v>
      </c>
    </row>
    <row r="82" spans="13:25" x14ac:dyDescent="0.25">
      <c r="M82" s="59">
        <v>8</v>
      </c>
      <c r="N82" s="59">
        <v>31</v>
      </c>
      <c r="O82" s="59">
        <f>SUM(N$4:N82)</f>
        <v>2402</v>
      </c>
      <c r="P82" s="59">
        <f>SUMIFS('markov model'!M$7:M$3656, 'markov model'!L$7:L$3656,"&gt;="&amp;O82,'markov model'!L$7:L$3656,"&lt;"&amp;O83)</f>
        <v>0</v>
      </c>
      <c r="V82" s="72"/>
      <c r="W82" s="77">
        <v>81</v>
      </c>
      <c r="X82">
        <v>41.447750865051901</v>
      </c>
      <c r="Y82">
        <v>41.447750865051901</v>
      </c>
    </row>
    <row r="83" spans="13:25" x14ac:dyDescent="0.25">
      <c r="M83" s="59">
        <v>9</v>
      </c>
      <c r="N83" s="59">
        <v>31</v>
      </c>
      <c r="O83" s="59">
        <f>SUM(N$4:N83)</f>
        <v>2433</v>
      </c>
      <c r="P83" s="59">
        <f>SUMIFS('markov model'!M$7:M$3656, 'markov model'!L$7:L$3656,"&gt;="&amp;O83,'markov model'!L$7:L$3656,"&lt;"&amp;O84)</f>
        <v>0</v>
      </c>
      <c r="V83" s="72"/>
      <c r="W83" s="77">
        <v>82</v>
      </c>
      <c r="X83">
        <v>49.462283737024222</v>
      </c>
      <c r="Y83">
        <v>49.462283737024222</v>
      </c>
    </row>
    <row r="84" spans="13:25" x14ac:dyDescent="0.25">
      <c r="M84" s="59">
        <v>10</v>
      </c>
      <c r="N84" s="59">
        <v>30</v>
      </c>
      <c r="O84" s="59">
        <f>SUM(N$4:N84)</f>
        <v>2463</v>
      </c>
      <c r="P84" s="59">
        <f>SUMIFS('markov model'!M$7:M$3656, 'markov model'!L$7:L$3656,"&gt;="&amp;O84,'markov model'!L$7:L$3656,"&lt;"&amp;O85)</f>
        <v>0</v>
      </c>
      <c r="V84" s="72"/>
      <c r="W84" s="77">
        <v>83</v>
      </c>
      <c r="X84">
        <v>154.71972318339101</v>
      </c>
      <c r="Y84">
        <v>154.71972318339101</v>
      </c>
    </row>
    <row r="85" spans="13:25" x14ac:dyDescent="0.25">
      <c r="M85" s="59">
        <v>11</v>
      </c>
      <c r="N85" s="59">
        <v>31</v>
      </c>
      <c r="O85" s="59">
        <f>SUM(N$4:N85)</f>
        <v>2494</v>
      </c>
      <c r="P85" s="59">
        <f>SUMIFS('markov model'!M$7:M$3656, 'markov model'!L$7:L$3656,"&gt;="&amp;O85,'markov model'!L$7:L$3656,"&lt;"&amp;O86)</f>
        <v>0</v>
      </c>
      <c r="V85" s="72"/>
      <c r="W85" s="77">
        <v>84</v>
      </c>
      <c r="X85">
        <v>76.164013840830464</v>
      </c>
      <c r="Y85">
        <v>76.164013840830464</v>
      </c>
    </row>
    <row r="86" spans="13:25" x14ac:dyDescent="0.25">
      <c r="M86" s="59">
        <v>12</v>
      </c>
      <c r="N86" s="59">
        <v>30</v>
      </c>
      <c r="O86" s="59">
        <f>SUM(N$4:N86)</f>
        <v>2524</v>
      </c>
      <c r="P86" s="59">
        <f>SUMIFS('markov model'!M$7:M$3656, 'markov model'!L$7:L$3656,"&gt;="&amp;O86,'markov model'!L$7:L$3656,"&lt;"&amp;O87)</f>
        <v>0</v>
      </c>
      <c r="V86" s="72"/>
      <c r="W86" s="77">
        <v>85</v>
      </c>
      <c r="X86">
        <v>65.37024221453288</v>
      </c>
      <c r="Y86">
        <v>65.37024221453288</v>
      </c>
    </row>
    <row r="87" spans="13:25" x14ac:dyDescent="0.25">
      <c r="M87" s="59">
        <v>1</v>
      </c>
      <c r="N87" s="59">
        <v>31</v>
      </c>
      <c r="O87" s="59">
        <f>SUM(N$4:N87)</f>
        <v>2555</v>
      </c>
      <c r="P87" s="59">
        <f>SUMIFS('markov model'!M$7:M$3656, 'markov model'!L$7:L$3656,"&gt;="&amp;O87,'markov model'!L$7:L$3656,"&lt;"&amp;O88)</f>
        <v>0</v>
      </c>
      <c r="V87" s="72"/>
      <c r="W87" s="77">
        <v>86</v>
      </c>
      <c r="X87">
        <v>81.676816608996546</v>
      </c>
      <c r="Y87">
        <v>81.676816608996546</v>
      </c>
    </row>
    <row r="88" spans="13:25" x14ac:dyDescent="0.25">
      <c r="M88" s="59">
        <v>2</v>
      </c>
      <c r="N88" s="59">
        <v>31</v>
      </c>
      <c r="O88" s="59">
        <f>SUM(N$4:N88)</f>
        <v>2586</v>
      </c>
      <c r="P88" s="59">
        <f>SUMIFS('markov model'!M$7:M$3656, 'markov model'!L$7:L$3656,"&gt;="&amp;O88,'markov model'!L$7:L$3656,"&lt;"&amp;O89)</f>
        <v>0</v>
      </c>
      <c r="V88" s="72"/>
      <c r="W88" s="77">
        <v>87</v>
      </c>
      <c r="X88">
        <v>111.24913494809689</v>
      </c>
      <c r="Y88">
        <v>111.24913494809689</v>
      </c>
    </row>
    <row r="89" spans="13:25" x14ac:dyDescent="0.25">
      <c r="M89" s="59">
        <v>3</v>
      </c>
      <c r="N89" s="59">
        <v>28</v>
      </c>
      <c r="O89" s="59">
        <f>SUM(N$4:N89)</f>
        <v>2614</v>
      </c>
      <c r="P89" s="59">
        <f>SUMIFS('markov model'!M$7:M$3656, 'markov model'!L$7:L$3656,"&gt;="&amp;O89,'markov model'!L$7:L$3656,"&lt;"&amp;O90)</f>
        <v>0</v>
      </c>
      <c r="V89" s="72"/>
      <c r="W89" s="77">
        <v>88</v>
      </c>
      <c r="X89">
        <v>18.758477508650518</v>
      </c>
      <c r="Y89">
        <v>18.758477508650518</v>
      </c>
    </row>
    <row r="90" spans="13:25" x14ac:dyDescent="0.25">
      <c r="M90" s="59">
        <v>4</v>
      </c>
      <c r="N90" s="59">
        <v>31</v>
      </c>
      <c r="O90" s="59">
        <f>SUM(N$4:N90)</f>
        <v>2645</v>
      </c>
      <c r="P90" s="59">
        <f>SUMIFS('markov model'!M$7:M$3656, 'markov model'!L$7:L$3656,"&gt;="&amp;O90,'markov model'!L$7:L$3656,"&lt;"&amp;O91)</f>
        <v>0</v>
      </c>
      <c r="V90" s="72"/>
      <c r="W90" s="77">
        <v>89</v>
      </c>
      <c r="X90">
        <v>25.274048442906572</v>
      </c>
      <c r="Y90">
        <v>25.274048442906572</v>
      </c>
    </row>
    <row r="91" spans="13:25" x14ac:dyDescent="0.25">
      <c r="M91" s="59">
        <v>5</v>
      </c>
      <c r="N91" s="59">
        <v>30</v>
      </c>
      <c r="O91" s="59">
        <f>SUM(N$4:N91)</f>
        <v>2675</v>
      </c>
      <c r="P91" s="59">
        <f>SUMIFS('markov model'!M$7:M$3656, 'markov model'!L$7:L$3656,"&gt;="&amp;O91,'markov model'!L$7:L$3656,"&lt;"&amp;O92)</f>
        <v>0</v>
      </c>
      <c r="V91" s="72"/>
      <c r="W91" s="77">
        <v>90</v>
      </c>
      <c r="X91">
        <v>20.834602076124572</v>
      </c>
      <c r="Y91">
        <v>20.834602076124572</v>
      </c>
    </row>
    <row r="92" spans="13:25" x14ac:dyDescent="0.25">
      <c r="M92" s="59">
        <v>6</v>
      </c>
      <c r="N92" s="59">
        <v>31</v>
      </c>
      <c r="O92" s="59">
        <f>SUM(N$4:N92)</f>
        <v>2706</v>
      </c>
      <c r="P92" s="59">
        <f>SUMIFS('markov model'!M$7:M$3656, 'markov model'!L$7:L$3656,"&gt;="&amp;O92,'markov model'!L$7:L$3656,"&lt;"&amp;O93)</f>
        <v>0</v>
      </c>
      <c r="V92" s="72"/>
      <c r="W92" s="77">
        <v>91</v>
      </c>
      <c r="X92">
        <v>98.847750865051907</v>
      </c>
      <c r="Y92">
        <v>98.847750865051907</v>
      </c>
    </row>
    <row r="93" spans="13:25" x14ac:dyDescent="0.25">
      <c r="M93" s="59">
        <v>7</v>
      </c>
      <c r="N93" s="59">
        <v>30</v>
      </c>
      <c r="O93" s="59">
        <f>SUM(N$4:N93)</f>
        <v>2736</v>
      </c>
      <c r="P93" s="59">
        <f>SUMIFS('markov model'!M$7:M$3656, 'markov model'!L$7:L$3656,"&gt;="&amp;O93,'markov model'!L$7:L$3656,"&lt;"&amp;O94)</f>
        <v>0</v>
      </c>
      <c r="V93" s="72"/>
      <c r="W93" s="77">
        <v>92</v>
      </c>
      <c r="X93">
        <v>68.326643598615931</v>
      </c>
      <c r="Y93">
        <v>68.326643598615931</v>
      </c>
    </row>
    <row r="94" spans="13:25" x14ac:dyDescent="0.25">
      <c r="M94" s="59">
        <v>8</v>
      </c>
      <c r="N94" s="59">
        <v>31</v>
      </c>
      <c r="O94" s="59">
        <f>SUM(N$4:N94)</f>
        <v>2767</v>
      </c>
      <c r="P94" s="59">
        <f>SUMIFS('markov model'!M$7:M$3656, 'markov model'!L$7:L$3656,"&gt;="&amp;O94,'markov model'!L$7:L$3656,"&lt;"&amp;O95)</f>
        <v>0</v>
      </c>
      <c r="V94" s="72"/>
      <c r="W94" s="77">
        <v>93</v>
      </c>
      <c r="X94">
        <v>76.393771626297564</v>
      </c>
      <c r="Y94">
        <v>76.393771626297564</v>
      </c>
    </row>
    <row r="95" spans="13:25" x14ac:dyDescent="0.25">
      <c r="M95" s="59">
        <v>9</v>
      </c>
      <c r="N95" s="59">
        <v>31</v>
      </c>
      <c r="O95" s="59">
        <f>SUM(N$4:N95)</f>
        <v>2798</v>
      </c>
      <c r="P95" s="59">
        <f>SUMIFS('markov model'!M$7:M$3656, 'markov model'!L$7:L$3656,"&gt;="&amp;O95,'markov model'!L$7:L$3656,"&lt;"&amp;O96)</f>
        <v>0</v>
      </c>
      <c r="V95" s="72"/>
      <c r="W95" s="77">
        <v>94</v>
      </c>
      <c r="X95">
        <v>64.666435986159172</v>
      </c>
      <c r="Y95">
        <v>64.666435986159172</v>
      </c>
    </row>
    <row r="96" spans="13:25" x14ac:dyDescent="0.25">
      <c r="M96" s="59">
        <v>10</v>
      </c>
      <c r="N96" s="59">
        <v>30</v>
      </c>
      <c r="O96" s="59">
        <f>SUM(N$4:N96)</f>
        <v>2828</v>
      </c>
      <c r="P96" s="59">
        <f>SUMIFS('markov model'!M$7:M$3656, 'markov model'!L$7:L$3656,"&gt;="&amp;O96,'markov model'!L$7:L$3656,"&lt;"&amp;O97)</f>
        <v>0</v>
      </c>
      <c r="V96" s="72"/>
      <c r="W96" s="77">
        <v>95</v>
      </c>
      <c r="X96">
        <v>143.59238754325258</v>
      </c>
      <c r="Y96">
        <v>143.59238754325258</v>
      </c>
    </row>
    <row r="97" spans="13:25" x14ac:dyDescent="0.25">
      <c r="M97" s="59">
        <v>11</v>
      </c>
      <c r="N97" s="59">
        <v>31</v>
      </c>
      <c r="O97" s="59">
        <f>SUM(N$4:N97)</f>
        <v>2859</v>
      </c>
      <c r="P97" s="59">
        <f>SUMIFS('markov model'!M$7:M$3656, 'markov model'!L$7:L$3656,"&gt;="&amp;O97,'markov model'!L$7:L$3656,"&lt;"&amp;O98)</f>
        <v>0</v>
      </c>
      <c r="V97" s="72"/>
      <c r="W97" s="77">
        <v>96</v>
      </c>
      <c r="X97">
        <v>67.688581314878917</v>
      </c>
      <c r="Y97">
        <v>67.688581314878917</v>
      </c>
    </row>
    <row r="98" spans="13:25" x14ac:dyDescent="0.25">
      <c r="M98" s="59">
        <v>12</v>
      </c>
      <c r="N98" s="59">
        <v>30</v>
      </c>
      <c r="O98" s="59">
        <f>SUM(N$4:N98)</f>
        <v>2889</v>
      </c>
      <c r="P98" s="59">
        <f>SUMIFS('markov model'!M$7:M$3656, 'markov model'!L$7:L$3656,"&gt;="&amp;O98,'markov model'!L$7:L$3656,"&lt;"&amp;O99)</f>
        <v>0</v>
      </c>
      <c r="V98" s="72"/>
      <c r="W98" s="77">
        <v>97</v>
      </c>
      <c r="X98">
        <v>55.538408304498269</v>
      </c>
      <c r="Y98">
        <v>55.538408304498269</v>
      </c>
    </row>
    <row r="99" spans="13:25" x14ac:dyDescent="0.25">
      <c r="M99" s="59">
        <v>1</v>
      </c>
      <c r="N99" s="59">
        <v>31</v>
      </c>
      <c r="O99" s="59">
        <f>SUM(N$4:N99)</f>
        <v>2920</v>
      </c>
      <c r="P99" s="59">
        <f>SUMIFS('markov model'!M$7:M$3656, 'markov model'!L$7:L$3656,"&gt;="&amp;O99,'markov model'!L$7:L$3656,"&lt;"&amp;O100)</f>
        <v>0</v>
      </c>
      <c r="V99" s="72"/>
      <c r="W99" s="77">
        <v>98</v>
      </c>
      <c r="X99">
        <v>80.361245674740488</v>
      </c>
      <c r="Y99">
        <v>80.361245674740488</v>
      </c>
    </row>
    <row r="100" spans="13:25" x14ac:dyDescent="0.25">
      <c r="M100" s="59">
        <v>2</v>
      </c>
      <c r="N100" s="59">
        <v>31</v>
      </c>
      <c r="O100" s="59">
        <f>SUM(N$4:N100)</f>
        <v>2951</v>
      </c>
      <c r="P100" s="59">
        <f>SUMIFS('markov model'!M$7:M$3656, 'markov model'!L$7:L$3656,"&gt;="&amp;O100,'markov model'!L$7:L$3656,"&lt;"&amp;O101)</f>
        <v>0</v>
      </c>
      <c r="V100" s="72"/>
      <c r="W100" s="77">
        <v>99</v>
      </c>
      <c r="X100">
        <v>41.730103806228371</v>
      </c>
      <c r="Y100">
        <v>41.730103806228371</v>
      </c>
    </row>
    <row r="101" spans="13:25" x14ac:dyDescent="0.25">
      <c r="M101" s="59">
        <v>3</v>
      </c>
      <c r="N101" s="59">
        <v>28</v>
      </c>
      <c r="O101" s="59">
        <f>SUM(N$4:N101)</f>
        <v>2979</v>
      </c>
      <c r="P101" s="59">
        <f>SUMIFS('markov model'!M$7:M$3656, 'markov model'!L$7:L$3656,"&gt;="&amp;O101,'markov model'!L$7:L$3656,"&lt;"&amp;O102)</f>
        <v>0</v>
      </c>
      <c r="V101" s="72"/>
      <c r="W101" s="77">
        <v>100</v>
      </c>
      <c r="X101">
        <v>13.913494809688581</v>
      </c>
      <c r="Y101">
        <v>13.913494809688581</v>
      </c>
    </row>
    <row r="102" spans="13:25" x14ac:dyDescent="0.25">
      <c r="M102" s="59">
        <v>4</v>
      </c>
      <c r="N102" s="59">
        <v>31</v>
      </c>
      <c r="O102" s="59">
        <f>SUM(N$4:N102)</f>
        <v>3010</v>
      </c>
      <c r="P102" s="59">
        <f>SUMIFS('markov model'!M$7:M$3656, 'markov model'!L$7:L$3656,"&gt;="&amp;O102,'markov model'!L$7:L$3656,"&lt;"&amp;O103)</f>
        <v>0</v>
      </c>
      <c r="V102" s="72"/>
      <c r="W102" s="77">
        <v>101</v>
      </c>
      <c r="X102">
        <v>64.54671280276817</v>
      </c>
      <c r="Y102">
        <v>64.54671280276817</v>
      </c>
    </row>
    <row r="103" spans="13:25" x14ac:dyDescent="0.25">
      <c r="M103" s="59">
        <v>5</v>
      </c>
      <c r="N103" s="59">
        <v>30</v>
      </c>
      <c r="O103" s="59">
        <f>SUM(N$4:N103)</f>
        <v>3040</v>
      </c>
      <c r="P103" s="59">
        <f>SUMIFS('markov model'!M$7:M$3656, 'markov model'!L$7:L$3656,"&gt;="&amp;O103,'markov model'!L$7:L$3656,"&lt;"&amp;O104)</f>
        <v>0</v>
      </c>
      <c r="V103" s="72"/>
      <c r="W103" s="77">
        <v>102</v>
      </c>
      <c r="X103">
        <v>78.817993079584795</v>
      </c>
      <c r="Y103">
        <v>78.817993079584795</v>
      </c>
    </row>
    <row r="104" spans="13:25" x14ac:dyDescent="0.25">
      <c r="M104" s="59">
        <v>6</v>
      </c>
      <c r="N104" s="59">
        <v>31</v>
      </c>
      <c r="O104" s="59">
        <f>SUM(N$4:N104)</f>
        <v>3071</v>
      </c>
      <c r="P104" s="59">
        <f>SUMIFS('markov model'!M$7:M$3656, 'markov model'!L$7:L$3656,"&gt;="&amp;O104,'markov model'!L$7:L$3656,"&lt;"&amp;O105)</f>
        <v>0</v>
      </c>
      <c r="V104" s="72"/>
      <c r="W104" s="77">
        <v>103</v>
      </c>
      <c r="X104">
        <v>99.444290657439439</v>
      </c>
      <c r="Y104">
        <v>99.444290657439439</v>
      </c>
    </row>
    <row r="105" spans="13:25" x14ac:dyDescent="0.25">
      <c r="M105" s="59">
        <v>7</v>
      </c>
      <c r="N105" s="59">
        <v>30</v>
      </c>
      <c r="O105" s="59">
        <f>SUM(N$4:N105)</f>
        <v>3101</v>
      </c>
      <c r="P105" s="59">
        <f>SUMIFS('markov model'!M$7:M$3656, 'markov model'!L$7:L$3656,"&gt;="&amp;O105,'markov model'!L$7:L$3656,"&lt;"&amp;O106)</f>
        <v>0</v>
      </c>
      <c r="V105" s="72"/>
      <c r="W105" s="77">
        <v>104</v>
      </c>
      <c r="X105">
        <v>104.57162629757788</v>
      </c>
      <c r="Y105">
        <v>104.57162629757788</v>
      </c>
    </row>
    <row r="106" spans="13:25" x14ac:dyDescent="0.25">
      <c r="M106" s="59">
        <v>8</v>
      </c>
      <c r="N106" s="59">
        <v>31</v>
      </c>
      <c r="O106" s="59">
        <f>SUM(N$4:N106)</f>
        <v>3132</v>
      </c>
      <c r="P106" s="59">
        <f>SUMIFS('markov model'!M$7:M$3656, 'markov model'!L$7:L$3656,"&gt;="&amp;O106,'markov model'!L$7:L$3656,"&lt;"&amp;O107)</f>
        <v>0</v>
      </c>
      <c r="V106" s="72"/>
      <c r="W106" s="77">
        <v>105</v>
      </c>
      <c r="X106">
        <v>44.425605536332178</v>
      </c>
      <c r="Y106">
        <v>44.425605536332178</v>
      </c>
    </row>
    <row r="107" spans="13:25" x14ac:dyDescent="0.25">
      <c r="M107" s="59">
        <v>9</v>
      </c>
      <c r="N107" s="59">
        <v>31</v>
      </c>
      <c r="O107" s="59">
        <f>SUM(N$4:N107)</f>
        <v>3163</v>
      </c>
      <c r="P107" s="59">
        <f>SUMIFS('markov model'!M$7:M$3656, 'markov model'!L$7:L$3656,"&gt;="&amp;O107,'markov model'!L$7:L$3656,"&lt;"&amp;O108)</f>
        <v>0</v>
      </c>
      <c r="V107" s="72"/>
      <c r="W107" s="77">
        <v>106</v>
      </c>
      <c r="X107">
        <v>50.242214532871969</v>
      </c>
      <c r="Y107">
        <v>50.242214532871969</v>
      </c>
    </row>
    <row r="108" spans="13:25" x14ac:dyDescent="0.25">
      <c r="M108" s="59">
        <v>10</v>
      </c>
      <c r="N108" s="59">
        <v>30</v>
      </c>
      <c r="O108" s="59">
        <f>SUM(N$4:N108)</f>
        <v>3193</v>
      </c>
      <c r="P108" s="59">
        <f>SUMIFS('markov model'!M$7:M$3656, 'markov model'!L$7:L$3656,"&gt;="&amp;O108,'markov model'!L$7:L$3656,"&lt;"&amp;O109)</f>
        <v>0</v>
      </c>
      <c r="V108" s="72"/>
      <c r="W108" s="77">
        <v>107</v>
      </c>
      <c r="X108">
        <v>48.876816608996542</v>
      </c>
      <c r="Y108">
        <v>48.876816608996542</v>
      </c>
    </row>
    <row r="109" spans="13:25" x14ac:dyDescent="0.25">
      <c r="M109" s="59">
        <v>11</v>
      </c>
      <c r="N109" s="59">
        <v>31</v>
      </c>
      <c r="O109" s="59">
        <f>SUM(N$4:N109)</f>
        <v>3224</v>
      </c>
      <c r="P109" s="59">
        <f>SUMIFS('markov model'!M$7:M$3656, 'markov model'!L$7:L$3656,"&gt;="&amp;O109,'markov model'!L$7:L$3656,"&lt;"&amp;O110)</f>
        <v>0</v>
      </c>
      <c r="V109" s="72"/>
      <c r="W109" s="77">
        <v>108</v>
      </c>
      <c r="X109">
        <v>81.092733564013841</v>
      </c>
      <c r="Y109">
        <v>81.092733564013841</v>
      </c>
    </row>
    <row r="110" spans="13:25" x14ac:dyDescent="0.25">
      <c r="M110" s="59">
        <v>12</v>
      </c>
      <c r="N110" s="59">
        <v>30</v>
      </c>
      <c r="O110" s="59">
        <f>SUM(N$4:N110)</f>
        <v>3254</v>
      </c>
      <c r="P110" s="59">
        <f>SUMIFS('markov model'!M$7:M$3656, 'markov model'!L$7:L$3656,"&gt;="&amp;O110,'markov model'!L$7:L$3656,"&lt;"&amp;O111)</f>
        <v>0</v>
      </c>
      <c r="V110" s="72"/>
      <c r="W110" s="77">
        <v>109</v>
      </c>
      <c r="X110">
        <v>45.489965397923875</v>
      </c>
      <c r="Y110">
        <v>45.489965397923875</v>
      </c>
    </row>
    <row r="111" spans="13:25" x14ac:dyDescent="0.25">
      <c r="M111" s="59">
        <v>1</v>
      </c>
      <c r="N111" s="59">
        <v>31</v>
      </c>
      <c r="O111" s="59">
        <f>SUM(N$4:N111)</f>
        <v>3285</v>
      </c>
      <c r="P111" s="59">
        <f>SUMIFS('markov model'!M$7:M$3656, 'markov model'!L$7:L$3656,"&gt;="&amp;O111,'markov model'!L$7:L$3656,"&lt;"&amp;O112)</f>
        <v>0</v>
      </c>
      <c r="V111" s="72"/>
      <c r="W111" s="77">
        <v>110</v>
      </c>
      <c r="X111">
        <v>21.7598615916955</v>
      </c>
      <c r="Y111">
        <v>21.7598615916955</v>
      </c>
    </row>
    <row r="112" spans="13:25" x14ac:dyDescent="0.25">
      <c r="M112" s="59">
        <v>2</v>
      </c>
      <c r="N112" s="59">
        <v>31</v>
      </c>
      <c r="O112" s="59">
        <f>SUM(N$4:N112)</f>
        <v>3316</v>
      </c>
      <c r="P112" s="59">
        <f>SUMIFS('markov model'!M$7:M$3656, 'markov model'!L$7:L$3656,"&gt;="&amp;O112,'markov model'!L$7:L$3656,"&lt;"&amp;O113)</f>
        <v>0</v>
      </c>
      <c r="V112" s="72"/>
      <c r="W112" s="77">
        <v>111</v>
      </c>
      <c r="X112">
        <v>9.1245674740484439</v>
      </c>
      <c r="Y112">
        <v>9.1245674740484439</v>
      </c>
    </row>
    <row r="113" spans="13:25" x14ac:dyDescent="0.25">
      <c r="M113" s="59">
        <v>3</v>
      </c>
      <c r="N113" s="59">
        <v>28</v>
      </c>
      <c r="O113" s="59">
        <f>SUM(N$4:N113)</f>
        <v>3344</v>
      </c>
      <c r="P113" s="59">
        <f>SUMIFS('markov model'!M$7:M$3656, 'markov model'!L$7:L$3656,"&gt;="&amp;O113,'markov model'!L$7:L$3656,"&lt;"&amp;O114)</f>
        <v>0</v>
      </c>
      <c r="V113" s="72"/>
      <c r="W113" s="77">
        <v>112</v>
      </c>
      <c r="X113">
        <v>126.90934256055364</v>
      </c>
      <c r="Y113">
        <v>126.90934256055364</v>
      </c>
    </row>
    <row r="114" spans="13:25" x14ac:dyDescent="0.25">
      <c r="M114" s="59">
        <v>4</v>
      </c>
      <c r="N114" s="59">
        <v>31</v>
      </c>
      <c r="O114" s="59">
        <f>SUM(N$4:N114)</f>
        <v>3375</v>
      </c>
      <c r="P114" s="59">
        <f>SUMIFS('markov model'!M$7:M$3656, 'markov model'!L$7:L$3656,"&gt;="&amp;O114,'markov model'!L$7:L$3656,"&lt;"&amp;O115)</f>
        <v>0</v>
      </c>
      <c r="V114" s="72"/>
      <c r="W114" s="77">
        <v>113</v>
      </c>
      <c r="X114">
        <v>62.279584775086505</v>
      </c>
      <c r="Y114">
        <v>62.279584775086505</v>
      </c>
    </row>
    <row r="115" spans="13:25" x14ac:dyDescent="0.25">
      <c r="M115" s="59">
        <v>5</v>
      </c>
      <c r="N115" s="59">
        <v>30</v>
      </c>
      <c r="O115" s="59">
        <f>SUM(N$4:N115)</f>
        <v>3405</v>
      </c>
      <c r="P115" s="59">
        <f>SUMIFS('markov model'!M$7:M$3656, 'markov model'!L$7:L$3656,"&gt;="&amp;O115,'markov model'!L$7:L$3656,"&lt;"&amp;O116)</f>
        <v>0</v>
      </c>
      <c r="V115" s="72"/>
      <c r="W115" s="77">
        <v>114</v>
      </c>
      <c r="X115">
        <v>143.92733564013841</v>
      </c>
      <c r="Y115">
        <v>143.92733564013841</v>
      </c>
    </row>
    <row r="116" spans="13:25" x14ac:dyDescent="0.25">
      <c r="M116" s="59">
        <v>6</v>
      </c>
      <c r="N116" s="59">
        <v>31</v>
      </c>
      <c r="O116" s="59">
        <f>SUM(N$4:N116)</f>
        <v>3436</v>
      </c>
      <c r="P116" s="59">
        <f>SUMIFS('markov model'!M$7:M$3656, 'markov model'!L$7:L$3656,"&gt;="&amp;O116,'markov model'!L$7:L$3656,"&lt;"&amp;O117)</f>
        <v>0</v>
      </c>
      <c r="V116" s="72"/>
      <c r="W116" s="77">
        <v>115</v>
      </c>
      <c r="X116">
        <v>102.09342560553632</v>
      </c>
      <c r="Y116">
        <v>102.09342560553632</v>
      </c>
    </row>
    <row r="117" spans="13:25" x14ac:dyDescent="0.25">
      <c r="M117" s="59">
        <v>7</v>
      </c>
      <c r="N117" s="59">
        <v>30</v>
      </c>
      <c r="O117" s="59">
        <f>SUM(N$4:N117)</f>
        <v>3466</v>
      </c>
      <c r="P117" s="59">
        <f>SUMIFS('markov model'!M$7:M$3656, 'markov model'!L$7:L$3656,"&gt;="&amp;O117,'markov model'!L$7:L$3656,"&lt;"&amp;O118)</f>
        <v>0</v>
      </c>
      <c r="V117" s="72"/>
      <c r="W117" s="77">
        <v>116</v>
      </c>
      <c r="X117">
        <v>111.7121107266436</v>
      </c>
      <c r="Y117">
        <v>111.7121107266436</v>
      </c>
    </row>
    <row r="118" spans="13:25" x14ac:dyDescent="0.25">
      <c r="M118" s="59">
        <v>8</v>
      </c>
      <c r="N118" s="59">
        <v>31</v>
      </c>
      <c r="O118" s="59">
        <f>SUM(N$4:N118)</f>
        <v>3497</v>
      </c>
      <c r="P118" s="59">
        <f>SUMIFS('markov model'!M$7:M$3656, 'markov model'!L$7:L$3656,"&gt;="&amp;O118,'markov model'!L$7:L$3656,"&lt;"&amp;O119)</f>
        <v>0</v>
      </c>
      <c r="V118" s="72"/>
      <c r="W118" s="77">
        <v>117</v>
      </c>
      <c r="X118">
        <v>109.68581314878894</v>
      </c>
      <c r="Y118">
        <v>109.68581314878894</v>
      </c>
    </row>
    <row r="119" spans="13:25" x14ac:dyDescent="0.25">
      <c r="M119" s="59">
        <v>9</v>
      </c>
      <c r="N119" s="59">
        <v>31</v>
      </c>
      <c r="O119" s="59">
        <f>SUM(N$4:N119)</f>
        <v>3528</v>
      </c>
      <c r="P119" s="59">
        <f>SUMIFS('markov model'!M$7:M$3656, 'markov model'!L$7:L$3656,"&gt;="&amp;O119,'markov model'!L$7:L$3656,"&lt;"&amp;O120)</f>
        <v>0</v>
      </c>
      <c r="V119" s="72"/>
      <c r="W119" s="77">
        <v>118</v>
      </c>
      <c r="X119">
        <v>85.471280276816628</v>
      </c>
      <c r="Y119">
        <v>85.471280276816628</v>
      </c>
    </row>
    <row r="120" spans="13:25" x14ac:dyDescent="0.25">
      <c r="M120" s="59">
        <v>10</v>
      </c>
      <c r="N120" s="59">
        <v>30</v>
      </c>
      <c r="O120" s="59">
        <f>SUM(N$4:N120)</f>
        <v>3558</v>
      </c>
      <c r="P120" s="59">
        <f>SUMIFS('markov model'!M$7:M$3656, 'markov model'!L$7:L$3656,"&gt;="&amp;O120,'markov model'!L$7:L$3656,"&lt;"&amp;O121)</f>
        <v>0</v>
      </c>
      <c r="V120" s="72"/>
      <c r="W120" s="77">
        <v>119</v>
      </c>
      <c r="X120">
        <v>95.520415224913478</v>
      </c>
      <c r="Y120">
        <v>95.520415224913478</v>
      </c>
    </row>
    <row r="121" spans="13:25" x14ac:dyDescent="0.25">
      <c r="M121" s="59">
        <v>11</v>
      </c>
      <c r="N121" s="59">
        <v>31</v>
      </c>
      <c r="O121" s="59">
        <f>SUM(N$4:N121)</f>
        <v>3589</v>
      </c>
      <c r="P121" s="59">
        <f>SUMIFS('markov model'!M$7:M$3656, 'markov model'!L$7:L$3656,"&gt;="&amp;O121,'markov model'!L$7:L$3656,"&lt;"&amp;O122)</f>
        <v>0</v>
      </c>
      <c r="V121" s="72"/>
      <c r="W121" s="77">
        <v>120</v>
      </c>
      <c r="X121">
        <v>126.67958477508651</v>
      </c>
      <c r="Y121">
        <v>126.67958477508651</v>
      </c>
    </row>
    <row r="122" spans="13:25" x14ac:dyDescent="0.25">
      <c r="M122" s="59">
        <v>12</v>
      </c>
      <c r="N122" s="59">
        <v>30</v>
      </c>
      <c r="O122" s="59">
        <f>SUM(N$4:N122)</f>
        <v>3619</v>
      </c>
      <c r="P122" s="59">
        <f>SUMIFS('markov model'!M$7:M$3656, 'markov model'!L$7:L$3656,"&gt;="&amp;O122,'markov model'!L$7:L$3656,"&lt;"&amp;O123)</f>
        <v>0</v>
      </c>
      <c r="V122" s="72"/>
      <c r="W122" s="77" t="s">
        <v>91</v>
      </c>
      <c r="X122">
        <v>8177.2761245674756</v>
      </c>
      <c r="Y122">
        <v>8177.2761245674756</v>
      </c>
    </row>
    <row r="123" spans="13:25" x14ac:dyDescent="0.25">
      <c r="N123">
        <v>31</v>
      </c>
      <c r="O123">
        <f>SUM(N$4:N123)</f>
        <v>3650</v>
      </c>
      <c r="P123">
        <f>SUMIFS('markov model'!M$7:M$3656, 'markov model'!L$7:L$3656,"&gt;="&amp;O123,'markov model'!L$7:L$3656,"&lt;"&amp;O124)</f>
        <v>0</v>
      </c>
      <c r="V123" s="72"/>
    </row>
    <row r="124" spans="13:25" x14ac:dyDescent="0.25">
      <c r="O124" s="74"/>
      <c r="P124" s="74"/>
      <c r="Q124" s="74"/>
      <c r="R124" s="74"/>
      <c r="V124" s="72"/>
    </row>
    <row r="125" spans="13:25" x14ac:dyDescent="0.25">
      <c r="O125" s="74"/>
      <c r="P125" s="74"/>
      <c r="Q125" s="74"/>
      <c r="R125" s="74"/>
      <c r="V125" s="72"/>
    </row>
    <row r="126" spans="13:25" x14ac:dyDescent="0.25">
      <c r="O126" s="74"/>
      <c r="P126" s="74"/>
      <c r="Q126" s="74"/>
      <c r="R126" s="74"/>
      <c r="V126" s="72"/>
    </row>
    <row r="127" spans="13:25" x14ac:dyDescent="0.25">
      <c r="O127" s="74"/>
      <c r="P127" s="74"/>
      <c r="Q127" s="74"/>
      <c r="R127" s="74"/>
      <c r="V127" s="72"/>
    </row>
    <row r="128" spans="13:25" x14ac:dyDescent="0.25">
      <c r="O128" s="74"/>
      <c r="P128" s="74"/>
      <c r="Q128" s="74"/>
      <c r="R128" s="74"/>
      <c r="V128" s="72"/>
    </row>
    <row r="129" spans="15:22" x14ac:dyDescent="0.25">
      <c r="O129" s="74"/>
      <c r="P129" s="74"/>
      <c r="Q129" s="74"/>
      <c r="R129" s="74"/>
      <c r="V129" s="72"/>
    </row>
    <row r="130" spans="15:22" x14ac:dyDescent="0.25">
      <c r="O130" s="74"/>
      <c r="P130" s="74"/>
      <c r="Q130" s="74"/>
      <c r="R130" s="74"/>
      <c r="V130" s="72"/>
    </row>
    <row r="131" spans="15:22" x14ac:dyDescent="0.25">
      <c r="O131" s="74"/>
      <c r="P131" s="74"/>
      <c r="Q131" s="74"/>
      <c r="R131" s="74"/>
      <c r="V131" s="72"/>
    </row>
    <row r="132" spans="15:22" x14ac:dyDescent="0.25">
      <c r="O132" s="74"/>
      <c r="P132" s="74"/>
      <c r="Q132" s="74"/>
      <c r="R132" s="74"/>
      <c r="V132" s="72"/>
    </row>
    <row r="133" spans="15:22" x14ac:dyDescent="0.25">
      <c r="O133" s="74"/>
      <c r="P133" s="74"/>
      <c r="Q133" s="74"/>
      <c r="R133" s="74"/>
      <c r="V133" s="72"/>
    </row>
    <row r="134" spans="15:22" x14ac:dyDescent="0.25">
      <c r="O134" s="74"/>
      <c r="P134" s="74"/>
      <c r="Q134" s="74"/>
      <c r="R134" s="74"/>
      <c r="V134" s="72"/>
    </row>
    <row r="135" spans="15:22" x14ac:dyDescent="0.25">
      <c r="O135" s="74"/>
      <c r="P135" s="74"/>
      <c r="Q135" s="74"/>
      <c r="R135" s="74"/>
      <c r="V135" s="72"/>
    </row>
    <row r="136" spans="15:22" x14ac:dyDescent="0.25">
      <c r="O136" s="74"/>
      <c r="P136" s="74"/>
      <c r="Q136" s="74"/>
      <c r="R136" s="74"/>
      <c r="V136" s="72"/>
    </row>
    <row r="137" spans="15:22" x14ac:dyDescent="0.25">
      <c r="O137" s="74"/>
      <c r="P137" s="74"/>
      <c r="Q137" s="74"/>
      <c r="R137" s="74"/>
      <c r="V137" s="72"/>
    </row>
    <row r="138" spans="15:22" x14ac:dyDescent="0.25">
      <c r="O138" s="74"/>
      <c r="P138" s="74"/>
      <c r="Q138" s="74"/>
      <c r="R138" s="74"/>
      <c r="V138" s="72"/>
    </row>
    <row r="139" spans="15:22" x14ac:dyDescent="0.25">
      <c r="O139" s="74"/>
      <c r="P139" s="74"/>
      <c r="Q139" s="74"/>
      <c r="R139" s="74"/>
      <c r="V139" s="72"/>
    </row>
    <row r="140" spans="15:22" x14ac:dyDescent="0.25">
      <c r="O140" s="74"/>
      <c r="P140" s="74"/>
      <c r="Q140" s="74"/>
      <c r="R140" s="74"/>
      <c r="V140" s="72"/>
    </row>
    <row r="141" spans="15:22" x14ac:dyDescent="0.25">
      <c r="O141" s="74"/>
      <c r="P141" s="74"/>
      <c r="Q141" s="74"/>
      <c r="R141" s="74"/>
      <c r="V141" s="72"/>
    </row>
    <row r="142" spans="15:22" x14ac:dyDescent="0.25">
      <c r="O142" s="74"/>
      <c r="P142" s="74"/>
      <c r="Q142" s="74"/>
      <c r="R142" s="74"/>
      <c r="V142" s="72"/>
    </row>
    <row r="143" spans="15:22" x14ac:dyDescent="0.25">
      <c r="O143" s="74"/>
      <c r="P143" s="74"/>
      <c r="Q143" s="74"/>
      <c r="R143" s="74"/>
      <c r="V143" s="72"/>
    </row>
    <row r="144" spans="15:22" x14ac:dyDescent="0.25">
      <c r="O144" s="74"/>
      <c r="P144" s="74"/>
      <c r="Q144" s="74"/>
      <c r="R144" s="74"/>
      <c r="V144" s="72"/>
    </row>
    <row r="145" spans="15:22" x14ac:dyDescent="0.25">
      <c r="O145" s="74"/>
      <c r="P145" s="74"/>
      <c r="Q145" s="74"/>
      <c r="R145" s="74"/>
      <c r="V145" s="72"/>
    </row>
    <row r="146" spans="15:22" x14ac:dyDescent="0.25">
      <c r="O146" s="74"/>
      <c r="P146" s="74"/>
      <c r="Q146" s="74"/>
      <c r="R146" s="74"/>
      <c r="V146" s="72"/>
    </row>
    <row r="147" spans="15:22" x14ac:dyDescent="0.25">
      <c r="O147" s="74"/>
      <c r="P147" s="74"/>
      <c r="Q147" s="74"/>
      <c r="R147" s="74"/>
      <c r="V147" s="72"/>
    </row>
    <row r="148" spans="15:22" x14ac:dyDescent="0.25">
      <c r="O148" s="74"/>
      <c r="P148" s="74"/>
      <c r="Q148" s="74"/>
      <c r="R148" s="74"/>
      <c r="V148" s="72"/>
    </row>
    <row r="149" spans="15:22" x14ac:dyDescent="0.25">
      <c r="O149" s="74"/>
      <c r="P149" s="74"/>
      <c r="Q149" s="74"/>
      <c r="R149" s="74"/>
      <c r="V149" s="72"/>
    </row>
    <row r="150" spans="15:22" x14ac:dyDescent="0.25">
      <c r="O150" s="74"/>
      <c r="P150" s="74"/>
      <c r="Q150" s="74"/>
      <c r="R150" s="74"/>
      <c r="V150" s="72"/>
    </row>
    <row r="151" spans="15:22" x14ac:dyDescent="0.25">
      <c r="O151" s="74"/>
      <c r="P151" s="74"/>
      <c r="Q151" s="74"/>
      <c r="R151" s="74"/>
      <c r="V151" s="72"/>
    </row>
    <row r="152" spans="15:22" x14ac:dyDescent="0.25">
      <c r="O152" s="74"/>
      <c r="P152" s="74"/>
      <c r="Q152" s="74"/>
      <c r="R152" s="74"/>
      <c r="V152" s="72"/>
    </row>
    <row r="153" spans="15:22" x14ac:dyDescent="0.25">
      <c r="O153" s="74"/>
      <c r="P153" s="74"/>
      <c r="Q153" s="74"/>
      <c r="R153" s="74"/>
      <c r="V153" s="72"/>
    </row>
    <row r="154" spans="15:22" x14ac:dyDescent="0.25">
      <c r="O154" s="74"/>
      <c r="P154" s="74"/>
      <c r="Q154" s="74"/>
      <c r="R154" s="74"/>
      <c r="V154" s="72"/>
    </row>
    <row r="155" spans="15:22" x14ac:dyDescent="0.25">
      <c r="O155" s="74"/>
      <c r="P155" s="74"/>
      <c r="Q155" s="74"/>
      <c r="R155" s="74"/>
      <c r="V155" s="72"/>
    </row>
    <row r="156" spans="15:22" x14ac:dyDescent="0.25">
      <c r="O156" s="74"/>
      <c r="P156" s="74"/>
      <c r="Q156" s="74"/>
      <c r="R156" s="74"/>
      <c r="V156" s="72"/>
    </row>
    <row r="157" spans="15:22" x14ac:dyDescent="0.25">
      <c r="O157" s="74"/>
      <c r="P157" s="74"/>
      <c r="Q157" s="74"/>
      <c r="R157" s="74"/>
      <c r="V157" s="72"/>
    </row>
    <row r="158" spans="15:22" x14ac:dyDescent="0.25">
      <c r="O158" s="74"/>
      <c r="P158" s="74"/>
      <c r="Q158" s="74"/>
      <c r="R158" s="74"/>
      <c r="V158" s="72"/>
    </row>
    <row r="159" spans="15:22" x14ac:dyDescent="0.25">
      <c r="O159" s="74"/>
      <c r="P159" s="74"/>
      <c r="Q159" s="74"/>
      <c r="R159" s="74"/>
      <c r="V159" s="72"/>
    </row>
    <row r="160" spans="15:22" x14ac:dyDescent="0.25">
      <c r="O160" s="74"/>
      <c r="P160" s="74"/>
      <c r="Q160" s="74"/>
      <c r="R160" s="74"/>
      <c r="V160" s="72"/>
    </row>
    <row r="161" spans="15:22" x14ac:dyDescent="0.25">
      <c r="O161" s="74"/>
      <c r="P161" s="74"/>
      <c r="Q161" s="74"/>
      <c r="R161" s="74"/>
      <c r="V161" s="72"/>
    </row>
    <row r="162" spans="15:22" x14ac:dyDescent="0.25">
      <c r="O162" s="74"/>
      <c r="P162" s="74"/>
      <c r="Q162" s="74"/>
      <c r="R162" s="74"/>
      <c r="V162" s="72"/>
    </row>
    <row r="163" spans="15:22" x14ac:dyDescent="0.25">
      <c r="O163" s="74"/>
      <c r="P163" s="74"/>
      <c r="Q163" s="74"/>
      <c r="R163" s="74"/>
      <c r="V163" s="72"/>
    </row>
    <row r="164" spans="15:22" x14ac:dyDescent="0.25">
      <c r="O164" s="74"/>
      <c r="P164" s="74"/>
      <c r="Q164" s="74"/>
      <c r="R164" s="74"/>
      <c r="V164" s="72"/>
    </row>
    <row r="165" spans="15:22" x14ac:dyDescent="0.25">
      <c r="O165" s="74"/>
      <c r="P165" s="74"/>
      <c r="Q165" s="74"/>
      <c r="R165" s="74"/>
      <c r="V165" s="72"/>
    </row>
    <row r="166" spans="15:22" x14ac:dyDescent="0.25">
      <c r="O166" s="74"/>
      <c r="P166" s="74"/>
      <c r="Q166" s="74"/>
      <c r="R166" s="74"/>
      <c r="V166" s="72"/>
    </row>
    <row r="167" spans="15:22" x14ac:dyDescent="0.25">
      <c r="O167" s="74"/>
      <c r="P167" s="74"/>
      <c r="Q167" s="74"/>
      <c r="R167" s="74"/>
      <c r="V167" s="72"/>
    </row>
    <row r="168" spans="15:22" x14ac:dyDescent="0.25">
      <c r="O168" s="74"/>
      <c r="P168" s="74"/>
      <c r="Q168" s="74"/>
      <c r="R168" s="74"/>
      <c r="V168" s="72"/>
    </row>
    <row r="169" spans="15:22" x14ac:dyDescent="0.25">
      <c r="O169" s="74"/>
      <c r="P169" s="74"/>
      <c r="Q169" s="74"/>
      <c r="R169" s="74"/>
      <c r="V169" s="72"/>
    </row>
    <row r="170" spans="15:22" x14ac:dyDescent="0.25">
      <c r="O170" s="74"/>
      <c r="P170" s="74"/>
      <c r="Q170" s="74"/>
      <c r="R170" s="74"/>
      <c r="V170" s="72"/>
    </row>
    <row r="171" spans="15:22" x14ac:dyDescent="0.25">
      <c r="O171" s="74"/>
      <c r="P171" s="74"/>
      <c r="Q171" s="74"/>
      <c r="R171" s="74"/>
      <c r="V171" s="72"/>
    </row>
    <row r="172" spans="15:22" x14ac:dyDescent="0.25">
      <c r="O172" s="74"/>
      <c r="P172" s="74"/>
      <c r="Q172" s="74"/>
      <c r="R172" s="74"/>
      <c r="V172" s="72"/>
    </row>
    <row r="173" spans="15:22" x14ac:dyDescent="0.25">
      <c r="O173" s="74"/>
      <c r="P173" s="74"/>
      <c r="Q173" s="74"/>
      <c r="R173" s="74"/>
      <c r="V173" s="72"/>
    </row>
    <row r="174" spans="15:22" x14ac:dyDescent="0.25">
      <c r="O174" s="74"/>
      <c r="P174" s="74"/>
      <c r="Q174" s="74"/>
      <c r="R174" s="74"/>
      <c r="V174" s="72"/>
    </row>
    <row r="175" spans="15:22" x14ac:dyDescent="0.25">
      <c r="O175" s="74"/>
      <c r="P175" s="74"/>
      <c r="Q175" s="74"/>
      <c r="R175" s="74"/>
      <c r="V175" s="72"/>
    </row>
    <row r="176" spans="15:22" x14ac:dyDescent="0.25">
      <c r="O176" s="74"/>
      <c r="P176" s="74"/>
      <c r="Q176" s="74"/>
      <c r="R176" s="74"/>
      <c r="V176" s="72"/>
    </row>
    <row r="177" spans="15:22" x14ac:dyDescent="0.25">
      <c r="O177" s="74"/>
      <c r="P177" s="74"/>
      <c r="Q177" s="74"/>
      <c r="R177" s="74"/>
      <c r="V177" s="72"/>
    </row>
    <row r="178" spans="15:22" x14ac:dyDescent="0.25">
      <c r="O178" s="74"/>
      <c r="P178" s="74"/>
      <c r="Q178" s="74"/>
      <c r="R178" s="74"/>
      <c r="V178" s="72"/>
    </row>
    <row r="179" spans="15:22" x14ac:dyDescent="0.25">
      <c r="O179" s="74"/>
      <c r="P179" s="74"/>
      <c r="Q179" s="74"/>
      <c r="R179" s="74"/>
      <c r="V179" s="72"/>
    </row>
    <row r="180" spans="15:22" x14ac:dyDescent="0.25">
      <c r="O180" s="74"/>
      <c r="P180" s="74"/>
      <c r="Q180" s="74"/>
      <c r="R180" s="74"/>
      <c r="V180" s="72"/>
    </row>
    <row r="181" spans="15:22" x14ac:dyDescent="0.25">
      <c r="O181" s="74"/>
      <c r="P181" s="74"/>
      <c r="Q181" s="74"/>
      <c r="R181" s="74"/>
      <c r="V181" s="72"/>
    </row>
    <row r="182" spans="15:22" x14ac:dyDescent="0.25">
      <c r="O182" s="74"/>
      <c r="P182" s="74"/>
      <c r="Q182" s="74"/>
      <c r="R182" s="74"/>
      <c r="V182" s="72"/>
    </row>
    <row r="183" spans="15:22" x14ac:dyDescent="0.25">
      <c r="O183" s="74"/>
      <c r="P183" s="74"/>
      <c r="Q183" s="74"/>
      <c r="R183" s="74"/>
      <c r="V183" s="72"/>
    </row>
    <row r="184" spans="15:22" x14ac:dyDescent="0.25">
      <c r="O184" s="74"/>
      <c r="P184" s="74"/>
      <c r="Q184" s="74"/>
      <c r="R184" s="74"/>
      <c r="V184" s="72"/>
    </row>
    <row r="185" spans="15:22" x14ac:dyDescent="0.25">
      <c r="O185" s="74"/>
      <c r="P185" s="74"/>
      <c r="Q185" s="74"/>
      <c r="R185" s="74"/>
      <c r="V185" s="72"/>
    </row>
    <row r="186" spans="15:22" x14ac:dyDescent="0.25">
      <c r="O186" s="74"/>
      <c r="P186" s="74"/>
      <c r="Q186" s="74"/>
      <c r="R186" s="74"/>
      <c r="V186" s="72"/>
    </row>
    <row r="187" spans="15:22" x14ac:dyDescent="0.25">
      <c r="O187" s="74"/>
      <c r="P187" s="74"/>
      <c r="Q187" s="74"/>
      <c r="R187" s="74"/>
      <c r="V187" s="72"/>
    </row>
    <row r="188" spans="15:22" x14ac:dyDescent="0.25">
      <c r="O188" s="74"/>
      <c r="P188" s="74"/>
      <c r="Q188" s="74"/>
      <c r="R188" s="74"/>
      <c r="V188" s="72"/>
    </row>
    <row r="189" spans="15:22" x14ac:dyDescent="0.25">
      <c r="O189" s="74"/>
      <c r="P189" s="74"/>
      <c r="Q189" s="74"/>
      <c r="R189" s="74"/>
      <c r="V189" s="72"/>
    </row>
    <row r="190" spans="15:22" x14ac:dyDescent="0.25">
      <c r="O190" s="74"/>
      <c r="P190" s="74"/>
      <c r="Q190" s="74"/>
      <c r="R190" s="74"/>
      <c r="V190" s="72"/>
    </row>
    <row r="191" spans="15:22" x14ac:dyDescent="0.25">
      <c r="O191" s="74"/>
      <c r="P191" s="74"/>
      <c r="Q191" s="74"/>
      <c r="R191" s="74"/>
      <c r="V191" s="72"/>
    </row>
    <row r="192" spans="15:22" x14ac:dyDescent="0.25">
      <c r="O192" s="74"/>
      <c r="P192" s="74"/>
      <c r="Q192" s="74"/>
      <c r="R192" s="74"/>
      <c r="V192" s="72"/>
    </row>
    <row r="193" spans="15:22" x14ac:dyDescent="0.25">
      <c r="O193" s="74"/>
      <c r="P193" s="74"/>
      <c r="Q193" s="74"/>
      <c r="R193" s="74"/>
      <c r="V193" s="72"/>
    </row>
    <row r="194" spans="15:22" x14ac:dyDescent="0.25">
      <c r="O194" s="74"/>
      <c r="P194" s="74"/>
      <c r="Q194" s="74"/>
      <c r="R194" s="74"/>
      <c r="V194" s="72"/>
    </row>
    <row r="195" spans="15:22" x14ac:dyDescent="0.25">
      <c r="O195" s="74"/>
      <c r="P195" s="74"/>
      <c r="Q195" s="74"/>
      <c r="R195" s="74"/>
      <c r="V195" s="72"/>
    </row>
    <row r="196" spans="15:22" x14ac:dyDescent="0.25">
      <c r="O196" s="74"/>
      <c r="P196" s="74"/>
      <c r="Q196" s="74"/>
      <c r="R196" s="74"/>
      <c r="V196" s="72"/>
    </row>
    <row r="197" spans="15:22" x14ac:dyDescent="0.25">
      <c r="O197" s="74"/>
      <c r="P197" s="74"/>
      <c r="Q197" s="74"/>
      <c r="R197" s="74"/>
      <c r="V197" s="72"/>
    </row>
    <row r="198" spans="15:22" x14ac:dyDescent="0.25">
      <c r="O198" s="74"/>
      <c r="P198" s="74"/>
      <c r="Q198" s="74"/>
      <c r="R198" s="74"/>
      <c r="V198" s="72"/>
    </row>
    <row r="199" spans="15:22" x14ac:dyDescent="0.25">
      <c r="O199" s="74"/>
      <c r="P199" s="74"/>
      <c r="Q199" s="74"/>
      <c r="R199" s="74"/>
      <c r="V199" s="72"/>
    </row>
    <row r="200" spans="15:22" x14ac:dyDescent="0.25">
      <c r="O200" s="74"/>
      <c r="P200" s="74"/>
      <c r="Q200" s="74"/>
      <c r="R200" s="74"/>
      <c r="V200" s="72"/>
    </row>
    <row r="201" spans="15:22" x14ac:dyDescent="0.25">
      <c r="O201" s="74"/>
      <c r="P201" s="74"/>
      <c r="Q201" s="74"/>
      <c r="R201" s="74"/>
      <c r="V201" s="72"/>
    </row>
    <row r="202" spans="15:22" x14ac:dyDescent="0.25">
      <c r="O202" s="74"/>
      <c r="P202" s="74"/>
      <c r="Q202" s="74"/>
      <c r="R202" s="74"/>
      <c r="V202" s="72"/>
    </row>
    <row r="203" spans="15:22" x14ac:dyDescent="0.25">
      <c r="O203" s="74"/>
      <c r="P203" s="74"/>
      <c r="Q203" s="74"/>
      <c r="R203" s="74"/>
      <c r="V203" s="72"/>
    </row>
    <row r="204" spans="15:22" x14ac:dyDescent="0.25">
      <c r="O204" s="74"/>
      <c r="P204" s="74"/>
      <c r="Q204" s="74"/>
      <c r="R204" s="74"/>
      <c r="V204" s="72"/>
    </row>
    <row r="205" spans="15:22" x14ac:dyDescent="0.25">
      <c r="O205" s="74"/>
      <c r="P205" s="74"/>
      <c r="Q205" s="74"/>
      <c r="R205" s="74"/>
      <c r="V205" s="72"/>
    </row>
    <row r="206" spans="15:22" x14ac:dyDescent="0.25">
      <c r="O206" s="74"/>
      <c r="P206" s="74"/>
      <c r="Q206" s="74"/>
      <c r="R206" s="74"/>
      <c r="V206" s="72"/>
    </row>
    <row r="207" spans="15:22" x14ac:dyDescent="0.25">
      <c r="O207" s="74"/>
      <c r="P207" s="74"/>
      <c r="Q207" s="74"/>
      <c r="R207" s="74"/>
      <c r="V207" s="72"/>
    </row>
    <row r="208" spans="15:22" x14ac:dyDescent="0.25">
      <c r="O208" s="74"/>
      <c r="P208" s="74"/>
      <c r="Q208" s="74"/>
      <c r="R208" s="74"/>
      <c r="V208" s="72"/>
    </row>
    <row r="209" spans="15:22" x14ac:dyDescent="0.25">
      <c r="O209" s="74"/>
      <c r="P209" s="74"/>
      <c r="Q209" s="74"/>
      <c r="R209" s="74"/>
      <c r="V209" s="72"/>
    </row>
    <row r="210" spans="15:22" x14ac:dyDescent="0.25">
      <c r="O210" s="74"/>
      <c r="P210" s="74"/>
      <c r="Q210" s="74"/>
      <c r="R210" s="74"/>
      <c r="V210" s="72"/>
    </row>
    <row r="211" spans="15:22" x14ac:dyDescent="0.25">
      <c r="O211" s="74"/>
      <c r="P211" s="74"/>
      <c r="Q211" s="74"/>
      <c r="R211" s="74"/>
      <c r="V211" s="72"/>
    </row>
    <row r="212" spans="15:22" x14ac:dyDescent="0.25">
      <c r="O212" s="74"/>
      <c r="P212" s="74"/>
      <c r="Q212" s="74"/>
      <c r="R212" s="74"/>
      <c r="V212" s="72"/>
    </row>
    <row r="213" spans="15:22" x14ac:dyDescent="0.25">
      <c r="O213" s="74"/>
      <c r="P213" s="74"/>
      <c r="Q213" s="74"/>
      <c r="R213" s="74"/>
      <c r="V213" s="72"/>
    </row>
    <row r="214" spans="15:22" x14ac:dyDescent="0.25">
      <c r="O214" s="74"/>
      <c r="P214" s="74"/>
      <c r="Q214" s="74"/>
      <c r="R214" s="74"/>
      <c r="V214" s="72"/>
    </row>
    <row r="215" spans="15:22" x14ac:dyDescent="0.25">
      <c r="O215" s="74"/>
      <c r="P215" s="74"/>
      <c r="Q215" s="74"/>
      <c r="R215" s="74"/>
      <c r="V215" s="72"/>
    </row>
    <row r="216" spans="15:22" x14ac:dyDescent="0.25">
      <c r="O216" s="74"/>
      <c r="P216" s="74"/>
      <c r="Q216" s="74"/>
      <c r="R216" s="74"/>
      <c r="V216" s="72"/>
    </row>
    <row r="217" spans="15:22" x14ac:dyDescent="0.25">
      <c r="O217" s="74"/>
      <c r="P217" s="74"/>
      <c r="Q217" s="74"/>
      <c r="R217" s="74"/>
      <c r="V217" s="72"/>
    </row>
    <row r="218" spans="15:22" x14ac:dyDescent="0.25">
      <c r="O218" s="74"/>
      <c r="P218" s="74"/>
      <c r="Q218" s="74"/>
      <c r="R218" s="74"/>
      <c r="V218" s="72"/>
    </row>
    <row r="219" spans="15:22" x14ac:dyDescent="0.25">
      <c r="O219" s="74"/>
      <c r="P219" s="74"/>
      <c r="Q219" s="74"/>
      <c r="R219" s="74"/>
      <c r="V219" s="72"/>
    </row>
    <row r="220" spans="15:22" x14ac:dyDescent="0.25">
      <c r="O220" s="74"/>
      <c r="P220" s="74"/>
      <c r="Q220" s="74"/>
      <c r="R220" s="74"/>
      <c r="V220" s="72"/>
    </row>
    <row r="221" spans="15:22" x14ac:dyDescent="0.25">
      <c r="O221" s="74"/>
      <c r="P221" s="74"/>
      <c r="Q221" s="74"/>
      <c r="R221" s="74"/>
      <c r="V221" s="72"/>
    </row>
    <row r="222" spans="15:22" x14ac:dyDescent="0.25">
      <c r="O222" s="74"/>
      <c r="P222" s="74"/>
      <c r="Q222" s="74"/>
      <c r="R222" s="74"/>
      <c r="V222" s="72"/>
    </row>
    <row r="223" spans="15:22" x14ac:dyDescent="0.25">
      <c r="O223" s="74"/>
      <c r="P223" s="74"/>
      <c r="Q223" s="74"/>
      <c r="R223" s="74"/>
      <c r="V223" s="72"/>
    </row>
    <row r="224" spans="15:22" x14ac:dyDescent="0.25">
      <c r="O224" s="74"/>
      <c r="P224" s="74"/>
      <c r="Q224" s="74"/>
      <c r="R224" s="74"/>
      <c r="V224" s="72"/>
    </row>
    <row r="225" spans="15:22" x14ac:dyDescent="0.25">
      <c r="O225" s="74"/>
      <c r="P225" s="74"/>
      <c r="Q225" s="74"/>
      <c r="R225" s="74"/>
      <c r="V225" s="72"/>
    </row>
    <row r="226" spans="15:22" x14ac:dyDescent="0.25">
      <c r="O226" s="74"/>
      <c r="P226" s="74"/>
      <c r="Q226" s="74"/>
      <c r="R226" s="74"/>
      <c r="V226" s="72"/>
    </row>
    <row r="227" spans="15:22" x14ac:dyDescent="0.25">
      <c r="O227" s="74"/>
      <c r="P227" s="74"/>
      <c r="Q227" s="74"/>
      <c r="R227" s="74"/>
      <c r="V227" s="72"/>
    </row>
    <row r="228" spans="15:22" x14ac:dyDescent="0.25">
      <c r="O228" s="74"/>
      <c r="P228" s="74"/>
      <c r="Q228" s="74"/>
      <c r="R228" s="74"/>
      <c r="V228" s="72"/>
    </row>
    <row r="229" spans="15:22" x14ac:dyDescent="0.25">
      <c r="O229" s="74"/>
      <c r="P229" s="74"/>
      <c r="Q229" s="74"/>
      <c r="R229" s="74"/>
      <c r="V229" s="72"/>
    </row>
    <row r="230" spans="15:22" x14ac:dyDescent="0.25">
      <c r="O230" s="74"/>
      <c r="P230" s="74"/>
      <c r="Q230" s="74"/>
      <c r="R230" s="74"/>
      <c r="V230" s="72"/>
    </row>
    <row r="231" spans="15:22" x14ac:dyDescent="0.25">
      <c r="O231" s="74"/>
      <c r="P231" s="74"/>
      <c r="Q231" s="74"/>
      <c r="R231" s="74"/>
      <c r="V231" s="72"/>
    </row>
    <row r="232" spans="15:22" x14ac:dyDescent="0.25">
      <c r="O232" s="74"/>
      <c r="P232" s="74"/>
      <c r="Q232" s="74"/>
      <c r="R232" s="74"/>
      <c r="V232" s="72"/>
    </row>
    <row r="233" spans="15:22" x14ac:dyDescent="0.25">
      <c r="O233" s="74"/>
      <c r="P233" s="74"/>
      <c r="Q233" s="74"/>
      <c r="R233" s="74"/>
      <c r="V233" s="72"/>
    </row>
    <row r="234" spans="15:22" x14ac:dyDescent="0.25">
      <c r="O234" s="74"/>
      <c r="P234" s="74"/>
      <c r="Q234" s="74"/>
      <c r="R234" s="74"/>
      <c r="V234" s="72"/>
    </row>
    <row r="235" spans="15:22" x14ac:dyDescent="0.25">
      <c r="O235" s="74"/>
      <c r="P235" s="74"/>
      <c r="Q235" s="74"/>
      <c r="R235" s="74"/>
      <c r="V235" s="72"/>
    </row>
    <row r="236" spans="15:22" x14ac:dyDescent="0.25">
      <c r="O236" s="74"/>
      <c r="P236" s="74"/>
      <c r="Q236" s="74"/>
      <c r="R236" s="74"/>
      <c r="V236" s="72"/>
    </row>
    <row r="237" spans="15:22" x14ac:dyDescent="0.25">
      <c r="O237" s="74"/>
      <c r="P237" s="74"/>
      <c r="Q237" s="74"/>
      <c r="R237" s="74"/>
      <c r="V237" s="72"/>
    </row>
    <row r="238" spans="15:22" x14ac:dyDescent="0.25">
      <c r="O238" s="74"/>
      <c r="P238" s="74"/>
      <c r="Q238" s="74"/>
      <c r="R238" s="74"/>
      <c r="V238" s="72"/>
    </row>
    <row r="239" spans="15:22" x14ac:dyDescent="0.25">
      <c r="O239" s="74"/>
      <c r="P239" s="74"/>
      <c r="Q239" s="74"/>
      <c r="R239" s="74"/>
      <c r="V239" s="72"/>
    </row>
    <row r="240" spans="15:22" x14ac:dyDescent="0.25">
      <c r="O240" s="74"/>
      <c r="P240" s="74"/>
      <c r="Q240" s="74"/>
      <c r="R240" s="74"/>
      <c r="V240" s="72"/>
    </row>
    <row r="241" spans="15:22" x14ac:dyDescent="0.25">
      <c r="O241" s="74"/>
      <c r="P241" s="74"/>
      <c r="Q241" s="74"/>
      <c r="R241" s="74"/>
      <c r="V241" s="72"/>
    </row>
    <row r="242" spans="15:22" x14ac:dyDescent="0.25">
      <c r="O242" s="74"/>
      <c r="P242" s="74"/>
      <c r="Q242" s="74"/>
      <c r="R242" s="74"/>
      <c r="V242" s="72"/>
    </row>
    <row r="243" spans="15:22" x14ac:dyDescent="0.25">
      <c r="O243" s="74"/>
      <c r="P243" s="74"/>
      <c r="Q243" s="74"/>
      <c r="R243" s="74"/>
      <c r="V243" s="72"/>
    </row>
    <row r="244" spans="15:22" x14ac:dyDescent="0.25">
      <c r="O244" s="74"/>
      <c r="P244" s="74"/>
      <c r="Q244" s="74"/>
      <c r="R244" s="74"/>
      <c r="V244" s="72"/>
    </row>
    <row r="245" spans="15:22" x14ac:dyDescent="0.25">
      <c r="O245" s="74"/>
      <c r="P245" s="74"/>
      <c r="Q245" s="74"/>
      <c r="R245" s="74"/>
      <c r="V245" s="72"/>
    </row>
    <row r="246" spans="15:22" x14ac:dyDescent="0.25">
      <c r="O246" s="74"/>
      <c r="P246" s="74"/>
      <c r="Q246" s="74"/>
      <c r="R246" s="74"/>
      <c r="V246" s="72"/>
    </row>
    <row r="247" spans="15:22" x14ac:dyDescent="0.25">
      <c r="O247" s="74"/>
      <c r="P247" s="74"/>
      <c r="Q247" s="74"/>
      <c r="R247" s="74"/>
      <c r="V247" s="72"/>
    </row>
    <row r="248" spans="15:22" x14ac:dyDescent="0.25">
      <c r="O248" s="74"/>
      <c r="P248" s="74"/>
      <c r="Q248" s="74"/>
      <c r="R248" s="74"/>
      <c r="V248" s="72"/>
    </row>
    <row r="249" spans="15:22" x14ac:dyDescent="0.25">
      <c r="O249" s="74"/>
      <c r="P249" s="74"/>
      <c r="Q249" s="74"/>
      <c r="R249" s="74"/>
      <c r="V249" s="72"/>
    </row>
    <row r="250" spans="15:22" x14ac:dyDescent="0.25">
      <c r="O250" s="74"/>
      <c r="P250" s="74"/>
      <c r="Q250" s="74"/>
      <c r="R250" s="74"/>
      <c r="V250" s="72"/>
    </row>
    <row r="251" spans="15:22" x14ac:dyDescent="0.25">
      <c r="O251" s="74"/>
      <c r="P251" s="74"/>
      <c r="Q251" s="74"/>
      <c r="R251" s="74"/>
      <c r="V251" s="72"/>
    </row>
    <row r="252" spans="15:22" x14ac:dyDescent="0.25">
      <c r="O252" s="74"/>
      <c r="P252" s="74"/>
      <c r="Q252" s="74"/>
      <c r="R252" s="74"/>
      <c r="V252" s="72"/>
    </row>
    <row r="253" spans="15:22" x14ac:dyDescent="0.25">
      <c r="O253" s="74"/>
      <c r="P253" s="74"/>
      <c r="Q253" s="74"/>
      <c r="R253" s="74"/>
      <c r="V253" s="72"/>
    </row>
    <row r="254" spans="15:22" x14ac:dyDescent="0.25">
      <c r="O254" s="74"/>
      <c r="P254" s="74"/>
      <c r="Q254" s="74"/>
      <c r="R254" s="74"/>
      <c r="V254" s="72"/>
    </row>
    <row r="255" spans="15:22" x14ac:dyDescent="0.25">
      <c r="O255" s="74"/>
      <c r="P255" s="74"/>
      <c r="Q255" s="74"/>
      <c r="R255" s="74"/>
      <c r="V255" s="72"/>
    </row>
    <row r="256" spans="15:22" x14ac:dyDescent="0.25">
      <c r="O256" s="74"/>
      <c r="P256" s="74"/>
      <c r="Q256" s="74"/>
      <c r="R256" s="74"/>
      <c r="V256" s="72"/>
    </row>
    <row r="257" spans="15:22" x14ac:dyDescent="0.25">
      <c r="O257" s="74"/>
      <c r="P257" s="74"/>
      <c r="Q257" s="74"/>
      <c r="R257" s="74"/>
      <c r="V257" s="72"/>
    </row>
    <row r="258" spans="15:22" x14ac:dyDescent="0.25">
      <c r="O258" s="74"/>
      <c r="P258" s="74"/>
      <c r="Q258" s="74"/>
      <c r="R258" s="74"/>
      <c r="V258" s="72"/>
    </row>
    <row r="259" spans="15:22" x14ac:dyDescent="0.25">
      <c r="O259" s="74"/>
      <c r="P259" s="74"/>
      <c r="Q259" s="74"/>
      <c r="R259" s="74"/>
      <c r="V259" s="72"/>
    </row>
    <row r="260" spans="15:22" x14ac:dyDescent="0.25">
      <c r="O260" s="74"/>
      <c r="P260" s="74"/>
      <c r="Q260" s="74"/>
      <c r="R260" s="74"/>
      <c r="V260" s="72"/>
    </row>
    <row r="261" spans="15:22" x14ac:dyDescent="0.25">
      <c r="O261" s="74"/>
      <c r="P261" s="74"/>
      <c r="Q261" s="74"/>
      <c r="R261" s="74"/>
      <c r="V261" s="72"/>
    </row>
    <row r="262" spans="15:22" x14ac:dyDescent="0.25">
      <c r="O262" s="74"/>
      <c r="P262" s="74"/>
      <c r="Q262" s="74"/>
      <c r="R262" s="74"/>
      <c r="V262" s="72"/>
    </row>
    <row r="263" spans="15:22" x14ac:dyDescent="0.25">
      <c r="O263" s="74"/>
      <c r="P263" s="74"/>
      <c r="Q263" s="74"/>
      <c r="R263" s="74"/>
      <c r="V263" s="72"/>
    </row>
    <row r="264" spans="15:22" x14ac:dyDescent="0.25">
      <c r="O264" s="74"/>
      <c r="P264" s="74"/>
      <c r="Q264" s="74"/>
      <c r="R264" s="74"/>
      <c r="V264" s="72"/>
    </row>
    <row r="265" spans="15:22" x14ac:dyDescent="0.25">
      <c r="O265" s="74"/>
      <c r="P265" s="74"/>
      <c r="Q265" s="74"/>
      <c r="R265" s="74"/>
      <c r="V265" s="72"/>
    </row>
    <row r="266" spans="15:22" x14ac:dyDescent="0.25">
      <c r="O266" s="74"/>
      <c r="P266" s="74"/>
      <c r="Q266" s="74"/>
      <c r="R266" s="74"/>
      <c r="V266" s="72"/>
    </row>
    <row r="267" spans="15:22" x14ac:dyDescent="0.25">
      <c r="O267" s="74"/>
      <c r="P267" s="74"/>
      <c r="Q267" s="74"/>
      <c r="R267" s="74"/>
      <c r="V267" s="72"/>
    </row>
    <row r="268" spans="15:22" x14ac:dyDescent="0.25">
      <c r="O268" s="74"/>
      <c r="P268" s="74"/>
      <c r="Q268" s="74"/>
      <c r="R268" s="74"/>
      <c r="V268" s="72"/>
    </row>
    <row r="269" spans="15:22" x14ac:dyDescent="0.25">
      <c r="O269" s="74"/>
      <c r="P269" s="74"/>
      <c r="Q269" s="74"/>
      <c r="R269" s="74"/>
      <c r="V269" s="72"/>
    </row>
    <row r="270" spans="15:22" x14ac:dyDescent="0.25">
      <c r="O270" s="74"/>
      <c r="P270" s="74"/>
      <c r="Q270" s="74"/>
      <c r="R270" s="74"/>
      <c r="V270" s="72"/>
    </row>
    <row r="271" spans="15:22" x14ac:dyDescent="0.25">
      <c r="O271" s="74"/>
      <c r="P271" s="74"/>
      <c r="Q271" s="74"/>
      <c r="R271" s="74"/>
      <c r="V271" s="72"/>
    </row>
    <row r="272" spans="15:22" x14ac:dyDescent="0.25">
      <c r="O272" s="74"/>
      <c r="P272" s="74"/>
      <c r="Q272" s="74"/>
      <c r="R272" s="74"/>
      <c r="V272" s="72"/>
    </row>
    <row r="273" spans="15:22" x14ac:dyDescent="0.25">
      <c r="O273" s="74"/>
      <c r="P273" s="74"/>
      <c r="Q273" s="74"/>
      <c r="R273" s="74"/>
      <c r="V273" s="72"/>
    </row>
    <row r="274" spans="15:22" x14ac:dyDescent="0.25">
      <c r="O274" s="74"/>
      <c r="P274" s="74"/>
      <c r="Q274" s="74"/>
      <c r="R274" s="74"/>
      <c r="V274" s="72"/>
    </row>
    <row r="275" spans="15:22" x14ac:dyDescent="0.25">
      <c r="O275" s="74"/>
      <c r="P275" s="74"/>
      <c r="Q275" s="74"/>
      <c r="R275" s="74"/>
      <c r="V275" s="72"/>
    </row>
    <row r="276" spans="15:22" x14ac:dyDescent="0.25">
      <c r="O276" s="74"/>
      <c r="P276" s="74"/>
      <c r="Q276" s="74"/>
      <c r="R276" s="74"/>
      <c r="V276" s="72"/>
    </row>
    <row r="277" spans="15:22" x14ac:dyDescent="0.25">
      <c r="O277" s="74"/>
      <c r="P277" s="74"/>
      <c r="Q277" s="74"/>
      <c r="R277" s="74"/>
      <c r="V277" s="72"/>
    </row>
    <row r="278" spans="15:22" x14ac:dyDescent="0.25">
      <c r="O278" s="74"/>
      <c r="P278" s="74"/>
      <c r="Q278" s="74"/>
      <c r="R278" s="74"/>
      <c r="V278" s="72"/>
    </row>
    <row r="279" spans="15:22" x14ac:dyDescent="0.25">
      <c r="O279" s="74"/>
      <c r="P279" s="74"/>
      <c r="Q279" s="74"/>
      <c r="R279" s="74"/>
      <c r="V279" s="72"/>
    </row>
    <row r="280" spans="15:22" x14ac:dyDescent="0.25">
      <c r="O280" s="74"/>
      <c r="P280" s="74"/>
      <c r="Q280" s="74"/>
      <c r="R280" s="74"/>
      <c r="V280" s="72"/>
    </row>
    <row r="281" spans="15:22" x14ac:dyDescent="0.25">
      <c r="O281" s="74"/>
      <c r="P281" s="74"/>
      <c r="Q281" s="74"/>
      <c r="R281" s="74"/>
      <c r="V281" s="72"/>
    </row>
    <row r="282" spans="15:22" x14ac:dyDescent="0.25">
      <c r="O282" s="74"/>
      <c r="P282" s="74"/>
      <c r="Q282" s="74"/>
      <c r="R282" s="74"/>
      <c r="V282" s="72"/>
    </row>
    <row r="283" spans="15:22" x14ac:dyDescent="0.25">
      <c r="O283" s="74"/>
      <c r="P283" s="74"/>
      <c r="Q283" s="74"/>
      <c r="R283" s="74"/>
      <c r="V283" s="72"/>
    </row>
    <row r="284" spans="15:22" x14ac:dyDescent="0.25">
      <c r="O284" s="74"/>
      <c r="P284" s="74"/>
      <c r="Q284" s="74"/>
      <c r="R284" s="74"/>
      <c r="V284" s="72"/>
    </row>
    <row r="285" spans="15:22" x14ac:dyDescent="0.25">
      <c r="O285" s="74"/>
      <c r="P285" s="74"/>
      <c r="Q285" s="74"/>
      <c r="R285" s="74"/>
      <c r="V285" s="72"/>
    </row>
    <row r="286" spans="15:22" x14ac:dyDescent="0.25">
      <c r="O286" s="74"/>
      <c r="P286" s="74"/>
      <c r="Q286" s="74"/>
      <c r="R286" s="74"/>
      <c r="V286" s="72"/>
    </row>
    <row r="287" spans="15:22" x14ac:dyDescent="0.25">
      <c r="O287" s="74"/>
      <c r="P287" s="74"/>
      <c r="Q287" s="74"/>
      <c r="R287" s="74"/>
      <c r="V287" s="72"/>
    </row>
    <row r="288" spans="15:22" x14ac:dyDescent="0.25">
      <c r="O288" s="74"/>
      <c r="P288" s="74"/>
      <c r="Q288" s="74"/>
      <c r="R288" s="74"/>
      <c r="V288" s="72"/>
    </row>
    <row r="289" spans="15:22" x14ac:dyDescent="0.25">
      <c r="O289" s="74"/>
      <c r="P289" s="74"/>
      <c r="Q289" s="74"/>
      <c r="R289" s="74"/>
      <c r="V289" s="72"/>
    </row>
    <row r="290" spans="15:22" x14ac:dyDescent="0.25">
      <c r="O290" s="74"/>
      <c r="P290" s="74"/>
      <c r="Q290" s="74"/>
      <c r="R290" s="74"/>
      <c r="V290" s="72"/>
    </row>
    <row r="291" spans="15:22" x14ac:dyDescent="0.25">
      <c r="O291" s="74"/>
      <c r="P291" s="74"/>
      <c r="Q291" s="74"/>
      <c r="R291" s="74"/>
      <c r="V291" s="72"/>
    </row>
    <row r="292" spans="15:22" x14ac:dyDescent="0.25">
      <c r="O292" s="74"/>
      <c r="P292" s="74"/>
      <c r="Q292" s="74"/>
      <c r="R292" s="74"/>
      <c r="V292" s="72"/>
    </row>
    <row r="293" spans="15:22" x14ac:dyDescent="0.25">
      <c r="O293" s="74"/>
      <c r="P293" s="74"/>
      <c r="Q293" s="74"/>
      <c r="R293" s="74"/>
      <c r="V293" s="72"/>
    </row>
    <row r="294" spans="15:22" x14ac:dyDescent="0.25">
      <c r="O294" s="74"/>
      <c r="P294" s="74"/>
      <c r="Q294" s="74"/>
      <c r="R294" s="74"/>
      <c r="V294" s="72"/>
    </row>
    <row r="295" spans="15:22" x14ac:dyDescent="0.25">
      <c r="O295" s="74"/>
      <c r="P295" s="74"/>
      <c r="Q295" s="74"/>
      <c r="R295" s="74"/>
      <c r="V295" s="72"/>
    </row>
    <row r="296" spans="15:22" x14ac:dyDescent="0.25">
      <c r="O296" s="74"/>
      <c r="P296" s="74"/>
      <c r="Q296" s="74"/>
      <c r="R296" s="74"/>
      <c r="V296" s="72"/>
    </row>
    <row r="297" spans="15:22" x14ac:dyDescent="0.25">
      <c r="O297" s="74"/>
      <c r="P297" s="74"/>
      <c r="Q297" s="74"/>
      <c r="R297" s="74"/>
      <c r="V297" s="72"/>
    </row>
    <row r="298" spans="15:22" x14ac:dyDescent="0.25">
      <c r="O298" s="74"/>
      <c r="P298" s="74"/>
      <c r="Q298" s="74"/>
      <c r="R298" s="74"/>
      <c r="V298" s="72"/>
    </row>
    <row r="299" spans="15:22" x14ac:dyDescent="0.25">
      <c r="O299" s="74"/>
      <c r="P299" s="74"/>
      <c r="Q299" s="74"/>
      <c r="R299" s="74"/>
      <c r="V299" s="72"/>
    </row>
    <row r="300" spans="15:22" x14ac:dyDescent="0.25">
      <c r="O300" s="74"/>
      <c r="P300" s="74"/>
      <c r="Q300" s="74"/>
      <c r="R300" s="74"/>
      <c r="V300" s="72"/>
    </row>
    <row r="301" spans="15:22" x14ac:dyDescent="0.25">
      <c r="O301" s="74"/>
      <c r="P301" s="74"/>
      <c r="Q301" s="74"/>
      <c r="R301" s="74"/>
      <c r="V301" s="72"/>
    </row>
    <row r="302" spans="15:22" x14ac:dyDescent="0.25">
      <c r="O302" s="74"/>
      <c r="P302" s="74"/>
      <c r="Q302" s="74"/>
      <c r="R302" s="74"/>
      <c r="V302" s="72"/>
    </row>
    <row r="303" spans="15:22" x14ac:dyDescent="0.25">
      <c r="O303" s="74"/>
      <c r="P303" s="74"/>
      <c r="Q303" s="74"/>
      <c r="R303" s="74"/>
      <c r="V303" s="72"/>
    </row>
    <row r="304" spans="15:22" x14ac:dyDescent="0.25">
      <c r="O304" s="74"/>
      <c r="P304" s="74"/>
      <c r="Q304" s="74"/>
      <c r="R304" s="74"/>
      <c r="V304" s="72"/>
    </row>
    <row r="305" spans="15:22" x14ac:dyDescent="0.25">
      <c r="O305" s="74"/>
      <c r="P305" s="74"/>
      <c r="Q305" s="74"/>
      <c r="R305" s="74"/>
      <c r="V305" s="72"/>
    </row>
    <row r="306" spans="15:22" x14ac:dyDescent="0.25">
      <c r="O306" s="74"/>
      <c r="P306" s="74"/>
      <c r="Q306" s="74"/>
      <c r="R306" s="74"/>
      <c r="V306" s="72"/>
    </row>
    <row r="307" spans="15:22" x14ac:dyDescent="0.25">
      <c r="O307" s="74"/>
      <c r="P307" s="74"/>
      <c r="Q307" s="74"/>
      <c r="R307" s="74"/>
      <c r="V307" s="72"/>
    </row>
    <row r="308" spans="15:22" x14ac:dyDescent="0.25">
      <c r="O308" s="74"/>
      <c r="P308" s="74"/>
      <c r="Q308" s="74"/>
      <c r="R308" s="74"/>
      <c r="V308" s="72"/>
    </row>
    <row r="309" spans="15:22" x14ac:dyDescent="0.25">
      <c r="O309" s="74"/>
      <c r="P309" s="74"/>
      <c r="Q309" s="74"/>
      <c r="R309" s="74"/>
      <c r="V309" s="72"/>
    </row>
    <row r="310" spans="15:22" x14ac:dyDescent="0.25">
      <c r="O310" s="74"/>
      <c r="P310" s="74"/>
      <c r="Q310" s="74"/>
      <c r="R310" s="74"/>
      <c r="V310" s="72"/>
    </row>
    <row r="311" spans="15:22" x14ac:dyDescent="0.25">
      <c r="O311" s="74"/>
      <c r="P311" s="74"/>
      <c r="Q311" s="74"/>
      <c r="R311" s="74"/>
      <c r="V311" s="72"/>
    </row>
    <row r="312" spans="15:22" x14ac:dyDescent="0.25">
      <c r="O312" s="74"/>
      <c r="P312" s="74"/>
      <c r="Q312" s="74"/>
      <c r="R312" s="74"/>
      <c r="V312" s="72"/>
    </row>
    <row r="313" spans="15:22" x14ac:dyDescent="0.25">
      <c r="O313" s="74"/>
      <c r="P313" s="74"/>
      <c r="Q313" s="74"/>
      <c r="R313" s="74"/>
      <c r="V313" s="72"/>
    </row>
    <row r="314" spans="15:22" x14ac:dyDescent="0.25">
      <c r="O314" s="74"/>
      <c r="P314" s="74"/>
      <c r="Q314" s="74"/>
      <c r="R314" s="74"/>
      <c r="V314" s="72"/>
    </row>
    <row r="315" spans="15:22" x14ac:dyDescent="0.25">
      <c r="O315" s="74"/>
      <c r="P315" s="74"/>
      <c r="Q315" s="74"/>
      <c r="R315" s="74"/>
      <c r="V315" s="72"/>
    </row>
    <row r="316" spans="15:22" x14ac:dyDescent="0.25">
      <c r="O316" s="74"/>
      <c r="P316" s="74"/>
      <c r="Q316" s="74"/>
      <c r="R316" s="74"/>
      <c r="V316" s="72"/>
    </row>
    <row r="317" spans="15:22" x14ac:dyDescent="0.25">
      <c r="O317" s="74"/>
      <c r="P317" s="74"/>
      <c r="Q317" s="74"/>
      <c r="R317" s="74"/>
      <c r="V317" s="72"/>
    </row>
    <row r="318" spans="15:22" x14ac:dyDescent="0.25">
      <c r="O318" s="74"/>
      <c r="P318" s="74"/>
      <c r="Q318" s="74"/>
      <c r="R318" s="74"/>
      <c r="V318" s="72"/>
    </row>
    <row r="319" spans="15:22" x14ac:dyDescent="0.25">
      <c r="O319" s="74"/>
      <c r="P319" s="74"/>
      <c r="Q319" s="74"/>
      <c r="R319" s="74"/>
      <c r="V319" s="72"/>
    </row>
    <row r="320" spans="15:22" x14ac:dyDescent="0.25">
      <c r="O320" s="74"/>
      <c r="P320" s="74"/>
      <c r="Q320" s="74"/>
      <c r="R320" s="74"/>
      <c r="V320" s="72"/>
    </row>
    <row r="321" spans="15:22" x14ac:dyDescent="0.25">
      <c r="O321" s="74"/>
      <c r="P321" s="74"/>
      <c r="Q321" s="74"/>
      <c r="R321" s="74"/>
      <c r="V321" s="72"/>
    </row>
    <row r="322" spans="15:22" x14ac:dyDescent="0.25">
      <c r="O322" s="74"/>
      <c r="P322" s="74"/>
      <c r="Q322" s="74"/>
      <c r="R322" s="74"/>
      <c r="V322" s="72"/>
    </row>
    <row r="323" spans="15:22" x14ac:dyDescent="0.25">
      <c r="O323" s="74"/>
      <c r="P323" s="74"/>
      <c r="Q323" s="74"/>
      <c r="R323" s="74"/>
      <c r="V323" s="72"/>
    </row>
    <row r="324" spans="15:22" x14ac:dyDescent="0.25">
      <c r="O324" s="74"/>
      <c r="P324" s="74"/>
      <c r="Q324" s="74"/>
      <c r="R324" s="74"/>
      <c r="V324" s="72"/>
    </row>
    <row r="325" spans="15:22" x14ac:dyDescent="0.25">
      <c r="O325" s="74"/>
      <c r="P325" s="74"/>
      <c r="Q325" s="74"/>
      <c r="R325" s="74"/>
      <c r="V325" s="72"/>
    </row>
    <row r="326" spans="15:22" x14ac:dyDescent="0.25">
      <c r="O326" s="74"/>
      <c r="P326" s="74"/>
      <c r="Q326" s="74"/>
      <c r="R326" s="74"/>
      <c r="V326" s="72"/>
    </row>
    <row r="327" spans="15:22" x14ac:dyDescent="0.25">
      <c r="O327" s="74"/>
      <c r="P327" s="74"/>
      <c r="Q327" s="74"/>
      <c r="R327" s="74"/>
      <c r="V327" s="72"/>
    </row>
    <row r="328" spans="15:22" x14ac:dyDescent="0.25">
      <c r="O328" s="74"/>
      <c r="P328" s="74"/>
      <c r="Q328" s="74"/>
      <c r="R328" s="74"/>
      <c r="V328" s="72"/>
    </row>
    <row r="329" spans="15:22" x14ac:dyDescent="0.25">
      <c r="O329" s="74"/>
      <c r="P329" s="74"/>
      <c r="Q329" s="74"/>
      <c r="R329" s="74"/>
      <c r="V329" s="72"/>
    </row>
    <row r="330" spans="15:22" x14ac:dyDescent="0.25">
      <c r="O330" s="74"/>
      <c r="P330" s="74"/>
      <c r="Q330" s="74"/>
      <c r="R330" s="74"/>
      <c r="V330" s="72"/>
    </row>
    <row r="331" spans="15:22" x14ac:dyDescent="0.25">
      <c r="O331" s="74"/>
      <c r="P331" s="74"/>
      <c r="Q331" s="74"/>
      <c r="R331" s="74"/>
      <c r="V331" s="72"/>
    </row>
    <row r="332" spans="15:22" x14ac:dyDescent="0.25">
      <c r="O332" s="74"/>
      <c r="P332" s="74"/>
      <c r="Q332" s="74"/>
      <c r="R332" s="74"/>
      <c r="V332" s="72"/>
    </row>
    <row r="333" spans="15:22" x14ac:dyDescent="0.25">
      <c r="O333" s="74"/>
      <c r="P333" s="74"/>
      <c r="Q333" s="74"/>
      <c r="R333" s="74"/>
      <c r="V333" s="72"/>
    </row>
    <row r="334" spans="15:22" x14ac:dyDescent="0.25">
      <c r="O334" s="74"/>
      <c r="P334" s="74"/>
      <c r="Q334" s="74"/>
      <c r="R334" s="74"/>
      <c r="V334" s="72"/>
    </row>
    <row r="335" spans="15:22" x14ac:dyDescent="0.25">
      <c r="O335" s="74"/>
      <c r="P335" s="74"/>
      <c r="Q335" s="74"/>
      <c r="R335" s="74"/>
      <c r="V335" s="72"/>
    </row>
    <row r="336" spans="15:22" x14ac:dyDescent="0.25">
      <c r="O336" s="74"/>
      <c r="P336" s="74"/>
      <c r="Q336" s="74"/>
      <c r="R336" s="74"/>
      <c r="V336" s="72"/>
    </row>
    <row r="337" spans="15:22" x14ac:dyDescent="0.25">
      <c r="O337" s="74"/>
      <c r="P337" s="74"/>
      <c r="Q337" s="74"/>
      <c r="R337" s="74"/>
      <c r="V337" s="72"/>
    </row>
    <row r="338" spans="15:22" x14ac:dyDescent="0.25">
      <c r="O338" s="74"/>
      <c r="P338" s="74"/>
      <c r="Q338" s="74"/>
      <c r="R338" s="74"/>
      <c r="V338" s="72"/>
    </row>
    <row r="339" spans="15:22" x14ac:dyDescent="0.25">
      <c r="O339" s="74"/>
      <c r="P339" s="74"/>
      <c r="Q339" s="74"/>
      <c r="R339" s="74"/>
      <c r="V339" s="72"/>
    </row>
    <row r="340" spans="15:22" x14ac:dyDescent="0.25">
      <c r="O340" s="74"/>
      <c r="P340" s="74"/>
      <c r="Q340" s="74"/>
      <c r="R340" s="74"/>
      <c r="V340" s="72"/>
    </row>
    <row r="341" spans="15:22" x14ac:dyDescent="0.25">
      <c r="O341" s="74"/>
      <c r="P341" s="74"/>
      <c r="Q341" s="74"/>
      <c r="R341" s="74"/>
      <c r="V341" s="72"/>
    </row>
    <row r="342" spans="15:22" x14ac:dyDescent="0.25">
      <c r="O342" s="74"/>
      <c r="P342" s="74"/>
      <c r="Q342" s="74"/>
      <c r="R342" s="74"/>
      <c r="V342" s="72"/>
    </row>
    <row r="343" spans="15:22" x14ac:dyDescent="0.25">
      <c r="O343" s="74"/>
      <c r="P343" s="74"/>
      <c r="Q343" s="74"/>
      <c r="R343" s="74"/>
      <c r="V343" s="72"/>
    </row>
    <row r="344" spans="15:22" x14ac:dyDescent="0.25">
      <c r="O344" s="74"/>
      <c r="P344" s="74"/>
      <c r="Q344" s="74"/>
      <c r="R344" s="74"/>
      <c r="V344" s="72"/>
    </row>
    <row r="345" spans="15:22" x14ac:dyDescent="0.25">
      <c r="O345" s="74"/>
      <c r="P345" s="74"/>
      <c r="Q345" s="74"/>
      <c r="R345" s="74"/>
      <c r="V345" s="72"/>
    </row>
    <row r="346" spans="15:22" x14ac:dyDescent="0.25">
      <c r="O346" s="74"/>
      <c r="P346" s="74"/>
      <c r="Q346" s="74"/>
      <c r="R346" s="74"/>
      <c r="V346" s="72"/>
    </row>
    <row r="347" spans="15:22" x14ac:dyDescent="0.25">
      <c r="O347" s="74"/>
      <c r="P347" s="74"/>
      <c r="Q347" s="74"/>
      <c r="R347" s="74"/>
      <c r="V347" s="72"/>
    </row>
    <row r="348" spans="15:22" x14ac:dyDescent="0.25">
      <c r="O348" s="74"/>
      <c r="P348" s="74"/>
      <c r="Q348" s="74"/>
      <c r="R348" s="74"/>
      <c r="V348" s="72"/>
    </row>
    <row r="349" spans="15:22" x14ac:dyDescent="0.25">
      <c r="O349" s="74"/>
      <c r="P349" s="74"/>
      <c r="Q349" s="74"/>
      <c r="R349" s="74"/>
      <c r="V349" s="72"/>
    </row>
    <row r="350" spans="15:22" x14ac:dyDescent="0.25">
      <c r="O350" s="74"/>
      <c r="P350" s="74"/>
      <c r="Q350" s="74"/>
      <c r="R350" s="74"/>
      <c r="V350" s="72"/>
    </row>
    <row r="351" spans="15:22" x14ac:dyDescent="0.25">
      <c r="O351" s="74"/>
      <c r="P351" s="74"/>
      <c r="Q351" s="74"/>
      <c r="R351" s="74"/>
      <c r="V351" s="72"/>
    </row>
    <row r="352" spans="15:22" x14ac:dyDescent="0.25">
      <c r="O352" s="74"/>
      <c r="P352" s="74"/>
      <c r="Q352" s="74"/>
      <c r="R352" s="74"/>
      <c r="V352" s="72"/>
    </row>
    <row r="353" spans="15:22" x14ac:dyDescent="0.25">
      <c r="O353" s="74"/>
      <c r="P353" s="74"/>
      <c r="Q353" s="74"/>
      <c r="R353" s="74"/>
      <c r="V353" s="72"/>
    </row>
    <row r="354" spans="15:22" x14ac:dyDescent="0.25">
      <c r="O354" s="74"/>
      <c r="P354" s="74"/>
      <c r="Q354" s="74"/>
      <c r="R354" s="74"/>
      <c r="V354" s="72"/>
    </row>
    <row r="355" spans="15:22" x14ac:dyDescent="0.25">
      <c r="O355" s="74"/>
      <c r="P355" s="74"/>
      <c r="Q355" s="74"/>
      <c r="R355" s="74"/>
      <c r="V355" s="72"/>
    </row>
    <row r="356" spans="15:22" x14ac:dyDescent="0.25">
      <c r="O356" s="74"/>
      <c r="P356" s="74"/>
      <c r="Q356" s="74"/>
      <c r="R356" s="74"/>
      <c r="V356" s="72"/>
    </row>
    <row r="357" spans="15:22" x14ac:dyDescent="0.25">
      <c r="O357" s="74"/>
      <c r="P357" s="74"/>
      <c r="Q357" s="74"/>
      <c r="R357" s="74"/>
      <c r="V357" s="72"/>
    </row>
    <row r="358" spans="15:22" x14ac:dyDescent="0.25">
      <c r="O358" s="74"/>
      <c r="P358" s="74"/>
      <c r="Q358" s="74"/>
      <c r="R358" s="74"/>
      <c r="V358" s="72"/>
    </row>
    <row r="359" spans="15:22" x14ac:dyDescent="0.25">
      <c r="O359" s="74"/>
      <c r="P359" s="74"/>
      <c r="Q359" s="74"/>
      <c r="R359" s="74"/>
      <c r="V359" s="72"/>
    </row>
    <row r="360" spans="15:22" x14ac:dyDescent="0.25">
      <c r="O360" s="74"/>
      <c r="P360" s="74"/>
      <c r="Q360" s="74"/>
      <c r="R360" s="74"/>
      <c r="V360" s="72"/>
    </row>
    <row r="361" spans="15:22" x14ac:dyDescent="0.25">
      <c r="O361" s="74"/>
      <c r="P361" s="74"/>
      <c r="Q361" s="74"/>
      <c r="R361" s="74"/>
      <c r="V361" s="72"/>
    </row>
    <row r="362" spans="15:22" x14ac:dyDescent="0.25">
      <c r="O362" s="74"/>
      <c r="P362" s="74"/>
      <c r="Q362" s="74"/>
      <c r="R362" s="74"/>
      <c r="V362" s="72"/>
    </row>
    <row r="363" spans="15:22" x14ac:dyDescent="0.25">
      <c r="O363" s="74"/>
      <c r="P363" s="74"/>
      <c r="Q363" s="74"/>
      <c r="R363" s="74"/>
      <c r="V363" s="72"/>
    </row>
    <row r="364" spans="15:22" x14ac:dyDescent="0.25">
      <c r="O364" s="74"/>
      <c r="P364" s="74"/>
      <c r="Q364" s="74"/>
      <c r="R364" s="74"/>
      <c r="V364" s="72"/>
    </row>
    <row r="365" spans="15:22" x14ac:dyDescent="0.25">
      <c r="O365" s="74"/>
      <c r="P365" s="74"/>
      <c r="Q365" s="74"/>
      <c r="R365" s="74"/>
      <c r="V365" s="72"/>
    </row>
    <row r="366" spans="15:22" x14ac:dyDescent="0.25">
      <c r="O366" s="74"/>
      <c r="P366" s="74"/>
      <c r="Q366" s="74"/>
      <c r="R366" s="74"/>
      <c r="V366" s="72"/>
    </row>
    <row r="367" spans="15:22" x14ac:dyDescent="0.25">
      <c r="O367" s="74"/>
      <c r="P367" s="74"/>
      <c r="Q367" s="74"/>
      <c r="R367" s="74"/>
      <c r="V367" s="72"/>
    </row>
    <row r="368" spans="15:22" x14ac:dyDescent="0.25">
      <c r="O368" s="74"/>
      <c r="P368" s="74"/>
      <c r="Q368" s="74"/>
      <c r="R368" s="74"/>
      <c r="V368" s="72"/>
    </row>
    <row r="369" spans="15:22" x14ac:dyDescent="0.25">
      <c r="O369" s="74"/>
      <c r="P369" s="74"/>
      <c r="Q369" s="74"/>
      <c r="R369" s="74"/>
      <c r="V369" s="72"/>
    </row>
    <row r="370" spans="15:22" x14ac:dyDescent="0.25">
      <c r="O370" s="74"/>
      <c r="P370" s="74"/>
      <c r="Q370" s="74"/>
      <c r="R370" s="74"/>
      <c r="V370" s="72"/>
    </row>
    <row r="371" spans="15:22" x14ac:dyDescent="0.25">
      <c r="O371" s="74"/>
      <c r="P371" s="74"/>
      <c r="Q371" s="74"/>
      <c r="R371" s="74"/>
      <c r="V371" s="72"/>
    </row>
    <row r="372" spans="15:22" x14ac:dyDescent="0.25">
      <c r="O372" s="74"/>
      <c r="P372" s="74"/>
      <c r="Q372" s="74"/>
      <c r="R372" s="74"/>
      <c r="V372" s="72"/>
    </row>
    <row r="373" spans="15:22" x14ac:dyDescent="0.25">
      <c r="O373" s="74"/>
      <c r="P373" s="74"/>
      <c r="Q373" s="74"/>
      <c r="R373" s="74"/>
      <c r="V373" s="72"/>
    </row>
    <row r="374" spans="15:22" x14ac:dyDescent="0.25">
      <c r="O374" s="74"/>
      <c r="P374" s="74"/>
      <c r="Q374" s="74"/>
      <c r="R374" s="74"/>
      <c r="V374" s="72"/>
    </row>
    <row r="375" spans="15:22" x14ac:dyDescent="0.25">
      <c r="O375" s="74"/>
      <c r="P375" s="74"/>
      <c r="Q375" s="74"/>
      <c r="R375" s="74"/>
      <c r="V375" s="72"/>
    </row>
    <row r="376" spans="15:22" x14ac:dyDescent="0.25">
      <c r="O376" s="74"/>
      <c r="P376" s="74"/>
      <c r="Q376" s="74"/>
      <c r="R376" s="74"/>
      <c r="V376" s="72"/>
    </row>
    <row r="377" spans="15:22" x14ac:dyDescent="0.25">
      <c r="O377" s="74"/>
      <c r="P377" s="74"/>
      <c r="Q377" s="74"/>
      <c r="R377" s="74"/>
      <c r="V377" s="72"/>
    </row>
    <row r="378" spans="15:22" x14ac:dyDescent="0.25">
      <c r="O378" s="74"/>
      <c r="P378" s="74"/>
      <c r="Q378" s="74"/>
      <c r="R378" s="74"/>
      <c r="V378" s="72"/>
    </row>
    <row r="379" spans="15:22" x14ac:dyDescent="0.25">
      <c r="O379" s="74"/>
      <c r="P379" s="74"/>
      <c r="Q379" s="74"/>
      <c r="R379" s="74"/>
      <c r="V379" s="72"/>
    </row>
    <row r="380" spans="15:22" x14ac:dyDescent="0.25">
      <c r="O380" s="74"/>
      <c r="P380" s="74"/>
      <c r="Q380" s="74"/>
      <c r="R380" s="74"/>
      <c r="V380" s="72"/>
    </row>
    <row r="381" spans="15:22" x14ac:dyDescent="0.25">
      <c r="O381" s="74"/>
      <c r="P381" s="74"/>
      <c r="Q381" s="74"/>
      <c r="R381" s="74"/>
      <c r="V381" s="72"/>
    </row>
    <row r="382" spans="15:22" x14ac:dyDescent="0.25">
      <c r="O382" s="74"/>
      <c r="P382" s="74"/>
      <c r="Q382" s="74"/>
      <c r="R382" s="74"/>
      <c r="V382" s="72"/>
    </row>
    <row r="383" spans="15:22" x14ac:dyDescent="0.25">
      <c r="O383" s="74"/>
      <c r="P383" s="74"/>
      <c r="Q383" s="74"/>
      <c r="R383" s="74"/>
      <c r="V383" s="72"/>
    </row>
    <row r="384" spans="15:22" x14ac:dyDescent="0.25">
      <c r="O384" s="74"/>
      <c r="P384" s="74"/>
      <c r="Q384" s="74"/>
      <c r="R384" s="74"/>
      <c r="V384" s="72"/>
    </row>
    <row r="385" spans="15:22" x14ac:dyDescent="0.25">
      <c r="O385" s="74"/>
      <c r="P385" s="74"/>
      <c r="Q385" s="74"/>
      <c r="R385" s="74"/>
      <c r="V385" s="72"/>
    </row>
    <row r="386" spans="15:22" x14ac:dyDescent="0.25">
      <c r="O386" s="74"/>
      <c r="P386" s="74"/>
      <c r="Q386" s="74"/>
      <c r="R386" s="74"/>
      <c r="V386" s="72"/>
    </row>
    <row r="387" spans="15:22" x14ac:dyDescent="0.25">
      <c r="O387" s="74"/>
      <c r="P387" s="74"/>
      <c r="Q387" s="74"/>
      <c r="R387" s="74"/>
      <c r="V387" s="72"/>
    </row>
    <row r="388" spans="15:22" x14ac:dyDescent="0.25">
      <c r="O388" s="74"/>
      <c r="P388" s="74"/>
      <c r="Q388" s="74"/>
      <c r="R388" s="74"/>
      <c r="V388" s="72"/>
    </row>
    <row r="389" spans="15:22" x14ac:dyDescent="0.25">
      <c r="O389" s="74"/>
      <c r="P389" s="74"/>
      <c r="Q389" s="74"/>
      <c r="R389" s="74"/>
      <c r="V389" s="72"/>
    </row>
    <row r="390" spans="15:22" x14ac:dyDescent="0.25">
      <c r="O390" s="74"/>
      <c r="P390" s="74"/>
      <c r="Q390" s="74"/>
      <c r="R390" s="74"/>
      <c r="V390" s="72"/>
    </row>
    <row r="391" spans="15:22" x14ac:dyDescent="0.25">
      <c r="O391" s="74"/>
      <c r="P391" s="74"/>
      <c r="Q391" s="74"/>
      <c r="R391" s="74"/>
      <c r="V391" s="72"/>
    </row>
    <row r="392" spans="15:22" x14ac:dyDescent="0.25">
      <c r="O392" s="74"/>
      <c r="P392" s="74"/>
      <c r="Q392" s="74"/>
      <c r="R392" s="74"/>
      <c r="V392" s="72"/>
    </row>
    <row r="393" spans="15:22" x14ac:dyDescent="0.25">
      <c r="O393" s="74"/>
      <c r="P393" s="74"/>
      <c r="Q393" s="74"/>
      <c r="R393" s="74"/>
      <c r="V393" s="72"/>
    </row>
    <row r="394" spans="15:22" x14ac:dyDescent="0.25">
      <c r="O394" s="74"/>
      <c r="P394" s="74"/>
      <c r="Q394" s="74"/>
      <c r="R394" s="74"/>
      <c r="V394" s="72"/>
    </row>
    <row r="395" spans="15:22" x14ac:dyDescent="0.25">
      <c r="O395" s="74"/>
      <c r="P395" s="74"/>
      <c r="Q395" s="74"/>
      <c r="R395" s="74"/>
      <c r="V395" s="72"/>
    </row>
    <row r="396" spans="15:22" x14ac:dyDescent="0.25">
      <c r="O396" s="74"/>
      <c r="P396" s="74"/>
      <c r="Q396" s="74"/>
      <c r="R396" s="74"/>
      <c r="V396" s="72"/>
    </row>
    <row r="397" spans="15:22" x14ac:dyDescent="0.25">
      <c r="O397" s="74"/>
      <c r="P397" s="74"/>
      <c r="Q397" s="74"/>
      <c r="R397" s="74"/>
      <c r="V397" s="72"/>
    </row>
    <row r="398" spans="15:22" x14ac:dyDescent="0.25">
      <c r="O398" s="74"/>
      <c r="P398" s="74"/>
      <c r="Q398" s="74"/>
      <c r="R398" s="74"/>
      <c r="V398" s="72"/>
    </row>
    <row r="399" spans="15:22" x14ac:dyDescent="0.25">
      <c r="O399" s="74"/>
      <c r="P399" s="74"/>
      <c r="Q399" s="74"/>
      <c r="R399" s="74"/>
      <c r="V399" s="72"/>
    </row>
    <row r="400" spans="15:22" x14ac:dyDescent="0.25">
      <c r="O400" s="74"/>
      <c r="P400" s="74"/>
      <c r="Q400" s="74"/>
      <c r="R400" s="74"/>
      <c r="V400" s="72"/>
    </row>
    <row r="401" spans="15:22" x14ac:dyDescent="0.25">
      <c r="O401" s="74"/>
      <c r="P401" s="74"/>
      <c r="Q401" s="74"/>
      <c r="R401" s="74"/>
      <c r="V401" s="72"/>
    </row>
    <row r="402" spans="15:22" x14ac:dyDescent="0.25">
      <c r="O402" s="74"/>
      <c r="P402" s="74"/>
      <c r="Q402" s="74"/>
      <c r="R402" s="74"/>
      <c r="V402" s="72"/>
    </row>
    <row r="403" spans="15:22" x14ac:dyDescent="0.25">
      <c r="O403" s="74"/>
      <c r="P403" s="74"/>
      <c r="Q403" s="74"/>
      <c r="R403" s="74"/>
      <c r="V403" s="72"/>
    </row>
    <row r="404" spans="15:22" x14ac:dyDescent="0.25">
      <c r="O404" s="74"/>
      <c r="P404" s="74"/>
      <c r="Q404" s="74"/>
      <c r="R404" s="74"/>
      <c r="V404" s="72"/>
    </row>
    <row r="405" spans="15:22" x14ac:dyDescent="0.25">
      <c r="O405" s="74"/>
      <c r="P405" s="74"/>
      <c r="Q405" s="74"/>
      <c r="R405" s="74"/>
      <c r="V405" s="72"/>
    </row>
    <row r="406" spans="15:22" x14ac:dyDescent="0.25">
      <c r="O406" s="74"/>
      <c r="P406" s="74"/>
      <c r="Q406" s="74"/>
      <c r="R406" s="74"/>
      <c r="V406" s="72"/>
    </row>
    <row r="407" spans="15:22" x14ac:dyDescent="0.25">
      <c r="O407" s="74"/>
      <c r="P407" s="74"/>
      <c r="Q407" s="74"/>
      <c r="R407" s="74"/>
      <c r="V407" s="72"/>
    </row>
    <row r="408" spans="15:22" x14ac:dyDescent="0.25">
      <c r="O408" s="74"/>
      <c r="P408" s="74"/>
      <c r="Q408" s="74"/>
      <c r="R408" s="74"/>
      <c r="V408" s="72"/>
    </row>
    <row r="409" spans="15:22" x14ac:dyDescent="0.25">
      <c r="O409" s="74"/>
      <c r="P409" s="74"/>
      <c r="Q409" s="74"/>
      <c r="R409" s="74"/>
      <c r="V409" s="72"/>
    </row>
    <row r="410" spans="15:22" x14ac:dyDescent="0.25">
      <c r="O410" s="74"/>
      <c r="P410" s="74"/>
      <c r="Q410" s="74"/>
      <c r="R410" s="74"/>
      <c r="V410" s="72"/>
    </row>
    <row r="411" spans="15:22" x14ac:dyDescent="0.25">
      <c r="O411" s="74"/>
      <c r="P411" s="74"/>
      <c r="Q411" s="74"/>
      <c r="R411" s="74"/>
      <c r="V411" s="72"/>
    </row>
    <row r="412" spans="15:22" x14ac:dyDescent="0.25">
      <c r="O412" s="74"/>
      <c r="P412" s="74"/>
      <c r="Q412" s="74"/>
      <c r="R412" s="74"/>
      <c r="V412" s="72"/>
    </row>
    <row r="413" spans="15:22" x14ac:dyDescent="0.25">
      <c r="O413" s="74"/>
      <c r="P413" s="74"/>
      <c r="Q413" s="74"/>
      <c r="R413" s="74"/>
      <c r="V413" s="72"/>
    </row>
    <row r="414" spans="15:22" x14ac:dyDescent="0.25">
      <c r="O414" s="74"/>
      <c r="P414" s="74"/>
      <c r="Q414" s="74"/>
      <c r="R414" s="74"/>
      <c r="V414" s="72"/>
    </row>
    <row r="415" spans="15:22" x14ac:dyDescent="0.25">
      <c r="O415" s="74"/>
      <c r="P415" s="74"/>
      <c r="Q415" s="74"/>
      <c r="R415" s="74"/>
      <c r="V415" s="72"/>
    </row>
    <row r="416" spans="15:22" x14ac:dyDescent="0.25">
      <c r="O416" s="74"/>
      <c r="P416" s="74"/>
      <c r="Q416" s="74"/>
      <c r="R416" s="74"/>
      <c r="V416" s="72"/>
    </row>
    <row r="417" spans="15:22" x14ac:dyDescent="0.25">
      <c r="O417" s="74"/>
      <c r="P417" s="74"/>
      <c r="Q417" s="74"/>
      <c r="R417" s="74"/>
      <c r="V417" s="72"/>
    </row>
    <row r="418" spans="15:22" x14ac:dyDescent="0.25">
      <c r="O418" s="74"/>
      <c r="P418" s="74"/>
      <c r="Q418" s="74"/>
      <c r="R418" s="74"/>
      <c r="V418" s="72"/>
    </row>
    <row r="419" spans="15:22" x14ac:dyDescent="0.25">
      <c r="O419" s="74"/>
      <c r="P419" s="74"/>
      <c r="Q419" s="74"/>
      <c r="R419" s="74"/>
      <c r="V419" s="72"/>
    </row>
    <row r="420" spans="15:22" x14ac:dyDescent="0.25">
      <c r="O420" s="74"/>
      <c r="P420" s="74"/>
      <c r="Q420" s="74"/>
      <c r="R420" s="74"/>
      <c r="V420" s="72"/>
    </row>
    <row r="421" spans="15:22" x14ac:dyDescent="0.25">
      <c r="O421" s="74"/>
      <c r="P421" s="74"/>
      <c r="Q421" s="74"/>
      <c r="R421" s="74"/>
      <c r="V421" s="72"/>
    </row>
    <row r="422" spans="15:22" x14ac:dyDescent="0.25">
      <c r="O422" s="74"/>
      <c r="P422" s="74"/>
      <c r="Q422" s="74"/>
      <c r="R422" s="74"/>
      <c r="V422" s="72"/>
    </row>
    <row r="423" spans="15:22" x14ac:dyDescent="0.25">
      <c r="O423" s="74"/>
      <c r="P423" s="74"/>
      <c r="Q423" s="74"/>
      <c r="R423" s="74"/>
      <c r="V423" s="72"/>
    </row>
    <row r="424" spans="15:22" x14ac:dyDescent="0.25">
      <c r="O424" s="74"/>
      <c r="P424" s="74"/>
      <c r="Q424" s="74"/>
      <c r="R424" s="74"/>
      <c r="V424" s="72"/>
    </row>
    <row r="425" spans="15:22" x14ac:dyDescent="0.25">
      <c r="O425" s="74"/>
      <c r="P425" s="74"/>
      <c r="Q425" s="74"/>
      <c r="R425" s="74"/>
      <c r="V425" s="72"/>
    </row>
    <row r="426" spans="15:22" x14ac:dyDescent="0.25">
      <c r="O426" s="74"/>
      <c r="P426" s="74"/>
      <c r="Q426" s="74"/>
      <c r="R426" s="74"/>
      <c r="V426" s="72"/>
    </row>
    <row r="427" spans="15:22" x14ac:dyDescent="0.25">
      <c r="O427" s="74"/>
      <c r="P427" s="74"/>
      <c r="Q427" s="74"/>
      <c r="R427" s="74"/>
      <c r="V427" s="72"/>
    </row>
    <row r="428" spans="15:22" x14ac:dyDescent="0.25">
      <c r="O428" s="74"/>
      <c r="P428" s="74"/>
      <c r="Q428" s="74"/>
      <c r="R428" s="74"/>
      <c r="V428" s="72"/>
    </row>
    <row r="429" spans="15:22" x14ac:dyDescent="0.25">
      <c r="O429" s="74"/>
      <c r="P429" s="74"/>
      <c r="Q429" s="74"/>
      <c r="R429" s="74"/>
      <c r="V429" s="72"/>
    </row>
    <row r="430" spans="15:22" x14ac:dyDescent="0.25">
      <c r="O430" s="74"/>
      <c r="P430" s="74"/>
      <c r="Q430" s="74"/>
      <c r="R430" s="74"/>
      <c r="V430" s="72"/>
    </row>
    <row r="431" spans="15:22" x14ac:dyDescent="0.25">
      <c r="O431" s="74"/>
      <c r="P431" s="74"/>
      <c r="Q431" s="74"/>
      <c r="R431" s="74"/>
      <c r="V431" s="72"/>
    </row>
    <row r="432" spans="15:22" x14ac:dyDescent="0.25">
      <c r="O432" s="74"/>
      <c r="P432" s="74"/>
      <c r="Q432" s="74"/>
      <c r="R432" s="74"/>
      <c r="V432" s="72"/>
    </row>
    <row r="433" spans="15:22" x14ac:dyDescent="0.25">
      <c r="O433" s="74"/>
      <c r="P433" s="74"/>
      <c r="Q433" s="74"/>
      <c r="R433" s="74"/>
      <c r="V433" s="72"/>
    </row>
    <row r="434" spans="15:22" x14ac:dyDescent="0.25">
      <c r="O434" s="74"/>
      <c r="P434" s="74"/>
      <c r="Q434" s="74"/>
      <c r="R434" s="74"/>
      <c r="V434" s="72"/>
    </row>
    <row r="435" spans="15:22" x14ac:dyDescent="0.25">
      <c r="O435" s="74"/>
      <c r="P435" s="74"/>
      <c r="Q435" s="74"/>
      <c r="R435" s="74"/>
      <c r="V435" s="72"/>
    </row>
    <row r="436" spans="15:22" x14ac:dyDescent="0.25">
      <c r="O436" s="74"/>
      <c r="P436" s="74"/>
      <c r="Q436" s="74"/>
      <c r="R436" s="74"/>
      <c r="V436" s="72"/>
    </row>
    <row r="437" spans="15:22" x14ac:dyDescent="0.25">
      <c r="O437" s="74"/>
      <c r="P437" s="74"/>
      <c r="Q437" s="74"/>
      <c r="R437" s="74"/>
      <c r="V437" s="72"/>
    </row>
    <row r="438" spans="15:22" x14ac:dyDescent="0.25">
      <c r="O438" s="74"/>
      <c r="P438" s="74"/>
      <c r="Q438" s="74"/>
      <c r="R438" s="74"/>
      <c r="V438" s="72"/>
    </row>
    <row r="439" spans="15:22" x14ac:dyDescent="0.25">
      <c r="O439" s="74"/>
      <c r="P439" s="74"/>
      <c r="Q439" s="74"/>
      <c r="R439" s="74"/>
      <c r="V439" s="72"/>
    </row>
    <row r="440" spans="15:22" x14ac:dyDescent="0.25">
      <c r="O440" s="74"/>
      <c r="P440" s="74"/>
      <c r="Q440" s="74"/>
      <c r="R440" s="74"/>
      <c r="V440" s="72"/>
    </row>
    <row r="441" spans="15:22" x14ac:dyDescent="0.25">
      <c r="O441" s="74"/>
      <c r="P441" s="74"/>
      <c r="Q441" s="74"/>
      <c r="R441" s="74"/>
      <c r="V441" s="72"/>
    </row>
    <row r="442" spans="15:22" x14ac:dyDescent="0.25">
      <c r="O442" s="74"/>
      <c r="P442" s="74"/>
      <c r="Q442" s="74"/>
      <c r="R442" s="74"/>
      <c r="V442" s="72"/>
    </row>
    <row r="443" spans="15:22" x14ac:dyDescent="0.25">
      <c r="O443" s="74"/>
      <c r="P443" s="74"/>
      <c r="Q443" s="74"/>
      <c r="R443" s="74"/>
      <c r="V443" s="72"/>
    </row>
    <row r="444" spans="15:22" x14ac:dyDescent="0.25">
      <c r="O444" s="74"/>
      <c r="P444" s="74"/>
      <c r="Q444" s="74"/>
      <c r="R444" s="74"/>
      <c r="V444" s="72"/>
    </row>
    <row r="445" spans="15:22" x14ac:dyDescent="0.25">
      <c r="O445" s="74"/>
      <c r="P445" s="74"/>
      <c r="Q445" s="74"/>
      <c r="R445" s="74"/>
      <c r="V445" s="72"/>
    </row>
    <row r="446" spans="15:22" x14ac:dyDescent="0.25">
      <c r="O446" s="74"/>
      <c r="P446" s="74"/>
      <c r="Q446" s="74"/>
      <c r="R446" s="74"/>
      <c r="V446" s="72"/>
    </row>
    <row r="447" spans="15:22" x14ac:dyDescent="0.25">
      <c r="O447" s="74"/>
      <c r="P447" s="74"/>
      <c r="Q447" s="74"/>
      <c r="R447" s="74"/>
      <c r="V447" s="72"/>
    </row>
    <row r="448" spans="15:22" x14ac:dyDescent="0.25">
      <c r="O448" s="74"/>
      <c r="P448" s="74"/>
      <c r="Q448" s="74"/>
      <c r="R448" s="74"/>
      <c r="V448" s="72"/>
    </row>
    <row r="449" spans="15:22" x14ac:dyDescent="0.25">
      <c r="O449" s="74"/>
      <c r="P449" s="74"/>
      <c r="Q449" s="74"/>
      <c r="R449" s="74"/>
      <c r="V449" s="72"/>
    </row>
    <row r="450" spans="15:22" x14ac:dyDescent="0.25">
      <c r="O450" s="74"/>
      <c r="P450" s="74"/>
      <c r="Q450" s="74"/>
      <c r="R450" s="74"/>
      <c r="V450" s="72"/>
    </row>
    <row r="451" spans="15:22" x14ac:dyDescent="0.25">
      <c r="O451" s="74"/>
      <c r="P451" s="74"/>
      <c r="Q451" s="74"/>
      <c r="R451" s="74"/>
      <c r="V451" s="72"/>
    </row>
    <row r="452" spans="15:22" x14ac:dyDescent="0.25">
      <c r="O452" s="74"/>
      <c r="P452" s="74"/>
      <c r="Q452" s="74"/>
      <c r="R452" s="74"/>
      <c r="V452" s="72"/>
    </row>
    <row r="453" spans="15:22" x14ac:dyDescent="0.25">
      <c r="O453" s="74"/>
      <c r="P453" s="74"/>
      <c r="Q453" s="74"/>
      <c r="R453" s="74"/>
      <c r="V453" s="72"/>
    </row>
    <row r="454" spans="15:22" x14ac:dyDescent="0.25">
      <c r="O454" s="74"/>
      <c r="P454" s="74"/>
      <c r="Q454" s="74"/>
      <c r="R454" s="74"/>
      <c r="V454" s="72"/>
    </row>
    <row r="455" spans="15:22" x14ac:dyDescent="0.25">
      <c r="O455" s="74"/>
      <c r="P455" s="74"/>
      <c r="Q455" s="74"/>
      <c r="R455" s="74"/>
      <c r="V455" s="72"/>
    </row>
    <row r="456" spans="15:22" x14ac:dyDescent="0.25">
      <c r="O456" s="74"/>
      <c r="P456" s="74"/>
      <c r="Q456" s="74"/>
      <c r="R456" s="74"/>
      <c r="V456" s="72"/>
    </row>
    <row r="457" spans="15:22" x14ac:dyDescent="0.25">
      <c r="O457" s="74"/>
      <c r="P457" s="74"/>
      <c r="Q457" s="74"/>
      <c r="R457" s="74"/>
      <c r="V457" s="72"/>
    </row>
    <row r="458" spans="15:22" x14ac:dyDescent="0.25">
      <c r="O458" s="74"/>
      <c r="P458" s="74"/>
      <c r="Q458" s="74"/>
      <c r="R458" s="74"/>
      <c r="V458" s="72"/>
    </row>
    <row r="459" spans="15:22" x14ac:dyDescent="0.25">
      <c r="O459" s="74"/>
      <c r="P459" s="74"/>
      <c r="Q459" s="74"/>
      <c r="R459" s="74"/>
      <c r="V459" s="72"/>
    </row>
    <row r="460" spans="15:22" x14ac:dyDescent="0.25">
      <c r="O460" s="74"/>
      <c r="P460" s="74"/>
      <c r="Q460" s="74"/>
      <c r="R460" s="74"/>
      <c r="V460" s="72"/>
    </row>
    <row r="461" spans="15:22" x14ac:dyDescent="0.25">
      <c r="O461" s="74"/>
      <c r="P461" s="74"/>
      <c r="Q461" s="74"/>
      <c r="R461" s="74"/>
      <c r="V461" s="72"/>
    </row>
    <row r="462" spans="15:22" x14ac:dyDescent="0.25">
      <c r="O462" s="74"/>
      <c r="P462" s="74"/>
      <c r="Q462" s="74"/>
      <c r="R462" s="74"/>
      <c r="V462" s="72"/>
    </row>
    <row r="463" spans="15:22" x14ac:dyDescent="0.25">
      <c r="O463" s="74"/>
      <c r="P463" s="74"/>
      <c r="Q463" s="74"/>
      <c r="R463" s="74"/>
      <c r="V463" s="72"/>
    </row>
    <row r="464" spans="15:22" x14ac:dyDescent="0.25">
      <c r="O464" s="74"/>
      <c r="P464" s="74"/>
      <c r="Q464" s="74"/>
      <c r="R464" s="74"/>
      <c r="V464" s="72"/>
    </row>
    <row r="465" spans="15:22" x14ac:dyDescent="0.25">
      <c r="O465" s="74"/>
      <c r="P465" s="74"/>
      <c r="Q465" s="74"/>
      <c r="R465" s="74"/>
      <c r="V465" s="72"/>
    </row>
    <row r="466" spans="15:22" x14ac:dyDescent="0.25">
      <c r="O466" s="74"/>
      <c r="P466" s="74"/>
      <c r="Q466" s="74"/>
      <c r="R466" s="74"/>
      <c r="V466" s="72"/>
    </row>
    <row r="467" spans="15:22" x14ac:dyDescent="0.25">
      <c r="O467" s="74"/>
      <c r="P467" s="74"/>
      <c r="Q467" s="74"/>
      <c r="R467" s="74"/>
      <c r="V467" s="72"/>
    </row>
    <row r="468" spans="15:22" x14ac:dyDescent="0.25">
      <c r="O468" s="74"/>
      <c r="P468" s="74"/>
      <c r="Q468" s="74"/>
      <c r="R468" s="74"/>
      <c r="V468" s="72"/>
    </row>
    <row r="469" spans="15:22" x14ac:dyDescent="0.25">
      <c r="O469" s="74"/>
      <c r="P469" s="74"/>
      <c r="Q469" s="74"/>
      <c r="R469" s="74"/>
      <c r="V469" s="72"/>
    </row>
    <row r="470" spans="15:22" x14ac:dyDescent="0.25">
      <c r="O470" s="74"/>
      <c r="P470" s="74"/>
      <c r="Q470" s="74"/>
      <c r="R470" s="74"/>
      <c r="V470" s="72"/>
    </row>
    <row r="471" spans="15:22" x14ac:dyDescent="0.25">
      <c r="O471" s="74"/>
      <c r="P471" s="74"/>
      <c r="Q471" s="74"/>
      <c r="R471" s="74"/>
      <c r="V471" s="72"/>
    </row>
    <row r="472" spans="15:22" x14ac:dyDescent="0.25">
      <c r="O472" s="74"/>
      <c r="P472" s="74"/>
      <c r="Q472" s="74"/>
      <c r="R472" s="74"/>
      <c r="V472" s="72"/>
    </row>
    <row r="473" spans="15:22" x14ac:dyDescent="0.25">
      <c r="O473" s="74"/>
      <c r="P473" s="74"/>
      <c r="Q473" s="74"/>
      <c r="R473" s="74"/>
      <c r="V473" s="72"/>
    </row>
    <row r="474" spans="15:22" x14ac:dyDescent="0.25">
      <c r="O474" s="74"/>
      <c r="P474" s="74"/>
      <c r="Q474" s="74"/>
      <c r="R474" s="74"/>
      <c r="V474" s="72"/>
    </row>
    <row r="475" spans="15:22" x14ac:dyDescent="0.25">
      <c r="O475" s="74"/>
      <c r="P475" s="74"/>
      <c r="Q475" s="74"/>
      <c r="R475" s="74"/>
      <c r="V475" s="72"/>
    </row>
    <row r="476" spans="15:22" x14ac:dyDescent="0.25">
      <c r="O476" s="74"/>
      <c r="P476" s="74"/>
      <c r="Q476" s="74"/>
      <c r="R476" s="74"/>
      <c r="V476" s="72"/>
    </row>
    <row r="477" spans="15:22" x14ac:dyDescent="0.25">
      <c r="O477" s="74"/>
      <c r="P477" s="74"/>
      <c r="Q477" s="74"/>
      <c r="R477" s="74"/>
      <c r="V477" s="72"/>
    </row>
    <row r="478" spans="15:22" x14ac:dyDescent="0.25">
      <c r="O478" s="74"/>
      <c r="P478" s="74"/>
      <c r="Q478" s="74"/>
      <c r="R478" s="74"/>
      <c r="V478" s="72"/>
    </row>
    <row r="479" spans="15:22" x14ac:dyDescent="0.25">
      <c r="O479" s="74"/>
      <c r="P479" s="74"/>
      <c r="Q479" s="74"/>
      <c r="R479" s="74"/>
      <c r="V479" s="72"/>
    </row>
    <row r="480" spans="15:22" x14ac:dyDescent="0.25">
      <c r="O480" s="74"/>
      <c r="P480" s="74"/>
      <c r="Q480" s="74"/>
      <c r="R480" s="74"/>
      <c r="V480" s="72"/>
    </row>
    <row r="481" spans="15:22" x14ac:dyDescent="0.25">
      <c r="O481" s="74"/>
      <c r="P481" s="74"/>
      <c r="Q481" s="74"/>
      <c r="R481" s="74"/>
      <c r="V481" s="72"/>
    </row>
    <row r="482" spans="15:22" x14ac:dyDescent="0.25">
      <c r="O482" s="74"/>
      <c r="P482" s="74"/>
      <c r="Q482" s="74"/>
      <c r="R482" s="74"/>
      <c r="V482" s="72"/>
    </row>
    <row r="483" spans="15:22" x14ac:dyDescent="0.25">
      <c r="O483" s="74"/>
      <c r="P483" s="74"/>
      <c r="Q483" s="74"/>
      <c r="R483" s="74"/>
      <c r="V483" s="72"/>
    </row>
    <row r="484" spans="15:22" x14ac:dyDescent="0.25">
      <c r="O484" s="74"/>
      <c r="P484" s="74"/>
      <c r="Q484" s="74"/>
      <c r="R484" s="74"/>
      <c r="V484" s="72"/>
    </row>
    <row r="485" spans="15:22" x14ac:dyDescent="0.25">
      <c r="O485" s="74"/>
      <c r="P485" s="74"/>
      <c r="Q485" s="74"/>
      <c r="R485" s="74"/>
      <c r="V485" s="72"/>
    </row>
    <row r="486" spans="15:22" x14ac:dyDescent="0.25">
      <c r="O486" s="74"/>
      <c r="P486" s="74"/>
      <c r="Q486" s="74"/>
      <c r="R486" s="74"/>
      <c r="V486" s="72"/>
    </row>
    <row r="487" spans="15:22" x14ac:dyDescent="0.25">
      <c r="O487" s="74"/>
      <c r="P487" s="74"/>
      <c r="Q487" s="74"/>
      <c r="R487" s="74"/>
      <c r="V487" s="72"/>
    </row>
    <row r="488" spans="15:22" x14ac:dyDescent="0.25">
      <c r="O488" s="74"/>
      <c r="P488" s="74"/>
      <c r="Q488" s="74"/>
      <c r="R488" s="74"/>
      <c r="V488" s="72"/>
    </row>
    <row r="489" spans="15:22" x14ac:dyDescent="0.25">
      <c r="O489" s="74"/>
      <c r="P489" s="74"/>
      <c r="Q489" s="74"/>
      <c r="R489" s="74"/>
      <c r="V489" s="72"/>
    </row>
    <row r="490" spans="15:22" x14ac:dyDescent="0.25">
      <c r="O490" s="74"/>
      <c r="P490" s="74"/>
      <c r="Q490" s="74"/>
      <c r="R490" s="74"/>
      <c r="V490" s="72"/>
    </row>
    <row r="491" spans="15:22" x14ac:dyDescent="0.25">
      <c r="O491" s="74"/>
      <c r="P491" s="74"/>
      <c r="Q491" s="74"/>
      <c r="R491" s="74"/>
      <c r="V491" s="72"/>
    </row>
    <row r="492" spans="15:22" x14ac:dyDescent="0.25">
      <c r="O492" s="74"/>
      <c r="P492" s="74"/>
      <c r="Q492" s="74"/>
      <c r="R492" s="74"/>
      <c r="V492" s="72"/>
    </row>
    <row r="493" spans="15:22" x14ac:dyDescent="0.25">
      <c r="O493" s="74"/>
      <c r="P493" s="74"/>
      <c r="Q493" s="74"/>
      <c r="R493" s="74"/>
      <c r="V493" s="72"/>
    </row>
    <row r="494" spans="15:22" x14ac:dyDescent="0.25">
      <c r="O494" s="74"/>
      <c r="P494" s="74"/>
      <c r="Q494" s="74"/>
      <c r="R494" s="74"/>
      <c r="V494" s="72"/>
    </row>
    <row r="495" spans="15:22" x14ac:dyDescent="0.25">
      <c r="O495" s="74"/>
      <c r="P495" s="74"/>
      <c r="Q495" s="74"/>
      <c r="R495" s="74"/>
      <c r="V495" s="72"/>
    </row>
    <row r="496" spans="15:22" x14ac:dyDescent="0.25">
      <c r="O496" s="74"/>
      <c r="P496" s="74"/>
      <c r="Q496" s="74"/>
      <c r="R496" s="74"/>
      <c r="V496" s="72"/>
    </row>
    <row r="497" spans="15:22" x14ac:dyDescent="0.25">
      <c r="O497" s="74"/>
      <c r="P497" s="74"/>
      <c r="Q497" s="74"/>
      <c r="R497" s="74"/>
      <c r="V497" s="72"/>
    </row>
    <row r="498" spans="15:22" x14ac:dyDescent="0.25">
      <c r="O498" s="74"/>
      <c r="P498" s="74"/>
      <c r="Q498" s="74"/>
      <c r="R498" s="74"/>
      <c r="V498" s="72"/>
    </row>
    <row r="499" spans="15:22" x14ac:dyDescent="0.25">
      <c r="O499" s="74"/>
      <c r="P499" s="74"/>
      <c r="Q499" s="74"/>
      <c r="R499" s="74"/>
      <c r="V499" s="72"/>
    </row>
    <row r="500" spans="15:22" x14ac:dyDescent="0.25">
      <c r="O500" s="74"/>
      <c r="P500" s="74"/>
      <c r="Q500" s="74"/>
      <c r="R500" s="74"/>
      <c r="V500" s="72"/>
    </row>
    <row r="501" spans="15:22" x14ac:dyDescent="0.25">
      <c r="O501" s="74"/>
      <c r="P501" s="74"/>
      <c r="Q501" s="74"/>
      <c r="R501" s="74"/>
      <c r="V501" s="72"/>
    </row>
    <row r="502" spans="15:22" x14ac:dyDescent="0.25">
      <c r="O502" s="74"/>
      <c r="P502" s="74"/>
      <c r="Q502" s="74"/>
      <c r="R502" s="74"/>
      <c r="V502" s="72"/>
    </row>
    <row r="503" spans="15:22" x14ac:dyDescent="0.25">
      <c r="O503" s="74"/>
      <c r="P503" s="74"/>
      <c r="Q503" s="74"/>
      <c r="R503" s="74"/>
      <c r="V503" s="72"/>
    </row>
    <row r="504" spans="15:22" x14ac:dyDescent="0.25">
      <c r="O504" s="74"/>
      <c r="P504" s="74"/>
      <c r="Q504" s="74"/>
      <c r="R504" s="74"/>
      <c r="V504" s="72"/>
    </row>
    <row r="505" spans="15:22" x14ac:dyDescent="0.25">
      <c r="O505" s="74"/>
      <c r="P505" s="74"/>
      <c r="Q505" s="74"/>
      <c r="R505" s="74"/>
      <c r="V505" s="72"/>
    </row>
    <row r="506" spans="15:22" x14ac:dyDescent="0.25">
      <c r="O506" s="74"/>
      <c r="P506" s="74"/>
      <c r="Q506" s="74"/>
      <c r="R506" s="74"/>
      <c r="V506" s="72"/>
    </row>
    <row r="507" spans="15:22" x14ac:dyDescent="0.25">
      <c r="O507" s="74"/>
      <c r="P507" s="74"/>
      <c r="Q507" s="74"/>
      <c r="R507" s="74"/>
      <c r="V507" s="72"/>
    </row>
    <row r="508" spans="15:22" x14ac:dyDescent="0.25">
      <c r="O508" s="74"/>
      <c r="P508" s="74"/>
      <c r="Q508" s="74"/>
      <c r="R508" s="74"/>
      <c r="V508" s="72"/>
    </row>
    <row r="509" spans="15:22" x14ac:dyDescent="0.25">
      <c r="O509" s="74"/>
      <c r="P509" s="74"/>
      <c r="Q509" s="74"/>
      <c r="R509" s="74"/>
      <c r="V509" s="72"/>
    </row>
    <row r="510" spans="15:22" x14ac:dyDescent="0.25">
      <c r="O510" s="74"/>
      <c r="P510" s="74"/>
      <c r="Q510" s="74"/>
      <c r="R510" s="74"/>
      <c r="V510" s="72"/>
    </row>
    <row r="511" spans="15:22" x14ac:dyDescent="0.25">
      <c r="O511" s="74"/>
      <c r="P511" s="74"/>
      <c r="Q511" s="74"/>
      <c r="R511" s="74"/>
      <c r="V511" s="72"/>
    </row>
    <row r="512" spans="15:22" x14ac:dyDescent="0.25">
      <c r="O512" s="74"/>
      <c r="P512" s="74"/>
      <c r="Q512" s="74"/>
      <c r="R512" s="74"/>
      <c r="V512" s="72"/>
    </row>
    <row r="513" spans="15:22" x14ac:dyDescent="0.25">
      <c r="O513" s="74"/>
      <c r="P513" s="74"/>
      <c r="Q513" s="74"/>
      <c r="R513" s="74"/>
      <c r="V513" s="72"/>
    </row>
    <row r="514" spans="15:22" x14ac:dyDescent="0.25">
      <c r="O514" s="74"/>
      <c r="P514" s="74"/>
      <c r="Q514" s="74"/>
      <c r="R514" s="74"/>
      <c r="V514" s="72"/>
    </row>
    <row r="515" spans="15:22" x14ac:dyDescent="0.25">
      <c r="O515" s="74"/>
      <c r="P515" s="74"/>
      <c r="Q515" s="74"/>
      <c r="R515" s="74"/>
      <c r="V515" s="72"/>
    </row>
    <row r="516" spans="15:22" x14ac:dyDescent="0.25">
      <c r="O516" s="74"/>
      <c r="P516" s="74"/>
      <c r="Q516" s="74"/>
      <c r="R516" s="74"/>
      <c r="V516" s="72"/>
    </row>
    <row r="517" spans="15:22" x14ac:dyDescent="0.25">
      <c r="O517" s="74"/>
      <c r="P517" s="74"/>
      <c r="Q517" s="74"/>
      <c r="R517" s="74"/>
      <c r="V517" s="72"/>
    </row>
    <row r="518" spans="15:22" x14ac:dyDescent="0.25">
      <c r="O518" s="74"/>
      <c r="P518" s="74"/>
      <c r="Q518" s="74"/>
      <c r="R518" s="74"/>
      <c r="V518" s="72"/>
    </row>
    <row r="519" spans="15:22" x14ac:dyDescent="0.25">
      <c r="O519" s="74"/>
      <c r="P519" s="74"/>
      <c r="Q519" s="74"/>
      <c r="R519" s="74"/>
      <c r="V519" s="72"/>
    </row>
    <row r="520" spans="15:22" x14ac:dyDescent="0.25">
      <c r="O520" s="74"/>
      <c r="P520" s="74"/>
      <c r="Q520" s="74"/>
      <c r="R520" s="74"/>
      <c r="V520" s="72"/>
    </row>
    <row r="521" spans="15:22" x14ac:dyDescent="0.25">
      <c r="O521" s="74"/>
      <c r="P521" s="74"/>
      <c r="Q521" s="74"/>
      <c r="R521" s="74"/>
      <c r="V521" s="72"/>
    </row>
    <row r="522" spans="15:22" x14ac:dyDescent="0.25">
      <c r="O522" s="74"/>
      <c r="P522" s="74"/>
      <c r="Q522" s="74"/>
      <c r="R522" s="74"/>
      <c r="V522" s="72"/>
    </row>
    <row r="523" spans="15:22" x14ac:dyDescent="0.25">
      <c r="O523" s="74"/>
      <c r="P523" s="74"/>
      <c r="Q523" s="74"/>
      <c r="R523" s="74"/>
      <c r="V523" s="72"/>
    </row>
    <row r="524" spans="15:22" x14ac:dyDescent="0.25">
      <c r="O524" s="74"/>
      <c r="P524" s="74"/>
      <c r="Q524" s="74"/>
      <c r="R524" s="74"/>
      <c r="V524" s="72"/>
    </row>
    <row r="525" spans="15:22" x14ac:dyDescent="0.25">
      <c r="O525" s="74"/>
      <c r="P525" s="74"/>
      <c r="Q525" s="74"/>
      <c r="R525" s="74"/>
      <c r="V525" s="72"/>
    </row>
    <row r="526" spans="15:22" x14ac:dyDescent="0.25">
      <c r="O526" s="74"/>
      <c r="P526" s="74"/>
      <c r="Q526" s="74"/>
      <c r="R526" s="74"/>
      <c r="V526" s="72"/>
    </row>
    <row r="527" spans="15:22" x14ac:dyDescent="0.25">
      <c r="O527" s="74"/>
      <c r="P527" s="74"/>
      <c r="Q527" s="74"/>
      <c r="R527" s="74"/>
      <c r="V527" s="72"/>
    </row>
    <row r="528" spans="15:22" x14ac:dyDescent="0.25">
      <c r="O528" s="74"/>
      <c r="P528" s="74"/>
      <c r="Q528" s="74"/>
      <c r="R528" s="74"/>
      <c r="V528" s="72"/>
    </row>
    <row r="529" spans="15:22" x14ac:dyDescent="0.25">
      <c r="O529" s="74"/>
      <c r="P529" s="74"/>
      <c r="Q529" s="74"/>
      <c r="R529" s="74"/>
      <c r="V529" s="72"/>
    </row>
    <row r="530" spans="15:22" x14ac:dyDescent="0.25">
      <c r="O530" s="74"/>
      <c r="P530" s="74"/>
      <c r="Q530" s="74"/>
      <c r="R530" s="74"/>
      <c r="V530" s="72"/>
    </row>
    <row r="531" spans="15:22" x14ac:dyDescent="0.25">
      <c r="O531" s="74"/>
      <c r="P531" s="74"/>
      <c r="Q531" s="74"/>
      <c r="R531" s="74"/>
      <c r="V531" s="72"/>
    </row>
    <row r="532" spans="15:22" x14ac:dyDescent="0.25">
      <c r="O532" s="74"/>
      <c r="P532" s="74"/>
      <c r="Q532" s="74"/>
      <c r="R532" s="74"/>
      <c r="V532" s="72"/>
    </row>
    <row r="533" spans="15:22" x14ac:dyDescent="0.25">
      <c r="O533" s="74"/>
      <c r="P533" s="74"/>
      <c r="Q533" s="74"/>
      <c r="R533" s="74"/>
      <c r="V533" s="72"/>
    </row>
    <row r="534" spans="15:22" x14ac:dyDescent="0.25">
      <c r="O534" s="74"/>
      <c r="P534" s="74"/>
      <c r="Q534" s="74"/>
      <c r="R534" s="74"/>
      <c r="V534" s="72"/>
    </row>
    <row r="535" spans="15:22" x14ac:dyDescent="0.25">
      <c r="O535" s="74"/>
      <c r="P535" s="74"/>
      <c r="Q535" s="74"/>
      <c r="R535" s="74"/>
      <c r="V535" s="72"/>
    </row>
    <row r="536" spans="15:22" x14ac:dyDescent="0.25">
      <c r="O536" s="74"/>
      <c r="P536" s="74"/>
      <c r="Q536" s="74"/>
      <c r="R536" s="74"/>
      <c r="V536" s="72"/>
    </row>
    <row r="537" spans="15:22" x14ac:dyDescent="0.25">
      <c r="O537" s="74"/>
      <c r="P537" s="74"/>
      <c r="Q537" s="74"/>
      <c r="R537" s="74"/>
      <c r="V537" s="72"/>
    </row>
    <row r="538" spans="15:22" x14ac:dyDescent="0.25">
      <c r="O538" s="74"/>
      <c r="P538" s="74"/>
      <c r="Q538" s="74"/>
      <c r="R538" s="74"/>
      <c r="V538" s="72"/>
    </row>
    <row r="539" spans="15:22" x14ac:dyDescent="0.25">
      <c r="O539" s="74"/>
      <c r="P539" s="74"/>
      <c r="Q539" s="74"/>
      <c r="R539" s="74"/>
      <c r="V539" s="72"/>
    </row>
    <row r="540" spans="15:22" x14ac:dyDescent="0.25">
      <c r="O540" s="74"/>
      <c r="P540" s="74"/>
      <c r="Q540" s="74"/>
      <c r="R540" s="74"/>
      <c r="V540" s="72"/>
    </row>
    <row r="541" spans="15:22" x14ac:dyDescent="0.25">
      <c r="O541" s="74"/>
      <c r="P541" s="74"/>
      <c r="Q541" s="74"/>
      <c r="R541" s="74"/>
      <c r="V541" s="72"/>
    </row>
    <row r="542" spans="15:22" x14ac:dyDescent="0.25">
      <c r="O542" s="74"/>
      <c r="P542" s="74"/>
      <c r="Q542" s="74"/>
      <c r="R542" s="74"/>
      <c r="V542" s="72"/>
    </row>
    <row r="543" spans="15:22" x14ac:dyDescent="0.25">
      <c r="O543" s="74"/>
      <c r="P543" s="74"/>
      <c r="Q543" s="74"/>
      <c r="R543" s="74"/>
      <c r="V543" s="72"/>
    </row>
    <row r="544" spans="15:22" x14ac:dyDescent="0.25">
      <c r="O544" s="74"/>
      <c r="P544" s="74"/>
      <c r="Q544" s="74"/>
      <c r="R544" s="74"/>
      <c r="V544" s="72"/>
    </row>
    <row r="545" spans="15:22" x14ac:dyDescent="0.25">
      <c r="O545" s="74"/>
      <c r="P545" s="74"/>
      <c r="Q545" s="74"/>
      <c r="R545" s="74"/>
      <c r="V545" s="72"/>
    </row>
    <row r="546" spans="15:22" x14ac:dyDescent="0.25">
      <c r="O546" s="74"/>
      <c r="P546" s="74"/>
      <c r="Q546" s="74"/>
      <c r="R546" s="74"/>
      <c r="V546" s="72"/>
    </row>
    <row r="547" spans="15:22" x14ac:dyDescent="0.25">
      <c r="O547" s="74"/>
      <c r="P547" s="74"/>
      <c r="Q547" s="74"/>
      <c r="R547" s="74"/>
      <c r="V547" s="72"/>
    </row>
    <row r="548" spans="15:22" x14ac:dyDescent="0.25">
      <c r="O548" s="74"/>
      <c r="P548" s="74"/>
      <c r="Q548" s="74"/>
      <c r="R548" s="74"/>
      <c r="V548" s="72"/>
    </row>
    <row r="549" spans="15:22" x14ac:dyDescent="0.25">
      <c r="O549" s="74"/>
      <c r="P549" s="74"/>
      <c r="Q549" s="74"/>
      <c r="R549" s="74"/>
      <c r="V549" s="72"/>
    </row>
    <row r="550" spans="15:22" x14ac:dyDescent="0.25">
      <c r="O550" s="74"/>
      <c r="P550" s="74"/>
      <c r="Q550" s="74"/>
      <c r="R550" s="74"/>
      <c r="V550" s="72"/>
    </row>
    <row r="551" spans="15:22" x14ac:dyDescent="0.25">
      <c r="O551" s="74"/>
      <c r="P551" s="74"/>
      <c r="Q551" s="74"/>
      <c r="R551" s="74"/>
      <c r="V551" s="72"/>
    </row>
    <row r="552" spans="15:22" x14ac:dyDescent="0.25">
      <c r="O552" s="74"/>
      <c r="P552" s="74"/>
      <c r="Q552" s="74"/>
      <c r="R552" s="74"/>
      <c r="V552" s="72"/>
    </row>
    <row r="553" spans="15:22" x14ac:dyDescent="0.25">
      <c r="O553" s="74"/>
      <c r="P553" s="74"/>
      <c r="Q553" s="74"/>
      <c r="R553" s="74"/>
      <c r="V553" s="72"/>
    </row>
    <row r="554" spans="15:22" x14ac:dyDescent="0.25">
      <c r="O554" s="74"/>
      <c r="P554" s="74"/>
      <c r="Q554" s="74"/>
      <c r="R554" s="74"/>
      <c r="V554" s="72"/>
    </row>
    <row r="555" spans="15:22" x14ac:dyDescent="0.25">
      <c r="O555" s="74"/>
      <c r="P555" s="74"/>
      <c r="Q555" s="74"/>
      <c r="R555" s="74"/>
      <c r="V555" s="72"/>
    </row>
    <row r="556" spans="15:22" x14ac:dyDescent="0.25">
      <c r="O556" s="74"/>
      <c r="P556" s="74"/>
      <c r="Q556" s="74"/>
      <c r="R556" s="74"/>
      <c r="V556" s="72"/>
    </row>
    <row r="557" spans="15:22" x14ac:dyDescent="0.25">
      <c r="O557" s="74"/>
      <c r="P557" s="74"/>
      <c r="Q557" s="74"/>
      <c r="R557" s="74"/>
      <c r="V557" s="72"/>
    </row>
    <row r="558" spans="15:22" x14ac:dyDescent="0.25">
      <c r="O558" s="74"/>
      <c r="P558" s="74"/>
      <c r="Q558" s="74"/>
      <c r="R558" s="74"/>
      <c r="V558" s="72"/>
    </row>
    <row r="559" spans="15:22" x14ac:dyDescent="0.25">
      <c r="O559" s="74"/>
      <c r="P559" s="74"/>
      <c r="Q559" s="74"/>
      <c r="R559" s="74"/>
      <c r="V559" s="72"/>
    </row>
    <row r="560" spans="15:22" x14ac:dyDescent="0.25">
      <c r="O560" s="74"/>
      <c r="P560" s="74"/>
      <c r="Q560" s="74"/>
      <c r="R560" s="74"/>
      <c r="V560" s="72"/>
    </row>
    <row r="561" spans="15:22" x14ac:dyDescent="0.25">
      <c r="O561" s="74"/>
      <c r="P561" s="74"/>
      <c r="Q561" s="74"/>
      <c r="R561" s="74"/>
      <c r="V561" s="72"/>
    </row>
    <row r="562" spans="15:22" x14ac:dyDescent="0.25">
      <c r="O562" s="74"/>
      <c r="P562" s="74"/>
      <c r="Q562" s="74"/>
      <c r="R562" s="74"/>
      <c r="V562" s="72"/>
    </row>
    <row r="563" spans="15:22" x14ac:dyDescent="0.25">
      <c r="O563" s="74"/>
      <c r="P563" s="74"/>
      <c r="Q563" s="74"/>
      <c r="R563" s="74"/>
      <c r="V563" s="72"/>
    </row>
    <row r="564" spans="15:22" x14ac:dyDescent="0.25">
      <c r="O564" s="74"/>
      <c r="P564" s="74"/>
      <c r="Q564" s="74"/>
      <c r="R564" s="74"/>
      <c r="V564" s="72"/>
    </row>
    <row r="565" spans="15:22" x14ac:dyDescent="0.25">
      <c r="O565" s="74"/>
      <c r="P565" s="74"/>
      <c r="Q565" s="74"/>
      <c r="R565" s="74"/>
      <c r="V565" s="72"/>
    </row>
    <row r="566" spans="15:22" x14ac:dyDescent="0.25">
      <c r="O566" s="74"/>
      <c r="P566" s="74"/>
      <c r="Q566" s="74"/>
      <c r="R566" s="74"/>
      <c r="V566" s="72"/>
    </row>
    <row r="567" spans="15:22" x14ac:dyDescent="0.25">
      <c r="O567" s="74"/>
      <c r="P567" s="74"/>
      <c r="Q567" s="74"/>
      <c r="R567" s="74"/>
      <c r="V567" s="72"/>
    </row>
    <row r="568" spans="15:22" x14ac:dyDescent="0.25">
      <c r="O568" s="74"/>
      <c r="P568" s="74"/>
      <c r="Q568" s="74"/>
      <c r="R568" s="74"/>
      <c r="V568" s="72"/>
    </row>
    <row r="569" spans="15:22" x14ac:dyDescent="0.25">
      <c r="O569" s="74"/>
      <c r="P569" s="74"/>
      <c r="Q569" s="74"/>
      <c r="R569" s="74"/>
      <c r="V569" s="72"/>
    </row>
    <row r="570" spans="15:22" x14ac:dyDescent="0.25">
      <c r="O570" s="74"/>
      <c r="P570" s="74"/>
      <c r="Q570" s="74"/>
      <c r="R570" s="74"/>
      <c r="V570" s="72"/>
    </row>
    <row r="571" spans="15:22" x14ac:dyDescent="0.25">
      <c r="O571" s="74"/>
      <c r="P571" s="74"/>
      <c r="Q571" s="74"/>
      <c r="R571" s="74"/>
      <c r="V571" s="72"/>
    </row>
    <row r="572" spans="15:22" x14ac:dyDescent="0.25">
      <c r="O572" s="74"/>
      <c r="P572" s="74"/>
      <c r="Q572" s="74"/>
      <c r="R572" s="74"/>
      <c r="V572" s="72"/>
    </row>
    <row r="573" spans="15:22" x14ac:dyDescent="0.25">
      <c r="O573" s="74"/>
      <c r="P573" s="74"/>
      <c r="Q573" s="74"/>
      <c r="R573" s="74"/>
      <c r="V573" s="72"/>
    </row>
    <row r="574" spans="15:22" x14ac:dyDescent="0.25">
      <c r="O574" s="74"/>
      <c r="P574" s="74"/>
      <c r="Q574" s="74"/>
      <c r="R574" s="74"/>
      <c r="V574" s="72"/>
    </row>
    <row r="575" spans="15:22" x14ac:dyDescent="0.25">
      <c r="O575" s="74"/>
      <c r="P575" s="74"/>
      <c r="Q575" s="74"/>
      <c r="R575" s="74"/>
      <c r="V575" s="72"/>
    </row>
    <row r="576" spans="15:22" x14ac:dyDescent="0.25">
      <c r="O576" s="74"/>
      <c r="P576" s="74"/>
      <c r="Q576" s="74"/>
      <c r="R576" s="74"/>
      <c r="V576" s="72"/>
    </row>
    <row r="577" spans="15:22" x14ac:dyDescent="0.25">
      <c r="O577" s="74"/>
      <c r="P577" s="74"/>
      <c r="Q577" s="74"/>
      <c r="R577" s="74"/>
      <c r="V577" s="72"/>
    </row>
    <row r="578" spans="15:22" x14ac:dyDescent="0.25">
      <c r="O578" s="74"/>
      <c r="P578" s="74"/>
      <c r="Q578" s="74"/>
      <c r="R578" s="74"/>
      <c r="V578" s="72"/>
    </row>
    <row r="579" spans="15:22" x14ac:dyDescent="0.25">
      <c r="O579" s="74"/>
      <c r="P579" s="74"/>
      <c r="Q579" s="74"/>
      <c r="R579" s="74"/>
      <c r="V579" s="72"/>
    </row>
    <row r="580" spans="15:22" x14ac:dyDescent="0.25">
      <c r="O580" s="74"/>
      <c r="P580" s="74"/>
      <c r="Q580" s="74"/>
      <c r="R580" s="74"/>
      <c r="V580" s="72"/>
    </row>
    <row r="581" spans="15:22" x14ac:dyDescent="0.25">
      <c r="O581" s="74"/>
      <c r="P581" s="74"/>
      <c r="Q581" s="74"/>
      <c r="R581" s="74"/>
      <c r="V581" s="72"/>
    </row>
    <row r="582" spans="15:22" x14ac:dyDescent="0.25">
      <c r="O582" s="74"/>
      <c r="P582" s="74"/>
      <c r="Q582" s="74"/>
      <c r="R582" s="74"/>
      <c r="V582" s="72"/>
    </row>
    <row r="583" spans="15:22" x14ac:dyDescent="0.25">
      <c r="O583" s="74"/>
      <c r="P583" s="74"/>
      <c r="Q583" s="74"/>
      <c r="R583" s="74"/>
      <c r="V583" s="72"/>
    </row>
    <row r="584" spans="15:22" x14ac:dyDescent="0.25">
      <c r="O584" s="74"/>
      <c r="P584" s="74"/>
      <c r="Q584" s="74"/>
      <c r="R584" s="74"/>
      <c r="V584" s="72"/>
    </row>
    <row r="585" spans="15:22" x14ac:dyDescent="0.25">
      <c r="O585" s="74"/>
      <c r="P585" s="74"/>
      <c r="Q585" s="74"/>
      <c r="R585" s="74"/>
      <c r="V585" s="72"/>
    </row>
    <row r="586" spans="15:22" x14ac:dyDescent="0.25">
      <c r="O586" s="74"/>
      <c r="P586" s="74"/>
      <c r="Q586" s="74"/>
      <c r="R586" s="74"/>
      <c r="V586" s="72"/>
    </row>
    <row r="587" spans="15:22" x14ac:dyDescent="0.25">
      <c r="O587" s="74"/>
      <c r="P587" s="74"/>
      <c r="Q587" s="74"/>
      <c r="R587" s="74"/>
      <c r="V587" s="72"/>
    </row>
    <row r="588" spans="15:22" x14ac:dyDescent="0.25">
      <c r="O588" s="74"/>
      <c r="P588" s="74"/>
      <c r="Q588" s="74"/>
      <c r="R588" s="74"/>
      <c r="V588" s="72"/>
    </row>
    <row r="589" spans="15:22" x14ac:dyDescent="0.25">
      <c r="O589" s="74"/>
      <c r="P589" s="74"/>
      <c r="Q589" s="74"/>
      <c r="R589" s="74"/>
      <c r="V589" s="72"/>
    </row>
    <row r="590" spans="15:22" x14ac:dyDescent="0.25">
      <c r="O590" s="74"/>
      <c r="P590" s="74"/>
      <c r="Q590" s="74"/>
      <c r="R590" s="74"/>
      <c r="V590" s="72"/>
    </row>
    <row r="591" spans="15:22" x14ac:dyDescent="0.25">
      <c r="O591" s="74"/>
      <c r="P591" s="74"/>
      <c r="Q591" s="74"/>
      <c r="R591" s="74"/>
      <c r="V591" s="72"/>
    </row>
    <row r="592" spans="15:22" x14ac:dyDescent="0.25">
      <c r="O592" s="74"/>
      <c r="P592" s="74"/>
      <c r="Q592" s="74"/>
      <c r="R592" s="74"/>
      <c r="V592" s="72"/>
    </row>
    <row r="593" spans="15:22" x14ac:dyDescent="0.25">
      <c r="O593" s="74"/>
      <c r="P593" s="74"/>
      <c r="Q593" s="74"/>
      <c r="R593" s="74"/>
      <c r="V593" s="72"/>
    </row>
    <row r="594" spans="15:22" x14ac:dyDescent="0.25">
      <c r="O594" s="74"/>
      <c r="P594" s="74"/>
      <c r="Q594" s="74"/>
      <c r="R594" s="74"/>
      <c r="V594" s="72"/>
    </row>
    <row r="595" spans="15:22" x14ac:dyDescent="0.25">
      <c r="O595" s="74"/>
      <c r="P595" s="74"/>
      <c r="Q595" s="74"/>
      <c r="R595" s="74"/>
      <c r="V595" s="72"/>
    </row>
    <row r="596" spans="15:22" x14ac:dyDescent="0.25">
      <c r="O596" s="74"/>
      <c r="P596" s="74"/>
      <c r="Q596" s="74"/>
      <c r="R596" s="74"/>
      <c r="V596" s="72"/>
    </row>
    <row r="597" spans="15:22" x14ac:dyDescent="0.25">
      <c r="O597" s="74"/>
      <c r="P597" s="74"/>
      <c r="Q597" s="74"/>
      <c r="R597" s="74"/>
      <c r="V597" s="72"/>
    </row>
    <row r="598" spans="15:22" x14ac:dyDescent="0.25">
      <c r="O598" s="74"/>
      <c r="P598" s="74"/>
      <c r="Q598" s="74"/>
      <c r="R598" s="74"/>
      <c r="V598" s="72"/>
    </row>
    <row r="599" spans="15:22" x14ac:dyDescent="0.25">
      <c r="O599" s="74"/>
      <c r="P599" s="74"/>
      <c r="Q599" s="74"/>
      <c r="R599" s="74"/>
      <c r="V599" s="72"/>
    </row>
    <row r="600" spans="15:22" x14ac:dyDescent="0.25">
      <c r="O600" s="74"/>
      <c r="P600" s="74"/>
      <c r="Q600" s="74"/>
      <c r="R600" s="74"/>
      <c r="V600" s="72"/>
    </row>
    <row r="601" spans="15:22" x14ac:dyDescent="0.25">
      <c r="O601" s="74"/>
      <c r="P601" s="74"/>
      <c r="Q601" s="74"/>
      <c r="R601" s="74"/>
      <c r="V601" s="72"/>
    </row>
    <row r="602" spans="15:22" x14ac:dyDescent="0.25">
      <c r="O602" s="74"/>
      <c r="P602" s="74"/>
      <c r="Q602" s="74"/>
      <c r="R602" s="74"/>
      <c r="V602" s="72"/>
    </row>
    <row r="603" spans="15:22" x14ac:dyDescent="0.25">
      <c r="O603" s="74"/>
      <c r="P603" s="74"/>
      <c r="Q603" s="74"/>
      <c r="R603" s="74"/>
      <c r="V603" s="72"/>
    </row>
    <row r="604" spans="15:22" x14ac:dyDescent="0.25">
      <c r="O604" s="74"/>
      <c r="P604" s="74"/>
      <c r="Q604" s="74"/>
      <c r="R604" s="74"/>
      <c r="V604" s="72"/>
    </row>
    <row r="605" spans="15:22" x14ac:dyDescent="0.25">
      <c r="O605" s="74"/>
      <c r="P605" s="74"/>
      <c r="Q605" s="74"/>
      <c r="R605" s="74"/>
      <c r="V605" s="72"/>
    </row>
    <row r="606" spans="15:22" x14ac:dyDescent="0.25">
      <c r="O606" s="74"/>
      <c r="P606" s="74"/>
      <c r="Q606" s="74"/>
      <c r="R606" s="74"/>
      <c r="V606" s="72"/>
    </row>
    <row r="607" spans="15:22" x14ac:dyDescent="0.25">
      <c r="O607" s="74"/>
      <c r="P607" s="74"/>
      <c r="Q607" s="74"/>
      <c r="R607" s="74"/>
      <c r="V607" s="72"/>
    </row>
    <row r="608" spans="15:22" x14ac:dyDescent="0.25">
      <c r="O608" s="74"/>
      <c r="P608" s="74"/>
      <c r="Q608" s="74"/>
      <c r="R608" s="74"/>
      <c r="V608" s="72"/>
    </row>
    <row r="609" spans="15:22" x14ac:dyDescent="0.25">
      <c r="O609" s="74"/>
      <c r="P609" s="74"/>
      <c r="Q609" s="74"/>
      <c r="R609" s="74"/>
      <c r="V609" s="72"/>
    </row>
    <row r="610" spans="15:22" x14ac:dyDescent="0.25">
      <c r="O610" s="74"/>
      <c r="P610" s="74"/>
      <c r="Q610" s="74"/>
      <c r="R610" s="74"/>
      <c r="V610" s="72"/>
    </row>
    <row r="611" spans="15:22" x14ac:dyDescent="0.25">
      <c r="O611" s="74"/>
      <c r="P611" s="74"/>
      <c r="Q611" s="74"/>
      <c r="R611" s="74"/>
      <c r="V611" s="72"/>
    </row>
    <row r="612" spans="15:22" x14ac:dyDescent="0.25">
      <c r="O612" s="74"/>
      <c r="P612" s="74"/>
      <c r="Q612" s="74"/>
      <c r="R612" s="74"/>
      <c r="V612" s="72"/>
    </row>
    <row r="613" spans="15:22" x14ac:dyDescent="0.25">
      <c r="O613" s="74"/>
      <c r="P613" s="74"/>
      <c r="Q613" s="74"/>
      <c r="R613" s="74"/>
      <c r="V613" s="72"/>
    </row>
    <row r="614" spans="15:22" x14ac:dyDescent="0.25">
      <c r="O614" s="74"/>
      <c r="P614" s="74"/>
      <c r="Q614" s="74"/>
      <c r="R614" s="74"/>
      <c r="V614" s="72"/>
    </row>
    <row r="615" spans="15:22" x14ac:dyDescent="0.25">
      <c r="O615" s="74"/>
      <c r="P615" s="74"/>
      <c r="Q615" s="74"/>
      <c r="R615" s="74"/>
      <c r="V615" s="72"/>
    </row>
    <row r="616" spans="15:22" x14ac:dyDescent="0.25">
      <c r="O616" s="74"/>
      <c r="P616" s="74"/>
      <c r="Q616" s="74"/>
      <c r="R616" s="74"/>
      <c r="V616" s="72"/>
    </row>
    <row r="617" spans="15:22" x14ac:dyDescent="0.25">
      <c r="O617" s="74"/>
      <c r="P617" s="74"/>
      <c r="Q617" s="74"/>
      <c r="R617" s="74"/>
      <c r="V617" s="72"/>
    </row>
    <row r="618" spans="15:22" x14ac:dyDescent="0.25">
      <c r="O618" s="74"/>
      <c r="P618" s="74"/>
      <c r="Q618" s="74"/>
      <c r="R618" s="74"/>
      <c r="V618" s="72"/>
    </row>
    <row r="619" spans="15:22" x14ac:dyDescent="0.25">
      <c r="O619" s="74"/>
      <c r="P619" s="74"/>
      <c r="Q619" s="74"/>
      <c r="R619" s="74"/>
      <c r="V619" s="72"/>
    </row>
    <row r="620" spans="15:22" x14ac:dyDescent="0.25">
      <c r="O620" s="74"/>
      <c r="P620" s="74"/>
      <c r="Q620" s="74"/>
      <c r="R620" s="74"/>
      <c r="V620" s="72"/>
    </row>
    <row r="621" spans="15:22" x14ac:dyDescent="0.25">
      <c r="O621" s="74"/>
      <c r="P621" s="74"/>
      <c r="Q621" s="74"/>
      <c r="R621" s="74"/>
      <c r="V621" s="72"/>
    </row>
    <row r="622" spans="15:22" x14ac:dyDescent="0.25">
      <c r="O622" s="74"/>
      <c r="P622" s="74"/>
      <c r="Q622" s="74"/>
      <c r="R622" s="74"/>
      <c r="V622" s="72"/>
    </row>
    <row r="623" spans="15:22" x14ac:dyDescent="0.25">
      <c r="O623" s="74"/>
      <c r="P623" s="74"/>
      <c r="Q623" s="74"/>
      <c r="R623" s="74"/>
      <c r="V623" s="72"/>
    </row>
    <row r="624" spans="15:22" x14ac:dyDescent="0.25">
      <c r="O624" s="74"/>
      <c r="P624" s="74"/>
      <c r="Q624" s="74"/>
      <c r="R624" s="74"/>
      <c r="V624" s="72"/>
    </row>
    <row r="625" spans="15:22" x14ac:dyDescent="0.25">
      <c r="O625" s="74"/>
      <c r="P625" s="74"/>
      <c r="Q625" s="74"/>
      <c r="R625" s="74"/>
      <c r="V625" s="72"/>
    </row>
    <row r="626" spans="15:22" x14ac:dyDescent="0.25">
      <c r="O626" s="74"/>
      <c r="P626" s="74"/>
      <c r="Q626" s="74"/>
      <c r="R626" s="74"/>
      <c r="V626" s="72"/>
    </row>
    <row r="627" spans="15:22" x14ac:dyDescent="0.25">
      <c r="O627" s="74"/>
      <c r="P627" s="74"/>
      <c r="Q627" s="74"/>
      <c r="R627" s="74"/>
      <c r="V627" s="72"/>
    </row>
    <row r="628" spans="15:22" x14ac:dyDescent="0.25">
      <c r="O628" s="74"/>
      <c r="P628" s="74"/>
      <c r="Q628" s="74"/>
      <c r="R628" s="74"/>
      <c r="V628" s="72"/>
    </row>
    <row r="629" spans="15:22" x14ac:dyDescent="0.25">
      <c r="O629" s="74"/>
      <c r="P629" s="74"/>
      <c r="Q629" s="74"/>
      <c r="R629" s="74"/>
      <c r="V629" s="72"/>
    </row>
    <row r="630" spans="15:22" x14ac:dyDescent="0.25">
      <c r="O630" s="74"/>
      <c r="P630" s="74"/>
      <c r="Q630" s="74"/>
      <c r="R630" s="74"/>
      <c r="V630" s="72"/>
    </row>
    <row r="631" spans="15:22" x14ac:dyDescent="0.25">
      <c r="O631" s="74"/>
      <c r="P631" s="74"/>
      <c r="Q631" s="74"/>
      <c r="R631" s="74"/>
      <c r="V631" s="72"/>
    </row>
    <row r="632" spans="15:22" x14ac:dyDescent="0.25">
      <c r="O632" s="74"/>
      <c r="P632" s="74"/>
      <c r="Q632" s="74"/>
      <c r="R632" s="74"/>
      <c r="V632" s="72"/>
    </row>
    <row r="633" spans="15:22" x14ac:dyDescent="0.25">
      <c r="O633" s="74"/>
      <c r="P633" s="74"/>
      <c r="Q633" s="74"/>
      <c r="R633" s="74"/>
      <c r="V633" s="72"/>
    </row>
    <row r="634" spans="15:22" x14ac:dyDescent="0.25">
      <c r="O634" s="74"/>
      <c r="P634" s="74"/>
      <c r="Q634" s="74"/>
      <c r="R634" s="74"/>
      <c r="V634" s="72"/>
    </row>
    <row r="635" spans="15:22" x14ac:dyDescent="0.25">
      <c r="O635" s="74"/>
      <c r="P635" s="74"/>
      <c r="Q635" s="74"/>
      <c r="R635" s="74"/>
      <c r="V635" s="72"/>
    </row>
    <row r="636" spans="15:22" x14ac:dyDescent="0.25">
      <c r="O636" s="74"/>
      <c r="P636" s="74"/>
      <c r="Q636" s="74"/>
      <c r="R636" s="74"/>
      <c r="V636" s="72"/>
    </row>
    <row r="637" spans="15:22" x14ac:dyDescent="0.25">
      <c r="O637" s="74"/>
      <c r="P637" s="74"/>
      <c r="Q637" s="74"/>
      <c r="R637" s="74"/>
      <c r="V637" s="72"/>
    </row>
    <row r="638" spans="15:22" x14ac:dyDescent="0.25">
      <c r="O638" s="74"/>
      <c r="P638" s="74"/>
      <c r="Q638" s="74"/>
      <c r="R638" s="74"/>
      <c r="V638" s="72"/>
    </row>
    <row r="639" spans="15:22" x14ac:dyDescent="0.25">
      <c r="O639" s="74"/>
      <c r="P639" s="74"/>
      <c r="Q639" s="74"/>
      <c r="R639" s="74"/>
      <c r="V639" s="72"/>
    </row>
    <row r="640" spans="15:22" x14ac:dyDescent="0.25">
      <c r="O640" s="74"/>
      <c r="P640" s="74"/>
      <c r="Q640" s="74"/>
      <c r="R640" s="74"/>
      <c r="V640" s="72"/>
    </row>
    <row r="641" spans="15:22" x14ac:dyDescent="0.25">
      <c r="O641" s="74"/>
      <c r="P641" s="74"/>
      <c r="Q641" s="74"/>
      <c r="R641" s="74"/>
      <c r="V641" s="72"/>
    </row>
    <row r="642" spans="15:22" x14ac:dyDescent="0.25">
      <c r="O642" s="74"/>
      <c r="P642" s="74"/>
      <c r="Q642" s="74"/>
      <c r="R642" s="74"/>
      <c r="V642" s="72"/>
    </row>
    <row r="643" spans="15:22" x14ac:dyDescent="0.25">
      <c r="O643" s="74"/>
      <c r="P643" s="74"/>
      <c r="Q643" s="74"/>
      <c r="R643" s="74"/>
      <c r="V643" s="72"/>
    </row>
    <row r="644" spans="15:22" x14ac:dyDescent="0.25">
      <c r="O644" s="74"/>
      <c r="P644" s="74"/>
      <c r="Q644" s="74"/>
      <c r="R644" s="74"/>
      <c r="V644" s="72"/>
    </row>
    <row r="645" spans="15:22" x14ac:dyDescent="0.25">
      <c r="O645" s="74"/>
      <c r="P645" s="74"/>
      <c r="Q645" s="74"/>
      <c r="R645" s="74"/>
      <c r="V645" s="72"/>
    </row>
    <row r="646" spans="15:22" x14ac:dyDescent="0.25">
      <c r="O646" s="74"/>
      <c r="P646" s="74"/>
      <c r="Q646" s="74"/>
      <c r="R646" s="74"/>
      <c r="V646" s="72"/>
    </row>
    <row r="647" spans="15:22" x14ac:dyDescent="0.25">
      <c r="O647" s="74"/>
      <c r="P647" s="74"/>
      <c r="Q647" s="74"/>
      <c r="R647" s="74"/>
      <c r="V647" s="72"/>
    </row>
    <row r="648" spans="15:22" x14ac:dyDescent="0.25">
      <c r="O648" s="74"/>
      <c r="P648" s="74"/>
      <c r="Q648" s="74"/>
      <c r="R648" s="74"/>
      <c r="V648" s="72"/>
    </row>
    <row r="649" spans="15:22" x14ac:dyDescent="0.25">
      <c r="O649" s="74"/>
      <c r="P649" s="74"/>
      <c r="Q649" s="74"/>
      <c r="R649" s="74"/>
      <c r="V649" s="72"/>
    </row>
    <row r="650" spans="15:22" x14ac:dyDescent="0.25">
      <c r="O650" s="74"/>
      <c r="P650" s="74"/>
      <c r="Q650" s="74"/>
      <c r="R650" s="74"/>
      <c r="V650" s="72"/>
    </row>
    <row r="651" spans="15:22" x14ac:dyDescent="0.25">
      <c r="O651" s="74"/>
      <c r="P651" s="74"/>
      <c r="Q651" s="74"/>
      <c r="R651" s="74"/>
      <c r="V651" s="72"/>
    </row>
    <row r="652" spans="15:22" x14ac:dyDescent="0.25">
      <c r="O652" s="74"/>
      <c r="P652" s="74"/>
      <c r="Q652" s="74"/>
      <c r="R652" s="74"/>
      <c r="V652" s="72"/>
    </row>
    <row r="653" spans="15:22" x14ac:dyDescent="0.25">
      <c r="O653" s="74"/>
      <c r="P653" s="74"/>
      <c r="Q653" s="74"/>
      <c r="R653" s="74"/>
      <c r="V653" s="72"/>
    </row>
    <row r="654" spans="15:22" x14ac:dyDescent="0.25">
      <c r="O654" s="74"/>
      <c r="P654" s="74"/>
      <c r="Q654" s="74"/>
      <c r="R654" s="74"/>
      <c r="V654" s="72"/>
    </row>
    <row r="655" spans="15:22" x14ac:dyDescent="0.25">
      <c r="O655" s="74"/>
      <c r="P655" s="74"/>
      <c r="Q655" s="74"/>
      <c r="R655" s="74"/>
      <c r="V655" s="72"/>
    </row>
    <row r="656" spans="15:22" x14ac:dyDescent="0.25">
      <c r="O656" s="74"/>
      <c r="P656" s="74"/>
      <c r="Q656" s="74"/>
      <c r="R656" s="74"/>
      <c r="V656" s="72"/>
    </row>
    <row r="657" spans="15:22" x14ac:dyDescent="0.25">
      <c r="O657" s="74"/>
      <c r="P657" s="74"/>
      <c r="Q657" s="74"/>
      <c r="R657" s="74"/>
      <c r="V657" s="72"/>
    </row>
    <row r="658" spans="15:22" x14ac:dyDescent="0.25">
      <c r="O658" s="74"/>
      <c r="P658" s="74"/>
      <c r="Q658" s="74"/>
      <c r="R658" s="74"/>
      <c r="V658" s="72"/>
    </row>
    <row r="659" spans="15:22" x14ac:dyDescent="0.25">
      <c r="O659" s="74"/>
      <c r="P659" s="74"/>
      <c r="Q659" s="74"/>
      <c r="R659" s="74"/>
      <c r="V659" s="72"/>
    </row>
    <row r="660" spans="15:22" x14ac:dyDescent="0.25">
      <c r="O660" s="74"/>
      <c r="P660" s="74"/>
      <c r="Q660" s="74"/>
      <c r="R660" s="74"/>
      <c r="V660" s="72"/>
    </row>
    <row r="661" spans="15:22" x14ac:dyDescent="0.25">
      <c r="O661" s="74"/>
      <c r="P661" s="74"/>
      <c r="Q661" s="74"/>
      <c r="R661" s="74"/>
      <c r="V661" s="72"/>
    </row>
    <row r="662" spans="15:22" x14ac:dyDescent="0.25">
      <c r="O662" s="74"/>
      <c r="P662" s="74"/>
      <c r="Q662" s="74"/>
      <c r="R662" s="74"/>
      <c r="V662" s="72"/>
    </row>
    <row r="663" spans="15:22" x14ac:dyDescent="0.25">
      <c r="O663" s="74"/>
      <c r="P663" s="74"/>
      <c r="Q663" s="74"/>
      <c r="R663" s="74"/>
      <c r="V663" s="72"/>
    </row>
    <row r="664" spans="15:22" x14ac:dyDescent="0.25">
      <c r="O664" s="74"/>
      <c r="P664" s="74"/>
      <c r="Q664" s="74"/>
      <c r="R664" s="74"/>
      <c r="V664" s="72"/>
    </row>
    <row r="665" spans="15:22" x14ac:dyDescent="0.25">
      <c r="O665" s="74"/>
      <c r="P665" s="74"/>
      <c r="Q665" s="74"/>
      <c r="R665" s="74"/>
      <c r="V665" s="72"/>
    </row>
    <row r="666" spans="15:22" x14ac:dyDescent="0.25">
      <c r="O666" s="74"/>
      <c r="P666" s="74"/>
      <c r="Q666" s="74"/>
      <c r="R666" s="74"/>
      <c r="V666" s="72"/>
    </row>
    <row r="667" spans="15:22" x14ac:dyDescent="0.25">
      <c r="O667" s="74"/>
      <c r="P667" s="74"/>
      <c r="Q667" s="74"/>
      <c r="R667" s="74"/>
      <c r="V667" s="72"/>
    </row>
    <row r="668" spans="15:22" x14ac:dyDescent="0.25">
      <c r="O668" s="74"/>
      <c r="P668" s="74"/>
      <c r="Q668" s="74"/>
      <c r="R668" s="74"/>
      <c r="V668" s="72"/>
    </row>
    <row r="669" spans="15:22" x14ac:dyDescent="0.25">
      <c r="O669" s="74"/>
      <c r="P669" s="74"/>
      <c r="Q669" s="74"/>
      <c r="R669" s="74"/>
      <c r="V669" s="72"/>
    </row>
    <row r="670" spans="15:22" x14ac:dyDescent="0.25">
      <c r="O670" s="74"/>
      <c r="P670" s="74"/>
      <c r="Q670" s="74"/>
      <c r="R670" s="74"/>
      <c r="V670" s="72"/>
    </row>
    <row r="671" spans="15:22" x14ac:dyDescent="0.25">
      <c r="O671" s="74"/>
      <c r="P671" s="74"/>
      <c r="Q671" s="74"/>
      <c r="R671" s="74"/>
      <c r="V671" s="72"/>
    </row>
    <row r="672" spans="15:22" x14ac:dyDescent="0.25">
      <c r="O672" s="74"/>
      <c r="P672" s="74"/>
      <c r="Q672" s="74"/>
      <c r="R672" s="74"/>
      <c r="V672" s="72"/>
    </row>
    <row r="673" spans="15:22" x14ac:dyDescent="0.25">
      <c r="O673" s="74"/>
      <c r="P673" s="74"/>
      <c r="Q673" s="74"/>
      <c r="R673" s="74"/>
      <c r="V673" s="72"/>
    </row>
    <row r="674" spans="15:22" x14ac:dyDescent="0.25">
      <c r="O674" s="74"/>
      <c r="P674" s="74"/>
      <c r="Q674" s="74"/>
      <c r="R674" s="74"/>
      <c r="V674" s="72"/>
    </row>
    <row r="675" spans="15:22" x14ac:dyDescent="0.25">
      <c r="O675" s="74"/>
      <c r="P675" s="74"/>
      <c r="Q675" s="74"/>
      <c r="R675" s="74"/>
      <c r="V675" s="72"/>
    </row>
    <row r="676" spans="15:22" x14ac:dyDescent="0.25">
      <c r="O676" s="74"/>
      <c r="P676" s="74"/>
      <c r="Q676" s="74"/>
      <c r="R676" s="74"/>
      <c r="V676" s="72"/>
    </row>
    <row r="677" spans="15:22" x14ac:dyDescent="0.25">
      <c r="O677" s="74"/>
      <c r="P677" s="74"/>
      <c r="Q677" s="74"/>
      <c r="R677" s="74"/>
      <c r="V677" s="72"/>
    </row>
    <row r="678" spans="15:22" x14ac:dyDescent="0.25">
      <c r="O678" s="74"/>
      <c r="P678" s="74"/>
      <c r="Q678" s="74"/>
      <c r="R678" s="74"/>
      <c r="V678" s="72"/>
    </row>
    <row r="679" spans="15:22" x14ac:dyDescent="0.25">
      <c r="O679" s="74"/>
      <c r="P679" s="74"/>
      <c r="Q679" s="74"/>
      <c r="R679" s="74"/>
      <c r="V679" s="72"/>
    </row>
    <row r="680" spans="15:22" x14ac:dyDescent="0.25">
      <c r="O680" s="74"/>
      <c r="P680" s="74"/>
      <c r="Q680" s="74"/>
      <c r="R680" s="74"/>
      <c r="V680" s="72"/>
    </row>
    <row r="681" spans="15:22" x14ac:dyDescent="0.25">
      <c r="O681" s="74"/>
      <c r="P681" s="74"/>
      <c r="Q681" s="74"/>
      <c r="R681" s="74"/>
      <c r="V681" s="72"/>
    </row>
    <row r="682" spans="15:22" x14ac:dyDescent="0.25">
      <c r="O682" s="74"/>
      <c r="P682" s="74"/>
      <c r="Q682" s="74"/>
      <c r="R682" s="74"/>
      <c r="V682" s="72"/>
    </row>
    <row r="683" spans="15:22" x14ac:dyDescent="0.25">
      <c r="O683" s="74"/>
      <c r="P683" s="74"/>
      <c r="Q683" s="74"/>
      <c r="R683" s="74"/>
      <c r="V683" s="72"/>
    </row>
    <row r="684" spans="15:22" x14ac:dyDescent="0.25">
      <c r="O684" s="74"/>
      <c r="P684" s="74"/>
      <c r="Q684" s="74"/>
      <c r="R684" s="74"/>
      <c r="V684" s="72"/>
    </row>
    <row r="685" spans="15:22" x14ac:dyDescent="0.25">
      <c r="O685" s="74"/>
      <c r="P685" s="74"/>
      <c r="Q685" s="74"/>
      <c r="R685" s="74"/>
      <c r="V685" s="72"/>
    </row>
    <row r="686" spans="15:22" x14ac:dyDescent="0.25">
      <c r="O686" s="74"/>
      <c r="P686" s="74"/>
      <c r="Q686" s="74"/>
      <c r="R686" s="74"/>
      <c r="V686" s="72"/>
    </row>
    <row r="687" spans="15:22" x14ac:dyDescent="0.25">
      <c r="O687" s="74"/>
      <c r="P687" s="74"/>
      <c r="Q687" s="74"/>
      <c r="R687" s="74"/>
      <c r="V687" s="72"/>
    </row>
    <row r="688" spans="15:22" x14ac:dyDescent="0.25">
      <c r="O688" s="74"/>
      <c r="P688" s="74"/>
      <c r="Q688" s="74"/>
      <c r="R688" s="74"/>
      <c r="V688" s="72"/>
    </row>
    <row r="689" spans="15:22" x14ac:dyDescent="0.25">
      <c r="O689" s="74"/>
      <c r="P689" s="74"/>
      <c r="Q689" s="74"/>
      <c r="R689" s="74"/>
      <c r="V689" s="72"/>
    </row>
    <row r="690" spans="15:22" x14ac:dyDescent="0.25">
      <c r="O690" s="74"/>
      <c r="P690" s="74"/>
      <c r="Q690" s="74"/>
      <c r="R690" s="74"/>
      <c r="V690" s="72"/>
    </row>
    <row r="691" spans="15:22" x14ac:dyDescent="0.25">
      <c r="O691" s="74"/>
      <c r="P691" s="74"/>
      <c r="Q691" s="74"/>
      <c r="R691" s="74"/>
      <c r="V691" s="72"/>
    </row>
    <row r="692" spans="15:22" x14ac:dyDescent="0.25">
      <c r="O692" s="74"/>
      <c r="P692" s="74"/>
      <c r="Q692" s="74"/>
      <c r="R692" s="74"/>
      <c r="V692" s="72"/>
    </row>
    <row r="693" spans="15:22" x14ac:dyDescent="0.25">
      <c r="O693" s="74"/>
      <c r="P693" s="74"/>
      <c r="Q693" s="74"/>
      <c r="R693" s="74"/>
      <c r="V693" s="72"/>
    </row>
    <row r="694" spans="15:22" x14ac:dyDescent="0.25">
      <c r="O694" s="74"/>
      <c r="P694" s="74"/>
      <c r="Q694" s="74"/>
      <c r="R694" s="74"/>
      <c r="V694" s="72"/>
    </row>
    <row r="695" spans="15:22" x14ac:dyDescent="0.25">
      <c r="O695" s="74"/>
      <c r="P695" s="74"/>
      <c r="Q695" s="74"/>
      <c r="R695" s="74"/>
      <c r="V695" s="72"/>
    </row>
    <row r="696" spans="15:22" x14ac:dyDescent="0.25">
      <c r="O696" s="74"/>
      <c r="P696" s="74"/>
      <c r="Q696" s="74"/>
      <c r="R696" s="74"/>
      <c r="V696" s="72"/>
    </row>
    <row r="697" spans="15:22" x14ac:dyDescent="0.25">
      <c r="O697" s="74"/>
      <c r="P697" s="74"/>
      <c r="Q697" s="74"/>
      <c r="R697" s="74"/>
      <c r="V697" s="72"/>
    </row>
    <row r="698" spans="15:22" x14ac:dyDescent="0.25">
      <c r="O698" s="74"/>
      <c r="P698" s="74"/>
      <c r="Q698" s="74"/>
      <c r="R698" s="74"/>
      <c r="V698" s="72"/>
    </row>
    <row r="699" spans="15:22" x14ac:dyDescent="0.25">
      <c r="O699" s="74"/>
      <c r="P699" s="74"/>
      <c r="Q699" s="74"/>
      <c r="R699" s="74"/>
      <c r="V699" s="72"/>
    </row>
    <row r="700" spans="15:22" x14ac:dyDescent="0.25">
      <c r="O700" s="74"/>
      <c r="P700" s="74"/>
      <c r="Q700" s="74"/>
      <c r="R700" s="74"/>
      <c r="V700" s="72"/>
    </row>
    <row r="701" spans="15:22" x14ac:dyDescent="0.25">
      <c r="O701" s="74"/>
      <c r="P701" s="74"/>
      <c r="Q701" s="74"/>
      <c r="R701" s="74"/>
      <c r="V701" s="72"/>
    </row>
    <row r="702" spans="15:22" x14ac:dyDescent="0.25">
      <c r="O702" s="74"/>
      <c r="P702" s="74"/>
      <c r="Q702" s="74"/>
      <c r="R702" s="74"/>
      <c r="V702" s="72"/>
    </row>
    <row r="703" spans="15:22" x14ac:dyDescent="0.25">
      <c r="O703" s="74"/>
      <c r="P703" s="74"/>
      <c r="Q703" s="74"/>
      <c r="R703" s="74"/>
      <c r="V703" s="72"/>
    </row>
    <row r="704" spans="15:22" x14ac:dyDescent="0.25">
      <c r="O704" s="74"/>
      <c r="P704" s="74"/>
      <c r="Q704" s="74"/>
      <c r="R704" s="74"/>
      <c r="V704" s="72"/>
    </row>
    <row r="705" spans="15:22" x14ac:dyDescent="0.25">
      <c r="O705" s="74"/>
      <c r="P705" s="74"/>
      <c r="Q705" s="74"/>
      <c r="R705" s="74"/>
      <c r="V705" s="72"/>
    </row>
    <row r="706" spans="15:22" x14ac:dyDescent="0.25">
      <c r="O706" s="74"/>
      <c r="P706" s="74"/>
      <c r="Q706" s="74"/>
      <c r="R706" s="74"/>
      <c r="V706" s="72"/>
    </row>
    <row r="707" spans="15:22" x14ac:dyDescent="0.25">
      <c r="O707" s="74"/>
      <c r="P707" s="74"/>
      <c r="Q707" s="74"/>
      <c r="R707" s="74"/>
      <c r="V707" s="72"/>
    </row>
    <row r="708" spans="15:22" x14ac:dyDescent="0.25">
      <c r="O708" s="74"/>
      <c r="P708" s="74"/>
      <c r="Q708" s="74"/>
      <c r="R708" s="74"/>
      <c r="V708" s="72"/>
    </row>
    <row r="709" spans="15:22" x14ac:dyDescent="0.25">
      <c r="O709" s="74"/>
      <c r="P709" s="74"/>
      <c r="Q709" s="74"/>
      <c r="R709" s="74"/>
      <c r="V709" s="72"/>
    </row>
    <row r="710" spans="15:22" x14ac:dyDescent="0.25">
      <c r="O710" s="74"/>
      <c r="P710" s="74"/>
      <c r="Q710" s="74"/>
      <c r="R710" s="74"/>
      <c r="V710" s="72"/>
    </row>
    <row r="711" spans="15:22" x14ac:dyDescent="0.25">
      <c r="O711" s="74"/>
      <c r="P711" s="74"/>
      <c r="Q711" s="74"/>
      <c r="R711" s="74"/>
      <c r="V711" s="72"/>
    </row>
    <row r="712" spans="15:22" x14ac:dyDescent="0.25">
      <c r="O712" s="74"/>
      <c r="P712" s="74"/>
      <c r="Q712" s="74"/>
      <c r="R712" s="74"/>
      <c r="V712" s="72"/>
    </row>
    <row r="713" spans="15:22" x14ac:dyDescent="0.25">
      <c r="O713" s="74"/>
      <c r="P713" s="74"/>
      <c r="Q713" s="74"/>
      <c r="R713" s="74"/>
      <c r="V713" s="72"/>
    </row>
    <row r="714" spans="15:22" x14ac:dyDescent="0.25">
      <c r="O714" s="74"/>
      <c r="P714" s="74"/>
      <c r="Q714" s="74"/>
      <c r="R714" s="74"/>
      <c r="V714" s="72"/>
    </row>
    <row r="715" spans="15:22" x14ac:dyDescent="0.25">
      <c r="O715" s="74"/>
      <c r="P715" s="74"/>
      <c r="Q715" s="74"/>
      <c r="R715" s="74"/>
      <c r="V715" s="72"/>
    </row>
    <row r="716" spans="15:22" x14ac:dyDescent="0.25">
      <c r="O716" s="74"/>
      <c r="P716" s="74"/>
      <c r="Q716" s="74"/>
      <c r="R716" s="74"/>
      <c r="V716" s="72"/>
    </row>
    <row r="717" spans="15:22" x14ac:dyDescent="0.25">
      <c r="O717" s="74"/>
      <c r="P717" s="74"/>
      <c r="Q717" s="74"/>
      <c r="R717" s="74"/>
      <c r="V717" s="72"/>
    </row>
    <row r="718" spans="15:22" x14ac:dyDescent="0.25">
      <c r="O718" s="74"/>
      <c r="P718" s="74"/>
      <c r="Q718" s="74"/>
      <c r="R718" s="74"/>
      <c r="V718" s="72"/>
    </row>
    <row r="719" spans="15:22" x14ac:dyDescent="0.25">
      <c r="O719" s="74"/>
      <c r="P719" s="74"/>
      <c r="Q719" s="74"/>
      <c r="R719" s="74"/>
      <c r="V719" s="72"/>
    </row>
    <row r="720" spans="15:22" x14ac:dyDescent="0.25">
      <c r="O720" s="74"/>
      <c r="P720" s="74"/>
      <c r="Q720" s="74"/>
      <c r="R720" s="74"/>
      <c r="V720" s="72"/>
    </row>
    <row r="721" spans="15:22" x14ac:dyDescent="0.25">
      <c r="O721" s="74"/>
      <c r="P721" s="74"/>
      <c r="Q721" s="74"/>
      <c r="R721" s="74"/>
      <c r="V721" s="72"/>
    </row>
    <row r="722" spans="15:22" x14ac:dyDescent="0.25">
      <c r="O722" s="74"/>
      <c r="P722" s="74"/>
      <c r="Q722" s="74"/>
      <c r="R722" s="74"/>
      <c r="V722" s="72"/>
    </row>
    <row r="723" spans="15:22" x14ac:dyDescent="0.25">
      <c r="O723" s="74"/>
      <c r="P723" s="74"/>
      <c r="Q723" s="74"/>
      <c r="R723" s="74"/>
      <c r="V723" s="72"/>
    </row>
    <row r="724" spans="15:22" x14ac:dyDescent="0.25">
      <c r="O724" s="74"/>
      <c r="P724" s="74"/>
      <c r="Q724" s="74"/>
      <c r="R724" s="74"/>
      <c r="V724" s="72"/>
    </row>
    <row r="725" spans="15:22" x14ac:dyDescent="0.25">
      <c r="O725" s="74"/>
      <c r="P725" s="74"/>
      <c r="Q725" s="74"/>
      <c r="R725" s="74"/>
      <c r="V725" s="72"/>
    </row>
    <row r="726" spans="15:22" x14ac:dyDescent="0.25">
      <c r="O726" s="74"/>
      <c r="P726" s="74"/>
      <c r="Q726" s="74"/>
      <c r="R726" s="74"/>
      <c r="V726" s="72"/>
    </row>
    <row r="727" spans="15:22" x14ac:dyDescent="0.25">
      <c r="O727" s="74"/>
      <c r="P727" s="74"/>
      <c r="Q727" s="74"/>
      <c r="R727" s="74"/>
      <c r="V727" s="72"/>
    </row>
    <row r="728" spans="15:22" x14ac:dyDescent="0.25">
      <c r="O728" s="74"/>
      <c r="P728" s="74"/>
      <c r="Q728" s="74"/>
      <c r="R728" s="74"/>
      <c r="V728" s="72"/>
    </row>
    <row r="729" spans="15:22" x14ac:dyDescent="0.25">
      <c r="O729" s="74"/>
      <c r="P729" s="74"/>
      <c r="Q729" s="74"/>
      <c r="R729" s="74"/>
      <c r="V729" s="72"/>
    </row>
    <row r="730" spans="15:22" x14ac:dyDescent="0.25">
      <c r="O730" s="74"/>
      <c r="P730" s="74"/>
      <c r="Q730" s="74"/>
      <c r="R730" s="74"/>
      <c r="V730" s="72"/>
    </row>
    <row r="731" spans="15:22" x14ac:dyDescent="0.25">
      <c r="O731" s="74"/>
      <c r="P731" s="74"/>
      <c r="Q731" s="74"/>
      <c r="R731" s="74"/>
      <c r="V731" s="72"/>
    </row>
    <row r="732" spans="15:22" x14ac:dyDescent="0.25">
      <c r="O732" s="74"/>
      <c r="P732" s="74"/>
      <c r="Q732" s="74"/>
      <c r="R732" s="74"/>
      <c r="V732" s="72"/>
    </row>
    <row r="733" spans="15:22" x14ac:dyDescent="0.25">
      <c r="O733" s="74"/>
      <c r="P733" s="74"/>
      <c r="Q733" s="74"/>
      <c r="R733" s="74"/>
      <c r="V733" s="72"/>
    </row>
    <row r="734" spans="15:22" x14ac:dyDescent="0.25">
      <c r="O734" s="74"/>
      <c r="P734" s="74"/>
      <c r="Q734" s="74"/>
      <c r="R734" s="74"/>
      <c r="V734" s="72"/>
    </row>
    <row r="735" spans="15:22" x14ac:dyDescent="0.25">
      <c r="O735" s="74"/>
      <c r="P735" s="74"/>
      <c r="Q735" s="74"/>
      <c r="R735" s="74"/>
      <c r="V735" s="72"/>
    </row>
    <row r="736" spans="15:22" x14ac:dyDescent="0.25">
      <c r="O736" s="74"/>
      <c r="P736" s="74"/>
      <c r="Q736" s="74"/>
      <c r="R736" s="74"/>
      <c r="V736" s="72"/>
    </row>
    <row r="737" spans="15:22" x14ac:dyDescent="0.25">
      <c r="O737" s="74"/>
      <c r="P737" s="74"/>
      <c r="Q737" s="74"/>
      <c r="R737" s="74"/>
      <c r="V737" s="72"/>
    </row>
    <row r="738" spans="15:22" x14ac:dyDescent="0.25">
      <c r="O738" s="74"/>
      <c r="P738" s="74"/>
      <c r="Q738" s="74"/>
      <c r="R738" s="74"/>
      <c r="V738" s="72"/>
    </row>
    <row r="739" spans="15:22" x14ac:dyDescent="0.25">
      <c r="O739" s="74"/>
      <c r="P739" s="74"/>
      <c r="Q739" s="74"/>
      <c r="R739" s="74"/>
      <c r="V739" s="72"/>
    </row>
    <row r="740" spans="15:22" x14ac:dyDescent="0.25">
      <c r="O740" s="74"/>
      <c r="P740" s="74"/>
      <c r="Q740" s="74"/>
      <c r="R740" s="74"/>
      <c r="V740" s="72"/>
    </row>
    <row r="741" spans="15:22" x14ac:dyDescent="0.25">
      <c r="O741" s="74"/>
      <c r="P741" s="74"/>
      <c r="Q741" s="74"/>
      <c r="R741" s="74"/>
      <c r="V741" s="72"/>
    </row>
    <row r="742" spans="15:22" x14ac:dyDescent="0.25">
      <c r="O742" s="74"/>
      <c r="P742" s="74"/>
      <c r="Q742" s="74"/>
      <c r="R742" s="74"/>
      <c r="V742" s="72"/>
    </row>
    <row r="743" spans="15:22" x14ac:dyDescent="0.25">
      <c r="O743" s="74"/>
      <c r="P743" s="74"/>
      <c r="Q743" s="74"/>
      <c r="R743" s="74"/>
      <c r="V743" s="72"/>
    </row>
    <row r="744" spans="15:22" x14ac:dyDescent="0.25">
      <c r="O744" s="74"/>
      <c r="P744" s="74"/>
      <c r="Q744" s="74"/>
      <c r="R744" s="74"/>
      <c r="V744" s="72"/>
    </row>
    <row r="745" spans="15:22" x14ac:dyDescent="0.25">
      <c r="O745" s="74"/>
      <c r="P745" s="74"/>
      <c r="Q745" s="74"/>
      <c r="R745" s="74"/>
      <c r="V745" s="72"/>
    </row>
    <row r="746" spans="15:22" x14ac:dyDescent="0.25">
      <c r="O746" s="74"/>
      <c r="P746" s="74"/>
      <c r="Q746" s="74"/>
      <c r="R746" s="74"/>
      <c r="V746" s="72"/>
    </row>
    <row r="747" spans="15:22" x14ac:dyDescent="0.25">
      <c r="O747" s="74"/>
      <c r="P747" s="74"/>
      <c r="Q747" s="74"/>
      <c r="R747" s="74"/>
      <c r="V747" s="72"/>
    </row>
    <row r="748" spans="15:22" x14ac:dyDescent="0.25">
      <c r="O748" s="74"/>
      <c r="P748" s="74"/>
      <c r="Q748" s="74"/>
      <c r="R748" s="74"/>
      <c r="V748" s="72"/>
    </row>
    <row r="749" spans="15:22" x14ac:dyDescent="0.25">
      <c r="O749" s="74"/>
      <c r="P749" s="74"/>
      <c r="Q749" s="74"/>
      <c r="R749" s="74"/>
      <c r="V749" s="72"/>
    </row>
    <row r="750" spans="15:22" x14ac:dyDescent="0.25">
      <c r="O750" s="74"/>
      <c r="P750" s="74"/>
      <c r="Q750" s="74"/>
      <c r="R750" s="74"/>
      <c r="V750" s="72"/>
    </row>
    <row r="751" spans="15:22" x14ac:dyDescent="0.25">
      <c r="O751" s="74"/>
      <c r="P751" s="74"/>
      <c r="Q751" s="74"/>
      <c r="R751" s="74"/>
      <c r="V751" s="72"/>
    </row>
    <row r="752" spans="15:22" x14ac:dyDescent="0.25">
      <c r="O752" s="74"/>
      <c r="P752" s="74"/>
      <c r="Q752" s="74"/>
      <c r="R752" s="74"/>
      <c r="V752" s="72"/>
    </row>
    <row r="753" spans="15:22" x14ac:dyDescent="0.25">
      <c r="O753" s="74"/>
      <c r="P753" s="74"/>
      <c r="Q753" s="74"/>
      <c r="R753" s="74"/>
      <c r="V753" s="72"/>
    </row>
    <row r="754" spans="15:22" x14ac:dyDescent="0.25">
      <c r="O754" s="74"/>
      <c r="P754" s="74"/>
      <c r="Q754" s="74"/>
      <c r="R754" s="74"/>
      <c r="V754" s="72"/>
    </row>
    <row r="755" spans="15:22" x14ac:dyDescent="0.25">
      <c r="O755" s="74"/>
      <c r="P755" s="74"/>
      <c r="Q755" s="74"/>
      <c r="R755" s="74"/>
      <c r="V755" s="72"/>
    </row>
    <row r="756" spans="15:22" x14ac:dyDescent="0.25">
      <c r="O756" s="74"/>
      <c r="P756" s="74"/>
      <c r="Q756" s="74"/>
      <c r="R756" s="74"/>
      <c r="V756" s="72"/>
    </row>
    <row r="757" spans="15:22" x14ac:dyDescent="0.25">
      <c r="O757" s="74"/>
      <c r="P757" s="74"/>
      <c r="Q757" s="74"/>
      <c r="R757" s="74"/>
      <c r="V757" s="72"/>
    </row>
    <row r="758" spans="15:22" x14ac:dyDescent="0.25">
      <c r="O758" s="74"/>
      <c r="P758" s="74"/>
      <c r="Q758" s="74"/>
      <c r="R758" s="74"/>
      <c r="V758" s="72"/>
    </row>
    <row r="759" spans="15:22" x14ac:dyDescent="0.25">
      <c r="O759" s="74"/>
      <c r="P759" s="74"/>
      <c r="Q759" s="74"/>
      <c r="R759" s="74"/>
      <c r="V759" s="72"/>
    </row>
    <row r="760" spans="15:22" x14ac:dyDescent="0.25">
      <c r="O760" s="74"/>
      <c r="P760" s="74"/>
      <c r="Q760" s="74"/>
      <c r="R760" s="74"/>
      <c r="V760" s="72"/>
    </row>
    <row r="761" spans="15:22" x14ac:dyDescent="0.25">
      <c r="O761" s="74"/>
      <c r="P761" s="74"/>
      <c r="Q761" s="74"/>
      <c r="R761" s="74"/>
      <c r="V761" s="72"/>
    </row>
    <row r="762" spans="15:22" x14ac:dyDescent="0.25">
      <c r="O762" s="74"/>
      <c r="P762" s="74"/>
      <c r="Q762" s="74"/>
      <c r="R762" s="74"/>
      <c r="V762" s="72"/>
    </row>
    <row r="763" spans="15:22" x14ac:dyDescent="0.25">
      <c r="O763" s="74"/>
      <c r="P763" s="74"/>
      <c r="Q763" s="74"/>
      <c r="R763" s="74"/>
      <c r="V763" s="72"/>
    </row>
    <row r="764" spans="15:22" x14ac:dyDescent="0.25">
      <c r="O764" s="74"/>
      <c r="P764" s="74"/>
      <c r="Q764" s="74"/>
      <c r="R764" s="74"/>
      <c r="V764" s="72"/>
    </row>
    <row r="765" spans="15:22" x14ac:dyDescent="0.25">
      <c r="O765" s="74"/>
      <c r="P765" s="74"/>
      <c r="Q765" s="74"/>
      <c r="R765" s="74"/>
      <c r="V765" s="72"/>
    </row>
    <row r="766" spans="15:22" x14ac:dyDescent="0.25">
      <c r="O766" s="74"/>
      <c r="P766" s="74"/>
      <c r="Q766" s="74"/>
      <c r="R766" s="74"/>
      <c r="V766" s="72"/>
    </row>
    <row r="767" spans="15:22" x14ac:dyDescent="0.25">
      <c r="O767" s="74"/>
      <c r="P767" s="74"/>
      <c r="Q767" s="74"/>
      <c r="R767" s="74"/>
      <c r="V767" s="72"/>
    </row>
    <row r="768" spans="15:22" x14ac:dyDescent="0.25">
      <c r="O768" s="74"/>
      <c r="P768" s="74"/>
      <c r="Q768" s="74"/>
      <c r="R768" s="74"/>
      <c r="V768" s="72"/>
    </row>
    <row r="769" spans="15:22" x14ac:dyDescent="0.25">
      <c r="O769" s="74"/>
      <c r="P769" s="74"/>
      <c r="Q769" s="74"/>
      <c r="R769" s="74"/>
      <c r="V769" s="72"/>
    </row>
    <row r="770" spans="15:22" x14ac:dyDescent="0.25">
      <c r="O770" s="74"/>
      <c r="P770" s="74"/>
      <c r="Q770" s="74"/>
      <c r="R770" s="74"/>
      <c r="V770" s="72"/>
    </row>
    <row r="771" spans="15:22" x14ac:dyDescent="0.25">
      <c r="O771" s="74"/>
      <c r="P771" s="74"/>
      <c r="Q771" s="74"/>
      <c r="R771" s="74"/>
      <c r="V771" s="72"/>
    </row>
    <row r="772" spans="15:22" x14ac:dyDescent="0.25">
      <c r="O772" s="74"/>
      <c r="P772" s="74"/>
      <c r="Q772" s="74"/>
      <c r="R772" s="74"/>
      <c r="V772" s="72"/>
    </row>
    <row r="773" spans="15:22" x14ac:dyDescent="0.25">
      <c r="O773" s="74"/>
      <c r="P773" s="74"/>
      <c r="Q773" s="74"/>
      <c r="R773" s="74"/>
      <c r="V773" s="72"/>
    </row>
    <row r="774" spans="15:22" x14ac:dyDescent="0.25">
      <c r="O774" s="74"/>
      <c r="P774" s="74"/>
      <c r="Q774" s="74"/>
      <c r="R774" s="74"/>
      <c r="V774" s="72"/>
    </row>
    <row r="775" spans="15:22" x14ac:dyDescent="0.25">
      <c r="O775" s="74"/>
      <c r="P775" s="74"/>
      <c r="Q775" s="74"/>
      <c r="R775" s="74"/>
      <c r="V775" s="72"/>
    </row>
    <row r="776" spans="15:22" x14ac:dyDescent="0.25">
      <c r="O776" s="74"/>
      <c r="P776" s="74"/>
      <c r="Q776" s="74"/>
      <c r="R776" s="74"/>
      <c r="V776" s="72"/>
    </row>
    <row r="777" spans="15:22" x14ac:dyDescent="0.25">
      <c r="O777" s="74"/>
      <c r="P777" s="74"/>
      <c r="Q777" s="74"/>
      <c r="R777" s="74"/>
      <c r="V777" s="72"/>
    </row>
    <row r="778" spans="15:22" x14ac:dyDescent="0.25">
      <c r="O778" s="74"/>
      <c r="P778" s="74"/>
      <c r="Q778" s="74"/>
      <c r="R778" s="74"/>
      <c r="V778" s="72"/>
    </row>
    <row r="779" spans="15:22" x14ac:dyDescent="0.25">
      <c r="O779" s="74"/>
      <c r="P779" s="74"/>
      <c r="Q779" s="74"/>
      <c r="R779" s="74"/>
      <c r="V779" s="72"/>
    </row>
    <row r="780" spans="15:22" x14ac:dyDescent="0.25">
      <c r="O780" s="74"/>
      <c r="P780" s="74"/>
      <c r="Q780" s="74"/>
      <c r="R780" s="74"/>
      <c r="V780" s="72"/>
    </row>
    <row r="781" spans="15:22" x14ac:dyDescent="0.25">
      <c r="O781" s="74"/>
      <c r="P781" s="74"/>
      <c r="Q781" s="74"/>
      <c r="R781" s="74"/>
      <c r="V781" s="72"/>
    </row>
    <row r="782" spans="15:22" x14ac:dyDescent="0.25">
      <c r="O782" s="74"/>
      <c r="P782" s="74"/>
      <c r="Q782" s="74"/>
      <c r="R782" s="74"/>
      <c r="V782" s="72"/>
    </row>
    <row r="783" spans="15:22" x14ac:dyDescent="0.25">
      <c r="O783" s="74"/>
      <c r="P783" s="74"/>
      <c r="Q783" s="74"/>
      <c r="R783" s="74"/>
      <c r="V783" s="72"/>
    </row>
    <row r="784" spans="15:22" x14ac:dyDescent="0.25">
      <c r="O784" s="74"/>
      <c r="P784" s="74"/>
      <c r="Q784" s="74"/>
      <c r="R784" s="74"/>
      <c r="V784" s="72"/>
    </row>
    <row r="785" spans="15:22" x14ac:dyDescent="0.25">
      <c r="O785" s="74"/>
      <c r="P785" s="74"/>
      <c r="Q785" s="74"/>
      <c r="R785" s="74"/>
      <c r="V785" s="72"/>
    </row>
    <row r="786" spans="15:22" x14ac:dyDescent="0.25">
      <c r="O786" s="74"/>
      <c r="P786" s="74"/>
      <c r="Q786" s="74"/>
      <c r="R786" s="74"/>
      <c r="V786" s="72"/>
    </row>
    <row r="787" spans="15:22" x14ac:dyDescent="0.25">
      <c r="O787" s="74"/>
      <c r="P787" s="74"/>
      <c r="Q787" s="74"/>
      <c r="R787" s="74"/>
      <c r="V787" s="72"/>
    </row>
    <row r="788" spans="15:22" x14ac:dyDescent="0.25">
      <c r="O788" s="74"/>
      <c r="P788" s="74"/>
      <c r="Q788" s="74"/>
      <c r="R788" s="74"/>
      <c r="V788" s="72"/>
    </row>
    <row r="789" spans="15:22" x14ac:dyDescent="0.25">
      <c r="O789" s="74"/>
      <c r="P789" s="74"/>
      <c r="Q789" s="74"/>
      <c r="R789" s="74"/>
      <c r="V789" s="72"/>
    </row>
    <row r="790" spans="15:22" x14ac:dyDescent="0.25">
      <c r="O790" s="74"/>
      <c r="P790" s="74"/>
      <c r="Q790" s="74"/>
      <c r="R790" s="74"/>
      <c r="V790" s="72"/>
    </row>
    <row r="791" spans="15:22" x14ac:dyDescent="0.25">
      <c r="O791" s="74"/>
      <c r="P791" s="74"/>
      <c r="Q791" s="74"/>
      <c r="R791" s="74"/>
      <c r="V791" s="72"/>
    </row>
    <row r="792" spans="15:22" x14ac:dyDescent="0.25">
      <c r="O792" s="74"/>
      <c r="P792" s="74"/>
      <c r="Q792" s="74"/>
      <c r="R792" s="74"/>
      <c r="V792" s="72"/>
    </row>
    <row r="793" spans="15:22" x14ac:dyDescent="0.25">
      <c r="O793" s="74"/>
      <c r="P793" s="74"/>
      <c r="Q793" s="74"/>
      <c r="R793" s="74"/>
      <c r="V793" s="72"/>
    </row>
    <row r="794" spans="15:22" x14ac:dyDescent="0.25">
      <c r="O794" s="74"/>
      <c r="P794" s="74"/>
      <c r="Q794" s="74"/>
      <c r="R794" s="74"/>
      <c r="V794" s="72"/>
    </row>
    <row r="795" spans="15:22" x14ac:dyDescent="0.25">
      <c r="O795" s="74"/>
      <c r="P795" s="74"/>
      <c r="Q795" s="74"/>
      <c r="R795" s="74"/>
      <c r="V795" s="72"/>
    </row>
    <row r="796" spans="15:22" x14ac:dyDescent="0.25">
      <c r="O796" s="74"/>
      <c r="P796" s="74"/>
      <c r="Q796" s="74"/>
      <c r="R796" s="74"/>
      <c r="V796" s="72"/>
    </row>
    <row r="797" spans="15:22" x14ac:dyDescent="0.25">
      <c r="O797" s="74"/>
      <c r="P797" s="74"/>
      <c r="Q797" s="74"/>
      <c r="R797" s="74"/>
      <c r="V797" s="72"/>
    </row>
    <row r="798" spans="15:22" x14ac:dyDescent="0.25">
      <c r="O798" s="74"/>
      <c r="P798" s="74"/>
      <c r="Q798" s="74"/>
      <c r="R798" s="74"/>
      <c r="V798" s="72"/>
    </row>
    <row r="799" spans="15:22" x14ac:dyDescent="0.25">
      <c r="O799" s="74"/>
      <c r="P799" s="74"/>
      <c r="Q799" s="74"/>
      <c r="R799" s="74"/>
      <c r="V799" s="72"/>
    </row>
    <row r="800" spans="15:22" x14ac:dyDescent="0.25">
      <c r="O800" s="74"/>
      <c r="P800" s="74"/>
      <c r="Q800" s="74"/>
      <c r="R800" s="74"/>
      <c r="V800" s="72"/>
    </row>
    <row r="801" spans="15:22" x14ac:dyDescent="0.25">
      <c r="O801" s="74"/>
      <c r="P801" s="74"/>
      <c r="Q801" s="74"/>
      <c r="R801" s="74"/>
      <c r="V801" s="72"/>
    </row>
    <row r="802" spans="15:22" x14ac:dyDescent="0.25">
      <c r="O802" s="74"/>
      <c r="P802" s="74"/>
      <c r="Q802" s="74"/>
      <c r="R802" s="74"/>
      <c r="V802" s="72"/>
    </row>
    <row r="803" spans="15:22" x14ac:dyDescent="0.25">
      <c r="O803" s="74"/>
      <c r="P803" s="74"/>
      <c r="Q803" s="74"/>
      <c r="R803" s="74"/>
      <c r="V803" s="72"/>
    </row>
    <row r="804" spans="15:22" x14ac:dyDescent="0.25">
      <c r="O804" s="74"/>
      <c r="P804" s="74"/>
      <c r="Q804" s="74"/>
      <c r="R804" s="74"/>
      <c r="V804" s="72"/>
    </row>
    <row r="805" spans="15:22" x14ac:dyDescent="0.25">
      <c r="O805" s="74"/>
      <c r="P805" s="74"/>
      <c r="Q805" s="74"/>
      <c r="R805" s="74"/>
      <c r="V805" s="72"/>
    </row>
    <row r="806" spans="15:22" x14ac:dyDescent="0.25">
      <c r="O806" s="74"/>
      <c r="P806" s="74"/>
      <c r="Q806" s="74"/>
      <c r="R806" s="74"/>
      <c r="V806" s="72"/>
    </row>
    <row r="807" spans="15:22" x14ac:dyDescent="0.25">
      <c r="O807" s="74"/>
      <c r="P807" s="74"/>
      <c r="Q807" s="74"/>
      <c r="R807" s="74"/>
      <c r="V807" s="72"/>
    </row>
    <row r="808" spans="15:22" x14ac:dyDescent="0.25">
      <c r="O808" s="74"/>
      <c r="P808" s="74"/>
      <c r="Q808" s="74"/>
      <c r="R808" s="74"/>
      <c r="V808" s="72"/>
    </row>
    <row r="809" spans="15:22" x14ac:dyDescent="0.25">
      <c r="O809" s="74"/>
      <c r="P809" s="74"/>
      <c r="Q809" s="74"/>
      <c r="R809" s="74"/>
      <c r="V809" s="72"/>
    </row>
    <row r="810" spans="15:22" x14ac:dyDescent="0.25">
      <c r="O810" s="74"/>
      <c r="P810" s="74"/>
      <c r="Q810" s="74"/>
      <c r="R810" s="74"/>
      <c r="V810" s="72"/>
    </row>
    <row r="811" spans="15:22" x14ac:dyDescent="0.25">
      <c r="O811" s="74"/>
      <c r="P811" s="74"/>
      <c r="Q811" s="74"/>
      <c r="R811" s="74"/>
      <c r="V811" s="72"/>
    </row>
    <row r="812" spans="15:22" x14ac:dyDescent="0.25">
      <c r="O812" s="74"/>
      <c r="P812" s="74"/>
      <c r="Q812" s="74"/>
      <c r="R812" s="74"/>
      <c r="V812" s="72"/>
    </row>
    <row r="813" spans="15:22" x14ac:dyDescent="0.25">
      <c r="O813" s="74"/>
      <c r="P813" s="74"/>
      <c r="Q813" s="74"/>
      <c r="R813" s="74"/>
      <c r="V813" s="72"/>
    </row>
    <row r="814" spans="15:22" x14ac:dyDescent="0.25">
      <c r="O814" s="74"/>
      <c r="P814" s="74"/>
      <c r="Q814" s="74"/>
      <c r="R814" s="74"/>
      <c r="V814" s="72"/>
    </row>
    <row r="815" spans="15:22" x14ac:dyDescent="0.25">
      <c r="O815" s="74"/>
      <c r="P815" s="74"/>
      <c r="Q815" s="74"/>
      <c r="R815" s="74"/>
      <c r="V815" s="72"/>
    </row>
    <row r="816" spans="15:22" x14ac:dyDescent="0.25">
      <c r="O816" s="74"/>
      <c r="P816" s="74"/>
      <c r="Q816" s="74"/>
      <c r="R816" s="74"/>
      <c r="V816" s="72"/>
    </row>
    <row r="817" spans="15:22" x14ac:dyDescent="0.25">
      <c r="O817" s="74"/>
      <c r="P817" s="74"/>
      <c r="Q817" s="74"/>
      <c r="R817" s="74"/>
      <c r="V817" s="72"/>
    </row>
    <row r="818" spans="15:22" x14ac:dyDescent="0.25">
      <c r="O818" s="74"/>
      <c r="P818" s="74"/>
      <c r="Q818" s="74"/>
      <c r="R818" s="74"/>
      <c r="V818" s="72"/>
    </row>
    <row r="819" spans="15:22" x14ac:dyDescent="0.25">
      <c r="O819" s="74"/>
      <c r="P819" s="74"/>
      <c r="Q819" s="74"/>
      <c r="R819" s="74"/>
      <c r="V819" s="72"/>
    </row>
    <row r="820" spans="15:22" x14ac:dyDescent="0.25">
      <c r="O820" s="74"/>
      <c r="P820" s="74"/>
      <c r="Q820" s="74"/>
      <c r="R820" s="74"/>
      <c r="V820" s="72"/>
    </row>
    <row r="821" spans="15:22" x14ac:dyDescent="0.25">
      <c r="O821" s="74"/>
      <c r="P821" s="74"/>
      <c r="Q821" s="74"/>
      <c r="R821" s="74"/>
      <c r="V821" s="72"/>
    </row>
    <row r="822" spans="15:22" x14ac:dyDescent="0.25">
      <c r="O822" s="74"/>
      <c r="P822" s="74"/>
      <c r="Q822" s="74"/>
      <c r="R822" s="74"/>
      <c r="V822" s="72"/>
    </row>
    <row r="823" spans="15:22" x14ac:dyDescent="0.25">
      <c r="O823" s="74"/>
      <c r="P823" s="74"/>
      <c r="Q823" s="74"/>
      <c r="R823" s="74"/>
      <c r="V823" s="72"/>
    </row>
    <row r="824" spans="15:22" x14ac:dyDescent="0.25">
      <c r="O824" s="74"/>
      <c r="P824" s="74"/>
      <c r="Q824" s="74"/>
      <c r="R824" s="74"/>
      <c r="V824" s="72"/>
    </row>
    <row r="825" spans="15:22" x14ac:dyDescent="0.25">
      <c r="O825" s="74"/>
      <c r="P825" s="74"/>
      <c r="Q825" s="74"/>
      <c r="R825" s="74"/>
      <c r="V825" s="72"/>
    </row>
    <row r="826" spans="15:22" x14ac:dyDescent="0.25">
      <c r="O826" s="74"/>
      <c r="P826" s="74"/>
      <c r="Q826" s="74"/>
      <c r="R826" s="74"/>
      <c r="V826" s="72"/>
    </row>
    <row r="827" spans="15:22" x14ac:dyDescent="0.25">
      <c r="O827" s="74"/>
      <c r="P827" s="74"/>
      <c r="Q827" s="74"/>
      <c r="R827" s="74"/>
      <c r="V827" s="72"/>
    </row>
    <row r="828" spans="15:22" x14ac:dyDescent="0.25">
      <c r="O828" s="74"/>
      <c r="P828" s="74"/>
      <c r="Q828" s="74"/>
      <c r="R828" s="74"/>
      <c r="V828" s="72"/>
    </row>
    <row r="829" spans="15:22" x14ac:dyDescent="0.25">
      <c r="O829" s="74"/>
      <c r="P829" s="74"/>
      <c r="Q829" s="74"/>
      <c r="R829" s="74"/>
      <c r="V829" s="72"/>
    </row>
    <row r="830" spans="15:22" x14ac:dyDescent="0.25">
      <c r="O830" s="74"/>
      <c r="P830" s="74"/>
      <c r="Q830" s="74"/>
      <c r="R830" s="74"/>
      <c r="V830" s="72"/>
    </row>
    <row r="831" spans="15:22" x14ac:dyDescent="0.25">
      <c r="O831" s="74"/>
      <c r="P831" s="74"/>
      <c r="Q831" s="74"/>
      <c r="R831" s="74"/>
      <c r="V831" s="72"/>
    </row>
    <row r="832" spans="15:22" x14ac:dyDescent="0.25">
      <c r="O832" s="74"/>
      <c r="P832" s="74"/>
      <c r="Q832" s="74"/>
      <c r="R832" s="74"/>
      <c r="V832" s="72"/>
    </row>
    <row r="833" spans="15:22" x14ac:dyDescent="0.25">
      <c r="O833" s="74"/>
      <c r="P833" s="74"/>
      <c r="Q833" s="74"/>
      <c r="R833" s="74"/>
      <c r="V833" s="72"/>
    </row>
    <row r="834" spans="15:22" x14ac:dyDescent="0.25">
      <c r="O834" s="74"/>
      <c r="P834" s="74"/>
      <c r="Q834" s="74"/>
      <c r="R834" s="74"/>
      <c r="V834" s="72"/>
    </row>
    <row r="835" spans="15:22" x14ac:dyDescent="0.25">
      <c r="O835" s="74"/>
      <c r="P835" s="74"/>
      <c r="Q835" s="74"/>
      <c r="R835" s="74"/>
      <c r="V835" s="72"/>
    </row>
    <row r="836" spans="15:22" x14ac:dyDescent="0.25">
      <c r="O836" s="74"/>
      <c r="P836" s="74"/>
      <c r="Q836" s="74"/>
      <c r="R836" s="74"/>
      <c r="V836" s="72"/>
    </row>
    <row r="837" spans="15:22" x14ac:dyDescent="0.25">
      <c r="O837" s="74"/>
      <c r="P837" s="74"/>
      <c r="Q837" s="74"/>
      <c r="R837" s="74"/>
      <c r="V837" s="72"/>
    </row>
    <row r="838" spans="15:22" x14ac:dyDescent="0.25">
      <c r="O838" s="74"/>
      <c r="P838" s="74"/>
      <c r="Q838" s="74"/>
      <c r="R838" s="74"/>
      <c r="V838" s="72"/>
    </row>
    <row r="839" spans="15:22" x14ac:dyDescent="0.25">
      <c r="O839" s="74"/>
      <c r="P839" s="74"/>
      <c r="Q839" s="74"/>
      <c r="R839" s="74"/>
      <c r="V839" s="72"/>
    </row>
    <row r="840" spans="15:22" x14ac:dyDescent="0.25">
      <c r="O840" s="74"/>
      <c r="P840" s="74"/>
      <c r="Q840" s="74"/>
      <c r="R840" s="74"/>
      <c r="V840" s="72"/>
    </row>
    <row r="841" spans="15:22" x14ac:dyDescent="0.25">
      <c r="O841" s="74"/>
      <c r="P841" s="74"/>
      <c r="Q841" s="74"/>
      <c r="R841" s="74"/>
      <c r="V841" s="72"/>
    </row>
    <row r="842" spans="15:22" x14ac:dyDescent="0.25">
      <c r="O842" s="74"/>
      <c r="P842" s="74"/>
      <c r="Q842" s="74"/>
      <c r="R842" s="74"/>
      <c r="V842" s="72"/>
    </row>
    <row r="843" spans="15:22" x14ac:dyDescent="0.25">
      <c r="O843" s="74"/>
      <c r="P843" s="74"/>
      <c r="Q843" s="74"/>
      <c r="R843" s="74"/>
      <c r="V843" s="72"/>
    </row>
    <row r="844" spans="15:22" x14ac:dyDescent="0.25">
      <c r="O844" s="74"/>
      <c r="P844" s="74"/>
      <c r="Q844" s="74"/>
      <c r="R844" s="74"/>
      <c r="V844" s="72"/>
    </row>
    <row r="845" spans="15:22" x14ac:dyDescent="0.25">
      <c r="O845" s="74"/>
      <c r="P845" s="74"/>
      <c r="Q845" s="74"/>
      <c r="R845" s="74"/>
      <c r="V845" s="72"/>
    </row>
    <row r="846" spans="15:22" x14ac:dyDescent="0.25">
      <c r="O846" s="74"/>
      <c r="P846" s="74"/>
      <c r="Q846" s="74"/>
      <c r="R846" s="74"/>
      <c r="V846" s="72"/>
    </row>
    <row r="847" spans="15:22" x14ac:dyDescent="0.25">
      <c r="O847" s="74"/>
      <c r="P847" s="74"/>
      <c r="Q847" s="74"/>
      <c r="R847" s="74"/>
      <c r="V847" s="72"/>
    </row>
    <row r="848" spans="15:22" x14ac:dyDescent="0.25">
      <c r="O848" s="74"/>
      <c r="P848" s="74"/>
      <c r="Q848" s="74"/>
      <c r="R848" s="74"/>
      <c r="V848" s="72"/>
    </row>
    <row r="849" spans="15:22" x14ac:dyDescent="0.25">
      <c r="O849" s="74"/>
      <c r="P849" s="74"/>
      <c r="Q849" s="74"/>
      <c r="R849" s="74"/>
      <c r="V849" s="72"/>
    </row>
    <row r="850" spans="15:22" x14ac:dyDescent="0.25">
      <c r="O850" s="74"/>
      <c r="P850" s="74"/>
      <c r="Q850" s="74"/>
      <c r="R850" s="74"/>
      <c r="V850" s="72"/>
    </row>
    <row r="851" spans="15:22" x14ac:dyDescent="0.25">
      <c r="O851" s="74"/>
      <c r="P851" s="74"/>
      <c r="Q851" s="74"/>
      <c r="R851" s="74"/>
      <c r="V851" s="72"/>
    </row>
    <row r="852" spans="15:22" x14ac:dyDescent="0.25">
      <c r="O852" s="74"/>
      <c r="P852" s="74"/>
      <c r="Q852" s="74"/>
      <c r="R852" s="74"/>
      <c r="V852" s="72"/>
    </row>
    <row r="853" spans="15:22" x14ac:dyDescent="0.25">
      <c r="O853" s="74"/>
      <c r="P853" s="74"/>
      <c r="Q853" s="74"/>
      <c r="R853" s="74"/>
      <c r="V853" s="72"/>
    </row>
    <row r="854" spans="15:22" x14ac:dyDescent="0.25">
      <c r="O854" s="74"/>
      <c r="P854" s="74"/>
      <c r="Q854" s="74"/>
      <c r="R854" s="74"/>
      <c r="V854" s="72"/>
    </row>
    <row r="855" spans="15:22" x14ac:dyDescent="0.25">
      <c r="O855" s="74"/>
      <c r="P855" s="74"/>
      <c r="Q855" s="74"/>
      <c r="R855" s="74"/>
      <c r="V855" s="72"/>
    </row>
    <row r="856" spans="15:22" x14ac:dyDescent="0.25">
      <c r="O856" s="74"/>
      <c r="P856" s="74"/>
      <c r="Q856" s="74"/>
      <c r="R856" s="74"/>
      <c r="V856" s="72"/>
    </row>
    <row r="857" spans="15:22" x14ac:dyDescent="0.25">
      <c r="O857" s="74"/>
      <c r="P857" s="74"/>
      <c r="Q857" s="74"/>
      <c r="R857" s="74"/>
      <c r="V857" s="72"/>
    </row>
    <row r="858" spans="15:22" x14ac:dyDescent="0.25">
      <c r="O858" s="74"/>
      <c r="P858" s="74"/>
      <c r="Q858" s="74"/>
      <c r="R858" s="74"/>
      <c r="V858" s="72"/>
    </row>
    <row r="859" spans="15:22" x14ac:dyDescent="0.25">
      <c r="O859" s="74"/>
      <c r="P859" s="74"/>
      <c r="Q859" s="74"/>
      <c r="R859" s="74"/>
      <c r="V859" s="72"/>
    </row>
    <row r="860" spans="15:22" x14ac:dyDescent="0.25">
      <c r="O860" s="74"/>
      <c r="P860" s="74"/>
      <c r="Q860" s="74"/>
      <c r="R860" s="74"/>
      <c r="V860" s="72"/>
    </row>
    <row r="861" spans="15:22" x14ac:dyDescent="0.25">
      <c r="O861" s="74"/>
      <c r="P861" s="74"/>
      <c r="Q861" s="74"/>
      <c r="R861" s="74"/>
      <c r="V861" s="72"/>
    </row>
    <row r="862" spans="15:22" x14ac:dyDescent="0.25">
      <c r="O862" s="74"/>
      <c r="P862" s="74"/>
      <c r="Q862" s="74"/>
      <c r="R862" s="74"/>
      <c r="V862" s="72"/>
    </row>
    <row r="863" spans="15:22" x14ac:dyDescent="0.25">
      <c r="O863" s="74"/>
      <c r="P863" s="74"/>
      <c r="Q863" s="74"/>
      <c r="R863" s="74"/>
      <c r="V863" s="72"/>
    </row>
    <row r="864" spans="15:22" x14ac:dyDescent="0.25">
      <c r="O864" s="74"/>
      <c r="P864" s="74"/>
      <c r="Q864" s="74"/>
      <c r="R864" s="74"/>
      <c r="V864" s="72"/>
    </row>
    <row r="865" spans="15:22" x14ac:dyDescent="0.25">
      <c r="O865" s="74"/>
      <c r="P865" s="74"/>
      <c r="Q865" s="74"/>
      <c r="R865" s="74"/>
      <c r="V865" s="72"/>
    </row>
    <row r="866" spans="15:22" x14ac:dyDescent="0.25">
      <c r="O866" s="74"/>
      <c r="P866" s="74"/>
      <c r="Q866" s="74"/>
      <c r="R866" s="74"/>
      <c r="V866" s="72"/>
    </row>
    <row r="867" spans="15:22" x14ac:dyDescent="0.25">
      <c r="O867" s="74"/>
      <c r="P867" s="74"/>
      <c r="Q867" s="74"/>
      <c r="R867" s="74"/>
      <c r="V867" s="72"/>
    </row>
    <row r="868" spans="15:22" x14ac:dyDescent="0.25">
      <c r="O868" s="74"/>
      <c r="P868" s="74"/>
      <c r="Q868" s="74"/>
      <c r="R868" s="74"/>
      <c r="V868" s="72"/>
    </row>
    <row r="869" spans="15:22" x14ac:dyDescent="0.25">
      <c r="O869" s="74"/>
      <c r="P869" s="74"/>
      <c r="Q869" s="74"/>
      <c r="R869" s="74"/>
      <c r="V869" s="72"/>
    </row>
    <row r="870" spans="15:22" x14ac:dyDescent="0.25">
      <c r="O870" s="74"/>
      <c r="P870" s="74"/>
      <c r="Q870" s="74"/>
      <c r="R870" s="74"/>
      <c r="V870" s="72"/>
    </row>
    <row r="871" spans="15:22" x14ac:dyDescent="0.25">
      <c r="O871" s="74"/>
      <c r="P871" s="74"/>
      <c r="Q871" s="74"/>
      <c r="R871" s="74"/>
      <c r="V871" s="72"/>
    </row>
    <row r="872" spans="15:22" x14ac:dyDescent="0.25">
      <c r="O872" s="74"/>
      <c r="P872" s="74"/>
      <c r="Q872" s="74"/>
      <c r="R872" s="74"/>
      <c r="V872" s="72"/>
    </row>
    <row r="873" spans="15:22" x14ac:dyDescent="0.25">
      <c r="O873" s="74"/>
      <c r="P873" s="74"/>
      <c r="Q873" s="74"/>
      <c r="R873" s="74"/>
      <c r="V873" s="72"/>
    </row>
    <row r="874" spans="15:22" x14ac:dyDescent="0.25">
      <c r="O874" s="74"/>
      <c r="P874" s="74"/>
      <c r="Q874" s="74"/>
      <c r="R874" s="74"/>
      <c r="V874" s="72"/>
    </row>
    <row r="875" spans="15:22" x14ac:dyDescent="0.25">
      <c r="O875" s="74"/>
      <c r="P875" s="74"/>
      <c r="Q875" s="74"/>
      <c r="R875" s="74"/>
      <c r="V875" s="72"/>
    </row>
    <row r="876" spans="15:22" x14ac:dyDescent="0.25">
      <c r="O876" s="74"/>
      <c r="P876" s="74"/>
      <c r="Q876" s="74"/>
      <c r="R876" s="74"/>
      <c r="V876" s="72"/>
    </row>
    <row r="877" spans="15:22" x14ac:dyDescent="0.25">
      <c r="O877" s="74"/>
      <c r="P877" s="74"/>
      <c r="Q877" s="74"/>
      <c r="R877" s="74"/>
      <c r="V877" s="72"/>
    </row>
    <row r="878" spans="15:22" x14ac:dyDescent="0.25">
      <c r="O878" s="74"/>
      <c r="P878" s="74"/>
      <c r="Q878" s="74"/>
      <c r="R878" s="74"/>
      <c r="V878" s="72"/>
    </row>
    <row r="879" spans="15:22" x14ac:dyDescent="0.25">
      <c r="O879" s="74"/>
      <c r="P879" s="74"/>
      <c r="Q879" s="74"/>
      <c r="R879" s="74"/>
      <c r="V879" s="72"/>
    </row>
    <row r="880" spans="15:22" x14ac:dyDescent="0.25">
      <c r="O880" s="74"/>
      <c r="P880" s="74"/>
      <c r="Q880" s="74"/>
      <c r="R880" s="74"/>
      <c r="V880" s="72"/>
    </row>
    <row r="881" spans="15:22" x14ac:dyDescent="0.25">
      <c r="O881" s="74"/>
      <c r="P881" s="74"/>
      <c r="Q881" s="74"/>
      <c r="R881" s="74"/>
      <c r="V881" s="72"/>
    </row>
    <row r="882" spans="15:22" x14ac:dyDescent="0.25">
      <c r="O882" s="74"/>
      <c r="P882" s="74"/>
      <c r="Q882" s="74"/>
      <c r="R882" s="74"/>
      <c r="V882" s="72"/>
    </row>
    <row r="883" spans="15:22" x14ac:dyDescent="0.25">
      <c r="O883" s="74"/>
      <c r="P883" s="74"/>
      <c r="Q883" s="74"/>
      <c r="R883" s="74"/>
      <c r="V883" s="72"/>
    </row>
    <row r="884" spans="15:22" x14ac:dyDescent="0.25">
      <c r="O884" s="74"/>
      <c r="P884" s="74"/>
      <c r="Q884" s="74"/>
      <c r="R884" s="74"/>
      <c r="V884" s="72"/>
    </row>
    <row r="885" spans="15:22" x14ac:dyDescent="0.25">
      <c r="O885" s="74"/>
      <c r="P885" s="74"/>
      <c r="Q885" s="74"/>
      <c r="R885" s="74"/>
      <c r="V885" s="72"/>
    </row>
    <row r="886" spans="15:22" x14ac:dyDescent="0.25">
      <c r="O886" s="74"/>
      <c r="P886" s="74"/>
      <c r="Q886" s="74"/>
      <c r="R886" s="74"/>
      <c r="V886" s="72"/>
    </row>
    <row r="887" spans="15:22" x14ac:dyDescent="0.25">
      <c r="O887" s="74"/>
      <c r="P887" s="74"/>
      <c r="Q887" s="74"/>
      <c r="R887" s="74"/>
      <c r="V887" s="72"/>
    </row>
    <row r="888" spans="15:22" x14ac:dyDescent="0.25">
      <c r="O888" s="74"/>
      <c r="P888" s="74"/>
      <c r="Q888" s="74"/>
      <c r="R888" s="74"/>
      <c r="V888" s="72"/>
    </row>
    <row r="889" spans="15:22" x14ac:dyDescent="0.25">
      <c r="O889" s="74"/>
      <c r="P889" s="74"/>
      <c r="Q889" s="74"/>
      <c r="R889" s="74"/>
      <c r="V889" s="72"/>
    </row>
    <row r="890" spans="15:22" x14ac:dyDescent="0.25">
      <c r="O890" s="74"/>
      <c r="P890" s="74"/>
      <c r="Q890" s="74"/>
      <c r="R890" s="74"/>
      <c r="V890" s="72"/>
    </row>
    <row r="891" spans="15:22" x14ac:dyDescent="0.25">
      <c r="O891" s="74"/>
      <c r="P891" s="74"/>
      <c r="Q891" s="74"/>
      <c r="R891" s="74"/>
      <c r="V891" s="72"/>
    </row>
    <row r="892" spans="15:22" x14ac:dyDescent="0.25">
      <c r="O892" s="74"/>
      <c r="P892" s="74"/>
      <c r="Q892" s="74"/>
      <c r="R892" s="74"/>
      <c r="V892" s="72"/>
    </row>
    <row r="893" spans="15:22" x14ac:dyDescent="0.25">
      <c r="O893" s="74"/>
      <c r="P893" s="74"/>
      <c r="Q893" s="74"/>
      <c r="R893" s="74"/>
      <c r="V893" s="72"/>
    </row>
    <row r="894" spans="15:22" x14ac:dyDescent="0.25">
      <c r="O894" s="74"/>
      <c r="P894" s="74"/>
      <c r="Q894" s="74"/>
      <c r="R894" s="74"/>
      <c r="V894" s="72"/>
    </row>
    <row r="895" spans="15:22" x14ac:dyDescent="0.25">
      <c r="O895" s="74"/>
      <c r="P895" s="74"/>
      <c r="Q895" s="74"/>
      <c r="R895" s="74"/>
      <c r="V895" s="72"/>
    </row>
    <row r="896" spans="15:22" x14ac:dyDescent="0.25">
      <c r="O896" s="74"/>
      <c r="P896" s="74"/>
      <c r="Q896" s="74"/>
      <c r="R896" s="74"/>
      <c r="V896" s="72"/>
    </row>
    <row r="897" spans="15:22" x14ac:dyDescent="0.25">
      <c r="O897" s="74"/>
      <c r="P897" s="74"/>
      <c r="Q897" s="74"/>
      <c r="R897" s="74"/>
      <c r="V897" s="72"/>
    </row>
    <row r="898" spans="15:22" x14ac:dyDescent="0.25">
      <c r="O898" s="74"/>
      <c r="P898" s="74"/>
      <c r="Q898" s="74"/>
      <c r="R898" s="74"/>
      <c r="V898" s="72"/>
    </row>
    <row r="899" spans="15:22" x14ac:dyDescent="0.25">
      <c r="O899" s="74"/>
      <c r="P899" s="74"/>
      <c r="Q899" s="74"/>
      <c r="R899" s="74"/>
      <c r="V899" s="72"/>
    </row>
    <row r="900" spans="15:22" x14ac:dyDescent="0.25">
      <c r="O900" s="74"/>
      <c r="P900" s="74"/>
      <c r="Q900" s="74"/>
      <c r="R900" s="74"/>
      <c r="V900" s="72"/>
    </row>
    <row r="901" spans="15:22" x14ac:dyDescent="0.25">
      <c r="O901" s="74"/>
      <c r="P901" s="74"/>
      <c r="Q901" s="74"/>
      <c r="R901" s="74"/>
      <c r="V901" s="72"/>
    </row>
    <row r="902" spans="15:22" x14ac:dyDescent="0.25">
      <c r="O902" s="74"/>
      <c r="P902" s="74"/>
      <c r="Q902" s="74"/>
      <c r="R902" s="74"/>
      <c r="V902" s="72"/>
    </row>
    <row r="903" spans="15:22" x14ac:dyDescent="0.25">
      <c r="O903" s="74"/>
      <c r="P903" s="74"/>
      <c r="Q903" s="74"/>
      <c r="R903" s="74"/>
      <c r="V903" s="72"/>
    </row>
    <row r="904" spans="15:22" x14ac:dyDescent="0.25">
      <c r="O904" s="74"/>
      <c r="P904" s="74"/>
      <c r="Q904" s="74"/>
      <c r="R904" s="74"/>
      <c r="V904" s="72"/>
    </row>
    <row r="905" spans="15:22" x14ac:dyDescent="0.25">
      <c r="O905" s="74"/>
      <c r="P905" s="74"/>
      <c r="Q905" s="74"/>
      <c r="R905" s="74"/>
      <c r="V905" s="72"/>
    </row>
    <row r="906" spans="15:22" x14ac:dyDescent="0.25">
      <c r="O906" s="74"/>
      <c r="P906" s="74"/>
      <c r="Q906" s="74"/>
      <c r="R906" s="74"/>
      <c r="V906" s="72"/>
    </row>
    <row r="907" spans="15:22" x14ac:dyDescent="0.25">
      <c r="O907" s="74"/>
      <c r="P907" s="74"/>
      <c r="Q907" s="74"/>
      <c r="R907" s="74"/>
      <c r="V907" s="72"/>
    </row>
    <row r="908" spans="15:22" x14ac:dyDescent="0.25">
      <c r="O908" s="74"/>
      <c r="P908" s="74"/>
      <c r="Q908" s="74"/>
      <c r="R908" s="74"/>
      <c r="V908" s="72"/>
    </row>
    <row r="909" spans="15:22" x14ac:dyDescent="0.25">
      <c r="O909" s="74"/>
      <c r="P909" s="74"/>
      <c r="Q909" s="74"/>
      <c r="R909" s="74"/>
      <c r="V909" s="72"/>
    </row>
    <row r="910" spans="15:22" x14ac:dyDescent="0.25">
      <c r="O910" s="74"/>
      <c r="P910" s="74"/>
      <c r="Q910" s="74"/>
      <c r="R910" s="74"/>
      <c r="V910" s="72"/>
    </row>
    <row r="911" spans="15:22" x14ac:dyDescent="0.25">
      <c r="O911" s="74"/>
      <c r="P911" s="74"/>
      <c r="Q911" s="74"/>
      <c r="R911" s="74"/>
      <c r="V911" s="72"/>
    </row>
    <row r="912" spans="15:22" x14ac:dyDescent="0.25">
      <c r="O912" s="74"/>
      <c r="P912" s="74"/>
      <c r="Q912" s="74"/>
      <c r="R912" s="74"/>
      <c r="V912" s="72"/>
    </row>
    <row r="913" spans="15:22" x14ac:dyDescent="0.25">
      <c r="O913" s="74"/>
      <c r="P913" s="74"/>
      <c r="Q913" s="74"/>
      <c r="R913" s="74"/>
      <c r="V913" s="72"/>
    </row>
    <row r="914" spans="15:22" x14ac:dyDescent="0.25">
      <c r="O914" s="74"/>
      <c r="P914" s="74"/>
      <c r="Q914" s="74"/>
      <c r="R914" s="74"/>
      <c r="V914" s="72"/>
    </row>
    <row r="915" spans="15:22" x14ac:dyDescent="0.25">
      <c r="O915" s="74"/>
      <c r="P915" s="74"/>
      <c r="Q915" s="74"/>
      <c r="R915" s="74"/>
      <c r="V915" s="72"/>
    </row>
    <row r="916" spans="15:22" x14ac:dyDescent="0.25">
      <c r="O916" s="74"/>
      <c r="P916" s="74"/>
      <c r="Q916" s="74"/>
      <c r="R916" s="74"/>
      <c r="V916" s="72"/>
    </row>
    <row r="917" spans="15:22" x14ac:dyDescent="0.25">
      <c r="O917" s="74"/>
      <c r="P917" s="74"/>
      <c r="Q917" s="74"/>
      <c r="R917" s="74"/>
      <c r="V917" s="72"/>
    </row>
    <row r="918" spans="15:22" x14ac:dyDescent="0.25">
      <c r="O918" s="74"/>
      <c r="P918" s="74"/>
      <c r="Q918" s="74"/>
      <c r="R918" s="74"/>
      <c r="V918" s="72"/>
    </row>
    <row r="919" spans="15:22" x14ac:dyDescent="0.25">
      <c r="O919" s="74"/>
      <c r="P919" s="74"/>
      <c r="Q919" s="74"/>
      <c r="R919" s="74"/>
      <c r="V919" s="72"/>
    </row>
    <row r="920" spans="15:22" x14ac:dyDescent="0.25">
      <c r="O920" s="74"/>
      <c r="P920" s="74"/>
      <c r="Q920" s="74"/>
      <c r="R920" s="74"/>
      <c r="V920" s="72"/>
    </row>
    <row r="921" spans="15:22" x14ac:dyDescent="0.25">
      <c r="O921" s="74"/>
      <c r="P921" s="74"/>
      <c r="Q921" s="74"/>
      <c r="R921" s="74"/>
      <c r="V921" s="72"/>
    </row>
    <row r="922" spans="15:22" x14ac:dyDescent="0.25">
      <c r="O922" s="74"/>
      <c r="P922" s="74"/>
      <c r="Q922" s="74"/>
      <c r="R922" s="74"/>
      <c r="V922" s="72"/>
    </row>
    <row r="923" spans="15:22" x14ac:dyDescent="0.25">
      <c r="O923" s="74"/>
      <c r="P923" s="74"/>
      <c r="Q923" s="74"/>
      <c r="R923" s="74"/>
      <c r="V923" s="72"/>
    </row>
    <row r="924" spans="15:22" x14ac:dyDescent="0.25">
      <c r="O924" s="74"/>
      <c r="P924" s="74"/>
      <c r="Q924" s="74"/>
      <c r="R924" s="74"/>
      <c r="V924" s="72"/>
    </row>
    <row r="925" spans="15:22" x14ac:dyDescent="0.25">
      <c r="O925" s="74"/>
      <c r="P925" s="74"/>
      <c r="Q925" s="74"/>
      <c r="R925" s="74"/>
      <c r="V925" s="72"/>
    </row>
    <row r="926" spans="15:22" x14ac:dyDescent="0.25">
      <c r="O926" s="74"/>
      <c r="P926" s="74"/>
      <c r="Q926" s="74"/>
      <c r="R926" s="74"/>
      <c r="V926" s="72"/>
    </row>
    <row r="927" spans="15:22" x14ac:dyDescent="0.25">
      <c r="O927" s="74"/>
      <c r="P927" s="74"/>
      <c r="Q927" s="74"/>
      <c r="R927" s="74"/>
      <c r="V927" s="72"/>
    </row>
    <row r="928" spans="15:22" x14ac:dyDescent="0.25">
      <c r="O928" s="74"/>
      <c r="P928" s="74"/>
      <c r="Q928" s="74"/>
      <c r="R928" s="74"/>
      <c r="V928" s="72"/>
    </row>
    <row r="929" spans="15:22" x14ac:dyDescent="0.25">
      <c r="O929" s="74"/>
      <c r="P929" s="74"/>
      <c r="Q929" s="74"/>
      <c r="R929" s="74"/>
      <c r="V929" s="72"/>
    </row>
    <row r="930" spans="15:22" x14ac:dyDescent="0.25">
      <c r="O930" s="74"/>
      <c r="P930" s="74"/>
      <c r="Q930" s="74"/>
      <c r="R930" s="74"/>
      <c r="V930" s="72"/>
    </row>
    <row r="931" spans="15:22" x14ac:dyDescent="0.25">
      <c r="O931" s="74"/>
      <c r="P931" s="74"/>
      <c r="Q931" s="74"/>
      <c r="R931" s="74"/>
      <c r="V931" s="72"/>
    </row>
    <row r="932" spans="15:22" x14ac:dyDescent="0.25">
      <c r="O932" s="74"/>
      <c r="P932" s="74"/>
      <c r="Q932" s="74"/>
      <c r="R932" s="74"/>
      <c r="V932" s="72"/>
    </row>
    <row r="933" spans="15:22" x14ac:dyDescent="0.25">
      <c r="O933" s="74"/>
      <c r="P933" s="74"/>
      <c r="Q933" s="74"/>
      <c r="R933" s="74"/>
      <c r="V933" s="72"/>
    </row>
    <row r="934" spans="15:22" x14ac:dyDescent="0.25">
      <c r="O934" s="74"/>
      <c r="P934" s="74"/>
      <c r="Q934" s="74"/>
      <c r="R934" s="74"/>
      <c r="V934" s="72"/>
    </row>
    <row r="935" spans="15:22" x14ac:dyDescent="0.25">
      <c r="O935" s="74"/>
      <c r="P935" s="74"/>
      <c r="Q935" s="74"/>
      <c r="R935" s="74"/>
      <c r="V935" s="72"/>
    </row>
    <row r="936" spans="15:22" x14ac:dyDescent="0.25">
      <c r="O936" s="74"/>
      <c r="P936" s="74"/>
      <c r="Q936" s="74"/>
      <c r="R936" s="74"/>
      <c r="V936" s="72"/>
    </row>
    <row r="937" spans="15:22" x14ac:dyDescent="0.25">
      <c r="O937" s="74"/>
      <c r="P937" s="74"/>
      <c r="Q937" s="74"/>
      <c r="R937" s="74"/>
      <c r="V937" s="72"/>
    </row>
    <row r="938" spans="15:22" x14ac:dyDescent="0.25">
      <c r="O938" s="74"/>
      <c r="P938" s="74"/>
      <c r="Q938" s="74"/>
      <c r="R938" s="74"/>
      <c r="V938" s="72"/>
    </row>
    <row r="939" spans="15:22" x14ac:dyDescent="0.25">
      <c r="O939" s="74"/>
      <c r="P939" s="74"/>
      <c r="Q939" s="74"/>
      <c r="R939" s="74"/>
      <c r="V939" s="72"/>
    </row>
    <row r="940" spans="15:22" x14ac:dyDescent="0.25">
      <c r="O940" s="74"/>
      <c r="P940" s="74"/>
      <c r="Q940" s="74"/>
      <c r="R940" s="74"/>
      <c r="V940" s="72"/>
    </row>
    <row r="941" spans="15:22" x14ac:dyDescent="0.25">
      <c r="O941" s="74"/>
      <c r="P941" s="74"/>
      <c r="Q941" s="74"/>
      <c r="R941" s="74"/>
      <c r="V941" s="72"/>
    </row>
    <row r="942" spans="15:22" x14ac:dyDescent="0.25">
      <c r="O942" s="74"/>
      <c r="P942" s="74"/>
      <c r="Q942" s="74"/>
      <c r="R942" s="74"/>
      <c r="V942" s="72"/>
    </row>
    <row r="943" spans="15:22" x14ac:dyDescent="0.25">
      <c r="O943" s="74"/>
      <c r="P943" s="74"/>
      <c r="Q943" s="74"/>
      <c r="R943" s="74"/>
      <c r="V943" s="72"/>
    </row>
    <row r="944" spans="15:22" x14ac:dyDescent="0.25">
      <c r="O944" s="74"/>
      <c r="P944" s="74"/>
      <c r="Q944" s="74"/>
      <c r="R944" s="74"/>
      <c r="V944" s="72"/>
    </row>
    <row r="945" spans="15:22" x14ac:dyDescent="0.25">
      <c r="O945" s="74"/>
      <c r="P945" s="74"/>
      <c r="Q945" s="74"/>
      <c r="R945" s="74"/>
      <c r="V945" s="72"/>
    </row>
    <row r="946" spans="15:22" x14ac:dyDescent="0.25">
      <c r="O946" s="74"/>
      <c r="P946" s="74"/>
      <c r="Q946" s="74"/>
      <c r="R946" s="74"/>
      <c r="V946" s="72"/>
    </row>
    <row r="947" spans="15:22" x14ac:dyDescent="0.25">
      <c r="O947" s="74"/>
      <c r="P947" s="74"/>
      <c r="Q947" s="74"/>
      <c r="R947" s="74"/>
      <c r="V947" s="72"/>
    </row>
    <row r="948" spans="15:22" x14ac:dyDescent="0.25">
      <c r="O948" s="74"/>
      <c r="P948" s="74"/>
      <c r="Q948" s="74"/>
      <c r="R948" s="74"/>
      <c r="V948" s="72"/>
    </row>
    <row r="949" spans="15:22" x14ac:dyDescent="0.25">
      <c r="O949" s="74"/>
      <c r="P949" s="74"/>
      <c r="Q949" s="74"/>
      <c r="R949" s="74"/>
      <c r="V949" s="72"/>
    </row>
    <row r="950" spans="15:22" x14ac:dyDescent="0.25">
      <c r="O950" s="74"/>
      <c r="P950" s="74"/>
      <c r="Q950" s="74"/>
      <c r="R950" s="74"/>
      <c r="V950" s="72"/>
    </row>
    <row r="951" spans="15:22" x14ac:dyDescent="0.25">
      <c r="O951" s="74"/>
      <c r="P951" s="74"/>
      <c r="Q951" s="74"/>
      <c r="R951" s="74"/>
      <c r="V951" s="72"/>
    </row>
    <row r="952" spans="15:22" x14ac:dyDescent="0.25">
      <c r="O952" s="74"/>
      <c r="P952" s="74"/>
      <c r="Q952" s="74"/>
      <c r="R952" s="74"/>
      <c r="V952" s="72"/>
    </row>
    <row r="953" spans="15:22" x14ac:dyDescent="0.25">
      <c r="O953" s="74"/>
      <c r="P953" s="74"/>
      <c r="Q953" s="74"/>
      <c r="R953" s="74"/>
      <c r="V953" s="72"/>
    </row>
    <row r="954" spans="15:22" x14ac:dyDescent="0.25">
      <c r="O954" s="74"/>
      <c r="P954" s="74"/>
      <c r="Q954" s="74"/>
      <c r="R954" s="74"/>
      <c r="V954" s="72"/>
    </row>
    <row r="955" spans="15:22" x14ac:dyDescent="0.25">
      <c r="O955" s="74"/>
      <c r="P955" s="74"/>
      <c r="Q955" s="74"/>
      <c r="R955" s="74"/>
      <c r="V955" s="72"/>
    </row>
    <row r="956" spans="15:22" x14ac:dyDescent="0.25">
      <c r="O956" s="74"/>
      <c r="P956" s="74"/>
      <c r="Q956" s="74"/>
      <c r="R956" s="74"/>
      <c r="V956" s="72"/>
    </row>
    <row r="957" spans="15:22" x14ac:dyDescent="0.25">
      <c r="O957" s="74"/>
      <c r="P957" s="74"/>
      <c r="Q957" s="74"/>
      <c r="R957" s="74"/>
      <c r="V957" s="72"/>
    </row>
    <row r="958" spans="15:22" x14ac:dyDescent="0.25">
      <c r="O958" s="74"/>
      <c r="P958" s="74"/>
      <c r="Q958" s="74"/>
      <c r="R958" s="74"/>
      <c r="V958" s="72"/>
    </row>
    <row r="959" spans="15:22" x14ac:dyDescent="0.25">
      <c r="O959" s="74"/>
      <c r="P959" s="74"/>
      <c r="Q959" s="74"/>
      <c r="R959" s="74"/>
      <c r="V959" s="72"/>
    </row>
    <row r="960" spans="15:22" x14ac:dyDescent="0.25">
      <c r="O960" s="74"/>
      <c r="P960" s="74"/>
      <c r="Q960" s="74"/>
      <c r="R960" s="74"/>
      <c r="V960" s="72"/>
    </row>
    <row r="961" spans="15:22" x14ac:dyDescent="0.25">
      <c r="O961" s="74"/>
      <c r="P961" s="74"/>
      <c r="Q961" s="74"/>
      <c r="R961" s="74"/>
      <c r="V961" s="72"/>
    </row>
    <row r="962" spans="15:22" x14ac:dyDescent="0.25">
      <c r="O962" s="74"/>
      <c r="P962" s="74"/>
      <c r="Q962" s="74"/>
      <c r="R962" s="74"/>
      <c r="V962" s="72"/>
    </row>
    <row r="963" spans="15:22" x14ac:dyDescent="0.25">
      <c r="O963" s="74"/>
      <c r="P963" s="74"/>
      <c r="Q963" s="74"/>
      <c r="R963" s="74"/>
      <c r="V963" s="72"/>
    </row>
    <row r="964" spans="15:22" x14ac:dyDescent="0.25">
      <c r="O964" s="74"/>
      <c r="P964" s="74"/>
      <c r="Q964" s="74"/>
      <c r="R964" s="74"/>
      <c r="V964" s="72"/>
    </row>
    <row r="965" spans="15:22" x14ac:dyDescent="0.25">
      <c r="O965" s="74"/>
      <c r="P965" s="74"/>
      <c r="Q965" s="74"/>
      <c r="R965" s="74"/>
      <c r="V965" s="72"/>
    </row>
    <row r="966" spans="15:22" x14ac:dyDescent="0.25">
      <c r="O966" s="74"/>
      <c r="P966" s="74"/>
      <c r="Q966" s="74"/>
      <c r="R966" s="74"/>
      <c r="V966" s="72"/>
    </row>
    <row r="967" spans="15:22" x14ac:dyDescent="0.25">
      <c r="O967" s="74"/>
      <c r="P967" s="74"/>
      <c r="Q967" s="74"/>
      <c r="R967" s="74"/>
      <c r="V967" s="72"/>
    </row>
    <row r="968" spans="15:22" x14ac:dyDescent="0.25">
      <c r="O968" s="74"/>
      <c r="P968" s="74"/>
      <c r="Q968" s="74"/>
      <c r="R968" s="74"/>
      <c r="V968" s="72"/>
    </row>
    <row r="969" spans="15:22" x14ac:dyDescent="0.25">
      <c r="O969" s="74"/>
      <c r="P969" s="74"/>
      <c r="Q969" s="74"/>
      <c r="R969" s="74"/>
      <c r="V969" s="72"/>
    </row>
    <row r="970" spans="15:22" x14ac:dyDescent="0.25">
      <c r="O970" s="74"/>
      <c r="P970" s="74"/>
      <c r="Q970" s="74"/>
      <c r="R970" s="74"/>
      <c r="V970" s="72"/>
    </row>
    <row r="971" spans="15:22" x14ac:dyDescent="0.25">
      <c r="O971" s="74"/>
      <c r="P971" s="74"/>
      <c r="Q971" s="74"/>
      <c r="R971" s="74"/>
      <c r="V971" s="72"/>
    </row>
    <row r="972" spans="15:22" x14ac:dyDescent="0.25">
      <c r="O972" s="74"/>
      <c r="P972" s="74"/>
      <c r="Q972" s="74"/>
      <c r="R972" s="74"/>
      <c r="V972" s="72"/>
    </row>
    <row r="973" spans="15:22" x14ac:dyDescent="0.25">
      <c r="O973" s="74"/>
      <c r="P973" s="74"/>
      <c r="Q973" s="74"/>
      <c r="R973" s="74"/>
      <c r="V973" s="72"/>
    </row>
    <row r="974" spans="15:22" x14ac:dyDescent="0.25">
      <c r="O974" s="74"/>
      <c r="P974" s="74"/>
      <c r="Q974" s="74"/>
      <c r="R974" s="74"/>
      <c r="V974" s="72"/>
    </row>
    <row r="975" spans="15:22" x14ac:dyDescent="0.25">
      <c r="O975" s="74"/>
      <c r="P975" s="74"/>
      <c r="Q975" s="74"/>
      <c r="R975" s="74"/>
      <c r="V975" s="72"/>
    </row>
    <row r="976" spans="15:22" x14ac:dyDescent="0.25">
      <c r="O976" s="74"/>
      <c r="P976" s="74"/>
      <c r="Q976" s="74"/>
      <c r="R976" s="74"/>
      <c r="V976" s="72"/>
    </row>
    <row r="977" spans="15:22" x14ac:dyDescent="0.25">
      <c r="O977" s="74"/>
      <c r="P977" s="74"/>
      <c r="Q977" s="74"/>
      <c r="R977" s="74"/>
      <c r="V977" s="72"/>
    </row>
    <row r="978" spans="15:22" x14ac:dyDescent="0.25">
      <c r="O978" s="74"/>
      <c r="P978" s="74"/>
      <c r="Q978" s="74"/>
      <c r="R978" s="74"/>
      <c r="V978" s="72"/>
    </row>
    <row r="979" spans="15:22" x14ac:dyDescent="0.25">
      <c r="O979" s="74"/>
      <c r="P979" s="74"/>
      <c r="Q979" s="74"/>
      <c r="R979" s="74"/>
      <c r="V979" s="72"/>
    </row>
    <row r="980" spans="15:22" x14ac:dyDescent="0.25">
      <c r="O980" s="74"/>
      <c r="P980" s="74"/>
      <c r="Q980" s="74"/>
      <c r="R980" s="74"/>
      <c r="V980" s="72"/>
    </row>
    <row r="981" spans="15:22" x14ac:dyDescent="0.25">
      <c r="O981" s="74"/>
      <c r="P981" s="74"/>
      <c r="Q981" s="74"/>
      <c r="R981" s="74"/>
      <c r="V981" s="72"/>
    </row>
    <row r="982" spans="15:22" x14ac:dyDescent="0.25">
      <c r="O982" s="74"/>
      <c r="P982" s="74"/>
      <c r="Q982" s="74"/>
      <c r="R982" s="74"/>
      <c r="V982" s="72"/>
    </row>
    <row r="983" spans="15:22" x14ac:dyDescent="0.25">
      <c r="O983" s="74"/>
      <c r="P983" s="74"/>
      <c r="Q983" s="74"/>
      <c r="R983" s="74"/>
      <c r="V983" s="72"/>
    </row>
    <row r="984" spans="15:22" x14ac:dyDescent="0.25">
      <c r="O984" s="74"/>
      <c r="P984" s="74"/>
      <c r="Q984" s="74"/>
      <c r="R984" s="74"/>
      <c r="V984" s="72"/>
    </row>
    <row r="985" spans="15:22" x14ac:dyDescent="0.25">
      <c r="O985" s="74"/>
      <c r="P985" s="74"/>
      <c r="Q985" s="74"/>
      <c r="R985" s="74"/>
      <c r="V985" s="72"/>
    </row>
    <row r="986" spans="15:22" x14ac:dyDescent="0.25">
      <c r="O986" s="74"/>
      <c r="P986" s="74"/>
      <c r="Q986" s="74"/>
      <c r="R986" s="74"/>
      <c r="V986" s="72"/>
    </row>
    <row r="987" spans="15:22" x14ac:dyDescent="0.25">
      <c r="O987" s="74"/>
      <c r="P987" s="74"/>
      <c r="Q987" s="74"/>
      <c r="R987" s="74"/>
      <c r="V987" s="72"/>
    </row>
    <row r="988" spans="15:22" x14ac:dyDescent="0.25">
      <c r="O988" s="74"/>
      <c r="P988" s="74"/>
      <c r="Q988" s="74"/>
      <c r="R988" s="74"/>
      <c r="V988" s="72"/>
    </row>
    <row r="989" spans="15:22" x14ac:dyDescent="0.25">
      <c r="O989" s="74"/>
      <c r="P989" s="74"/>
      <c r="Q989" s="74"/>
      <c r="R989" s="74"/>
      <c r="V989" s="72"/>
    </row>
    <row r="990" spans="15:22" x14ac:dyDescent="0.25">
      <c r="O990" s="74"/>
      <c r="P990" s="74"/>
      <c r="Q990" s="74"/>
      <c r="R990" s="74"/>
      <c r="V990" s="72"/>
    </row>
    <row r="991" spans="15:22" x14ac:dyDescent="0.25">
      <c r="O991" s="74"/>
      <c r="P991" s="74"/>
      <c r="Q991" s="74"/>
      <c r="R991" s="74"/>
      <c r="V991" s="72"/>
    </row>
    <row r="992" spans="15:22" x14ac:dyDescent="0.25">
      <c r="O992" s="74"/>
      <c r="P992" s="74"/>
      <c r="Q992" s="74"/>
      <c r="R992" s="74"/>
      <c r="V992" s="72"/>
    </row>
    <row r="993" spans="15:22" x14ac:dyDescent="0.25">
      <c r="O993" s="74"/>
      <c r="P993" s="74"/>
      <c r="Q993" s="74"/>
      <c r="R993" s="74"/>
      <c r="V993" s="72"/>
    </row>
    <row r="994" spans="15:22" x14ac:dyDescent="0.25">
      <c r="O994" s="74"/>
      <c r="P994" s="74"/>
      <c r="Q994" s="74"/>
      <c r="R994" s="74"/>
      <c r="V994" s="72"/>
    </row>
    <row r="995" spans="15:22" x14ac:dyDescent="0.25">
      <c r="O995" s="74"/>
      <c r="P995" s="74"/>
      <c r="Q995" s="74"/>
      <c r="R995" s="74"/>
      <c r="V995" s="72"/>
    </row>
    <row r="996" spans="15:22" x14ac:dyDescent="0.25">
      <c r="O996" s="74"/>
      <c r="P996" s="74"/>
      <c r="Q996" s="74"/>
      <c r="R996" s="74"/>
      <c r="V996" s="72"/>
    </row>
    <row r="997" spans="15:22" x14ac:dyDescent="0.25">
      <c r="O997" s="74"/>
      <c r="P997" s="74"/>
      <c r="Q997" s="74"/>
      <c r="R997" s="74"/>
      <c r="V997" s="72"/>
    </row>
    <row r="998" spans="15:22" x14ac:dyDescent="0.25">
      <c r="O998" s="74"/>
      <c r="P998" s="74"/>
      <c r="Q998" s="74"/>
      <c r="R998" s="74"/>
      <c r="V998" s="72"/>
    </row>
    <row r="999" spans="15:22" x14ac:dyDescent="0.25">
      <c r="O999" s="74"/>
      <c r="P999" s="74"/>
      <c r="Q999" s="74"/>
      <c r="R999" s="74"/>
      <c r="V999" s="72"/>
    </row>
    <row r="1000" spans="15:22" x14ac:dyDescent="0.25">
      <c r="O1000" s="74"/>
      <c r="P1000" s="74"/>
      <c r="Q1000" s="74"/>
      <c r="R1000" s="74"/>
      <c r="V1000" s="72"/>
    </row>
    <row r="1001" spans="15:22" x14ac:dyDescent="0.25">
      <c r="O1001" s="74"/>
      <c r="P1001" s="74"/>
      <c r="Q1001" s="74"/>
      <c r="R1001" s="74"/>
      <c r="V1001" s="72"/>
    </row>
    <row r="1002" spans="15:22" x14ac:dyDescent="0.25">
      <c r="O1002" s="74"/>
      <c r="P1002" s="74"/>
      <c r="Q1002" s="74"/>
      <c r="R1002" s="74"/>
      <c r="V1002" s="72"/>
    </row>
    <row r="1003" spans="15:22" x14ac:dyDescent="0.25">
      <c r="O1003" s="74"/>
      <c r="P1003" s="74"/>
      <c r="Q1003" s="74"/>
      <c r="R1003" s="74"/>
      <c r="V1003" s="72"/>
    </row>
    <row r="1004" spans="15:22" x14ac:dyDescent="0.25">
      <c r="O1004" s="74"/>
      <c r="P1004" s="74"/>
      <c r="Q1004" s="74"/>
      <c r="R1004" s="74"/>
      <c r="V1004" s="72"/>
    </row>
    <row r="1005" spans="15:22" x14ac:dyDescent="0.25">
      <c r="O1005" s="74"/>
      <c r="P1005" s="74"/>
      <c r="Q1005" s="74"/>
      <c r="R1005" s="74"/>
      <c r="V1005" s="72"/>
    </row>
    <row r="1006" spans="15:22" x14ac:dyDescent="0.25">
      <c r="O1006" s="74"/>
      <c r="P1006" s="74"/>
      <c r="Q1006" s="74"/>
      <c r="R1006" s="74"/>
      <c r="V1006" s="72"/>
    </row>
    <row r="1007" spans="15:22" x14ac:dyDescent="0.25">
      <c r="O1007" s="74"/>
      <c r="P1007" s="74"/>
      <c r="Q1007" s="74"/>
      <c r="R1007" s="74"/>
      <c r="V1007" s="72"/>
    </row>
    <row r="1008" spans="15:22" x14ac:dyDescent="0.25">
      <c r="O1008" s="74"/>
      <c r="P1008" s="74"/>
      <c r="Q1008" s="74"/>
      <c r="R1008" s="74"/>
      <c r="V1008" s="72"/>
    </row>
    <row r="1009" spans="15:22" x14ac:dyDescent="0.25">
      <c r="O1009" s="74"/>
      <c r="P1009" s="74"/>
      <c r="Q1009" s="74"/>
      <c r="R1009" s="74"/>
      <c r="V1009" s="72"/>
    </row>
    <row r="1010" spans="15:22" x14ac:dyDescent="0.25">
      <c r="O1010" s="74"/>
      <c r="P1010" s="74"/>
      <c r="Q1010" s="74"/>
      <c r="R1010" s="74"/>
      <c r="V1010" s="72"/>
    </row>
    <row r="1011" spans="15:22" x14ac:dyDescent="0.25">
      <c r="O1011" s="74"/>
      <c r="P1011" s="74"/>
      <c r="Q1011" s="74"/>
      <c r="R1011" s="74"/>
      <c r="V1011" s="72"/>
    </row>
    <row r="1012" spans="15:22" x14ac:dyDescent="0.25">
      <c r="O1012" s="74"/>
      <c r="P1012" s="74"/>
      <c r="Q1012" s="74"/>
      <c r="R1012" s="74"/>
      <c r="V1012" s="72"/>
    </row>
    <row r="1013" spans="15:22" x14ac:dyDescent="0.25">
      <c r="O1013" s="74"/>
      <c r="P1013" s="74"/>
      <c r="Q1013" s="74"/>
      <c r="R1013" s="74"/>
      <c r="V1013" s="72"/>
    </row>
    <row r="1014" spans="15:22" x14ac:dyDescent="0.25">
      <c r="O1014" s="74"/>
      <c r="P1014" s="74"/>
      <c r="Q1014" s="74"/>
      <c r="R1014" s="74"/>
      <c r="V1014" s="72"/>
    </row>
    <row r="1015" spans="15:22" x14ac:dyDescent="0.25">
      <c r="O1015" s="74"/>
      <c r="P1015" s="74"/>
      <c r="Q1015" s="74"/>
      <c r="R1015" s="74"/>
      <c r="V1015" s="72"/>
    </row>
    <row r="1016" spans="15:22" x14ac:dyDescent="0.25">
      <c r="O1016" s="74"/>
      <c r="P1016" s="74"/>
      <c r="Q1016" s="74"/>
      <c r="R1016" s="74"/>
      <c r="V1016" s="72"/>
    </row>
    <row r="1017" spans="15:22" x14ac:dyDescent="0.25">
      <c r="O1017" s="74"/>
      <c r="P1017" s="74"/>
      <c r="Q1017" s="74"/>
      <c r="R1017" s="74"/>
      <c r="V1017" s="72"/>
    </row>
    <row r="1018" spans="15:22" x14ac:dyDescent="0.25">
      <c r="O1018" s="74"/>
      <c r="P1018" s="74"/>
      <c r="Q1018" s="74"/>
      <c r="R1018" s="74"/>
      <c r="V1018" s="72"/>
    </row>
    <row r="1019" spans="15:22" x14ac:dyDescent="0.25">
      <c r="O1019" s="74"/>
      <c r="P1019" s="74"/>
      <c r="Q1019" s="74"/>
      <c r="R1019" s="74"/>
      <c r="V1019" s="72"/>
    </row>
    <row r="1020" spans="15:22" x14ac:dyDescent="0.25">
      <c r="O1020" s="74"/>
      <c r="P1020" s="74"/>
      <c r="Q1020" s="74"/>
      <c r="R1020" s="74"/>
      <c r="V1020" s="72"/>
    </row>
    <row r="1021" spans="15:22" x14ac:dyDescent="0.25">
      <c r="O1021" s="74"/>
      <c r="P1021" s="74"/>
      <c r="Q1021" s="74"/>
      <c r="R1021" s="74"/>
      <c r="V1021" s="72"/>
    </row>
    <row r="1022" spans="15:22" x14ac:dyDescent="0.25">
      <c r="O1022" s="74"/>
      <c r="P1022" s="74"/>
      <c r="Q1022" s="74"/>
      <c r="R1022" s="74"/>
      <c r="V1022" s="72"/>
    </row>
    <row r="1023" spans="15:22" x14ac:dyDescent="0.25">
      <c r="O1023" s="74"/>
      <c r="P1023" s="74"/>
      <c r="Q1023" s="74"/>
      <c r="R1023" s="74"/>
      <c r="V1023" s="72"/>
    </row>
    <row r="1024" spans="15:22" x14ac:dyDescent="0.25">
      <c r="O1024" s="74"/>
      <c r="P1024" s="74"/>
      <c r="Q1024" s="74"/>
      <c r="R1024" s="74"/>
      <c r="V1024" s="72"/>
    </row>
    <row r="1025" spans="15:22" x14ac:dyDescent="0.25">
      <c r="O1025" s="74"/>
      <c r="P1025" s="74"/>
      <c r="Q1025" s="74"/>
      <c r="R1025" s="74"/>
      <c r="V1025" s="72"/>
    </row>
    <row r="1026" spans="15:22" x14ac:dyDescent="0.25">
      <c r="O1026" s="74"/>
      <c r="P1026" s="74"/>
      <c r="Q1026" s="74"/>
      <c r="R1026" s="74"/>
      <c r="V1026" s="72"/>
    </row>
    <row r="1027" spans="15:22" x14ac:dyDescent="0.25">
      <c r="O1027" s="74"/>
      <c r="P1027" s="74"/>
      <c r="Q1027" s="74"/>
      <c r="R1027" s="74"/>
      <c r="V1027" s="72"/>
    </row>
    <row r="1028" spans="15:22" x14ac:dyDescent="0.25">
      <c r="O1028" s="74"/>
      <c r="P1028" s="74"/>
      <c r="Q1028" s="74"/>
      <c r="R1028" s="74"/>
      <c r="V1028" s="72"/>
    </row>
    <row r="1029" spans="15:22" x14ac:dyDescent="0.25">
      <c r="O1029" s="74"/>
      <c r="P1029" s="74"/>
      <c r="Q1029" s="74"/>
      <c r="R1029" s="74"/>
      <c r="V1029" s="72"/>
    </row>
    <row r="1030" spans="15:22" x14ac:dyDescent="0.25">
      <c r="O1030" s="74"/>
      <c r="P1030" s="74"/>
      <c r="Q1030" s="74"/>
      <c r="R1030" s="74"/>
      <c r="V1030" s="72"/>
    </row>
    <row r="1031" spans="15:22" x14ac:dyDescent="0.25">
      <c r="O1031" s="74"/>
      <c r="P1031" s="74"/>
      <c r="Q1031" s="74"/>
      <c r="R1031" s="74"/>
      <c r="V1031" s="72"/>
    </row>
    <row r="1032" spans="15:22" x14ac:dyDescent="0.25">
      <c r="O1032" s="74"/>
      <c r="P1032" s="74"/>
      <c r="Q1032" s="74"/>
      <c r="R1032" s="74"/>
      <c r="V1032" s="72"/>
    </row>
    <row r="1033" spans="15:22" x14ac:dyDescent="0.25">
      <c r="O1033" s="74"/>
      <c r="P1033" s="74"/>
      <c r="Q1033" s="74"/>
      <c r="R1033" s="74"/>
      <c r="V1033" s="72"/>
    </row>
    <row r="1034" spans="15:22" x14ac:dyDescent="0.25">
      <c r="O1034" s="74"/>
      <c r="P1034" s="74"/>
      <c r="Q1034" s="74"/>
      <c r="R1034" s="74"/>
      <c r="V1034" s="72"/>
    </row>
    <row r="1035" spans="15:22" x14ac:dyDescent="0.25">
      <c r="O1035" s="74"/>
      <c r="P1035" s="74"/>
      <c r="Q1035" s="74"/>
      <c r="R1035" s="74"/>
      <c r="V1035" s="72"/>
    </row>
    <row r="1036" spans="15:22" x14ac:dyDescent="0.25">
      <c r="O1036" s="74"/>
      <c r="P1036" s="74"/>
      <c r="Q1036" s="74"/>
      <c r="R1036" s="74"/>
      <c r="V1036" s="72"/>
    </row>
    <row r="1037" spans="15:22" x14ac:dyDescent="0.25">
      <c r="O1037" s="74"/>
      <c r="P1037" s="74"/>
      <c r="Q1037" s="74"/>
      <c r="R1037" s="74"/>
      <c r="V1037" s="72"/>
    </row>
    <row r="1038" spans="15:22" x14ac:dyDescent="0.25">
      <c r="O1038" s="74"/>
      <c r="P1038" s="74"/>
      <c r="Q1038" s="74"/>
      <c r="R1038" s="74"/>
      <c r="V1038" s="72"/>
    </row>
    <row r="1039" spans="15:22" x14ac:dyDescent="0.25">
      <c r="O1039" s="74"/>
      <c r="P1039" s="74"/>
      <c r="Q1039" s="74"/>
      <c r="R1039" s="74"/>
      <c r="V1039" s="72"/>
    </row>
    <row r="1040" spans="15:22" x14ac:dyDescent="0.25">
      <c r="O1040" s="74"/>
      <c r="P1040" s="74"/>
      <c r="Q1040" s="74"/>
      <c r="R1040" s="74"/>
      <c r="V1040" s="72"/>
    </row>
    <row r="1041" spans="15:22" x14ac:dyDescent="0.25">
      <c r="O1041" s="74"/>
      <c r="P1041" s="74"/>
      <c r="Q1041" s="74"/>
      <c r="R1041" s="74"/>
      <c r="V1041" s="72"/>
    </row>
    <row r="1042" spans="15:22" x14ac:dyDescent="0.25">
      <c r="O1042" s="74"/>
      <c r="P1042" s="74"/>
      <c r="Q1042" s="74"/>
      <c r="R1042" s="74"/>
      <c r="V1042" s="72"/>
    </row>
    <row r="1043" spans="15:22" x14ac:dyDescent="0.25">
      <c r="O1043" s="74"/>
      <c r="P1043" s="74"/>
      <c r="Q1043" s="74"/>
      <c r="R1043" s="74"/>
      <c r="V1043" s="72"/>
    </row>
    <row r="1044" spans="15:22" x14ac:dyDescent="0.25">
      <c r="O1044" s="74"/>
      <c r="P1044" s="74"/>
      <c r="Q1044" s="74"/>
      <c r="R1044" s="74"/>
      <c r="V1044" s="72"/>
    </row>
    <row r="1045" spans="15:22" x14ac:dyDescent="0.25">
      <c r="O1045" s="74"/>
      <c r="P1045" s="74"/>
      <c r="Q1045" s="74"/>
      <c r="R1045" s="74"/>
      <c r="V1045" s="72"/>
    </row>
    <row r="1046" spans="15:22" x14ac:dyDescent="0.25">
      <c r="O1046" s="74"/>
      <c r="P1046" s="74"/>
      <c r="Q1046" s="74"/>
      <c r="R1046" s="74"/>
      <c r="V1046" s="72"/>
    </row>
    <row r="1047" spans="15:22" x14ac:dyDescent="0.25">
      <c r="O1047" s="74"/>
      <c r="P1047" s="74"/>
      <c r="Q1047" s="74"/>
      <c r="R1047" s="74"/>
      <c r="V1047" s="72"/>
    </row>
    <row r="1048" spans="15:22" x14ac:dyDescent="0.25">
      <c r="O1048" s="74"/>
      <c r="P1048" s="74"/>
      <c r="Q1048" s="74"/>
      <c r="R1048" s="74"/>
      <c r="V1048" s="72"/>
    </row>
    <row r="1049" spans="15:22" x14ac:dyDescent="0.25">
      <c r="O1049" s="74"/>
      <c r="P1049" s="74"/>
      <c r="Q1049" s="74"/>
      <c r="R1049" s="74"/>
      <c r="V1049" s="72"/>
    </row>
    <row r="1050" spans="15:22" x14ac:dyDescent="0.25">
      <c r="O1050" s="74"/>
      <c r="P1050" s="74"/>
      <c r="Q1050" s="74"/>
      <c r="R1050" s="74"/>
      <c r="V1050" s="72"/>
    </row>
    <row r="1051" spans="15:22" x14ac:dyDescent="0.25">
      <c r="O1051" s="74"/>
      <c r="P1051" s="74"/>
      <c r="Q1051" s="74"/>
      <c r="R1051" s="74"/>
      <c r="V1051" s="72"/>
    </row>
    <row r="1052" spans="15:22" x14ac:dyDescent="0.25">
      <c r="O1052" s="74"/>
      <c r="P1052" s="74"/>
      <c r="Q1052" s="74"/>
      <c r="R1052" s="74"/>
      <c r="V1052" s="72"/>
    </row>
    <row r="1053" spans="15:22" x14ac:dyDescent="0.25">
      <c r="O1053" s="74"/>
      <c r="P1053" s="74"/>
      <c r="Q1053" s="74"/>
      <c r="R1053" s="74"/>
      <c r="V1053" s="72"/>
    </row>
    <row r="1054" spans="15:22" x14ac:dyDescent="0.25">
      <c r="O1054" s="74"/>
      <c r="P1054" s="74"/>
      <c r="Q1054" s="74"/>
      <c r="R1054" s="74"/>
      <c r="V1054" s="72"/>
    </row>
    <row r="1055" spans="15:22" x14ac:dyDescent="0.25">
      <c r="O1055" s="74"/>
      <c r="P1055" s="74"/>
      <c r="Q1055" s="74"/>
      <c r="R1055" s="74"/>
      <c r="V1055" s="72"/>
    </row>
    <row r="1056" spans="15:22" x14ac:dyDescent="0.25">
      <c r="O1056" s="74"/>
      <c r="P1056" s="74"/>
      <c r="Q1056" s="74"/>
      <c r="R1056" s="74"/>
      <c r="V1056" s="72"/>
    </row>
    <row r="1057" spans="15:22" x14ac:dyDescent="0.25">
      <c r="O1057" s="74"/>
      <c r="P1057" s="74"/>
      <c r="Q1057" s="74"/>
      <c r="R1057" s="74"/>
      <c r="V1057" s="72"/>
    </row>
    <row r="1058" spans="15:22" x14ac:dyDescent="0.25">
      <c r="O1058" s="74"/>
      <c r="P1058" s="74"/>
      <c r="Q1058" s="74"/>
      <c r="R1058" s="74"/>
      <c r="V1058" s="72"/>
    </row>
    <row r="1059" spans="15:22" x14ac:dyDescent="0.25">
      <c r="O1059" s="74"/>
      <c r="P1059" s="74"/>
      <c r="Q1059" s="74"/>
      <c r="R1059" s="74"/>
      <c r="V1059" s="72"/>
    </row>
    <row r="1060" spans="15:22" x14ac:dyDescent="0.25">
      <c r="O1060" s="74"/>
      <c r="P1060" s="74"/>
      <c r="Q1060" s="74"/>
      <c r="R1060" s="74"/>
      <c r="V1060" s="72"/>
    </row>
    <row r="1061" spans="15:22" x14ac:dyDescent="0.25">
      <c r="O1061" s="74"/>
      <c r="P1061" s="74"/>
      <c r="Q1061" s="74"/>
      <c r="R1061" s="74"/>
      <c r="V1061" s="72"/>
    </row>
    <row r="1062" spans="15:22" x14ac:dyDescent="0.25">
      <c r="O1062" s="74"/>
      <c r="P1062" s="74"/>
      <c r="Q1062" s="74"/>
      <c r="R1062" s="74"/>
      <c r="V1062" s="72"/>
    </row>
    <row r="1063" spans="15:22" x14ac:dyDescent="0.25">
      <c r="O1063" s="74"/>
      <c r="P1063" s="74"/>
      <c r="Q1063" s="74"/>
      <c r="R1063" s="74"/>
      <c r="V1063" s="72"/>
    </row>
    <row r="1064" spans="15:22" x14ac:dyDescent="0.25">
      <c r="O1064" s="74"/>
      <c r="P1064" s="74"/>
      <c r="Q1064" s="74"/>
      <c r="R1064" s="74"/>
      <c r="V1064" s="72"/>
    </row>
    <row r="1065" spans="15:22" x14ac:dyDescent="0.25">
      <c r="O1065" s="74"/>
      <c r="P1065" s="74"/>
      <c r="Q1065" s="74"/>
      <c r="R1065" s="74"/>
      <c r="V1065" s="72"/>
    </row>
    <row r="1066" spans="15:22" x14ac:dyDescent="0.25">
      <c r="O1066" s="74"/>
      <c r="P1066" s="74"/>
      <c r="Q1066" s="74"/>
      <c r="R1066" s="74"/>
      <c r="V1066" s="72"/>
    </row>
    <row r="1067" spans="15:22" x14ac:dyDescent="0.25">
      <c r="O1067" s="74"/>
      <c r="P1067" s="74"/>
      <c r="Q1067" s="74"/>
      <c r="R1067" s="74"/>
      <c r="V1067" s="72"/>
    </row>
    <row r="1068" spans="15:22" x14ac:dyDescent="0.25">
      <c r="O1068" s="74"/>
      <c r="P1068" s="74"/>
      <c r="Q1068" s="74"/>
      <c r="R1068" s="74"/>
      <c r="V1068" s="72"/>
    </row>
    <row r="1069" spans="15:22" x14ac:dyDescent="0.25">
      <c r="O1069" s="74"/>
      <c r="P1069" s="74"/>
      <c r="Q1069" s="74"/>
      <c r="R1069" s="74"/>
      <c r="V1069" s="72"/>
    </row>
    <row r="1070" spans="15:22" x14ac:dyDescent="0.25">
      <c r="O1070" s="74"/>
      <c r="P1070" s="74"/>
      <c r="Q1070" s="74"/>
      <c r="R1070" s="74"/>
      <c r="V1070" s="72"/>
    </row>
    <row r="1071" spans="15:22" x14ac:dyDescent="0.25">
      <c r="O1071" s="74"/>
      <c r="P1071" s="74"/>
      <c r="Q1071" s="74"/>
      <c r="R1071" s="74"/>
      <c r="V1071" s="72"/>
    </row>
    <row r="1072" spans="15:22" x14ac:dyDescent="0.25">
      <c r="O1072" s="74"/>
      <c r="P1072" s="74"/>
      <c r="Q1072" s="74"/>
      <c r="R1072" s="74"/>
      <c r="V1072" s="72"/>
    </row>
    <row r="1073" spans="15:22" x14ac:dyDescent="0.25">
      <c r="O1073" s="74"/>
      <c r="P1073" s="74"/>
      <c r="Q1073" s="74"/>
      <c r="R1073" s="74"/>
      <c r="V1073" s="72"/>
    </row>
    <row r="1074" spans="15:22" x14ac:dyDescent="0.25">
      <c r="O1074" s="74"/>
      <c r="P1074" s="74"/>
      <c r="Q1074" s="74"/>
      <c r="R1074" s="74"/>
      <c r="V1074" s="72"/>
    </row>
    <row r="1075" spans="15:22" x14ac:dyDescent="0.25">
      <c r="O1075" s="74"/>
      <c r="P1075" s="74"/>
      <c r="Q1075" s="74"/>
      <c r="R1075" s="74"/>
      <c r="V1075" s="72"/>
    </row>
    <row r="1076" spans="15:22" x14ac:dyDescent="0.25">
      <c r="O1076" s="74"/>
      <c r="P1076" s="74"/>
      <c r="Q1076" s="74"/>
      <c r="R1076" s="74"/>
      <c r="V1076" s="72"/>
    </row>
    <row r="1077" spans="15:22" x14ac:dyDescent="0.25">
      <c r="O1077" s="74"/>
      <c r="P1077" s="74"/>
      <c r="Q1077" s="74"/>
      <c r="R1077" s="74"/>
      <c r="V1077" s="72"/>
    </row>
    <row r="1078" spans="15:22" x14ac:dyDescent="0.25">
      <c r="O1078" s="74"/>
      <c r="P1078" s="74"/>
      <c r="Q1078" s="74"/>
      <c r="R1078" s="74"/>
      <c r="V1078" s="72"/>
    </row>
    <row r="1079" spans="15:22" x14ac:dyDescent="0.25">
      <c r="O1079" s="74"/>
      <c r="P1079" s="74"/>
      <c r="Q1079" s="74"/>
      <c r="R1079" s="74"/>
      <c r="V1079" s="72"/>
    </row>
    <row r="1080" spans="15:22" x14ac:dyDescent="0.25">
      <c r="O1080" s="74"/>
      <c r="P1080" s="74"/>
      <c r="Q1080" s="74"/>
      <c r="R1080" s="74"/>
      <c r="V1080" s="72"/>
    </row>
    <row r="1081" spans="15:22" x14ac:dyDescent="0.25">
      <c r="O1081" s="74"/>
      <c r="P1081" s="74"/>
      <c r="Q1081" s="74"/>
      <c r="R1081" s="74"/>
      <c r="V1081" s="72"/>
    </row>
    <row r="1082" spans="15:22" x14ac:dyDescent="0.25">
      <c r="O1082" s="74"/>
      <c r="P1082" s="74"/>
      <c r="Q1082" s="74"/>
      <c r="R1082" s="74"/>
      <c r="V1082" s="72"/>
    </row>
    <row r="1083" spans="15:22" x14ac:dyDescent="0.25">
      <c r="O1083" s="74"/>
      <c r="P1083" s="74"/>
      <c r="Q1083" s="74"/>
      <c r="R1083" s="74"/>
      <c r="V1083" s="72"/>
    </row>
    <row r="1084" spans="15:22" x14ac:dyDescent="0.25">
      <c r="O1084" s="74"/>
      <c r="P1084" s="74"/>
      <c r="Q1084" s="74"/>
      <c r="R1084" s="74"/>
      <c r="V1084" s="72"/>
    </row>
    <row r="1085" spans="15:22" x14ac:dyDescent="0.25">
      <c r="O1085" s="74"/>
      <c r="P1085" s="74"/>
      <c r="Q1085" s="74"/>
      <c r="R1085" s="74"/>
      <c r="V1085" s="72"/>
    </row>
    <row r="1086" spans="15:22" x14ac:dyDescent="0.25">
      <c r="O1086" s="74"/>
      <c r="P1086" s="74"/>
      <c r="Q1086" s="74"/>
      <c r="R1086" s="74"/>
      <c r="V1086" s="72"/>
    </row>
    <row r="1087" spans="15:22" x14ac:dyDescent="0.25">
      <c r="O1087" s="74"/>
      <c r="P1087" s="74"/>
      <c r="Q1087" s="74"/>
      <c r="R1087" s="74"/>
      <c r="V1087" s="72"/>
    </row>
    <row r="1088" spans="15:22" x14ac:dyDescent="0.25">
      <c r="O1088" s="74"/>
      <c r="P1088" s="74"/>
      <c r="Q1088" s="74"/>
      <c r="R1088" s="74"/>
      <c r="V1088" s="72"/>
    </row>
    <row r="1089" spans="15:22" x14ac:dyDescent="0.25">
      <c r="O1089" s="74"/>
      <c r="P1089" s="74"/>
      <c r="Q1089" s="74"/>
      <c r="R1089" s="74"/>
      <c r="V1089" s="72"/>
    </row>
    <row r="1090" spans="15:22" x14ac:dyDescent="0.25">
      <c r="O1090" s="74"/>
      <c r="P1090" s="74"/>
      <c r="Q1090" s="74"/>
      <c r="R1090" s="74"/>
      <c r="V1090" s="72"/>
    </row>
    <row r="1091" spans="15:22" x14ac:dyDescent="0.25">
      <c r="O1091" s="74"/>
      <c r="P1091" s="74"/>
      <c r="Q1091" s="74"/>
      <c r="R1091" s="74"/>
      <c r="V1091" s="72"/>
    </row>
    <row r="1092" spans="15:22" x14ac:dyDescent="0.25">
      <c r="O1092" s="74"/>
      <c r="P1092" s="74"/>
      <c r="Q1092" s="74"/>
      <c r="R1092" s="74"/>
      <c r="V1092" s="72"/>
    </row>
    <row r="1093" spans="15:22" x14ac:dyDescent="0.25">
      <c r="O1093" s="74"/>
      <c r="P1093" s="74"/>
      <c r="Q1093" s="74"/>
      <c r="R1093" s="74"/>
      <c r="V1093" s="72"/>
    </row>
    <row r="1094" spans="15:22" x14ac:dyDescent="0.25">
      <c r="O1094" s="74"/>
      <c r="P1094" s="74"/>
      <c r="Q1094" s="74"/>
      <c r="R1094" s="74"/>
      <c r="V1094" s="72"/>
    </row>
    <row r="1095" spans="15:22" x14ac:dyDescent="0.25">
      <c r="O1095" s="74"/>
      <c r="P1095" s="74"/>
      <c r="Q1095" s="74"/>
      <c r="R1095" s="74"/>
      <c r="V1095" s="72"/>
    </row>
    <row r="1096" spans="15:22" x14ac:dyDescent="0.25">
      <c r="O1096" s="74"/>
      <c r="P1096" s="74"/>
      <c r="Q1096" s="74"/>
      <c r="R1096" s="74"/>
      <c r="V1096" s="72"/>
    </row>
    <row r="1097" spans="15:22" x14ac:dyDescent="0.25">
      <c r="O1097" s="74"/>
      <c r="P1097" s="74"/>
      <c r="Q1097" s="74"/>
      <c r="R1097" s="74"/>
      <c r="V1097" s="72"/>
    </row>
    <row r="1098" spans="15:22" x14ac:dyDescent="0.25">
      <c r="O1098" s="74"/>
      <c r="P1098" s="74"/>
      <c r="Q1098" s="74"/>
      <c r="R1098" s="74"/>
      <c r="V1098" s="72"/>
    </row>
    <row r="1099" spans="15:22" x14ac:dyDescent="0.25">
      <c r="O1099" s="74"/>
      <c r="P1099" s="74"/>
      <c r="Q1099" s="74"/>
      <c r="R1099" s="74"/>
      <c r="V1099" s="72"/>
    </row>
    <row r="1100" spans="15:22" x14ac:dyDescent="0.25">
      <c r="O1100" s="74"/>
      <c r="P1100" s="74"/>
      <c r="Q1100" s="74"/>
      <c r="R1100" s="74"/>
      <c r="V1100" s="72"/>
    </row>
    <row r="1101" spans="15:22" x14ac:dyDescent="0.25">
      <c r="O1101" s="74"/>
      <c r="P1101" s="74"/>
      <c r="Q1101" s="74"/>
      <c r="R1101" s="74"/>
      <c r="V1101" s="72"/>
    </row>
    <row r="1102" spans="15:22" x14ac:dyDescent="0.25">
      <c r="O1102" s="74"/>
      <c r="P1102" s="74"/>
      <c r="Q1102" s="74"/>
      <c r="R1102" s="74"/>
      <c r="V1102" s="72"/>
    </row>
    <row r="1103" spans="15:22" x14ac:dyDescent="0.25">
      <c r="O1103" s="74"/>
      <c r="P1103" s="74"/>
      <c r="Q1103" s="74"/>
      <c r="R1103" s="74"/>
      <c r="V1103" s="72"/>
    </row>
    <row r="1104" spans="15:22" x14ac:dyDescent="0.25">
      <c r="O1104" s="74"/>
      <c r="P1104" s="74"/>
      <c r="Q1104" s="74"/>
      <c r="R1104" s="74"/>
      <c r="V1104" s="72"/>
    </row>
    <row r="1105" spans="15:22" x14ac:dyDescent="0.25">
      <c r="O1105" s="74"/>
      <c r="P1105" s="74"/>
      <c r="Q1105" s="74"/>
      <c r="R1105" s="74"/>
      <c r="V1105" s="72"/>
    </row>
    <row r="1106" spans="15:22" x14ac:dyDescent="0.25">
      <c r="O1106" s="74"/>
      <c r="P1106" s="74"/>
      <c r="Q1106" s="74"/>
      <c r="R1106" s="74"/>
      <c r="V1106" s="72"/>
    </row>
    <row r="1107" spans="15:22" x14ac:dyDescent="0.25">
      <c r="O1107" s="74"/>
      <c r="P1107" s="74"/>
      <c r="Q1107" s="74"/>
      <c r="R1107" s="74"/>
      <c r="V1107" s="72"/>
    </row>
    <row r="1108" spans="15:22" x14ac:dyDescent="0.25">
      <c r="O1108" s="74"/>
      <c r="P1108" s="74"/>
      <c r="Q1108" s="74"/>
      <c r="R1108" s="74"/>
      <c r="V1108" s="72"/>
    </row>
    <row r="1109" spans="15:22" x14ac:dyDescent="0.25">
      <c r="O1109" s="74"/>
      <c r="P1109" s="74"/>
      <c r="Q1109" s="74"/>
      <c r="R1109" s="74"/>
      <c r="V1109" s="72"/>
    </row>
    <row r="1110" spans="15:22" x14ac:dyDescent="0.25">
      <c r="O1110" s="74"/>
      <c r="P1110" s="74"/>
      <c r="Q1110" s="74"/>
      <c r="R1110" s="74"/>
      <c r="V1110" s="72"/>
    </row>
    <row r="1111" spans="15:22" x14ac:dyDescent="0.25">
      <c r="O1111" s="74"/>
      <c r="P1111" s="74"/>
      <c r="Q1111" s="74"/>
      <c r="R1111" s="74"/>
      <c r="V1111" s="72"/>
    </row>
    <row r="1112" spans="15:22" x14ac:dyDescent="0.25">
      <c r="O1112" s="74"/>
      <c r="P1112" s="74"/>
      <c r="Q1112" s="74"/>
      <c r="R1112" s="74"/>
      <c r="V1112" s="72"/>
    </row>
    <row r="1113" spans="15:22" x14ac:dyDescent="0.25">
      <c r="O1113" s="74"/>
      <c r="P1113" s="74"/>
      <c r="Q1113" s="74"/>
      <c r="R1113" s="74"/>
      <c r="V1113" s="72"/>
    </row>
    <row r="1114" spans="15:22" x14ac:dyDescent="0.25">
      <c r="O1114" s="74"/>
      <c r="P1114" s="74"/>
      <c r="Q1114" s="74"/>
      <c r="R1114" s="74"/>
      <c r="V1114" s="72"/>
    </row>
    <row r="1115" spans="15:22" x14ac:dyDescent="0.25">
      <c r="O1115" s="74"/>
      <c r="P1115" s="74"/>
      <c r="Q1115" s="74"/>
      <c r="R1115" s="74"/>
      <c r="V1115" s="72"/>
    </row>
    <row r="1116" spans="15:22" x14ac:dyDescent="0.25">
      <c r="O1116" s="74"/>
      <c r="P1116" s="74"/>
      <c r="Q1116" s="74"/>
      <c r="R1116" s="74"/>
      <c r="V1116" s="72"/>
    </row>
    <row r="1117" spans="15:22" x14ac:dyDescent="0.25">
      <c r="O1117" s="74"/>
      <c r="P1117" s="74"/>
      <c r="Q1117" s="74"/>
      <c r="R1117" s="74"/>
      <c r="V1117" s="72"/>
    </row>
    <row r="1118" spans="15:22" x14ac:dyDescent="0.25">
      <c r="O1118" s="74"/>
      <c r="P1118" s="74"/>
      <c r="Q1118" s="74"/>
      <c r="R1118" s="74"/>
      <c r="V1118" s="72"/>
    </row>
    <row r="1119" spans="15:22" x14ac:dyDescent="0.25">
      <c r="O1119" s="74"/>
      <c r="P1119" s="74"/>
      <c r="Q1119" s="74"/>
      <c r="R1119" s="74"/>
      <c r="V1119" s="72"/>
    </row>
    <row r="1120" spans="15:22" x14ac:dyDescent="0.25">
      <c r="O1120" s="74"/>
      <c r="P1120" s="74"/>
      <c r="Q1120" s="74"/>
      <c r="R1120" s="74"/>
      <c r="V1120" s="72"/>
    </row>
    <row r="1121" spans="15:22" x14ac:dyDescent="0.25">
      <c r="O1121" s="74"/>
      <c r="P1121" s="74"/>
      <c r="Q1121" s="74"/>
      <c r="R1121" s="74"/>
      <c r="V1121" s="72"/>
    </row>
    <row r="1122" spans="15:22" x14ac:dyDescent="0.25">
      <c r="O1122" s="74"/>
      <c r="P1122" s="74"/>
      <c r="Q1122" s="74"/>
      <c r="R1122" s="74"/>
      <c r="V1122" s="72"/>
    </row>
    <row r="1123" spans="15:22" x14ac:dyDescent="0.25">
      <c r="O1123" s="74"/>
      <c r="P1123" s="74"/>
      <c r="Q1123" s="74"/>
      <c r="R1123" s="74"/>
      <c r="V1123" s="72"/>
    </row>
    <row r="1124" spans="15:22" x14ac:dyDescent="0.25">
      <c r="O1124" s="74"/>
      <c r="P1124" s="74"/>
      <c r="Q1124" s="74"/>
      <c r="R1124" s="74"/>
      <c r="V1124" s="72"/>
    </row>
    <row r="1125" spans="15:22" x14ac:dyDescent="0.25">
      <c r="O1125" s="74"/>
      <c r="P1125" s="74"/>
      <c r="Q1125" s="74"/>
      <c r="R1125" s="74"/>
      <c r="V1125" s="72"/>
    </row>
    <row r="1126" spans="15:22" x14ac:dyDescent="0.25">
      <c r="O1126" s="74"/>
      <c r="P1126" s="74"/>
      <c r="Q1126" s="74"/>
      <c r="R1126" s="74"/>
      <c r="V1126" s="72"/>
    </row>
    <row r="1127" spans="15:22" x14ac:dyDescent="0.25">
      <c r="O1127" s="74"/>
      <c r="P1127" s="74"/>
      <c r="Q1127" s="74"/>
      <c r="R1127" s="74"/>
      <c r="V1127" s="72"/>
    </row>
    <row r="1128" spans="15:22" x14ac:dyDescent="0.25">
      <c r="O1128" s="74"/>
      <c r="P1128" s="74"/>
      <c r="Q1128" s="74"/>
      <c r="R1128" s="74"/>
      <c r="V1128" s="72"/>
    </row>
    <row r="1129" spans="15:22" x14ac:dyDescent="0.25">
      <c r="O1129" s="74"/>
      <c r="P1129" s="74"/>
      <c r="Q1129" s="74"/>
      <c r="R1129" s="74"/>
      <c r="V1129" s="72"/>
    </row>
    <row r="1130" spans="15:22" x14ac:dyDescent="0.25">
      <c r="O1130" s="74"/>
      <c r="P1130" s="74"/>
      <c r="Q1130" s="74"/>
      <c r="R1130" s="74"/>
      <c r="V1130" s="72"/>
    </row>
    <row r="1131" spans="15:22" x14ac:dyDescent="0.25">
      <c r="O1131" s="74"/>
      <c r="P1131" s="74"/>
      <c r="Q1131" s="74"/>
      <c r="R1131" s="74"/>
      <c r="V1131" s="72"/>
    </row>
    <row r="1132" spans="15:22" x14ac:dyDescent="0.25">
      <c r="O1132" s="74"/>
      <c r="P1132" s="74"/>
      <c r="Q1132" s="74"/>
      <c r="R1132" s="74"/>
      <c r="V1132" s="72"/>
    </row>
    <row r="1133" spans="15:22" x14ac:dyDescent="0.25">
      <c r="O1133" s="74"/>
      <c r="P1133" s="74"/>
      <c r="Q1133" s="74"/>
      <c r="R1133" s="74"/>
      <c r="V1133" s="72"/>
    </row>
    <row r="1134" spans="15:22" x14ac:dyDescent="0.25">
      <c r="O1134" s="74"/>
      <c r="P1134" s="74"/>
      <c r="Q1134" s="74"/>
      <c r="R1134" s="74"/>
      <c r="V1134" s="72"/>
    </row>
    <row r="1135" spans="15:22" x14ac:dyDescent="0.25">
      <c r="O1135" s="74"/>
      <c r="P1135" s="74"/>
      <c r="Q1135" s="74"/>
      <c r="R1135" s="74"/>
      <c r="V1135" s="72"/>
    </row>
    <row r="1136" spans="15:22" x14ac:dyDescent="0.25">
      <c r="O1136" s="74"/>
      <c r="P1136" s="74"/>
      <c r="Q1136" s="74"/>
      <c r="R1136" s="74"/>
      <c r="V1136" s="72"/>
    </row>
    <row r="1137" spans="15:22" x14ac:dyDescent="0.25">
      <c r="O1137" s="74"/>
      <c r="P1137" s="74"/>
      <c r="Q1137" s="74"/>
      <c r="R1137" s="74"/>
      <c r="V1137" s="72"/>
    </row>
    <row r="1138" spans="15:22" x14ac:dyDescent="0.25">
      <c r="O1138" s="74"/>
      <c r="P1138" s="74"/>
      <c r="Q1138" s="74"/>
      <c r="R1138" s="74"/>
      <c r="V1138" s="72"/>
    </row>
    <row r="1139" spans="15:22" x14ac:dyDescent="0.25">
      <c r="O1139" s="74"/>
      <c r="P1139" s="74"/>
      <c r="Q1139" s="74"/>
      <c r="R1139" s="74"/>
      <c r="V1139" s="72"/>
    </row>
    <row r="1140" spans="15:22" x14ac:dyDescent="0.25">
      <c r="O1140" s="74"/>
      <c r="P1140" s="74"/>
      <c r="Q1140" s="74"/>
      <c r="R1140" s="74"/>
      <c r="V1140" s="72"/>
    </row>
    <row r="1141" spans="15:22" x14ac:dyDescent="0.25">
      <c r="O1141" s="74"/>
      <c r="P1141" s="74"/>
      <c r="Q1141" s="74"/>
      <c r="R1141" s="74"/>
      <c r="V1141" s="72"/>
    </row>
    <row r="1142" spans="15:22" x14ac:dyDescent="0.25">
      <c r="O1142" s="74"/>
      <c r="P1142" s="74"/>
      <c r="Q1142" s="74"/>
      <c r="R1142" s="74"/>
      <c r="V1142" s="72"/>
    </row>
    <row r="1143" spans="15:22" x14ac:dyDescent="0.25">
      <c r="O1143" s="74"/>
      <c r="P1143" s="74"/>
      <c r="Q1143" s="74"/>
      <c r="R1143" s="74"/>
      <c r="V1143" s="72"/>
    </row>
    <row r="1144" spans="15:22" x14ac:dyDescent="0.25">
      <c r="O1144" s="74"/>
      <c r="P1144" s="74"/>
      <c r="Q1144" s="74"/>
      <c r="R1144" s="74"/>
      <c r="V1144" s="72"/>
    </row>
    <row r="1145" spans="15:22" x14ac:dyDescent="0.25">
      <c r="O1145" s="74"/>
      <c r="P1145" s="74"/>
      <c r="Q1145" s="74"/>
      <c r="R1145" s="74"/>
      <c r="V1145" s="72"/>
    </row>
    <row r="1146" spans="15:22" x14ac:dyDescent="0.25">
      <c r="O1146" s="74"/>
      <c r="P1146" s="74"/>
      <c r="Q1146" s="74"/>
      <c r="R1146" s="74"/>
      <c r="V1146" s="72"/>
    </row>
    <row r="1147" spans="15:22" x14ac:dyDescent="0.25">
      <c r="O1147" s="74"/>
      <c r="P1147" s="74"/>
      <c r="Q1147" s="74"/>
      <c r="R1147" s="74"/>
      <c r="V1147" s="72"/>
    </row>
    <row r="1148" spans="15:22" x14ac:dyDescent="0.25">
      <c r="O1148" s="74"/>
      <c r="P1148" s="74"/>
      <c r="Q1148" s="74"/>
      <c r="R1148" s="74"/>
      <c r="V1148" s="72"/>
    </row>
    <row r="1149" spans="15:22" x14ac:dyDescent="0.25">
      <c r="O1149" s="74"/>
      <c r="P1149" s="74"/>
      <c r="Q1149" s="74"/>
      <c r="R1149" s="74"/>
      <c r="V1149" s="72"/>
    </row>
    <row r="1150" spans="15:22" x14ac:dyDescent="0.25">
      <c r="O1150" s="74"/>
      <c r="P1150" s="74"/>
      <c r="Q1150" s="74"/>
      <c r="R1150" s="74"/>
      <c r="V1150" s="72"/>
    </row>
    <row r="1151" spans="15:22" x14ac:dyDescent="0.25">
      <c r="O1151" s="74"/>
      <c r="P1151" s="74"/>
      <c r="Q1151" s="74"/>
      <c r="R1151" s="74"/>
      <c r="V1151" s="72"/>
    </row>
    <row r="1152" spans="15:22" x14ac:dyDescent="0.25">
      <c r="O1152" s="74"/>
      <c r="P1152" s="74"/>
      <c r="Q1152" s="74"/>
      <c r="R1152" s="74"/>
      <c r="V1152" s="72"/>
    </row>
    <row r="1153" spans="15:22" x14ac:dyDescent="0.25">
      <c r="O1153" s="74"/>
      <c r="P1153" s="74"/>
      <c r="Q1153" s="74"/>
      <c r="R1153" s="74"/>
      <c r="V1153" s="72"/>
    </row>
    <row r="1154" spans="15:22" x14ac:dyDescent="0.25">
      <c r="O1154" s="74"/>
      <c r="P1154" s="74"/>
      <c r="Q1154" s="74"/>
      <c r="R1154" s="74"/>
      <c r="V1154" s="72"/>
    </row>
    <row r="1155" spans="15:22" x14ac:dyDescent="0.25">
      <c r="O1155" s="74"/>
      <c r="P1155" s="74"/>
      <c r="Q1155" s="74"/>
      <c r="R1155" s="74"/>
      <c r="V1155" s="72"/>
    </row>
    <row r="1156" spans="15:22" x14ac:dyDescent="0.25">
      <c r="O1156" s="74"/>
      <c r="P1156" s="74"/>
      <c r="Q1156" s="74"/>
      <c r="R1156" s="74"/>
      <c r="V1156" s="72"/>
    </row>
    <row r="1157" spans="15:22" x14ac:dyDescent="0.25">
      <c r="O1157" s="74"/>
      <c r="P1157" s="74"/>
      <c r="Q1157" s="74"/>
      <c r="R1157" s="74"/>
      <c r="V1157" s="72"/>
    </row>
    <row r="1158" spans="15:22" x14ac:dyDescent="0.25">
      <c r="O1158" s="74"/>
      <c r="P1158" s="74"/>
      <c r="Q1158" s="74"/>
      <c r="R1158" s="74"/>
      <c r="V1158" s="72"/>
    </row>
    <row r="1159" spans="15:22" x14ac:dyDescent="0.25">
      <c r="O1159" s="74"/>
      <c r="P1159" s="74"/>
      <c r="Q1159" s="74"/>
      <c r="R1159" s="74"/>
      <c r="V1159" s="72"/>
    </row>
    <row r="1160" spans="15:22" x14ac:dyDescent="0.25">
      <c r="O1160" s="74"/>
      <c r="P1160" s="74"/>
      <c r="Q1160" s="74"/>
      <c r="R1160" s="74"/>
      <c r="V1160" s="72"/>
    </row>
    <row r="1161" spans="15:22" x14ac:dyDescent="0.25">
      <c r="O1161" s="74"/>
      <c r="P1161" s="74"/>
      <c r="Q1161" s="74"/>
      <c r="R1161" s="74"/>
      <c r="V1161" s="72"/>
    </row>
    <row r="1162" spans="15:22" x14ac:dyDescent="0.25">
      <c r="O1162" s="74"/>
      <c r="P1162" s="74"/>
      <c r="Q1162" s="74"/>
      <c r="R1162" s="74"/>
      <c r="V1162" s="72"/>
    </row>
    <row r="1163" spans="15:22" x14ac:dyDescent="0.25">
      <c r="O1163" s="74"/>
      <c r="P1163" s="74"/>
      <c r="Q1163" s="74"/>
      <c r="R1163" s="74"/>
      <c r="V1163" s="72"/>
    </row>
    <row r="1164" spans="15:22" x14ac:dyDescent="0.25">
      <c r="O1164" s="74"/>
      <c r="P1164" s="74"/>
      <c r="Q1164" s="74"/>
      <c r="R1164" s="74"/>
      <c r="V1164" s="72"/>
    </row>
    <row r="1165" spans="15:22" x14ac:dyDescent="0.25">
      <c r="O1165" s="74"/>
      <c r="P1165" s="74"/>
      <c r="Q1165" s="74"/>
      <c r="R1165" s="74"/>
      <c r="V1165" s="72"/>
    </row>
    <row r="1166" spans="15:22" x14ac:dyDescent="0.25">
      <c r="O1166" s="74"/>
      <c r="P1166" s="74"/>
      <c r="Q1166" s="74"/>
      <c r="R1166" s="74"/>
      <c r="V1166" s="72"/>
    </row>
    <row r="1167" spans="15:22" x14ac:dyDescent="0.25">
      <c r="O1167" s="74"/>
      <c r="P1167" s="74"/>
      <c r="Q1167" s="74"/>
      <c r="R1167" s="74"/>
      <c r="V1167" s="72"/>
    </row>
    <row r="1168" spans="15:22" x14ac:dyDescent="0.25">
      <c r="O1168" s="74"/>
      <c r="P1168" s="74"/>
      <c r="Q1168" s="74"/>
      <c r="R1168" s="74"/>
      <c r="V1168" s="72"/>
    </row>
    <row r="1169" spans="15:22" x14ac:dyDescent="0.25">
      <c r="O1169" s="74"/>
      <c r="P1169" s="74"/>
      <c r="Q1169" s="74"/>
      <c r="R1169" s="74"/>
      <c r="V1169" s="72"/>
    </row>
    <row r="1170" spans="15:22" x14ac:dyDescent="0.25">
      <c r="O1170" s="74"/>
      <c r="P1170" s="74"/>
      <c r="Q1170" s="74"/>
      <c r="R1170" s="74"/>
      <c r="V1170" s="72"/>
    </row>
    <row r="1171" spans="15:22" x14ac:dyDescent="0.25">
      <c r="O1171" s="74"/>
      <c r="P1171" s="74"/>
      <c r="Q1171" s="74"/>
      <c r="R1171" s="74"/>
      <c r="V1171" s="72"/>
    </row>
    <row r="1172" spans="15:22" x14ac:dyDescent="0.25">
      <c r="O1172" s="74"/>
      <c r="P1172" s="74"/>
      <c r="Q1172" s="74"/>
      <c r="R1172" s="74"/>
      <c r="V1172" s="72"/>
    </row>
    <row r="1173" spans="15:22" x14ac:dyDescent="0.25">
      <c r="O1173" s="74"/>
      <c r="P1173" s="74"/>
      <c r="Q1173" s="74"/>
      <c r="R1173" s="74"/>
      <c r="V1173" s="72"/>
    </row>
    <row r="1174" spans="15:22" x14ac:dyDescent="0.25">
      <c r="O1174" s="74"/>
      <c r="P1174" s="74"/>
      <c r="Q1174" s="74"/>
      <c r="R1174" s="74"/>
      <c r="V1174" s="72"/>
    </row>
    <row r="1175" spans="15:22" x14ac:dyDescent="0.25">
      <c r="O1175" s="74"/>
      <c r="P1175" s="74"/>
      <c r="Q1175" s="74"/>
      <c r="R1175" s="74"/>
      <c r="V1175" s="72"/>
    </row>
    <row r="1176" spans="15:22" x14ac:dyDescent="0.25">
      <c r="O1176" s="74"/>
      <c r="P1176" s="74"/>
      <c r="Q1176" s="74"/>
      <c r="R1176" s="74"/>
      <c r="V1176" s="72"/>
    </row>
    <row r="1177" spans="15:22" x14ac:dyDescent="0.25">
      <c r="O1177" s="74"/>
      <c r="P1177" s="74"/>
      <c r="Q1177" s="74"/>
      <c r="R1177" s="74"/>
      <c r="V1177" s="72"/>
    </row>
    <row r="1178" spans="15:22" x14ac:dyDescent="0.25">
      <c r="O1178" s="74"/>
      <c r="P1178" s="74"/>
      <c r="Q1178" s="74"/>
      <c r="R1178" s="74"/>
      <c r="V1178" s="72"/>
    </row>
    <row r="1179" spans="15:22" x14ac:dyDescent="0.25">
      <c r="O1179" s="74"/>
      <c r="P1179" s="74"/>
      <c r="Q1179" s="74"/>
      <c r="R1179" s="74"/>
      <c r="V1179" s="72"/>
    </row>
    <row r="1180" spans="15:22" x14ac:dyDescent="0.25">
      <c r="O1180" s="74"/>
      <c r="P1180" s="74"/>
      <c r="Q1180" s="74"/>
      <c r="R1180" s="74"/>
      <c r="V1180" s="72"/>
    </row>
    <row r="1181" spans="15:22" x14ac:dyDescent="0.25">
      <c r="O1181" s="74"/>
      <c r="P1181" s="74"/>
      <c r="Q1181" s="74"/>
      <c r="R1181" s="74"/>
      <c r="V1181" s="72"/>
    </row>
    <row r="1182" spans="15:22" x14ac:dyDescent="0.25">
      <c r="O1182" s="74"/>
      <c r="P1182" s="74"/>
      <c r="Q1182" s="74"/>
      <c r="R1182" s="74"/>
      <c r="V1182" s="72"/>
    </row>
    <row r="1183" spans="15:22" x14ac:dyDescent="0.25">
      <c r="O1183" s="74"/>
      <c r="P1183" s="74"/>
      <c r="Q1183" s="74"/>
      <c r="R1183" s="74"/>
      <c r="V1183" s="72"/>
    </row>
    <row r="1184" spans="15:22" x14ac:dyDescent="0.25">
      <c r="O1184" s="74"/>
      <c r="P1184" s="74"/>
      <c r="Q1184" s="74"/>
      <c r="R1184" s="74"/>
      <c r="V1184" s="72"/>
    </row>
    <row r="1185" spans="15:22" x14ac:dyDescent="0.25">
      <c r="O1185" s="74"/>
      <c r="P1185" s="74"/>
      <c r="Q1185" s="74"/>
      <c r="R1185" s="74"/>
      <c r="V1185" s="72"/>
    </row>
    <row r="1186" spans="15:22" x14ac:dyDescent="0.25">
      <c r="O1186" s="74"/>
      <c r="P1186" s="74"/>
      <c r="Q1186" s="74"/>
      <c r="R1186" s="74"/>
      <c r="V1186" s="72"/>
    </row>
    <row r="1187" spans="15:22" x14ac:dyDescent="0.25">
      <c r="O1187" s="74"/>
      <c r="P1187" s="74"/>
      <c r="Q1187" s="74"/>
      <c r="R1187" s="74"/>
      <c r="V1187" s="72"/>
    </row>
    <row r="1188" spans="15:22" x14ac:dyDescent="0.25">
      <c r="O1188" s="74"/>
      <c r="P1188" s="74"/>
      <c r="Q1188" s="74"/>
      <c r="R1188" s="74"/>
      <c r="V1188" s="72"/>
    </row>
    <row r="1189" spans="15:22" x14ac:dyDescent="0.25">
      <c r="O1189" s="74"/>
      <c r="P1189" s="74"/>
      <c r="Q1189" s="74"/>
      <c r="R1189" s="74"/>
      <c r="V1189" s="72"/>
    </row>
    <row r="1190" spans="15:22" x14ac:dyDescent="0.25">
      <c r="O1190" s="74"/>
      <c r="P1190" s="74"/>
      <c r="Q1190" s="74"/>
      <c r="R1190" s="74"/>
      <c r="V1190" s="72"/>
    </row>
    <row r="1191" spans="15:22" x14ac:dyDescent="0.25">
      <c r="O1191" s="74"/>
      <c r="P1191" s="74"/>
      <c r="Q1191" s="74"/>
      <c r="R1191" s="74"/>
      <c r="V1191" s="72"/>
    </row>
    <row r="1192" spans="15:22" x14ac:dyDescent="0.25">
      <c r="O1192" s="74"/>
      <c r="P1192" s="74"/>
      <c r="Q1192" s="74"/>
      <c r="R1192" s="74"/>
      <c r="V1192" s="72"/>
    </row>
    <row r="1193" spans="15:22" x14ac:dyDescent="0.25">
      <c r="O1193" s="74"/>
      <c r="P1193" s="74"/>
      <c r="Q1193" s="74"/>
      <c r="R1193" s="74"/>
      <c r="V1193" s="72"/>
    </row>
    <row r="1194" spans="15:22" x14ac:dyDescent="0.25">
      <c r="O1194" s="74"/>
      <c r="P1194" s="74"/>
      <c r="Q1194" s="74"/>
      <c r="R1194" s="74"/>
      <c r="V1194" s="72"/>
    </row>
    <row r="1195" spans="15:22" x14ac:dyDescent="0.25">
      <c r="O1195" s="74"/>
      <c r="P1195" s="74"/>
      <c r="Q1195" s="74"/>
      <c r="R1195" s="74"/>
      <c r="V1195" s="72"/>
    </row>
    <row r="1196" spans="15:22" x14ac:dyDescent="0.25">
      <c r="O1196" s="74"/>
      <c r="P1196" s="74"/>
      <c r="Q1196" s="74"/>
      <c r="R1196" s="74"/>
      <c r="V1196" s="72"/>
    </row>
    <row r="1197" spans="15:22" x14ac:dyDescent="0.25">
      <c r="O1197" s="74"/>
      <c r="P1197" s="74"/>
      <c r="Q1197" s="74"/>
      <c r="R1197" s="74"/>
      <c r="V1197" s="72"/>
    </row>
    <row r="1198" spans="15:22" x14ac:dyDescent="0.25">
      <c r="O1198" s="74"/>
      <c r="P1198" s="74"/>
      <c r="Q1198" s="74"/>
      <c r="R1198" s="74"/>
      <c r="V1198" s="72"/>
    </row>
    <row r="1199" spans="15:22" x14ac:dyDescent="0.25">
      <c r="O1199" s="74"/>
      <c r="P1199" s="74"/>
      <c r="Q1199" s="74"/>
      <c r="R1199" s="74"/>
      <c r="V1199" s="72"/>
    </row>
    <row r="1200" spans="15:22" x14ac:dyDescent="0.25">
      <c r="O1200" s="74"/>
      <c r="P1200" s="74"/>
      <c r="Q1200" s="74"/>
      <c r="R1200" s="74"/>
      <c r="V1200" s="72"/>
    </row>
    <row r="1201" spans="15:22" x14ac:dyDescent="0.25">
      <c r="O1201" s="74"/>
      <c r="P1201" s="74"/>
      <c r="Q1201" s="74"/>
      <c r="R1201" s="74"/>
      <c r="V1201" s="72"/>
    </row>
    <row r="1202" spans="15:22" x14ac:dyDescent="0.25">
      <c r="O1202" s="74"/>
      <c r="P1202" s="74"/>
      <c r="Q1202" s="74"/>
      <c r="R1202" s="74"/>
      <c r="V1202" s="72"/>
    </row>
    <row r="1203" spans="15:22" x14ac:dyDescent="0.25">
      <c r="O1203" s="74"/>
      <c r="P1203" s="74"/>
      <c r="Q1203" s="74"/>
      <c r="R1203" s="74"/>
      <c r="V1203" s="72"/>
    </row>
    <row r="1204" spans="15:22" x14ac:dyDescent="0.25">
      <c r="O1204" s="74"/>
      <c r="P1204" s="74"/>
      <c r="Q1204" s="74"/>
      <c r="R1204" s="74"/>
      <c r="V1204" s="72"/>
    </row>
    <row r="1205" spans="15:22" x14ac:dyDescent="0.25">
      <c r="O1205" s="74"/>
      <c r="P1205" s="74"/>
      <c r="Q1205" s="74"/>
      <c r="R1205" s="74"/>
      <c r="V1205" s="72"/>
    </row>
    <row r="1206" spans="15:22" x14ac:dyDescent="0.25">
      <c r="O1206" s="74"/>
      <c r="P1206" s="74"/>
      <c r="Q1206" s="74"/>
      <c r="R1206" s="74"/>
      <c r="V1206" s="72"/>
    </row>
    <row r="1207" spans="15:22" x14ac:dyDescent="0.25">
      <c r="O1207" s="74"/>
      <c r="P1207" s="74"/>
      <c r="Q1207" s="74"/>
      <c r="R1207" s="74"/>
      <c r="V1207" s="72"/>
    </row>
    <row r="1208" spans="15:22" x14ac:dyDescent="0.25">
      <c r="O1208" s="74"/>
      <c r="P1208" s="74"/>
      <c r="Q1208" s="74"/>
      <c r="R1208" s="74"/>
      <c r="V1208" s="72"/>
    </row>
    <row r="1209" spans="15:22" x14ac:dyDescent="0.25">
      <c r="O1209" s="74"/>
      <c r="P1209" s="74"/>
      <c r="Q1209" s="74"/>
      <c r="R1209" s="74"/>
      <c r="V1209" s="72"/>
    </row>
    <row r="1210" spans="15:22" x14ac:dyDescent="0.25">
      <c r="O1210" s="74"/>
      <c r="P1210" s="74"/>
      <c r="Q1210" s="74"/>
      <c r="R1210" s="74"/>
      <c r="V1210" s="72"/>
    </row>
    <row r="1211" spans="15:22" x14ac:dyDescent="0.25">
      <c r="O1211" s="74"/>
      <c r="P1211" s="74"/>
      <c r="Q1211" s="74"/>
      <c r="R1211" s="74"/>
      <c r="V1211" s="72"/>
    </row>
    <row r="1212" spans="15:22" x14ac:dyDescent="0.25">
      <c r="O1212" s="74"/>
      <c r="P1212" s="74"/>
      <c r="Q1212" s="74"/>
      <c r="R1212" s="74"/>
      <c r="V1212" s="72"/>
    </row>
    <row r="1213" spans="15:22" x14ac:dyDescent="0.25">
      <c r="O1213" s="74"/>
      <c r="P1213" s="74"/>
      <c r="Q1213" s="74"/>
      <c r="R1213" s="74"/>
      <c r="V1213" s="72"/>
    </row>
    <row r="1214" spans="15:22" x14ac:dyDescent="0.25">
      <c r="O1214" s="74"/>
      <c r="P1214" s="74"/>
      <c r="Q1214" s="74"/>
      <c r="R1214" s="74"/>
      <c r="V1214" s="72"/>
    </row>
    <row r="1215" spans="15:22" x14ac:dyDescent="0.25">
      <c r="O1215" s="74"/>
      <c r="P1215" s="74"/>
      <c r="Q1215" s="74"/>
      <c r="R1215" s="74"/>
      <c r="V1215" s="72"/>
    </row>
    <row r="1216" spans="15:22" x14ac:dyDescent="0.25">
      <c r="O1216" s="74"/>
      <c r="P1216" s="74"/>
      <c r="Q1216" s="74"/>
      <c r="R1216" s="74"/>
      <c r="V1216" s="72"/>
    </row>
    <row r="1217" spans="15:22" x14ac:dyDescent="0.25">
      <c r="O1217" s="74"/>
      <c r="P1217" s="74"/>
      <c r="Q1217" s="74"/>
      <c r="R1217" s="74"/>
      <c r="V1217" s="72"/>
    </row>
    <row r="1218" spans="15:22" x14ac:dyDescent="0.25">
      <c r="O1218" s="74"/>
      <c r="P1218" s="74"/>
      <c r="Q1218" s="74"/>
      <c r="R1218" s="74"/>
      <c r="V1218" s="72"/>
    </row>
    <row r="1219" spans="15:22" x14ac:dyDescent="0.25">
      <c r="O1219" s="74"/>
      <c r="P1219" s="74"/>
      <c r="Q1219" s="74"/>
      <c r="R1219" s="74"/>
      <c r="V1219" s="72"/>
    </row>
    <row r="1220" spans="15:22" x14ac:dyDescent="0.25">
      <c r="O1220" s="74"/>
      <c r="P1220" s="74"/>
      <c r="Q1220" s="74"/>
      <c r="R1220" s="74"/>
      <c r="V1220" s="72"/>
    </row>
    <row r="1221" spans="15:22" x14ac:dyDescent="0.25">
      <c r="O1221" s="74"/>
      <c r="P1221" s="74"/>
      <c r="Q1221" s="74"/>
      <c r="R1221" s="74"/>
      <c r="V1221" s="72"/>
    </row>
    <row r="1222" spans="15:22" x14ac:dyDescent="0.25">
      <c r="O1222" s="74"/>
      <c r="P1222" s="74"/>
      <c r="Q1222" s="74"/>
      <c r="R1222" s="74"/>
      <c r="V1222" s="72"/>
    </row>
    <row r="1223" spans="15:22" x14ac:dyDescent="0.25">
      <c r="O1223" s="74"/>
      <c r="P1223" s="74"/>
      <c r="Q1223" s="74"/>
      <c r="R1223" s="74"/>
      <c r="V1223" s="72"/>
    </row>
    <row r="1224" spans="15:22" x14ac:dyDescent="0.25">
      <c r="O1224" s="74"/>
      <c r="P1224" s="74"/>
      <c r="Q1224" s="74"/>
      <c r="R1224" s="74"/>
      <c r="V1224" s="72"/>
    </row>
    <row r="1225" spans="15:22" x14ac:dyDescent="0.25">
      <c r="O1225" s="74"/>
      <c r="P1225" s="74"/>
      <c r="Q1225" s="74"/>
      <c r="R1225" s="74"/>
      <c r="V1225" s="72"/>
    </row>
    <row r="1226" spans="15:22" x14ac:dyDescent="0.25">
      <c r="O1226" s="74"/>
      <c r="P1226" s="74"/>
      <c r="Q1226" s="74"/>
      <c r="R1226" s="74"/>
      <c r="V1226" s="72"/>
    </row>
    <row r="1227" spans="15:22" x14ac:dyDescent="0.25">
      <c r="O1227" s="74"/>
      <c r="P1227" s="74"/>
      <c r="Q1227" s="74"/>
      <c r="R1227" s="74"/>
      <c r="V1227" s="72"/>
    </row>
    <row r="1228" spans="15:22" x14ac:dyDescent="0.25">
      <c r="O1228" s="74"/>
      <c r="P1228" s="74"/>
      <c r="Q1228" s="74"/>
      <c r="R1228" s="74"/>
      <c r="V1228" s="72"/>
    </row>
    <row r="1229" spans="15:22" x14ac:dyDescent="0.25">
      <c r="O1229" s="74"/>
      <c r="P1229" s="74"/>
      <c r="Q1229" s="74"/>
      <c r="R1229" s="74"/>
      <c r="V1229" s="72"/>
    </row>
    <row r="1230" spans="15:22" x14ac:dyDescent="0.25">
      <c r="O1230" s="74"/>
      <c r="P1230" s="74"/>
      <c r="Q1230" s="74"/>
      <c r="R1230" s="74"/>
      <c r="V1230" s="72"/>
    </row>
    <row r="1231" spans="15:22" x14ac:dyDescent="0.25">
      <c r="O1231" s="74"/>
      <c r="P1231" s="74"/>
      <c r="Q1231" s="74"/>
      <c r="R1231" s="74"/>
      <c r="V1231" s="72"/>
    </row>
    <row r="1232" spans="15:22" x14ac:dyDescent="0.25">
      <c r="O1232" s="74"/>
      <c r="P1232" s="74"/>
      <c r="Q1232" s="74"/>
      <c r="R1232" s="74"/>
      <c r="V1232" s="72"/>
    </row>
    <row r="1233" spans="15:22" x14ac:dyDescent="0.25">
      <c r="O1233" s="74"/>
      <c r="P1233" s="74"/>
      <c r="Q1233" s="74"/>
      <c r="R1233" s="74"/>
      <c r="V1233" s="72"/>
    </row>
    <row r="1234" spans="15:22" x14ac:dyDescent="0.25">
      <c r="O1234" s="74"/>
      <c r="P1234" s="74"/>
      <c r="Q1234" s="74"/>
      <c r="R1234" s="74"/>
      <c r="V1234" s="72"/>
    </row>
    <row r="1235" spans="15:22" x14ac:dyDescent="0.25">
      <c r="O1235" s="74"/>
      <c r="P1235" s="74"/>
      <c r="Q1235" s="74"/>
      <c r="R1235" s="74"/>
      <c r="V1235" s="72"/>
    </row>
    <row r="1236" spans="15:22" x14ac:dyDescent="0.25">
      <c r="O1236" s="74"/>
      <c r="P1236" s="74"/>
      <c r="Q1236" s="74"/>
      <c r="R1236" s="74"/>
      <c r="V1236" s="72"/>
    </row>
    <row r="1237" spans="15:22" x14ac:dyDescent="0.25">
      <c r="O1237" s="74"/>
      <c r="P1237" s="74"/>
      <c r="Q1237" s="74"/>
      <c r="R1237" s="74"/>
      <c r="V1237" s="72"/>
    </row>
    <row r="1238" spans="15:22" x14ac:dyDescent="0.25">
      <c r="O1238" s="74"/>
      <c r="P1238" s="74"/>
      <c r="Q1238" s="74"/>
      <c r="R1238" s="74"/>
      <c r="V1238" s="72"/>
    </row>
    <row r="1239" spans="15:22" x14ac:dyDescent="0.25">
      <c r="O1239" s="74"/>
      <c r="P1239" s="74"/>
      <c r="Q1239" s="74"/>
      <c r="R1239" s="74"/>
      <c r="V1239" s="72"/>
    </row>
    <row r="1240" spans="15:22" x14ac:dyDescent="0.25">
      <c r="O1240" s="74"/>
      <c r="P1240" s="74"/>
      <c r="Q1240" s="74"/>
      <c r="R1240" s="74"/>
      <c r="V1240" s="72"/>
    </row>
    <row r="1241" spans="15:22" x14ac:dyDescent="0.25">
      <c r="O1241" s="74"/>
      <c r="P1241" s="74"/>
      <c r="Q1241" s="74"/>
      <c r="R1241" s="74"/>
      <c r="V1241" s="72"/>
    </row>
    <row r="1242" spans="15:22" x14ac:dyDescent="0.25">
      <c r="O1242" s="74"/>
      <c r="P1242" s="74"/>
      <c r="Q1242" s="74"/>
      <c r="R1242" s="74"/>
      <c r="V1242" s="72"/>
    </row>
    <row r="1243" spans="15:22" x14ac:dyDescent="0.25">
      <c r="O1243" s="74"/>
      <c r="P1243" s="74"/>
      <c r="Q1243" s="74"/>
      <c r="R1243" s="74"/>
      <c r="V1243" s="72"/>
    </row>
    <row r="1244" spans="15:22" x14ac:dyDescent="0.25">
      <c r="O1244" s="74"/>
      <c r="P1244" s="74"/>
      <c r="Q1244" s="74"/>
      <c r="R1244" s="74"/>
      <c r="V1244" s="72"/>
    </row>
    <row r="1245" spans="15:22" x14ac:dyDescent="0.25">
      <c r="O1245" s="74"/>
      <c r="P1245" s="74"/>
      <c r="Q1245" s="74"/>
      <c r="R1245" s="74"/>
      <c r="V1245" s="72"/>
    </row>
    <row r="1246" spans="15:22" x14ac:dyDescent="0.25">
      <c r="O1246" s="74"/>
      <c r="P1246" s="74"/>
      <c r="Q1246" s="74"/>
      <c r="R1246" s="74"/>
      <c r="V1246" s="72"/>
    </row>
    <row r="1247" spans="15:22" x14ac:dyDescent="0.25">
      <c r="O1247" s="74"/>
      <c r="P1247" s="74"/>
      <c r="Q1247" s="74"/>
      <c r="R1247" s="74"/>
      <c r="V1247" s="72"/>
    </row>
    <row r="1248" spans="15:22" x14ac:dyDescent="0.25">
      <c r="O1248" s="74"/>
      <c r="P1248" s="74"/>
      <c r="Q1248" s="74"/>
      <c r="R1248" s="74"/>
      <c r="V1248" s="72"/>
    </row>
    <row r="1249" spans="15:22" x14ac:dyDescent="0.25">
      <c r="O1249" s="74"/>
      <c r="P1249" s="74"/>
      <c r="Q1249" s="74"/>
      <c r="R1249" s="74"/>
      <c r="V1249" s="72"/>
    </row>
    <row r="1250" spans="15:22" x14ac:dyDescent="0.25">
      <c r="O1250" s="74"/>
      <c r="P1250" s="74"/>
      <c r="Q1250" s="74"/>
      <c r="R1250" s="74"/>
      <c r="V1250" s="72"/>
    </row>
    <row r="1251" spans="15:22" x14ac:dyDescent="0.25">
      <c r="O1251" s="74"/>
      <c r="P1251" s="74"/>
      <c r="Q1251" s="74"/>
      <c r="R1251" s="74"/>
      <c r="V1251" s="72"/>
    </row>
    <row r="1252" spans="15:22" x14ac:dyDescent="0.25">
      <c r="O1252" s="74"/>
      <c r="P1252" s="74"/>
      <c r="Q1252" s="74"/>
      <c r="R1252" s="74"/>
      <c r="V1252" s="72"/>
    </row>
    <row r="1253" spans="15:22" x14ac:dyDescent="0.25">
      <c r="O1253" s="74"/>
      <c r="P1253" s="74"/>
      <c r="Q1253" s="74"/>
      <c r="R1253" s="74"/>
      <c r="V1253" s="72"/>
    </row>
    <row r="1254" spans="15:22" x14ac:dyDescent="0.25">
      <c r="O1254" s="74"/>
      <c r="P1254" s="74"/>
      <c r="Q1254" s="74"/>
      <c r="R1254" s="74"/>
      <c r="V1254" s="72"/>
    </row>
    <row r="1255" spans="15:22" x14ac:dyDescent="0.25">
      <c r="O1255" s="74"/>
      <c r="P1255" s="74"/>
      <c r="Q1255" s="74"/>
      <c r="R1255" s="74"/>
      <c r="V1255" s="72"/>
    </row>
    <row r="1256" spans="15:22" x14ac:dyDescent="0.25">
      <c r="O1256" s="74"/>
      <c r="P1256" s="74"/>
      <c r="Q1256" s="74"/>
      <c r="R1256" s="74"/>
      <c r="V1256" s="72"/>
    </row>
    <row r="1257" spans="15:22" x14ac:dyDescent="0.25">
      <c r="O1257" s="74"/>
      <c r="P1257" s="74"/>
      <c r="Q1257" s="74"/>
      <c r="R1257" s="74"/>
      <c r="V1257" s="72"/>
    </row>
    <row r="1258" spans="15:22" x14ac:dyDescent="0.25">
      <c r="O1258" s="74"/>
      <c r="P1258" s="74"/>
      <c r="Q1258" s="74"/>
      <c r="R1258" s="74"/>
      <c r="V1258" s="72"/>
    </row>
    <row r="1259" spans="15:22" x14ac:dyDescent="0.25">
      <c r="O1259" s="74"/>
      <c r="P1259" s="74"/>
      <c r="Q1259" s="74"/>
      <c r="R1259" s="74"/>
      <c r="V1259" s="72"/>
    </row>
    <row r="1260" spans="15:22" x14ac:dyDescent="0.25">
      <c r="O1260" s="74"/>
      <c r="P1260" s="74"/>
      <c r="Q1260" s="74"/>
      <c r="R1260" s="74"/>
      <c r="V1260" s="72"/>
    </row>
    <row r="1261" spans="15:22" x14ac:dyDescent="0.25">
      <c r="O1261" s="74"/>
      <c r="P1261" s="74"/>
      <c r="Q1261" s="74"/>
      <c r="R1261" s="74"/>
      <c r="V1261" s="72"/>
    </row>
    <row r="1262" spans="15:22" x14ac:dyDescent="0.25">
      <c r="O1262" s="74"/>
      <c r="P1262" s="74"/>
      <c r="Q1262" s="74"/>
      <c r="R1262" s="74"/>
      <c r="V1262" s="72"/>
    </row>
    <row r="1263" spans="15:22" x14ac:dyDescent="0.25">
      <c r="O1263" s="74"/>
      <c r="P1263" s="74"/>
      <c r="Q1263" s="74"/>
      <c r="R1263" s="74"/>
      <c r="V1263" s="72"/>
    </row>
    <row r="1264" spans="15:22" x14ac:dyDescent="0.25">
      <c r="O1264" s="74"/>
      <c r="P1264" s="74"/>
      <c r="Q1264" s="74"/>
      <c r="R1264" s="74"/>
      <c r="V1264" s="72"/>
    </row>
    <row r="1265" spans="15:22" x14ac:dyDescent="0.25">
      <c r="O1265" s="74"/>
      <c r="P1265" s="74"/>
      <c r="Q1265" s="74"/>
      <c r="R1265" s="74"/>
      <c r="V1265" s="72"/>
    </row>
    <row r="1266" spans="15:22" x14ac:dyDescent="0.25">
      <c r="O1266" s="74"/>
      <c r="P1266" s="74"/>
      <c r="Q1266" s="74"/>
      <c r="R1266" s="74"/>
      <c r="V1266" s="72"/>
    </row>
    <row r="1267" spans="15:22" x14ac:dyDescent="0.25">
      <c r="O1267" s="74"/>
      <c r="P1267" s="74"/>
      <c r="Q1267" s="74"/>
      <c r="R1267" s="74"/>
      <c r="V1267" s="72"/>
    </row>
    <row r="1268" spans="15:22" x14ac:dyDescent="0.25">
      <c r="O1268" s="74"/>
      <c r="P1268" s="74"/>
      <c r="Q1268" s="74"/>
      <c r="R1268" s="74"/>
      <c r="V1268" s="72"/>
    </row>
    <row r="1269" spans="15:22" x14ac:dyDescent="0.25">
      <c r="O1269" s="74"/>
      <c r="P1269" s="74"/>
      <c r="Q1269" s="74"/>
      <c r="R1269" s="74"/>
      <c r="V1269" s="72"/>
    </row>
    <row r="1270" spans="15:22" x14ac:dyDescent="0.25">
      <c r="O1270" s="74"/>
      <c r="P1270" s="74"/>
      <c r="Q1270" s="74"/>
      <c r="R1270" s="74"/>
      <c r="V1270" s="72"/>
    </row>
    <row r="1271" spans="15:22" x14ac:dyDescent="0.25">
      <c r="O1271" s="74"/>
      <c r="P1271" s="74"/>
      <c r="Q1271" s="74"/>
      <c r="R1271" s="74"/>
      <c r="V1271" s="72"/>
    </row>
    <row r="1272" spans="15:22" x14ac:dyDescent="0.25">
      <c r="O1272" s="74"/>
      <c r="P1272" s="74"/>
      <c r="Q1272" s="74"/>
      <c r="R1272" s="74"/>
      <c r="V1272" s="72"/>
    </row>
    <row r="1273" spans="15:22" x14ac:dyDescent="0.25">
      <c r="O1273" s="74"/>
      <c r="P1273" s="74"/>
      <c r="Q1273" s="74"/>
      <c r="R1273" s="74"/>
      <c r="V1273" s="72"/>
    </row>
    <row r="1274" spans="15:22" x14ac:dyDescent="0.25">
      <c r="O1274" s="74"/>
      <c r="P1274" s="74"/>
      <c r="Q1274" s="74"/>
      <c r="R1274" s="74"/>
      <c r="V1274" s="72"/>
    </row>
    <row r="1275" spans="15:22" x14ac:dyDescent="0.25">
      <c r="O1275" s="74"/>
      <c r="P1275" s="74"/>
      <c r="Q1275" s="74"/>
      <c r="R1275" s="74"/>
      <c r="V1275" s="72"/>
    </row>
    <row r="1276" spans="15:22" x14ac:dyDescent="0.25">
      <c r="O1276" s="74"/>
      <c r="P1276" s="74"/>
      <c r="Q1276" s="74"/>
      <c r="R1276" s="74"/>
      <c r="V1276" s="72"/>
    </row>
    <row r="1277" spans="15:22" x14ac:dyDescent="0.25">
      <c r="O1277" s="74"/>
      <c r="P1277" s="74"/>
      <c r="Q1277" s="74"/>
      <c r="R1277" s="74"/>
      <c r="V1277" s="72"/>
    </row>
    <row r="1278" spans="15:22" x14ac:dyDescent="0.25">
      <c r="O1278" s="74"/>
      <c r="P1278" s="74"/>
      <c r="Q1278" s="74"/>
      <c r="R1278" s="74"/>
      <c r="V1278" s="72"/>
    </row>
    <row r="1279" spans="15:22" x14ac:dyDescent="0.25">
      <c r="O1279" s="74"/>
      <c r="P1279" s="74"/>
      <c r="Q1279" s="74"/>
      <c r="R1279" s="74"/>
      <c r="V1279" s="72"/>
    </row>
    <row r="1280" spans="15:22" x14ac:dyDescent="0.25">
      <c r="O1280" s="74"/>
      <c r="P1280" s="74"/>
      <c r="Q1280" s="74"/>
      <c r="R1280" s="74"/>
      <c r="V1280" s="72"/>
    </row>
    <row r="1281" spans="15:22" x14ac:dyDescent="0.25">
      <c r="O1281" s="74"/>
      <c r="P1281" s="74"/>
      <c r="Q1281" s="74"/>
      <c r="R1281" s="74"/>
      <c r="V1281" s="72"/>
    </row>
    <row r="1282" spans="15:22" x14ac:dyDescent="0.25">
      <c r="O1282" s="74"/>
      <c r="P1282" s="74"/>
      <c r="Q1282" s="74"/>
      <c r="R1282" s="74"/>
      <c r="V1282" s="72"/>
    </row>
    <row r="1283" spans="15:22" x14ac:dyDescent="0.25">
      <c r="O1283" s="74"/>
      <c r="P1283" s="74"/>
      <c r="Q1283" s="74"/>
      <c r="R1283" s="74"/>
      <c r="V1283" s="72"/>
    </row>
    <row r="1284" spans="15:22" x14ac:dyDescent="0.25">
      <c r="O1284" s="74"/>
      <c r="P1284" s="74"/>
      <c r="Q1284" s="74"/>
      <c r="R1284" s="74"/>
      <c r="V1284" s="72"/>
    </row>
    <row r="1285" spans="15:22" x14ac:dyDescent="0.25">
      <c r="O1285" s="74"/>
      <c r="P1285" s="74"/>
      <c r="Q1285" s="74"/>
      <c r="R1285" s="74"/>
      <c r="V1285" s="72"/>
    </row>
    <row r="1286" spans="15:22" x14ac:dyDescent="0.25">
      <c r="O1286" s="74"/>
      <c r="P1286" s="74"/>
      <c r="Q1286" s="74"/>
      <c r="R1286" s="74"/>
      <c r="V1286" s="72"/>
    </row>
    <row r="1287" spans="15:22" x14ac:dyDescent="0.25">
      <c r="O1287" s="74"/>
      <c r="P1287" s="74"/>
      <c r="Q1287" s="74"/>
      <c r="R1287" s="74"/>
      <c r="V1287" s="72"/>
    </row>
    <row r="1288" spans="15:22" x14ac:dyDescent="0.25">
      <c r="O1288" s="74"/>
      <c r="P1288" s="74"/>
      <c r="Q1288" s="74"/>
      <c r="R1288" s="74"/>
      <c r="V1288" s="72"/>
    </row>
    <row r="1289" spans="15:22" x14ac:dyDescent="0.25">
      <c r="O1289" s="74"/>
      <c r="P1289" s="74"/>
      <c r="Q1289" s="74"/>
      <c r="R1289" s="74"/>
      <c r="V1289" s="72"/>
    </row>
    <row r="1290" spans="15:22" x14ac:dyDescent="0.25">
      <c r="O1290" s="74"/>
      <c r="P1290" s="74"/>
      <c r="Q1290" s="74"/>
      <c r="R1290" s="74"/>
      <c r="V1290" s="72"/>
    </row>
    <row r="1291" spans="15:22" x14ac:dyDescent="0.25">
      <c r="O1291" s="74"/>
      <c r="P1291" s="74"/>
      <c r="Q1291" s="74"/>
      <c r="R1291" s="74"/>
      <c r="V1291" s="72"/>
    </row>
    <row r="1292" spans="15:22" x14ac:dyDescent="0.25">
      <c r="O1292" s="74"/>
      <c r="P1292" s="74"/>
      <c r="Q1292" s="74"/>
      <c r="R1292" s="74"/>
      <c r="V1292" s="72"/>
    </row>
    <row r="1293" spans="15:22" x14ac:dyDescent="0.25">
      <c r="O1293" s="74"/>
      <c r="P1293" s="74"/>
      <c r="Q1293" s="74"/>
      <c r="R1293" s="74"/>
      <c r="V1293" s="72"/>
    </row>
    <row r="1294" spans="15:22" x14ac:dyDescent="0.25">
      <c r="O1294" s="74"/>
      <c r="P1294" s="74"/>
      <c r="Q1294" s="74"/>
      <c r="R1294" s="74"/>
      <c r="V1294" s="72"/>
    </row>
    <row r="1295" spans="15:22" x14ac:dyDescent="0.25">
      <c r="O1295" s="74"/>
      <c r="P1295" s="74"/>
      <c r="Q1295" s="74"/>
      <c r="R1295" s="74"/>
      <c r="V1295" s="72"/>
    </row>
    <row r="1296" spans="15:22" x14ac:dyDescent="0.25">
      <c r="O1296" s="74"/>
      <c r="P1296" s="74"/>
      <c r="Q1296" s="74"/>
      <c r="R1296" s="74"/>
      <c r="V1296" s="72"/>
    </row>
    <row r="1297" spans="15:22" x14ac:dyDescent="0.25">
      <c r="O1297" s="74"/>
      <c r="P1297" s="74"/>
      <c r="Q1297" s="74"/>
      <c r="R1297" s="74"/>
      <c r="V1297" s="72"/>
    </row>
    <row r="1298" spans="15:22" x14ac:dyDescent="0.25">
      <c r="O1298" s="74"/>
      <c r="P1298" s="74"/>
      <c r="Q1298" s="74"/>
      <c r="R1298" s="74"/>
      <c r="V1298" s="72"/>
    </row>
    <row r="1299" spans="15:22" x14ac:dyDescent="0.25">
      <c r="O1299" s="74"/>
      <c r="P1299" s="74"/>
      <c r="Q1299" s="74"/>
      <c r="R1299" s="74"/>
      <c r="V1299" s="72"/>
    </row>
    <row r="1300" spans="15:22" x14ac:dyDescent="0.25">
      <c r="O1300" s="74"/>
      <c r="P1300" s="74"/>
      <c r="Q1300" s="74"/>
      <c r="R1300" s="74"/>
      <c r="V1300" s="72"/>
    </row>
    <row r="1301" spans="15:22" x14ac:dyDescent="0.25">
      <c r="O1301" s="74"/>
      <c r="P1301" s="74"/>
      <c r="Q1301" s="74"/>
      <c r="R1301" s="74"/>
      <c r="V1301" s="72"/>
    </row>
    <row r="1302" spans="15:22" x14ac:dyDescent="0.25">
      <c r="O1302" s="74"/>
      <c r="P1302" s="74"/>
      <c r="Q1302" s="74"/>
      <c r="R1302" s="74"/>
      <c r="V1302" s="72"/>
    </row>
    <row r="1303" spans="15:22" x14ac:dyDescent="0.25">
      <c r="O1303" s="74"/>
      <c r="P1303" s="74"/>
      <c r="Q1303" s="74"/>
      <c r="R1303" s="74"/>
      <c r="V1303" s="72"/>
    </row>
    <row r="1304" spans="15:22" x14ac:dyDescent="0.25">
      <c r="O1304" s="74"/>
      <c r="P1304" s="74"/>
      <c r="Q1304" s="74"/>
      <c r="R1304" s="74"/>
      <c r="V1304" s="72"/>
    </row>
    <row r="1305" spans="15:22" x14ac:dyDescent="0.25">
      <c r="O1305" s="74"/>
      <c r="P1305" s="74"/>
      <c r="Q1305" s="74"/>
      <c r="R1305" s="74"/>
      <c r="V1305" s="72"/>
    </row>
    <row r="1306" spans="15:22" x14ac:dyDescent="0.25">
      <c r="O1306" s="74"/>
      <c r="P1306" s="74"/>
      <c r="Q1306" s="74"/>
      <c r="R1306" s="74"/>
      <c r="V1306" s="72"/>
    </row>
    <row r="1307" spans="15:22" x14ac:dyDescent="0.25">
      <c r="O1307" s="74"/>
      <c r="P1307" s="74"/>
      <c r="Q1307" s="74"/>
      <c r="R1307" s="74"/>
      <c r="V1307" s="72"/>
    </row>
    <row r="1308" spans="15:22" x14ac:dyDescent="0.25">
      <c r="O1308" s="74"/>
      <c r="P1308" s="74"/>
      <c r="Q1308" s="74"/>
      <c r="R1308" s="74"/>
      <c r="V1308" s="72"/>
    </row>
    <row r="1309" spans="15:22" x14ac:dyDescent="0.25">
      <c r="O1309" s="74"/>
      <c r="P1309" s="74"/>
      <c r="Q1309" s="74"/>
      <c r="R1309" s="74"/>
      <c r="V1309" s="72"/>
    </row>
    <row r="1310" spans="15:22" x14ac:dyDescent="0.25">
      <c r="O1310" s="74"/>
      <c r="P1310" s="74"/>
      <c r="Q1310" s="74"/>
      <c r="R1310" s="74"/>
      <c r="V1310" s="72"/>
    </row>
    <row r="1311" spans="15:22" x14ac:dyDescent="0.25">
      <c r="O1311" s="74"/>
      <c r="P1311" s="74"/>
      <c r="Q1311" s="74"/>
      <c r="R1311" s="74"/>
      <c r="V1311" s="72"/>
    </row>
    <row r="1312" spans="15:22" x14ac:dyDescent="0.25">
      <c r="O1312" s="74"/>
      <c r="P1312" s="74"/>
      <c r="Q1312" s="74"/>
      <c r="R1312" s="74"/>
      <c r="V1312" s="72"/>
    </row>
    <row r="1313" spans="15:22" x14ac:dyDescent="0.25">
      <c r="O1313" s="74"/>
      <c r="P1313" s="74"/>
      <c r="Q1313" s="74"/>
      <c r="R1313" s="74"/>
      <c r="V1313" s="72"/>
    </row>
    <row r="1314" spans="15:22" x14ac:dyDescent="0.25">
      <c r="O1314" s="74"/>
      <c r="P1314" s="74"/>
      <c r="Q1314" s="74"/>
      <c r="R1314" s="74"/>
      <c r="V1314" s="72"/>
    </row>
    <row r="1315" spans="15:22" x14ac:dyDescent="0.25">
      <c r="O1315" s="74"/>
      <c r="P1315" s="74"/>
      <c r="Q1315" s="74"/>
      <c r="R1315" s="74"/>
      <c r="V1315" s="72"/>
    </row>
    <row r="1316" spans="15:22" x14ac:dyDescent="0.25">
      <c r="O1316" s="74"/>
      <c r="P1316" s="74"/>
      <c r="Q1316" s="74"/>
      <c r="R1316" s="74"/>
      <c r="V1316" s="72"/>
    </row>
    <row r="1317" spans="15:22" x14ac:dyDescent="0.25">
      <c r="O1317" s="74"/>
      <c r="P1317" s="74"/>
      <c r="Q1317" s="74"/>
      <c r="R1317" s="74"/>
      <c r="V1317" s="72"/>
    </row>
    <row r="1318" spans="15:22" x14ac:dyDescent="0.25">
      <c r="O1318" s="74"/>
      <c r="P1318" s="74"/>
      <c r="Q1318" s="74"/>
      <c r="R1318" s="74"/>
      <c r="V1318" s="72"/>
    </row>
    <row r="1319" spans="15:22" x14ac:dyDescent="0.25">
      <c r="O1319" s="74"/>
      <c r="P1319" s="74"/>
      <c r="Q1319" s="74"/>
      <c r="R1319" s="74"/>
      <c r="V1319" s="72"/>
    </row>
    <row r="1320" spans="15:22" x14ac:dyDescent="0.25">
      <c r="O1320" s="74"/>
      <c r="P1320" s="74"/>
      <c r="Q1320" s="74"/>
      <c r="R1320" s="74"/>
      <c r="V1320" s="72"/>
    </row>
    <row r="1321" spans="15:22" x14ac:dyDescent="0.25">
      <c r="O1321" s="74"/>
      <c r="P1321" s="74"/>
      <c r="Q1321" s="74"/>
      <c r="R1321" s="74"/>
      <c r="V1321" s="72"/>
    </row>
    <row r="1322" spans="15:22" x14ac:dyDescent="0.25">
      <c r="O1322" s="74"/>
      <c r="P1322" s="74"/>
      <c r="Q1322" s="74"/>
      <c r="R1322" s="74"/>
      <c r="V1322" s="72"/>
    </row>
    <row r="1323" spans="15:22" x14ac:dyDescent="0.25">
      <c r="O1323" s="74"/>
      <c r="P1323" s="74"/>
      <c r="Q1323" s="74"/>
      <c r="R1323" s="74"/>
      <c r="V1323" s="72"/>
    </row>
    <row r="1324" spans="15:22" x14ac:dyDescent="0.25">
      <c r="O1324" s="74"/>
      <c r="P1324" s="74"/>
      <c r="Q1324" s="74"/>
      <c r="R1324" s="74"/>
      <c r="V1324" s="72"/>
    </row>
    <row r="1325" spans="15:22" x14ac:dyDescent="0.25">
      <c r="O1325" s="74"/>
      <c r="P1325" s="74"/>
      <c r="Q1325" s="74"/>
      <c r="R1325" s="74"/>
      <c r="V1325" s="72"/>
    </row>
    <row r="1326" spans="15:22" x14ac:dyDescent="0.25">
      <c r="O1326" s="74"/>
      <c r="P1326" s="74"/>
      <c r="Q1326" s="74"/>
      <c r="R1326" s="74"/>
      <c r="V1326" s="72"/>
    </row>
    <row r="1327" spans="15:22" x14ac:dyDescent="0.25">
      <c r="O1327" s="74"/>
      <c r="P1327" s="74"/>
      <c r="Q1327" s="74"/>
      <c r="R1327" s="74"/>
      <c r="V1327" s="72"/>
    </row>
    <row r="1328" spans="15:22" x14ac:dyDescent="0.25">
      <c r="O1328" s="74"/>
      <c r="P1328" s="74"/>
      <c r="Q1328" s="74"/>
      <c r="R1328" s="74"/>
      <c r="V1328" s="72"/>
    </row>
    <row r="1329" spans="15:22" x14ac:dyDescent="0.25">
      <c r="O1329" s="74"/>
      <c r="P1329" s="74"/>
      <c r="Q1329" s="74"/>
      <c r="R1329" s="74"/>
      <c r="V1329" s="72"/>
    </row>
    <row r="1330" spans="15:22" x14ac:dyDescent="0.25">
      <c r="O1330" s="74"/>
      <c r="P1330" s="74"/>
      <c r="Q1330" s="74"/>
      <c r="R1330" s="74"/>
      <c r="V1330" s="72"/>
    </row>
    <row r="1331" spans="15:22" x14ac:dyDescent="0.25">
      <c r="O1331" s="74"/>
      <c r="P1331" s="74"/>
      <c r="Q1331" s="74"/>
      <c r="R1331" s="74"/>
      <c r="V1331" s="72"/>
    </row>
    <row r="1332" spans="15:22" x14ac:dyDescent="0.25">
      <c r="O1332" s="74"/>
      <c r="P1332" s="74"/>
      <c r="Q1332" s="74"/>
      <c r="R1332" s="74"/>
      <c r="V1332" s="72"/>
    </row>
    <row r="1333" spans="15:22" x14ac:dyDescent="0.25">
      <c r="O1333" s="74"/>
      <c r="P1333" s="74"/>
      <c r="Q1333" s="74"/>
      <c r="R1333" s="74"/>
      <c r="V1333" s="72"/>
    </row>
    <row r="1334" spans="15:22" x14ac:dyDescent="0.25">
      <c r="O1334" s="74"/>
      <c r="P1334" s="74"/>
      <c r="Q1334" s="74"/>
      <c r="R1334" s="74"/>
      <c r="V1334" s="72"/>
    </row>
    <row r="1335" spans="15:22" x14ac:dyDescent="0.25">
      <c r="O1335" s="74"/>
      <c r="P1335" s="74"/>
      <c r="Q1335" s="74"/>
      <c r="R1335" s="74"/>
      <c r="V1335" s="72"/>
    </row>
    <row r="1336" spans="15:22" x14ac:dyDescent="0.25">
      <c r="O1336" s="74"/>
      <c r="P1336" s="74"/>
      <c r="Q1336" s="74"/>
      <c r="R1336" s="74"/>
      <c r="V1336" s="72"/>
    </row>
    <row r="1337" spans="15:22" x14ac:dyDescent="0.25">
      <c r="O1337" s="74"/>
      <c r="P1337" s="74"/>
      <c r="Q1337" s="74"/>
      <c r="R1337" s="74"/>
      <c r="V1337" s="72"/>
    </row>
    <row r="1338" spans="15:22" x14ac:dyDescent="0.25">
      <c r="O1338" s="74"/>
      <c r="P1338" s="74"/>
      <c r="Q1338" s="74"/>
      <c r="R1338" s="74"/>
      <c r="V1338" s="72"/>
    </row>
    <row r="1339" spans="15:22" x14ac:dyDescent="0.25">
      <c r="O1339" s="74"/>
      <c r="P1339" s="74"/>
      <c r="Q1339" s="74"/>
      <c r="R1339" s="74"/>
      <c r="V1339" s="72"/>
    </row>
    <row r="1340" spans="15:22" x14ac:dyDescent="0.25">
      <c r="O1340" s="74"/>
      <c r="P1340" s="74"/>
      <c r="Q1340" s="74"/>
      <c r="R1340" s="74"/>
      <c r="V1340" s="72"/>
    </row>
    <row r="1341" spans="15:22" x14ac:dyDescent="0.25">
      <c r="O1341" s="74"/>
      <c r="P1341" s="74"/>
      <c r="Q1341" s="74"/>
      <c r="R1341" s="74"/>
      <c r="V1341" s="72"/>
    </row>
    <row r="1342" spans="15:22" x14ac:dyDescent="0.25">
      <c r="O1342" s="74"/>
      <c r="P1342" s="74"/>
      <c r="Q1342" s="74"/>
      <c r="R1342" s="74"/>
      <c r="V1342" s="72"/>
    </row>
    <row r="1343" spans="15:22" x14ac:dyDescent="0.25">
      <c r="O1343" s="74"/>
      <c r="P1343" s="74"/>
      <c r="Q1343" s="74"/>
      <c r="R1343" s="74"/>
      <c r="V1343" s="72"/>
    </row>
    <row r="1344" spans="15:22" x14ac:dyDescent="0.25">
      <c r="O1344" s="74"/>
      <c r="P1344" s="74"/>
      <c r="Q1344" s="74"/>
      <c r="R1344" s="74"/>
      <c r="V1344" s="72"/>
    </row>
    <row r="1345" spans="15:22" x14ac:dyDescent="0.25">
      <c r="O1345" s="74"/>
      <c r="P1345" s="74"/>
      <c r="Q1345" s="74"/>
      <c r="R1345" s="74"/>
      <c r="V1345" s="72"/>
    </row>
    <row r="1346" spans="15:22" x14ac:dyDescent="0.25">
      <c r="O1346" s="74"/>
      <c r="P1346" s="74"/>
      <c r="Q1346" s="74"/>
      <c r="R1346" s="74"/>
      <c r="V1346" s="72"/>
    </row>
    <row r="1347" spans="15:22" x14ac:dyDescent="0.25">
      <c r="O1347" s="74"/>
      <c r="P1347" s="74"/>
      <c r="Q1347" s="74"/>
      <c r="R1347" s="74"/>
      <c r="V1347" s="72"/>
    </row>
    <row r="1348" spans="15:22" x14ac:dyDescent="0.25">
      <c r="O1348" s="74"/>
      <c r="P1348" s="74"/>
      <c r="Q1348" s="74"/>
      <c r="R1348" s="74"/>
      <c r="V1348" s="72"/>
    </row>
    <row r="1349" spans="15:22" x14ac:dyDescent="0.25">
      <c r="O1349" s="74"/>
      <c r="P1349" s="74"/>
      <c r="Q1349" s="74"/>
      <c r="R1349" s="74"/>
      <c r="V1349" s="72"/>
    </row>
    <row r="1350" spans="15:22" x14ac:dyDescent="0.25">
      <c r="O1350" s="74"/>
      <c r="P1350" s="74"/>
      <c r="Q1350" s="74"/>
      <c r="R1350" s="74"/>
      <c r="V1350" s="72"/>
    </row>
    <row r="1351" spans="15:22" x14ac:dyDescent="0.25">
      <c r="O1351" s="74"/>
      <c r="P1351" s="74"/>
      <c r="Q1351" s="74"/>
      <c r="R1351" s="74"/>
      <c r="V1351" s="72"/>
    </row>
    <row r="1352" spans="15:22" x14ac:dyDescent="0.25">
      <c r="O1352" s="74"/>
      <c r="P1352" s="74"/>
      <c r="Q1352" s="74"/>
      <c r="R1352" s="74"/>
      <c r="V1352" s="72"/>
    </row>
    <row r="1353" spans="15:22" x14ac:dyDescent="0.25">
      <c r="O1353" s="74"/>
      <c r="P1353" s="74"/>
      <c r="Q1353" s="74"/>
      <c r="R1353" s="74"/>
      <c r="V1353" s="72"/>
    </row>
    <row r="1354" spans="15:22" x14ac:dyDescent="0.25">
      <c r="O1354" s="74"/>
      <c r="P1354" s="74"/>
      <c r="Q1354" s="74"/>
      <c r="R1354" s="74"/>
      <c r="V1354" s="72"/>
    </row>
    <row r="1355" spans="15:22" x14ac:dyDescent="0.25">
      <c r="O1355" s="74"/>
      <c r="P1355" s="74"/>
      <c r="Q1355" s="74"/>
      <c r="R1355" s="74"/>
      <c r="V1355" s="72"/>
    </row>
    <row r="1356" spans="15:22" x14ac:dyDescent="0.25">
      <c r="O1356" s="74"/>
      <c r="P1356" s="74"/>
      <c r="Q1356" s="74"/>
      <c r="R1356" s="74"/>
      <c r="V1356" s="72"/>
    </row>
    <row r="1357" spans="15:22" x14ac:dyDescent="0.25">
      <c r="O1357" s="74"/>
      <c r="P1357" s="74"/>
      <c r="Q1357" s="74"/>
      <c r="R1357" s="74"/>
      <c r="V1357" s="72"/>
    </row>
    <row r="1358" spans="15:22" x14ac:dyDescent="0.25">
      <c r="O1358" s="74"/>
      <c r="P1358" s="74"/>
      <c r="Q1358" s="74"/>
      <c r="R1358" s="74"/>
      <c r="V1358" s="72"/>
    </row>
    <row r="1359" spans="15:22" x14ac:dyDescent="0.25">
      <c r="O1359" s="74"/>
      <c r="P1359" s="74"/>
      <c r="Q1359" s="74"/>
      <c r="R1359" s="74"/>
      <c r="V1359" s="72"/>
    </row>
    <row r="1360" spans="15:22" x14ac:dyDescent="0.25">
      <c r="O1360" s="74"/>
      <c r="P1360" s="74"/>
      <c r="Q1360" s="74"/>
      <c r="R1360" s="74"/>
      <c r="V1360" s="72"/>
    </row>
    <row r="1361" spans="15:22" x14ac:dyDescent="0.25">
      <c r="O1361" s="74"/>
      <c r="P1361" s="74"/>
      <c r="Q1361" s="74"/>
      <c r="R1361" s="74"/>
      <c r="V1361" s="72"/>
    </row>
    <row r="1362" spans="15:22" x14ac:dyDescent="0.25">
      <c r="O1362" s="74"/>
      <c r="P1362" s="74"/>
      <c r="Q1362" s="74"/>
      <c r="R1362" s="74"/>
      <c r="V1362" s="72"/>
    </row>
    <row r="1363" spans="15:22" x14ac:dyDescent="0.25">
      <c r="O1363" s="74"/>
      <c r="P1363" s="74"/>
      <c r="Q1363" s="74"/>
      <c r="R1363" s="74"/>
      <c r="V1363" s="72"/>
    </row>
    <row r="1364" spans="15:22" x14ac:dyDescent="0.25">
      <c r="O1364" s="74"/>
      <c r="P1364" s="74"/>
      <c r="Q1364" s="74"/>
      <c r="R1364" s="74"/>
      <c r="V1364" s="72"/>
    </row>
    <row r="1365" spans="15:22" x14ac:dyDescent="0.25">
      <c r="O1365" s="74"/>
      <c r="P1365" s="74"/>
      <c r="Q1365" s="74"/>
      <c r="R1365" s="74"/>
      <c r="V1365" s="72"/>
    </row>
    <row r="1366" spans="15:22" x14ac:dyDescent="0.25">
      <c r="O1366" s="74"/>
      <c r="P1366" s="74"/>
      <c r="Q1366" s="74"/>
      <c r="R1366" s="74"/>
      <c r="V1366" s="72"/>
    </row>
    <row r="1367" spans="15:22" x14ac:dyDescent="0.25">
      <c r="O1367" s="74"/>
      <c r="P1367" s="74"/>
      <c r="Q1367" s="74"/>
      <c r="R1367" s="74"/>
      <c r="V1367" s="72"/>
    </row>
    <row r="1368" spans="15:22" x14ac:dyDescent="0.25">
      <c r="O1368" s="74"/>
      <c r="P1368" s="74"/>
      <c r="Q1368" s="74"/>
      <c r="R1368" s="74"/>
      <c r="V1368" s="72"/>
    </row>
    <row r="1369" spans="15:22" x14ac:dyDescent="0.25">
      <c r="O1369" s="74"/>
      <c r="P1369" s="74"/>
      <c r="Q1369" s="74"/>
      <c r="R1369" s="74"/>
      <c r="V1369" s="72"/>
    </row>
    <row r="1370" spans="15:22" x14ac:dyDescent="0.25">
      <c r="O1370" s="74"/>
      <c r="P1370" s="74"/>
      <c r="Q1370" s="74"/>
      <c r="R1370" s="74"/>
      <c r="V1370" s="72"/>
    </row>
    <row r="1371" spans="15:22" x14ac:dyDescent="0.25">
      <c r="O1371" s="74"/>
      <c r="P1371" s="74"/>
      <c r="Q1371" s="74"/>
      <c r="R1371" s="74"/>
      <c r="V1371" s="72"/>
    </row>
    <row r="1372" spans="15:22" x14ac:dyDescent="0.25">
      <c r="O1372" s="74"/>
      <c r="P1372" s="74"/>
      <c r="Q1372" s="74"/>
      <c r="R1372" s="74"/>
      <c r="V1372" s="72"/>
    </row>
    <row r="1373" spans="15:22" x14ac:dyDescent="0.25">
      <c r="O1373" s="74"/>
      <c r="P1373" s="74"/>
      <c r="Q1373" s="74"/>
      <c r="R1373" s="74"/>
      <c r="V1373" s="72"/>
    </row>
    <row r="1374" spans="15:22" x14ac:dyDescent="0.25">
      <c r="O1374" s="74"/>
      <c r="P1374" s="74"/>
      <c r="Q1374" s="74"/>
      <c r="R1374" s="74"/>
      <c r="V1374" s="72"/>
    </row>
    <row r="1375" spans="15:22" x14ac:dyDescent="0.25">
      <c r="O1375" s="74"/>
      <c r="P1375" s="74"/>
      <c r="Q1375" s="74"/>
      <c r="R1375" s="74"/>
      <c r="V1375" s="72"/>
    </row>
    <row r="1376" spans="15:22" x14ac:dyDescent="0.25">
      <c r="O1376" s="74"/>
      <c r="P1376" s="74"/>
      <c r="Q1376" s="74"/>
      <c r="R1376" s="74"/>
      <c r="V1376" s="72"/>
    </row>
    <row r="1377" spans="15:22" x14ac:dyDescent="0.25">
      <c r="O1377" s="74"/>
      <c r="P1377" s="74"/>
      <c r="Q1377" s="74"/>
      <c r="R1377" s="74"/>
      <c r="V1377" s="72"/>
    </row>
    <row r="1378" spans="15:22" x14ac:dyDescent="0.25">
      <c r="O1378" s="74"/>
      <c r="P1378" s="74"/>
      <c r="Q1378" s="74"/>
      <c r="R1378" s="74"/>
      <c r="V1378" s="72"/>
    </row>
    <row r="1379" spans="15:22" x14ac:dyDescent="0.25">
      <c r="O1379" s="74"/>
      <c r="P1379" s="74"/>
      <c r="Q1379" s="74"/>
      <c r="R1379" s="74"/>
      <c r="V1379" s="72"/>
    </row>
    <row r="1380" spans="15:22" x14ac:dyDescent="0.25">
      <c r="O1380" s="74"/>
      <c r="P1380" s="74"/>
      <c r="Q1380" s="74"/>
      <c r="R1380" s="74"/>
      <c r="V1380" s="72"/>
    </row>
    <row r="1381" spans="15:22" x14ac:dyDescent="0.25">
      <c r="O1381" s="74"/>
      <c r="P1381" s="74"/>
      <c r="Q1381" s="74"/>
      <c r="R1381" s="74"/>
      <c r="V1381" s="72"/>
    </row>
    <row r="1382" spans="15:22" x14ac:dyDescent="0.25">
      <c r="O1382" s="74"/>
      <c r="P1382" s="74"/>
      <c r="Q1382" s="74"/>
      <c r="R1382" s="74"/>
      <c r="V1382" s="72"/>
    </row>
    <row r="1383" spans="15:22" x14ac:dyDescent="0.25">
      <c r="O1383" s="74"/>
      <c r="P1383" s="74"/>
      <c r="Q1383" s="74"/>
      <c r="R1383" s="74"/>
      <c r="V1383" s="72"/>
    </row>
    <row r="1384" spans="15:22" x14ac:dyDescent="0.25">
      <c r="O1384" s="74"/>
      <c r="P1384" s="74"/>
      <c r="Q1384" s="74"/>
      <c r="R1384" s="74"/>
      <c r="V1384" s="72"/>
    </row>
    <row r="1385" spans="15:22" x14ac:dyDescent="0.25">
      <c r="O1385" s="74"/>
      <c r="P1385" s="74"/>
      <c r="Q1385" s="74"/>
      <c r="R1385" s="74"/>
      <c r="V1385" s="72"/>
    </row>
    <row r="1386" spans="15:22" x14ac:dyDescent="0.25">
      <c r="O1386" s="74"/>
      <c r="P1386" s="74"/>
      <c r="Q1386" s="74"/>
      <c r="R1386" s="74"/>
      <c r="V1386" s="72"/>
    </row>
    <row r="1387" spans="15:22" x14ac:dyDescent="0.25">
      <c r="O1387" s="74"/>
      <c r="P1387" s="74"/>
      <c r="Q1387" s="74"/>
      <c r="R1387" s="74"/>
      <c r="V1387" s="72"/>
    </row>
    <row r="1388" spans="15:22" x14ac:dyDescent="0.25">
      <c r="O1388" s="74"/>
      <c r="P1388" s="74"/>
      <c r="Q1388" s="74"/>
      <c r="R1388" s="74"/>
      <c r="V1388" s="72"/>
    </row>
    <row r="1389" spans="15:22" x14ac:dyDescent="0.25">
      <c r="O1389" s="74"/>
      <c r="P1389" s="74"/>
      <c r="Q1389" s="74"/>
      <c r="R1389" s="74"/>
      <c r="V1389" s="72"/>
    </row>
    <row r="1390" spans="15:22" x14ac:dyDescent="0.25">
      <c r="O1390" s="74"/>
      <c r="P1390" s="74"/>
      <c r="Q1390" s="74"/>
      <c r="R1390" s="74"/>
      <c r="V1390" s="72"/>
    </row>
    <row r="1391" spans="15:22" x14ac:dyDescent="0.25">
      <c r="O1391" s="74"/>
      <c r="P1391" s="74"/>
      <c r="Q1391" s="74"/>
      <c r="R1391" s="74"/>
      <c r="V1391" s="72"/>
    </row>
    <row r="1392" spans="15:22" x14ac:dyDescent="0.25">
      <c r="O1392" s="74"/>
      <c r="P1392" s="74"/>
      <c r="Q1392" s="74"/>
      <c r="R1392" s="74"/>
      <c r="V1392" s="72"/>
    </row>
    <row r="1393" spans="15:22" x14ac:dyDescent="0.25">
      <c r="O1393" s="74"/>
      <c r="P1393" s="74"/>
      <c r="Q1393" s="74"/>
      <c r="R1393" s="74"/>
      <c r="V1393" s="72"/>
    </row>
    <row r="1394" spans="15:22" x14ac:dyDescent="0.25">
      <c r="O1394" s="74"/>
      <c r="P1394" s="74"/>
      <c r="Q1394" s="74"/>
      <c r="R1394" s="74"/>
      <c r="V1394" s="72"/>
    </row>
    <row r="1395" spans="15:22" x14ac:dyDescent="0.25">
      <c r="O1395" s="74"/>
      <c r="P1395" s="74"/>
      <c r="Q1395" s="74"/>
      <c r="R1395" s="74"/>
      <c r="V1395" s="72"/>
    </row>
    <row r="1396" spans="15:22" x14ac:dyDescent="0.25">
      <c r="O1396" s="74"/>
      <c r="P1396" s="74"/>
      <c r="Q1396" s="74"/>
      <c r="R1396" s="74"/>
      <c r="V1396" s="72"/>
    </row>
    <row r="1397" spans="15:22" x14ac:dyDescent="0.25">
      <c r="O1397" s="74"/>
      <c r="P1397" s="74"/>
      <c r="Q1397" s="74"/>
      <c r="R1397" s="74"/>
      <c r="V1397" s="72"/>
    </row>
    <row r="1398" spans="15:22" x14ac:dyDescent="0.25">
      <c r="O1398" s="74"/>
      <c r="P1398" s="74"/>
      <c r="Q1398" s="74"/>
      <c r="R1398" s="74"/>
      <c r="V1398" s="72"/>
    </row>
    <row r="1399" spans="15:22" x14ac:dyDescent="0.25">
      <c r="O1399" s="74"/>
      <c r="P1399" s="74"/>
      <c r="Q1399" s="74"/>
      <c r="R1399" s="74"/>
      <c r="V1399" s="72"/>
    </row>
    <row r="1400" spans="15:22" x14ac:dyDescent="0.25">
      <c r="O1400" s="74"/>
      <c r="P1400" s="74"/>
      <c r="Q1400" s="74"/>
      <c r="R1400" s="74"/>
      <c r="V1400" s="72"/>
    </row>
    <row r="1401" spans="15:22" x14ac:dyDescent="0.25">
      <c r="O1401" s="74"/>
      <c r="P1401" s="74"/>
      <c r="Q1401" s="74"/>
      <c r="R1401" s="74"/>
      <c r="V1401" s="72"/>
    </row>
    <row r="1402" spans="15:22" x14ac:dyDescent="0.25">
      <c r="O1402" s="74"/>
      <c r="P1402" s="74"/>
      <c r="Q1402" s="74"/>
      <c r="R1402" s="74"/>
      <c r="V1402" s="72"/>
    </row>
    <row r="1403" spans="15:22" x14ac:dyDescent="0.25">
      <c r="O1403" s="74"/>
      <c r="P1403" s="74"/>
      <c r="Q1403" s="74"/>
      <c r="R1403" s="74"/>
      <c r="V1403" s="72"/>
    </row>
    <row r="1404" spans="15:22" x14ac:dyDescent="0.25">
      <c r="O1404" s="74"/>
      <c r="P1404" s="74"/>
      <c r="Q1404" s="74"/>
      <c r="R1404" s="74"/>
      <c r="V1404" s="72"/>
    </row>
    <row r="1405" spans="15:22" x14ac:dyDescent="0.25">
      <c r="O1405" s="74"/>
      <c r="P1405" s="74"/>
      <c r="Q1405" s="74"/>
      <c r="R1405" s="74"/>
      <c r="V1405" s="72"/>
    </row>
    <row r="1406" spans="15:22" x14ac:dyDescent="0.25">
      <c r="O1406" s="74"/>
      <c r="P1406" s="74"/>
      <c r="Q1406" s="74"/>
      <c r="R1406" s="74"/>
      <c r="V1406" s="72"/>
    </row>
    <row r="1407" spans="15:22" x14ac:dyDescent="0.25">
      <c r="O1407" s="74"/>
      <c r="P1407" s="74"/>
      <c r="Q1407" s="74"/>
      <c r="R1407" s="74"/>
      <c r="V1407" s="72"/>
    </row>
    <row r="1408" spans="15:22" x14ac:dyDescent="0.25">
      <c r="O1408" s="74"/>
      <c r="P1408" s="74"/>
      <c r="Q1408" s="74"/>
      <c r="R1408" s="74"/>
      <c r="V1408" s="72"/>
    </row>
    <row r="1409" spans="15:22" x14ac:dyDescent="0.25">
      <c r="O1409" s="74"/>
      <c r="P1409" s="74"/>
      <c r="Q1409" s="74"/>
      <c r="R1409" s="74"/>
      <c r="V1409" s="72"/>
    </row>
    <row r="1410" spans="15:22" x14ac:dyDescent="0.25">
      <c r="O1410" s="74"/>
      <c r="P1410" s="74"/>
      <c r="Q1410" s="74"/>
      <c r="R1410" s="74"/>
      <c r="V1410" s="72"/>
    </row>
    <row r="1411" spans="15:22" x14ac:dyDescent="0.25">
      <c r="O1411" s="74"/>
      <c r="P1411" s="74"/>
      <c r="Q1411" s="74"/>
      <c r="R1411" s="74"/>
      <c r="V1411" s="72"/>
    </row>
    <row r="1412" spans="15:22" x14ac:dyDescent="0.25">
      <c r="O1412" s="74"/>
      <c r="P1412" s="74"/>
      <c r="Q1412" s="74"/>
      <c r="R1412" s="74"/>
      <c r="V1412" s="72"/>
    </row>
    <row r="1413" spans="15:22" x14ac:dyDescent="0.25">
      <c r="O1413" s="74"/>
      <c r="P1413" s="74"/>
      <c r="Q1413" s="74"/>
      <c r="R1413" s="74"/>
      <c r="V1413" s="72"/>
    </row>
    <row r="1414" spans="15:22" x14ac:dyDescent="0.25">
      <c r="O1414" s="74"/>
      <c r="P1414" s="74"/>
      <c r="Q1414" s="74"/>
      <c r="R1414" s="74"/>
      <c r="V1414" s="72"/>
    </row>
    <row r="1415" spans="15:22" x14ac:dyDescent="0.25">
      <c r="O1415" s="74"/>
      <c r="P1415" s="74"/>
      <c r="Q1415" s="74"/>
      <c r="R1415" s="74"/>
      <c r="V1415" s="72"/>
    </row>
    <row r="1416" spans="15:22" x14ac:dyDescent="0.25">
      <c r="O1416" s="74"/>
      <c r="P1416" s="74"/>
      <c r="Q1416" s="74"/>
      <c r="R1416" s="74"/>
      <c r="V1416" s="72"/>
    </row>
    <row r="1417" spans="15:22" x14ac:dyDescent="0.25">
      <c r="O1417" s="74"/>
      <c r="P1417" s="74"/>
      <c r="Q1417" s="74"/>
      <c r="R1417" s="74"/>
      <c r="V1417" s="72"/>
    </row>
    <row r="1418" spans="15:22" x14ac:dyDescent="0.25">
      <c r="O1418" s="74"/>
      <c r="P1418" s="74"/>
      <c r="Q1418" s="74"/>
      <c r="R1418" s="74"/>
      <c r="V1418" s="72"/>
    </row>
    <row r="1419" spans="15:22" x14ac:dyDescent="0.25">
      <c r="O1419" s="74"/>
      <c r="P1419" s="74"/>
      <c r="Q1419" s="74"/>
      <c r="R1419" s="74"/>
      <c r="V1419" s="72"/>
    </row>
    <row r="1420" spans="15:22" x14ac:dyDescent="0.25">
      <c r="O1420" s="74"/>
      <c r="P1420" s="74"/>
      <c r="Q1420" s="74"/>
      <c r="R1420" s="74"/>
      <c r="V1420" s="72"/>
    </row>
    <row r="1421" spans="15:22" x14ac:dyDescent="0.25">
      <c r="O1421" s="74"/>
      <c r="P1421" s="74"/>
      <c r="Q1421" s="74"/>
      <c r="R1421" s="74"/>
      <c r="V1421" s="72"/>
    </row>
    <row r="1422" spans="15:22" x14ac:dyDescent="0.25">
      <c r="O1422" s="74"/>
      <c r="P1422" s="74"/>
      <c r="Q1422" s="74"/>
      <c r="R1422" s="74"/>
      <c r="V1422" s="72"/>
    </row>
    <row r="1423" spans="15:22" x14ac:dyDescent="0.25">
      <c r="O1423" s="74"/>
      <c r="P1423" s="74"/>
      <c r="Q1423" s="74"/>
      <c r="R1423" s="74"/>
      <c r="V1423" s="72"/>
    </row>
    <row r="1424" spans="15:22" x14ac:dyDescent="0.25">
      <c r="O1424" s="74"/>
      <c r="P1424" s="74"/>
      <c r="Q1424" s="74"/>
      <c r="R1424" s="74"/>
      <c r="V1424" s="72"/>
    </row>
    <row r="1425" spans="15:22" x14ac:dyDescent="0.25">
      <c r="O1425" s="74"/>
      <c r="P1425" s="74"/>
      <c r="Q1425" s="74"/>
      <c r="R1425" s="74"/>
      <c r="V1425" s="72"/>
    </row>
    <row r="1426" spans="15:22" x14ac:dyDescent="0.25">
      <c r="O1426" s="74"/>
      <c r="P1426" s="74"/>
      <c r="Q1426" s="74"/>
      <c r="R1426" s="74"/>
      <c r="V1426" s="72"/>
    </row>
    <row r="1427" spans="15:22" x14ac:dyDescent="0.25">
      <c r="O1427" s="74"/>
      <c r="P1427" s="74"/>
      <c r="Q1427" s="74"/>
      <c r="R1427" s="74"/>
      <c r="V1427" s="72"/>
    </row>
    <row r="1428" spans="15:22" x14ac:dyDescent="0.25">
      <c r="O1428" s="74"/>
      <c r="P1428" s="74"/>
      <c r="Q1428" s="74"/>
      <c r="R1428" s="74"/>
      <c r="V1428" s="72"/>
    </row>
    <row r="1429" spans="15:22" x14ac:dyDescent="0.25">
      <c r="O1429" s="74"/>
      <c r="P1429" s="74"/>
      <c r="Q1429" s="74"/>
      <c r="R1429" s="74"/>
      <c r="V1429" s="72"/>
    </row>
    <row r="1430" spans="15:22" x14ac:dyDescent="0.25">
      <c r="O1430" s="74"/>
      <c r="P1430" s="74"/>
      <c r="Q1430" s="74"/>
      <c r="R1430" s="74"/>
      <c r="V1430" s="72"/>
    </row>
    <row r="1431" spans="15:22" x14ac:dyDescent="0.25">
      <c r="O1431" s="74"/>
      <c r="P1431" s="74"/>
      <c r="Q1431" s="74"/>
      <c r="R1431" s="74"/>
      <c r="V1431" s="72"/>
    </row>
    <row r="1432" spans="15:22" x14ac:dyDescent="0.25">
      <c r="O1432" s="74"/>
      <c r="P1432" s="74"/>
      <c r="Q1432" s="74"/>
      <c r="R1432" s="74"/>
      <c r="V1432" s="72"/>
    </row>
    <row r="1433" spans="15:22" x14ac:dyDescent="0.25">
      <c r="O1433" s="74"/>
      <c r="P1433" s="74"/>
      <c r="Q1433" s="74"/>
      <c r="R1433" s="74"/>
      <c r="V1433" s="72"/>
    </row>
    <row r="1434" spans="15:22" x14ac:dyDescent="0.25">
      <c r="O1434" s="74"/>
      <c r="P1434" s="74"/>
      <c r="Q1434" s="74"/>
      <c r="R1434" s="74"/>
      <c r="V1434" s="72"/>
    </row>
    <row r="1435" spans="15:22" x14ac:dyDescent="0.25">
      <c r="O1435" s="74"/>
      <c r="P1435" s="74"/>
      <c r="Q1435" s="74"/>
      <c r="R1435" s="74"/>
      <c r="V1435" s="72"/>
    </row>
    <row r="1436" spans="15:22" x14ac:dyDescent="0.25">
      <c r="O1436" s="74"/>
      <c r="P1436" s="74"/>
      <c r="Q1436" s="74"/>
      <c r="R1436" s="74"/>
      <c r="V1436" s="72"/>
    </row>
    <row r="1437" spans="15:22" x14ac:dyDescent="0.25">
      <c r="O1437" s="74"/>
      <c r="P1437" s="74"/>
      <c r="Q1437" s="74"/>
      <c r="R1437" s="74"/>
      <c r="V1437" s="72"/>
    </row>
    <row r="1438" spans="15:22" x14ac:dyDescent="0.25">
      <c r="O1438" s="74"/>
      <c r="P1438" s="74"/>
      <c r="Q1438" s="74"/>
      <c r="R1438" s="74"/>
      <c r="V1438" s="72"/>
    </row>
    <row r="1439" spans="15:22" x14ac:dyDescent="0.25">
      <c r="O1439" s="74"/>
      <c r="P1439" s="74"/>
      <c r="Q1439" s="74"/>
      <c r="R1439" s="74"/>
      <c r="V1439" s="72"/>
    </row>
    <row r="1440" spans="15:22" x14ac:dyDescent="0.25">
      <c r="O1440" s="74"/>
      <c r="P1440" s="74"/>
      <c r="Q1440" s="74"/>
      <c r="R1440" s="74"/>
      <c r="V1440" s="72"/>
    </row>
    <row r="1441" spans="15:22" x14ac:dyDescent="0.25">
      <c r="O1441" s="74"/>
      <c r="P1441" s="74"/>
      <c r="Q1441" s="74"/>
      <c r="R1441" s="74"/>
      <c r="V1441" s="72"/>
    </row>
    <row r="1442" spans="15:22" x14ac:dyDescent="0.25">
      <c r="O1442" s="74"/>
      <c r="P1442" s="74"/>
      <c r="Q1442" s="74"/>
      <c r="R1442" s="74"/>
      <c r="V1442" s="72"/>
    </row>
    <row r="1443" spans="15:22" x14ac:dyDescent="0.25">
      <c r="O1443" s="74"/>
      <c r="P1443" s="74"/>
      <c r="Q1443" s="74"/>
      <c r="R1443" s="74"/>
      <c r="V1443" s="72"/>
    </row>
    <row r="1444" spans="15:22" x14ac:dyDescent="0.25">
      <c r="O1444" s="74"/>
      <c r="P1444" s="74"/>
      <c r="Q1444" s="74"/>
      <c r="R1444" s="74"/>
      <c r="V1444" s="72"/>
    </row>
    <row r="1445" spans="15:22" x14ac:dyDescent="0.25">
      <c r="O1445" s="74"/>
      <c r="P1445" s="74"/>
      <c r="Q1445" s="74"/>
      <c r="R1445" s="74"/>
      <c r="V1445" s="72"/>
    </row>
    <row r="1446" spans="15:22" x14ac:dyDescent="0.25">
      <c r="O1446" s="74"/>
      <c r="P1446" s="74"/>
      <c r="Q1446" s="74"/>
      <c r="R1446" s="74"/>
      <c r="V1446" s="72"/>
    </row>
    <row r="1447" spans="15:22" x14ac:dyDescent="0.25">
      <c r="O1447" s="74"/>
      <c r="P1447" s="74"/>
      <c r="Q1447" s="74"/>
      <c r="R1447" s="74"/>
      <c r="V1447" s="72"/>
    </row>
    <row r="1448" spans="15:22" x14ac:dyDescent="0.25">
      <c r="O1448" s="74"/>
      <c r="P1448" s="74"/>
      <c r="Q1448" s="74"/>
      <c r="R1448" s="74"/>
      <c r="V1448" s="72"/>
    </row>
    <row r="1449" spans="15:22" x14ac:dyDescent="0.25">
      <c r="O1449" s="74"/>
      <c r="P1449" s="74"/>
      <c r="Q1449" s="74"/>
      <c r="R1449" s="74"/>
      <c r="V1449" s="72"/>
    </row>
    <row r="1450" spans="15:22" x14ac:dyDescent="0.25">
      <c r="O1450" s="74"/>
      <c r="P1450" s="74"/>
      <c r="Q1450" s="74"/>
      <c r="R1450" s="74"/>
      <c r="V1450" s="72"/>
    </row>
    <row r="1451" spans="15:22" x14ac:dyDescent="0.25">
      <c r="O1451" s="74"/>
      <c r="P1451" s="74"/>
      <c r="Q1451" s="74"/>
      <c r="R1451" s="74"/>
      <c r="V1451" s="72"/>
    </row>
    <row r="1452" spans="15:22" x14ac:dyDescent="0.25">
      <c r="O1452" s="74"/>
      <c r="P1452" s="74"/>
      <c r="Q1452" s="74"/>
      <c r="R1452" s="74"/>
      <c r="V1452" s="72"/>
    </row>
    <row r="1453" spans="15:22" x14ac:dyDescent="0.25">
      <c r="O1453" s="74"/>
      <c r="P1453" s="74"/>
      <c r="Q1453" s="74"/>
      <c r="R1453" s="74"/>
      <c r="V1453" s="72"/>
    </row>
    <row r="1454" spans="15:22" x14ac:dyDescent="0.25">
      <c r="O1454" s="74"/>
      <c r="P1454" s="74"/>
      <c r="Q1454" s="74"/>
      <c r="R1454" s="74"/>
      <c r="V1454" s="72"/>
    </row>
    <row r="1455" spans="15:22" x14ac:dyDescent="0.25">
      <c r="O1455" s="74"/>
      <c r="P1455" s="74"/>
      <c r="Q1455" s="74"/>
      <c r="R1455" s="74"/>
      <c r="V1455" s="72"/>
    </row>
    <row r="1456" spans="15:22" x14ac:dyDescent="0.25">
      <c r="O1456" s="74"/>
      <c r="P1456" s="74"/>
      <c r="Q1456" s="74"/>
      <c r="R1456" s="74"/>
      <c r="V1456" s="72"/>
    </row>
    <row r="1457" spans="15:22" x14ac:dyDescent="0.25">
      <c r="O1457" s="74"/>
      <c r="P1457" s="74"/>
      <c r="Q1457" s="74"/>
      <c r="R1457" s="74"/>
      <c r="V1457" s="72"/>
    </row>
    <row r="1458" spans="15:22" x14ac:dyDescent="0.25">
      <c r="O1458" s="74"/>
      <c r="P1458" s="74"/>
      <c r="Q1458" s="74"/>
      <c r="R1458" s="74"/>
      <c r="V1458" s="72"/>
    </row>
    <row r="1459" spans="15:22" x14ac:dyDescent="0.25">
      <c r="O1459" s="74"/>
      <c r="P1459" s="74"/>
      <c r="Q1459" s="74"/>
      <c r="R1459" s="74"/>
      <c r="V1459" s="72"/>
    </row>
    <row r="1460" spans="15:22" x14ac:dyDescent="0.25">
      <c r="O1460" s="74"/>
      <c r="P1460" s="74"/>
      <c r="Q1460" s="74"/>
      <c r="R1460" s="74"/>
      <c r="V1460" s="72"/>
    </row>
    <row r="1461" spans="15:22" x14ac:dyDescent="0.25">
      <c r="O1461" s="74"/>
      <c r="P1461" s="74"/>
      <c r="Q1461" s="74"/>
      <c r="R1461" s="74"/>
      <c r="V1461" s="72"/>
    </row>
    <row r="1462" spans="15:22" x14ac:dyDescent="0.25">
      <c r="O1462" s="74"/>
      <c r="P1462" s="74"/>
      <c r="Q1462" s="74"/>
      <c r="R1462" s="74"/>
      <c r="V1462" s="72"/>
    </row>
    <row r="1463" spans="15:22" x14ac:dyDescent="0.25">
      <c r="O1463" s="74"/>
      <c r="P1463" s="74"/>
      <c r="Q1463" s="74"/>
      <c r="R1463" s="74"/>
      <c r="V1463" s="72"/>
    </row>
    <row r="1464" spans="15:22" x14ac:dyDescent="0.25">
      <c r="O1464" s="74"/>
      <c r="P1464" s="74"/>
      <c r="Q1464" s="74"/>
      <c r="R1464" s="74"/>
      <c r="V1464" s="72"/>
    </row>
    <row r="1465" spans="15:22" x14ac:dyDescent="0.25">
      <c r="O1465" s="74"/>
      <c r="P1465" s="74"/>
      <c r="Q1465" s="74"/>
      <c r="R1465" s="74"/>
      <c r="V1465" s="72"/>
    </row>
    <row r="1466" spans="15:22" x14ac:dyDescent="0.25">
      <c r="O1466" s="74"/>
      <c r="P1466" s="74"/>
      <c r="Q1466" s="74"/>
      <c r="R1466" s="74"/>
      <c r="V1466" s="72"/>
    </row>
    <row r="1467" spans="15:22" x14ac:dyDescent="0.25">
      <c r="O1467" s="74"/>
      <c r="P1467" s="74"/>
      <c r="Q1467" s="74"/>
      <c r="R1467" s="74"/>
      <c r="V1467" s="72"/>
    </row>
    <row r="1468" spans="15:22" x14ac:dyDescent="0.25">
      <c r="O1468" s="74"/>
      <c r="P1468" s="74"/>
      <c r="Q1468" s="74"/>
      <c r="R1468" s="74"/>
      <c r="V1468" s="72"/>
    </row>
    <row r="1469" spans="15:22" x14ac:dyDescent="0.25">
      <c r="O1469" s="74"/>
      <c r="P1469" s="74"/>
      <c r="Q1469" s="74"/>
      <c r="R1469" s="74"/>
      <c r="V1469" s="72"/>
    </row>
    <row r="1470" spans="15:22" x14ac:dyDescent="0.25">
      <c r="O1470" s="74"/>
      <c r="P1470" s="74"/>
      <c r="Q1470" s="74"/>
      <c r="R1470" s="74"/>
      <c r="V1470" s="72"/>
    </row>
    <row r="1471" spans="15:22" x14ac:dyDescent="0.25">
      <c r="O1471" s="74"/>
      <c r="P1471" s="74"/>
      <c r="Q1471" s="74"/>
      <c r="R1471" s="74"/>
      <c r="V1471" s="72"/>
    </row>
    <row r="1472" spans="15:22" x14ac:dyDescent="0.25">
      <c r="O1472" s="74"/>
      <c r="P1472" s="74"/>
      <c r="Q1472" s="74"/>
      <c r="R1472" s="74"/>
      <c r="V1472" s="72"/>
    </row>
    <row r="1473" spans="15:22" x14ac:dyDescent="0.25">
      <c r="O1473" s="74"/>
      <c r="P1473" s="74"/>
      <c r="Q1473" s="74"/>
      <c r="R1473" s="74"/>
      <c r="V1473" s="72"/>
    </row>
    <row r="1474" spans="15:22" x14ac:dyDescent="0.25">
      <c r="O1474" s="74"/>
      <c r="P1474" s="74"/>
      <c r="Q1474" s="74"/>
      <c r="R1474" s="74"/>
      <c r="V1474" s="72"/>
    </row>
    <row r="1475" spans="15:22" x14ac:dyDescent="0.25">
      <c r="O1475" s="74"/>
      <c r="P1475" s="74"/>
      <c r="Q1475" s="74"/>
      <c r="R1475" s="74"/>
      <c r="V1475" s="72"/>
    </row>
    <row r="1476" spans="15:22" x14ac:dyDescent="0.25">
      <c r="O1476" s="74"/>
      <c r="P1476" s="74"/>
      <c r="Q1476" s="74"/>
      <c r="R1476" s="74"/>
      <c r="V1476" s="72"/>
    </row>
    <row r="1477" spans="15:22" x14ac:dyDescent="0.25">
      <c r="O1477" s="74"/>
      <c r="P1477" s="74"/>
      <c r="Q1477" s="74"/>
      <c r="R1477" s="74"/>
      <c r="V1477" s="72"/>
    </row>
    <row r="1478" spans="15:22" x14ac:dyDescent="0.25">
      <c r="O1478" s="74"/>
      <c r="P1478" s="74"/>
      <c r="Q1478" s="74"/>
      <c r="R1478" s="74"/>
      <c r="V1478" s="72"/>
    </row>
    <row r="1479" spans="15:22" x14ac:dyDescent="0.25">
      <c r="O1479" s="74"/>
      <c r="P1479" s="74"/>
      <c r="Q1479" s="74"/>
      <c r="R1479" s="74"/>
      <c r="V1479" s="72"/>
    </row>
    <row r="1480" spans="15:22" x14ac:dyDescent="0.25">
      <c r="O1480" s="74"/>
      <c r="P1480" s="74"/>
      <c r="Q1480" s="74"/>
      <c r="R1480" s="74"/>
      <c r="V1480" s="72"/>
    </row>
    <row r="1481" spans="15:22" x14ac:dyDescent="0.25">
      <c r="O1481" s="74"/>
      <c r="P1481" s="74"/>
      <c r="Q1481" s="74"/>
      <c r="R1481" s="74"/>
      <c r="V1481" s="72"/>
    </row>
    <row r="1482" spans="15:22" x14ac:dyDescent="0.25">
      <c r="O1482" s="74"/>
      <c r="P1482" s="74"/>
      <c r="Q1482" s="74"/>
      <c r="R1482" s="74"/>
      <c r="V1482" s="72"/>
    </row>
    <row r="1483" spans="15:22" x14ac:dyDescent="0.25">
      <c r="O1483" s="74"/>
      <c r="P1483" s="74"/>
      <c r="Q1483" s="74"/>
      <c r="R1483" s="74"/>
      <c r="V1483" s="72"/>
    </row>
    <row r="1484" spans="15:22" x14ac:dyDescent="0.25">
      <c r="O1484" s="74"/>
      <c r="P1484" s="74"/>
      <c r="Q1484" s="74"/>
      <c r="R1484" s="74"/>
      <c r="V1484" s="72"/>
    </row>
    <row r="1485" spans="15:22" x14ac:dyDescent="0.25">
      <c r="O1485" s="74"/>
      <c r="P1485" s="74"/>
      <c r="Q1485" s="74"/>
      <c r="R1485" s="74"/>
      <c r="V1485" s="72"/>
    </row>
    <row r="1486" spans="15:22" x14ac:dyDescent="0.25">
      <c r="O1486" s="74"/>
      <c r="P1486" s="74"/>
      <c r="Q1486" s="74"/>
      <c r="R1486" s="74"/>
      <c r="V1486" s="72"/>
    </row>
    <row r="1487" spans="15:22" x14ac:dyDescent="0.25">
      <c r="O1487" s="74"/>
      <c r="P1487" s="74"/>
      <c r="Q1487" s="74"/>
      <c r="R1487" s="74"/>
      <c r="V1487" s="72"/>
    </row>
    <row r="1488" spans="15:22" x14ac:dyDescent="0.25">
      <c r="O1488" s="74"/>
      <c r="P1488" s="74"/>
      <c r="Q1488" s="74"/>
      <c r="R1488" s="74"/>
      <c r="V1488" s="72"/>
    </row>
    <row r="1489" spans="15:22" x14ac:dyDescent="0.25">
      <c r="O1489" s="74"/>
      <c r="P1489" s="74"/>
      <c r="Q1489" s="74"/>
      <c r="R1489" s="74"/>
      <c r="V1489" s="72"/>
    </row>
    <row r="1490" spans="15:22" x14ac:dyDescent="0.25">
      <c r="O1490" s="74"/>
      <c r="P1490" s="74"/>
      <c r="Q1490" s="74"/>
      <c r="R1490" s="74"/>
      <c r="V1490" s="72"/>
    </row>
    <row r="1491" spans="15:22" x14ac:dyDescent="0.25">
      <c r="O1491" s="74"/>
      <c r="P1491" s="74"/>
      <c r="Q1491" s="74"/>
      <c r="R1491" s="74"/>
      <c r="V1491" s="72"/>
    </row>
    <row r="1492" spans="15:22" x14ac:dyDescent="0.25">
      <c r="O1492" s="74"/>
      <c r="P1492" s="74"/>
      <c r="Q1492" s="74"/>
      <c r="R1492" s="74"/>
      <c r="V1492" s="72"/>
    </row>
    <row r="1493" spans="15:22" x14ac:dyDescent="0.25">
      <c r="O1493" s="74"/>
      <c r="P1493" s="74"/>
      <c r="Q1493" s="74"/>
      <c r="R1493" s="74"/>
      <c r="V1493" s="72"/>
    </row>
    <row r="1494" spans="15:22" x14ac:dyDescent="0.25">
      <c r="O1494" s="74"/>
      <c r="P1494" s="74"/>
      <c r="Q1494" s="74"/>
      <c r="R1494" s="74"/>
      <c r="V1494" s="72"/>
    </row>
    <row r="1495" spans="15:22" x14ac:dyDescent="0.25">
      <c r="O1495" s="74"/>
      <c r="P1495" s="74"/>
      <c r="Q1495" s="74"/>
      <c r="R1495" s="74"/>
      <c r="V1495" s="72"/>
    </row>
    <row r="1496" spans="15:22" x14ac:dyDescent="0.25">
      <c r="O1496" s="74"/>
      <c r="P1496" s="74"/>
      <c r="Q1496" s="74"/>
      <c r="R1496" s="74"/>
      <c r="V1496" s="72"/>
    </row>
    <row r="1497" spans="15:22" x14ac:dyDescent="0.25">
      <c r="O1497" s="74"/>
      <c r="P1497" s="74"/>
      <c r="Q1497" s="74"/>
      <c r="R1497" s="74"/>
      <c r="V1497" s="72"/>
    </row>
    <row r="1498" spans="15:22" x14ac:dyDescent="0.25">
      <c r="O1498" s="74"/>
      <c r="P1498" s="74"/>
      <c r="Q1498" s="74"/>
      <c r="R1498" s="74"/>
      <c r="V1498" s="72"/>
    </row>
    <row r="1499" spans="15:22" x14ac:dyDescent="0.25">
      <c r="O1499" s="74"/>
      <c r="P1499" s="74"/>
      <c r="Q1499" s="74"/>
      <c r="R1499" s="74"/>
      <c r="V1499" s="72"/>
    </row>
    <row r="1500" spans="15:22" x14ac:dyDescent="0.25">
      <c r="O1500" s="74"/>
      <c r="P1500" s="74"/>
      <c r="Q1500" s="74"/>
      <c r="R1500" s="74"/>
      <c r="V1500" s="72"/>
    </row>
    <row r="1501" spans="15:22" x14ac:dyDescent="0.25">
      <c r="O1501" s="74"/>
      <c r="P1501" s="74"/>
      <c r="Q1501" s="74"/>
      <c r="R1501" s="74"/>
      <c r="V1501" s="72"/>
    </row>
    <row r="1502" spans="15:22" x14ac:dyDescent="0.25">
      <c r="O1502" s="74"/>
      <c r="P1502" s="74"/>
      <c r="Q1502" s="74"/>
      <c r="R1502" s="74"/>
      <c r="V1502" s="72"/>
    </row>
    <row r="1503" spans="15:22" x14ac:dyDescent="0.25">
      <c r="O1503" s="74"/>
      <c r="P1503" s="74"/>
      <c r="Q1503" s="74"/>
      <c r="R1503" s="74"/>
      <c r="V1503" s="72"/>
    </row>
    <row r="1504" spans="15:22" x14ac:dyDescent="0.25">
      <c r="O1504" s="74"/>
      <c r="P1504" s="74"/>
      <c r="Q1504" s="74"/>
      <c r="R1504" s="74"/>
      <c r="V1504" s="72"/>
    </row>
    <row r="1505" spans="15:22" x14ac:dyDescent="0.25">
      <c r="O1505" s="74"/>
      <c r="P1505" s="74"/>
      <c r="Q1505" s="74"/>
      <c r="R1505" s="74"/>
      <c r="V1505" s="72"/>
    </row>
    <row r="1506" spans="15:22" x14ac:dyDescent="0.25">
      <c r="O1506" s="74"/>
      <c r="P1506" s="74"/>
      <c r="Q1506" s="74"/>
      <c r="R1506" s="74"/>
      <c r="V1506" s="72"/>
    </row>
    <row r="1507" spans="15:22" x14ac:dyDescent="0.25">
      <c r="O1507" s="74"/>
      <c r="P1507" s="74"/>
      <c r="Q1507" s="74"/>
      <c r="R1507" s="74"/>
      <c r="V1507" s="72"/>
    </row>
    <row r="1508" spans="15:22" x14ac:dyDescent="0.25">
      <c r="O1508" s="74"/>
      <c r="P1508" s="74"/>
      <c r="Q1508" s="74"/>
      <c r="R1508" s="74"/>
      <c r="V1508" s="72"/>
    </row>
    <row r="1509" spans="15:22" x14ac:dyDescent="0.25">
      <c r="O1509" s="74"/>
      <c r="P1509" s="74"/>
      <c r="Q1509" s="74"/>
      <c r="R1509" s="74"/>
      <c r="V1509" s="72"/>
    </row>
    <row r="1510" spans="15:22" x14ac:dyDescent="0.25">
      <c r="O1510" s="74"/>
      <c r="P1510" s="74"/>
      <c r="Q1510" s="74"/>
      <c r="R1510" s="74"/>
      <c r="V1510" s="72"/>
    </row>
    <row r="1511" spans="15:22" x14ac:dyDescent="0.25">
      <c r="O1511" s="74"/>
      <c r="P1511" s="74"/>
      <c r="Q1511" s="74"/>
      <c r="R1511" s="74"/>
      <c r="V1511" s="72"/>
    </row>
    <row r="1512" spans="15:22" x14ac:dyDescent="0.25">
      <c r="O1512" s="74"/>
      <c r="P1512" s="74"/>
      <c r="Q1512" s="74"/>
      <c r="R1512" s="74"/>
      <c r="V1512" s="72"/>
    </row>
    <row r="1513" spans="15:22" x14ac:dyDescent="0.25">
      <c r="O1513" s="74"/>
      <c r="P1513" s="74"/>
      <c r="Q1513" s="74"/>
      <c r="R1513" s="74"/>
      <c r="V1513" s="72"/>
    </row>
    <row r="1514" spans="15:22" x14ac:dyDescent="0.25">
      <c r="O1514" s="74"/>
      <c r="P1514" s="74"/>
      <c r="Q1514" s="74"/>
      <c r="R1514" s="74"/>
      <c r="V1514" s="72"/>
    </row>
    <row r="1515" spans="15:22" x14ac:dyDescent="0.25">
      <c r="O1515" s="74"/>
      <c r="P1515" s="74"/>
      <c r="Q1515" s="74"/>
      <c r="R1515" s="74"/>
      <c r="V1515" s="72"/>
    </row>
    <row r="1516" spans="15:22" x14ac:dyDescent="0.25">
      <c r="O1516" s="74"/>
      <c r="P1516" s="74"/>
      <c r="Q1516" s="74"/>
      <c r="R1516" s="74"/>
      <c r="V1516" s="72"/>
    </row>
    <row r="1517" spans="15:22" x14ac:dyDescent="0.25">
      <c r="O1517" s="74"/>
      <c r="P1517" s="74"/>
      <c r="Q1517" s="74"/>
      <c r="R1517" s="74"/>
      <c r="V1517" s="72"/>
    </row>
    <row r="1518" spans="15:22" x14ac:dyDescent="0.25">
      <c r="O1518" s="74"/>
      <c r="P1518" s="74"/>
      <c r="Q1518" s="74"/>
      <c r="R1518" s="74"/>
      <c r="V1518" s="72"/>
    </row>
    <row r="1519" spans="15:22" x14ac:dyDescent="0.25">
      <c r="O1519" s="74"/>
      <c r="P1519" s="74"/>
      <c r="Q1519" s="74"/>
      <c r="R1519" s="74"/>
      <c r="V1519" s="72"/>
    </row>
    <row r="1520" spans="15:22" x14ac:dyDescent="0.25">
      <c r="O1520" s="74"/>
      <c r="P1520" s="74"/>
      <c r="Q1520" s="74"/>
      <c r="R1520" s="74"/>
      <c r="V1520" s="72"/>
    </row>
    <row r="1521" spans="15:22" x14ac:dyDescent="0.25">
      <c r="O1521" s="74"/>
      <c r="P1521" s="74"/>
      <c r="Q1521" s="74"/>
      <c r="R1521" s="74"/>
      <c r="V1521" s="72"/>
    </row>
    <row r="1522" spans="15:22" x14ac:dyDescent="0.25">
      <c r="O1522" s="74"/>
      <c r="P1522" s="74"/>
      <c r="Q1522" s="74"/>
      <c r="R1522" s="74"/>
      <c r="V1522" s="72"/>
    </row>
    <row r="1523" spans="15:22" x14ac:dyDescent="0.25">
      <c r="O1523" s="74"/>
      <c r="P1523" s="74"/>
      <c r="Q1523" s="74"/>
      <c r="R1523" s="74"/>
      <c r="V1523" s="72"/>
    </row>
    <row r="1524" spans="15:22" x14ac:dyDescent="0.25">
      <c r="O1524" s="74"/>
      <c r="P1524" s="74"/>
      <c r="Q1524" s="74"/>
      <c r="R1524" s="74"/>
      <c r="V1524" s="72"/>
    </row>
    <row r="1525" spans="15:22" x14ac:dyDescent="0.25">
      <c r="O1525" s="74"/>
      <c r="P1525" s="74"/>
      <c r="Q1525" s="74"/>
      <c r="R1525" s="74"/>
      <c r="V1525" s="72"/>
    </row>
    <row r="1526" spans="15:22" x14ac:dyDescent="0.25">
      <c r="O1526" s="74"/>
      <c r="P1526" s="74"/>
      <c r="Q1526" s="74"/>
      <c r="R1526" s="74"/>
      <c r="V1526" s="72"/>
    </row>
    <row r="1527" spans="15:22" x14ac:dyDescent="0.25">
      <c r="O1527" s="74"/>
      <c r="P1527" s="74"/>
      <c r="Q1527" s="74"/>
      <c r="R1527" s="74"/>
      <c r="V1527" s="72"/>
    </row>
    <row r="1528" spans="15:22" x14ac:dyDescent="0.25">
      <c r="O1528" s="74"/>
      <c r="P1528" s="74"/>
      <c r="Q1528" s="74"/>
      <c r="R1528" s="74"/>
      <c r="V1528" s="72"/>
    </row>
    <row r="1529" spans="15:22" x14ac:dyDescent="0.25">
      <c r="O1529" s="74"/>
      <c r="P1529" s="74"/>
      <c r="Q1529" s="74"/>
      <c r="R1529" s="74"/>
      <c r="V1529" s="72"/>
    </row>
    <row r="1530" spans="15:22" x14ac:dyDescent="0.25">
      <c r="O1530" s="74"/>
      <c r="P1530" s="74"/>
      <c r="Q1530" s="74"/>
      <c r="R1530" s="74"/>
      <c r="V1530" s="72"/>
    </row>
    <row r="1531" spans="15:22" x14ac:dyDescent="0.25">
      <c r="O1531" s="74"/>
      <c r="P1531" s="74"/>
      <c r="Q1531" s="74"/>
      <c r="R1531" s="74"/>
      <c r="V1531" s="72"/>
    </row>
    <row r="1532" spans="15:22" x14ac:dyDescent="0.25">
      <c r="O1532" s="74"/>
      <c r="P1532" s="74"/>
      <c r="Q1532" s="74"/>
      <c r="R1532" s="74"/>
      <c r="V1532" s="72"/>
    </row>
    <row r="1533" spans="15:22" x14ac:dyDescent="0.25">
      <c r="O1533" s="74"/>
      <c r="P1533" s="74"/>
      <c r="Q1533" s="74"/>
      <c r="R1533" s="74"/>
      <c r="V1533" s="72"/>
    </row>
    <row r="1534" spans="15:22" x14ac:dyDescent="0.25">
      <c r="O1534" s="74"/>
      <c r="P1534" s="74"/>
      <c r="Q1534" s="74"/>
      <c r="R1534" s="74"/>
      <c r="V1534" s="72"/>
    </row>
    <row r="1535" spans="15:22" x14ac:dyDescent="0.25">
      <c r="O1535" s="74"/>
      <c r="P1535" s="74"/>
      <c r="Q1535" s="74"/>
      <c r="R1535" s="74"/>
      <c r="V1535" s="72"/>
    </row>
    <row r="1536" spans="15:22" x14ac:dyDescent="0.25">
      <c r="O1536" s="74"/>
      <c r="P1536" s="74"/>
      <c r="Q1536" s="74"/>
      <c r="R1536" s="74"/>
      <c r="V1536" s="72"/>
    </row>
    <row r="1537" spans="15:22" x14ac:dyDescent="0.25">
      <c r="O1537" s="74"/>
      <c r="P1537" s="74"/>
      <c r="Q1537" s="74"/>
      <c r="R1537" s="74"/>
      <c r="V1537" s="72"/>
    </row>
    <row r="1538" spans="15:22" x14ac:dyDescent="0.25">
      <c r="O1538" s="74"/>
      <c r="P1538" s="74"/>
      <c r="Q1538" s="74"/>
      <c r="R1538" s="74"/>
      <c r="V1538" s="72"/>
    </row>
    <row r="1539" spans="15:22" x14ac:dyDescent="0.25">
      <c r="O1539" s="74"/>
      <c r="P1539" s="74"/>
      <c r="Q1539" s="74"/>
      <c r="R1539" s="74"/>
      <c r="V1539" s="72"/>
    </row>
    <row r="1540" spans="15:22" x14ac:dyDescent="0.25">
      <c r="O1540" s="74"/>
      <c r="P1540" s="74"/>
      <c r="Q1540" s="74"/>
      <c r="R1540" s="74"/>
      <c r="V1540" s="72"/>
    </row>
    <row r="1541" spans="15:22" x14ac:dyDescent="0.25">
      <c r="O1541" s="74"/>
      <c r="P1541" s="74"/>
      <c r="Q1541" s="74"/>
      <c r="R1541" s="74"/>
      <c r="V1541" s="72"/>
    </row>
    <row r="1542" spans="15:22" x14ac:dyDescent="0.25">
      <c r="O1542" s="74"/>
      <c r="P1542" s="74"/>
      <c r="Q1542" s="74"/>
      <c r="R1542" s="74"/>
      <c r="V1542" s="72"/>
    </row>
    <row r="1543" spans="15:22" x14ac:dyDescent="0.25">
      <c r="O1543" s="74"/>
      <c r="P1543" s="74"/>
      <c r="Q1543" s="74"/>
      <c r="R1543" s="74"/>
      <c r="V1543" s="72"/>
    </row>
    <row r="1544" spans="15:22" x14ac:dyDescent="0.25">
      <c r="O1544" s="74"/>
      <c r="P1544" s="74"/>
      <c r="Q1544" s="74"/>
      <c r="R1544" s="74"/>
      <c r="V1544" s="72"/>
    </row>
    <row r="1545" spans="15:22" x14ac:dyDescent="0.25">
      <c r="O1545" s="74"/>
      <c r="P1545" s="74"/>
      <c r="Q1545" s="74"/>
      <c r="R1545" s="74"/>
      <c r="V1545" s="72"/>
    </row>
    <row r="1546" spans="15:22" x14ac:dyDescent="0.25">
      <c r="O1546" s="74"/>
      <c r="P1546" s="74"/>
      <c r="Q1546" s="74"/>
      <c r="R1546" s="74"/>
      <c r="V1546" s="72"/>
    </row>
    <row r="1547" spans="15:22" x14ac:dyDescent="0.25">
      <c r="O1547" s="74"/>
      <c r="P1547" s="74"/>
      <c r="Q1547" s="74"/>
      <c r="R1547" s="74"/>
      <c r="V1547" s="72"/>
    </row>
    <row r="1548" spans="15:22" x14ac:dyDescent="0.25">
      <c r="O1548" s="74"/>
      <c r="P1548" s="74"/>
      <c r="Q1548" s="74"/>
      <c r="R1548" s="74"/>
      <c r="V1548" s="72"/>
    </row>
    <row r="1549" spans="15:22" x14ac:dyDescent="0.25">
      <c r="O1549" s="74"/>
      <c r="P1549" s="74"/>
      <c r="Q1549" s="74"/>
      <c r="R1549" s="74"/>
      <c r="V1549" s="72"/>
    </row>
    <row r="1550" spans="15:22" x14ac:dyDescent="0.25">
      <c r="O1550" s="74"/>
      <c r="P1550" s="74"/>
      <c r="Q1550" s="74"/>
      <c r="R1550" s="74"/>
      <c r="V1550" s="72"/>
    </row>
    <row r="1551" spans="15:22" x14ac:dyDescent="0.25">
      <c r="O1551" s="74"/>
      <c r="P1551" s="74"/>
      <c r="Q1551" s="74"/>
      <c r="R1551" s="74"/>
      <c r="V1551" s="72"/>
    </row>
    <row r="1552" spans="15:22" x14ac:dyDescent="0.25">
      <c r="O1552" s="74"/>
      <c r="P1552" s="74"/>
      <c r="Q1552" s="74"/>
      <c r="R1552" s="74"/>
      <c r="V1552" s="72"/>
    </row>
    <row r="1553" spans="15:22" x14ac:dyDescent="0.25">
      <c r="O1553" s="74"/>
      <c r="P1553" s="74"/>
      <c r="Q1553" s="74"/>
      <c r="R1553" s="74"/>
      <c r="V1553" s="72"/>
    </row>
    <row r="1554" spans="15:22" x14ac:dyDescent="0.25">
      <c r="O1554" s="74"/>
      <c r="P1554" s="74"/>
      <c r="Q1554" s="74"/>
      <c r="R1554" s="74"/>
      <c r="V1554" s="72"/>
    </row>
    <row r="1555" spans="15:22" x14ac:dyDescent="0.25">
      <c r="O1555" s="74"/>
      <c r="P1555" s="74"/>
      <c r="Q1555" s="74"/>
      <c r="R1555" s="74"/>
      <c r="V1555" s="72"/>
    </row>
    <row r="1556" spans="15:22" x14ac:dyDescent="0.25">
      <c r="O1556" s="74"/>
      <c r="P1556" s="74"/>
      <c r="Q1556" s="74"/>
      <c r="R1556" s="74"/>
      <c r="V1556" s="72"/>
    </row>
    <row r="1557" spans="15:22" x14ac:dyDescent="0.25">
      <c r="O1557" s="74"/>
      <c r="P1557" s="74"/>
      <c r="Q1557" s="74"/>
      <c r="R1557" s="74"/>
      <c r="V1557" s="72"/>
    </row>
    <row r="1558" spans="15:22" x14ac:dyDescent="0.25">
      <c r="O1558" s="74"/>
      <c r="P1558" s="74"/>
      <c r="Q1558" s="74"/>
      <c r="R1558" s="74"/>
      <c r="V1558" s="72"/>
    </row>
    <row r="1559" spans="15:22" x14ac:dyDescent="0.25">
      <c r="O1559" s="74"/>
      <c r="P1559" s="74"/>
      <c r="Q1559" s="74"/>
      <c r="R1559" s="74"/>
      <c r="V1559" s="72"/>
    </row>
    <row r="1560" spans="15:22" x14ac:dyDescent="0.25">
      <c r="O1560" s="74"/>
      <c r="P1560" s="74"/>
      <c r="Q1560" s="74"/>
      <c r="R1560" s="74"/>
      <c r="V1560" s="72"/>
    </row>
    <row r="1561" spans="15:22" x14ac:dyDescent="0.25">
      <c r="O1561" s="74"/>
      <c r="P1561" s="74"/>
      <c r="Q1561" s="74"/>
      <c r="R1561" s="74"/>
      <c r="V1561" s="72"/>
    </row>
    <row r="1562" spans="15:22" x14ac:dyDescent="0.25">
      <c r="O1562" s="74"/>
      <c r="P1562" s="74"/>
      <c r="Q1562" s="74"/>
      <c r="R1562" s="74"/>
      <c r="V1562" s="72"/>
    </row>
    <row r="1563" spans="15:22" x14ac:dyDescent="0.25">
      <c r="O1563" s="74"/>
      <c r="P1563" s="74"/>
      <c r="Q1563" s="74"/>
      <c r="R1563" s="74"/>
      <c r="V1563" s="72"/>
    </row>
    <row r="1564" spans="15:22" x14ac:dyDescent="0.25">
      <c r="O1564" s="74"/>
      <c r="P1564" s="74"/>
      <c r="Q1564" s="74"/>
      <c r="R1564" s="74"/>
      <c r="V1564" s="72"/>
    </row>
    <row r="1565" spans="15:22" x14ac:dyDescent="0.25">
      <c r="O1565" s="74"/>
      <c r="P1565" s="74"/>
      <c r="Q1565" s="74"/>
      <c r="R1565" s="74"/>
      <c r="V1565" s="72"/>
    </row>
    <row r="1566" spans="15:22" x14ac:dyDescent="0.25">
      <c r="O1566" s="74"/>
      <c r="P1566" s="74"/>
      <c r="Q1566" s="74"/>
      <c r="R1566" s="74"/>
      <c r="V1566" s="72"/>
    </row>
    <row r="1567" spans="15:22" x14ac:dyDescent="0.25">
      <c r="O1567" s="74"/>
      <c r="P1567" s="74"/>
      <c r="Q1567" s="74"/>
      <c r="R1567" s="74"/>
      <c r="V1567" s="72"/>
    </row>
    <row r="1568" spans="15:22" x14ac:dyDescent="0.25">
      <c r="O1568" s="74"/>
      <c r="P1568" s="74"/>
      <c r="Q1568" s="74"/>
      <c r="R1568" s="74"/>
      <c r="V1568" s="72"/>
    </row>
    <row r="1569" spans="15:22" x14ac:dyDescent="0.25">
      <c r="O1569" s="74"/>
      <c r="P1569" s="74"/>
      <c r="Q1569" s="74"/>
      <c r="R1569" s="74"/>
      <c r="V1569" s="72"/>
    </row>
    <row r="1570" spans="15:22" x14ac:dyDescent="0.25">
      <c r="O1570" s="74"/>
      <c r="P1570" s="74"/>
      <c r="Q1570" s="74"/>
      <c r="R1570" s="74"/>
      <c r="V1570" s="72"/>
    </row>
    <row r="1571" spans="15:22" x14ac:dyDescent="0.25">
      <c r="O1571" s="74"/>
      <c r="P1571" s="74"/>
      <c r="Q1571" s="74"/>
      <c r="R1571" s="74"/>
      <c r="V1571" s="72"/>
    </row>
    <row r="1572" spans="15:22" x14ac:dyDescent="0.25">
      <c r="O1572" s="74"/>
      <c r="P1572" s="74"/>
      <c r="Q1572" s="74"/>
      <c r="R1572" s="74"/>
      <c r="V1572" s="72"/>
    </row>
    <row r="1573" spans="15:22" x14ac:dyDescent="0.25">
      <c r="O1573" s="74"/>
      <c r="P1573" s="74"/>
      <c r="Q1573" s="74"/>
      <c r="R1573" s="74"/>
      <c r="V1573" s="72"/>
    </row>
    <row r="1574" spans="15:22" x14ac:dyDescent="0.25">
      <c r="O1574" s="74"/>
      <c r="P1574" s="74"/>
      <c r="Q1574" s="74"/>
      <c r="R1574" s="74"/>
      <c r="V1574" s="72"/>
    </row>
    <row r="1575" spans="15:22" x14ac:dyDescent="0.25">
      <c r="O1575" s="74"/>
      <c r="P1575" s="74"/>
      <c r="Q1575" s="74"/>
      <c r="R1575" s="74"/>
      <c r="V1575" s="72"/>
    </row>
    <row r="1576" spans="15:22" x14ac:dyDescent="0.25">
      <c r="O1576" s="74"/>
      <c r="P1576" s="74"/>
      <c r="Q1576" s="74"/>
      <c r="R1576" s="74"/>
      <c r="V1576" s="72"/>
    </row>
    <row r="1577" spans="15:22" x14ac:dyDescent="0.25">
      <c r="O1577" s="74"/>
      <c r="P1577" s="74"/>
      <c r="Q1577" s="74"/>
      <c r="R1577" s="74"/>
      <c r="V1577" s="72"/>
    </row>
    <row r="1578" spans="15:22" x14ac:dyDescent="0.25">
      <c r="O1578" s="74"/>
      <c r="P1578" s="74"/>
      <c r="Q1578" s="74"/>
      <c r="R1578" s="74"/>
      <c r="V1578" s="72"/>
    </row>
    <row r="1579" spans="15:22" x14ac:dyDescent="0.25">
      <c r="O1579" s="74"/>
      <c r="P1579" s="74"/>
      <c r="Q1579" s="74"/>
      <c r="R1579" s="74"/>
      <c r="V1579" s="72"/>
    </row>
    <row r="1580" spans="15:22" x14ac:dyDescent="0.25">
      <c r="O1580" s="74"/>
      <c r="P1580" s="74"/>
      <c r="Q1580" s="74"/>
      <c r="R1580" s="74"/>
      <c r="V1580" s="72"/>
    </row>
    <row r="1581" spans="15:22" x14ac:dyDescent="0.25">
      <c r="O1581" s="74"/>
      <c r="P1581" s="74"/>
      <c r="Q1581" s="74"/>
      <c r="R1581" s="74"/>
      <c r="V1581" s="72"/>
    </row>
    <row r="1582" spans="15:22" x14ac:dyDescent="0.25">
      <c r="O1582" s="74"/>
      <c r="P1582" s="74"/>
      <c r="Q1582" s="74"/>
      <c r="R1582" s="74"/>
      <c r="V1582" s="72"/>
    </row>
    <row r="1583" spans="15:22" x14ac:dyDescent="0.25">
      <c r="O1583" s="74"/>
      <c r="P1583" s="74"/>
      <c r="Q1583" s="74"/>
      <c r="R1583" s="74"/>
      <c r="V1583" s="72"/>
    </row>
    <row r="1584" spans="15:22" x14ac:dyDescent="0.25">
      <c r="O1584" s="74"/>
      <c r="P1584" s="74"/>
      <c r="Q1584" s="74"/>
      <c r="R1584" s="74"/>
      <c r="V1584" s="72"/>
    </row>
    <row r="1585" spans="15:22" x14ac:dyDescent="0.25">
      <c r="O1585" s="74"/>
      <c r="P1585" s="74"/>
      <c r="Q1585" s="74"/>
      <c r="R1585" s="74"/>
      <c r="V1585" s="72"/>
    </row>
    <row r="1586" spans="15:22" x14ac:dyDescent="0.25">
      <c r="O1586" s="74"/>
      <c r="P1586" s="74"/>
      <c r="Q1586" s="74"/>
      <c r="R1586" s="74"/>
      <c r="V1586" s="72"/>
    </row>
    <row r="1587" spans="15:22" x14ac:dyDescent="0.25">
      <c r="O1587" s="74"/>
      <c r="P1587" s="74"/>
      <c r="Q1587" s="74"/>
      <c r="R1587" s="74"/>
      <c r="V1587" s="72"/>
    </row>
    <row r="1588" spans="15:22" x14ac:dyDescent="0.25">
      <c r="O1588" s="74"/>
      <c r="P1588" s="74"/>
      <c r="Q1588" s="74"/>
      <c r="R1588" s="74"/>
      <c r="V1588" s="72"/>
    </row>
    <row r="1589" spans="15:22" x14ac:dyDescent="0.25">
      <c r="O1589" s="74"/>
      <c r="P1589" s="74"/>
      <c r="Q1589" s="74"/>
      <c r="R1589" s="74"/>
      <c r="V1589" s="72"/>
    </row>
    <row r="1590" spans="15:22" x14ac:dyDescent="0.25">
      <c r="O1590" s="74"/>
      <c r="P1590" s="74"/>
      <c r="Q1590" s="74"/>
      <c r="R1590" s="74"/>
      <c r="V1590" s="72"/>
    </row>
    <row r="1591" spans="15:22" x14ac:dyDescent="0.25">
      <c r="O1591" s="74"/>
      <c r="P1591" s="74"/>
      <c r="Q1591" s="74"/>
      <c r="R1591" s="74"/>
      <c r="V1591" s="72"/>
    </row>
    <row r="1592" spans="15:22" x14ac:dyDescent="0.25">
      <c r="O1592" s="74"/>
      <c r="P1592" s="74"/>
      <c r="Q1592" s="74"/>
      <c r="R1592" s="74"/>
      <c r="V1592" s="72"/>
    </row>
    <row r="1593" spans="15:22" x14ac:dyDescent="0.25">
      <c r="O1593" s="74"/>
      <c r="P1593" s="74"/>
      <c r="Q1593" s="74"/>
      <c r="R1593" s="74"/>
      <c r="V1593" s="72"/>
    </row>
    <row r="1594" spans="15:22" x14ac:dyDescent="0.25">
      <c r="O1594" s="74"/>
      <c r="P1594" s="74"/>
      <c r="Q1594" s="74"/>
      <c r="R1594" s="74"/>
      <c r="V1594" s="72"/>
    </row>
    <row r="1595" spans="15:22" x14ac:dyDescent="0.25">
      <c r="O1595" s="74"/>
      <c r="P1595" s="74"/>
      <c r="Q1595" s="74"/>
      <c r="R1595" s="74"/>
      <c r="V1595" s="72"/>
    </row>
    <row r="1596" spans="15:22" x14ac:dyDescent="0.25">
      <c r="O1596" s="74"/>
      <c r="P1596" s="74"/>
      <c r="Q1596" s="74"/>
      <c r="R1596" s="74"/>
      <c r="V1596" s="72"/>
    </row>
    <row r="1597" spans="15:22" x14ac:dyDescent="0.25">
      <c r="O1597" s="74"/>
      <c r="P1597" s="74"/>
      <c r="Q1597" s="74"/>
      <c r="R1597" s="74"/>
      <c r="V1597" s="72"/>
    </row>
    <row r="1598" spans="15:22" x14ac:dyDescent="0.25">
      <c r="O1598" s="74"/>
      <c r="P1598" s="74"/>
      <c r="Q1598" s="74"/>
      <c r="R1598" s="74"/>
      <c r="V1598" s="72"/>
    </row>
    <row r="1599" spans="15:22" x14ac:dyDescent="0.25">
      <c r="O1599" s="74"/>
      <c r="P1599" s="74"/>
      <c r="Q1599" s="74"/>
      <c r="R1599" s="74"/>
      <c r="V1599" s="72"/>
    </row>
    <row r="1600" spans="15:22" x14ac:dyDescent="0.25">
      <c r="O1600" s="74"/>
      <c r="P1600" s="74"/>
      <c r="Q1600" s="74"/>
      <c r="R1600" s="74"/>
      <c r="V1600" s="72"/>
    </row>
    <row r="1601" spans="15:22" x14ac:dyDescent="0.25">
      <c r="O1601" s="74"/>
      <c r="P1601" s="74"/>
      <c r="Q1601" s="74"/>
      <c r="R1601" s="74"/>
      <c r="V1601" s="72"/>
    </row>
    <row r="1602" spans="15:22" x14ac:dyDescent="0.25">
      <c r="O1602" s="74"/>
      <c r="P1602" s="74"/>
      <c r="Q1602" s="74"/>
      <c r="R1602" s="74"/>
      <c r="V1602" s="72"/>
    </row>
    <row r="1603" spans="15:22" x14ac:dyDescent="0.25">
      <c r="O1603" s="74"/>
      <c r="P1603" s="74"/>
      <c r="Q1603" s="74"/>
      <c r="R1603" s="74"/>
      <c r="V1603" s="72"/>
    </row>
    <row r="1604" spans="15:22" x14ac:dyDescent="0.25">
      <c r="O1604" s="74"/>
      <c r="P1604" s="74"/>
      <c r="Q1604" s="74"/>
      <c r="R1604" s="74"/>
      <c r="V1604" s="72"/>
    </row>
    <row r="1605" spans="15:22" x14ac:dyDescent="0.25">
      <c r="O1605" s="74"/>
      <c r="P1605" s="74"/>
      <c r="Q1605" s="74"/>
      <c r="R1605" s="74"/>
      <c r="V1605" s="72"/>
    </row>
    <row r="1606" spans="15:22" x14ac:dyDescent="0.25">
      <c r="O1606" s="74"/>
      <c r="P1606" s="74"/>
      <c r="Q1606" s="74"/>
      <c r="R1606" s="74"/>
      <c r="V1606" s="72"/>
    </row>
    <row r="1607" spans="15:22" x14ac:dyDescent="0.25">
      <c r="O1607" s="74"/>
      <c r="P1607" s="74"/>
      <c r="Q1607" s="74"/>
      <c r="R1607" s="74"/>
      <c r="V1607" s="72"/>
    </row>
    <row r="1608" spans="15:22" x14ac:dyDescent="0.25">
      <c r="O1608" s="74"/>
      <c r="P1608" s="74"/>
      <c r="Q1608" s="74"/>
      <c r="R1608" s="74"/>
      <c r="V1608" s="72"/>
    </row>
    <row r="1609" spans="15:22" x14ac:dyDescent="0.25">
      <c r="O1609" s="74"/>
      <c r="P1609" s="74"/>
      <c r="Q1609" s="74"/>
      <c r="R1609" s="74"/>
      <c r="V1609" s="72"/>
    </row>
    <row r="1610" spans="15:22" x14ac:dyDescent="0.25">
      <c r="O1610" s="74"/>
      <c r="P1610" s="74"/>
      <c r="Q1610" s="74"/>
      <c r="R1610" s="74"/>
      <c r="V1610" s="72"/>
    </row>
    <row r="1611" spans="15:22" x14ac:dyDescent="0.25">
      <c r="O1611" s="74"/>
      <c r="P1611" s="74"/>
      <c r="Q1611" s="74"/>
      <c r="R1611" s="74"/>
      <c r="V1611" s="72"/>
    </row>
    <row r="1612" spans="15:22" x14ac:dyDescent="0.25">
      <c r="O1612" s="74"/>
      <c r="P1612" s="74"/>
      <c r="Q1612" s="74"/>
      <c r="R1612" s="74"/>
      <c r="V1612" s="72"/>
    </row>
    <row r="1613" spans="15:22" x14ac:dyDescent="0.25">
      <c r="O1613" s="74"/>
      <c r="P1613" s="74"/>
      <c r="Q1613" s="74"/>
      <c r="R1613" s="74"/>
      <c r="V1613" s="72"/>
    </row>
    <row r="1614" spans="15:22" x14ac:dyDescent="0.25">
      <c r="O1614" s="74"/>
      <c r="P1614" s="74"/>
      <c r="Q1614" s="74"/>
      <c r="R1614" s="74"/>
      <c r="V1614" s="72"/>
    </row>
    <row r="1615" spans="15:22" x14ac:dyDescent="0.25">
      <c r="O1615" s="74"/>
      <c r="P1615" s="74"/>
      <c r="Q1615" s="74"/>
      <c r="R1615" s="74"/>
      <c r="V1615" s="72"/>
    </row>
    <row r="1616" spans="15:22" x14ac:dyDescent="0.25">
      <c r="O1616" s="74"/>
      <c r="P1616" s="74"/>
      <c r="Q1616" s="74"/>
      <c r="R1616" s="74"/>
      <c r="V1616" s="72"/>
    </row>
    <row r="1617" spans="15:22" x14ac:dyDescent="0.25">
      <c r="O1617" s="74"/>
      <c r="P1617" s="74"/>
      <c r="Q1617" s="74"/>
      <c r="R1617" s="74"/>
      <c r="V1617" s="72"/>
    </row>
    <row r="1618" spans="15:22" x14ac:dyDescent="0.25">
      <c r="O1618" s="74"/>
      <c r="P1618" s="74"/>
      <c r="Q1618" s="74"/>
      <c r="R1618" s="74"/>
      <c r="V1618" s="72"/>
    </row>
    <row r="1619" spans="15:22" x14ac:dyDescent="0.25">
      <c r="O1619" s="74"/>
      <c r="P1619" s="74"/>
      <c r="Q1619" s="74"/>
      <c r="R1619" s="74"/>
      <c r="V1619" s="72"/>
    </row>
    <row r="1620" spans="15:22" x14ac:dyDescent="0.25">
      <c r="O1620" s="74"/>
      <c r="P1620" s="74"/>
      <c r="Q1620" s="74"/>
      <c r="R1620" s="74"/>
      <c r="V1620" s="72"/>
    </row>
    <row r="1621" spans="15:22" x14ac:dyDescent="0.25">
      <c r="O1621" s="74"/>
      <c r="P1621" s="74"/>
      <c r="Q1621" s="74"/>
      <c r="R1621" s="74"/>
      <c r="V1621" s="72"/>
    </row>
    <row r="1622" spans="15:22" x14ac:dyDescent="0.25">
      <c r="O1622" s="74"/>
      <c r="P1622" s="74"/>
      <c r="Q1622" s="74"/>
      <c r="R1622" s="74"/>
      <c r="V1622" s="72"/>
    </row>
    <row r="1623" spans="15:22" x14ac:dyDescent="0.25">
      <c r="O1623" s="74"/>
      <c r="P1623" s="74"/>
      <c r="Q1623" s="74"/>
      <c r="R1623" s="74"/>
      <c r="V1623" s="72"/>
    </row>
    <row r="1624" spans="15:22" x14ac:dyDescent="0.25">
      <c r="O1624" s="74"/>
      <c r="P1624" s="74"/>
      <c r="Q1624" s="74"/>
      <c r="R1624" s="74"/>
      <c r="V1624" s="72"/>
    </row>
    <row r="1625" spans="15:22" x14ac:dyDescent="0.25">
      <c r="O1625" s="74"/>
      <c r="P1625" s="74"/>
      <c r="Q1625" s="74"/>
      <c r="R1625" s="74"/>
      <c r="V1625" s="72"/>
    </row>
    <row r="1626" spans="15:22" x14ac:dyDescent="0.25">
      <c r="O1626" s="74"/>
      <c r="P1626" s="74"/>
      <c r="Q1626" s="74"/>
      <c r="R1626" s="74"/>
      <c r="V1626" s="72"/>
    </row>
    <row r="1627" spans="15:22" x14ac:dyDescent="0.25">
      <c r="O1627" s="74"/>
      <c r="P1627" s="74"/>
      <c r="Q1627" s="74"/>
      <c r="R1627" s="74"/>
      <c r="V1627" s="72"/>
    </row>
    <row r="1628" spans="15:22" x14ac:dyDescent="0.25">
      <c r="O1628" s="74"/>
      <c r="P1628" s="74"/>
      <c r="Q1628" s="74"/>
      <c r="R1628" s="74"/>
      <c r="V1628" s="72"/>
    </row>
    <row r="1629" spans="15:22" x14ac:dyDescent="0.25">
      <c r="O1629" s="74"/>
      <c r="P1629" s="74"/>
      <c r="Q1629" s="74"/>
      <c r="R1629" s="74"/>
      <c r="V1629" s="72"/>
    </row>
    <row r="1630" spans="15:22" x14ac:dyDescent="0.25">
      <c r="O1630" s="74"/>
      <c r="P1630" s="74"/>
      <c r="Q1630" s="74"/>
      <c r="R1630" s="74"/>
      <c r="V1630" s="72"/>
    </row>
    <row r="1631" spans="15:22" x14ac:dyDescent="0.25">
      <c r="O1631" s="74"/>
      <c r="P1631" s="74"/>
      <c r="Q1631" s="74"/>
      <c r="R1631" s="74"/>
      <c r="V1631" s="72"/>
    </row>
    <row r="1632" spans="15:22" x14ac:dyDescent="0.25">
      <c r="O1632" s="74"/>
      <c r="P1632" s="74"/>
      <c r="Q1632" s="74"/>
      <c r="R1632" s="74"/>
      <c r="V1632" s="72"/>
    </row>
    <row r="1633" spans="15:22" x14ac:dyDescent="0.25">
      <c r="O1633" s="74"/>
      <c r="P1633" s="74"/>
      <c r="Q1633" s="74"/>
      <c r="R1633" s="74"/>
      <c r="V1633" s="72"/>
    </row>
    <row r="1634" spans="15:22" x14ac:dyDescent="0.25">
      <c r="O1634" s="74"/>
      <c r="P1634" s="74"/>
      <c r="Q1634" s="74"/>
      <c r="R1634" s="74"/>
      <c r="V1634" s="72"/>
    </row>
    <row r="1635" spans="15:22" x14ac:dyDescent="0.25">
      <c r="O1635" s="74"/>
      <c r="P1635" s="74"/>
      <c r="Q1635" s="74"/>
      <c r="R1635" s="74"/>
      <c r="V1635" s="72"/>
    </row>
    <row r="1636" spans="15:22" x14ac:dyDescent="0.25">
      <c r="O1636" s="74"/>
      <c r="P1636" s="74"/>
      <c r="Q1636" s="74"/>
      <c r="R1636" s="74"/>
      <c r="V1636" s="72"/>
    </row>
    <row r="1637" spans="15:22" x14ac:dyDescent="0.25">
      <c r="O1637" s="74"/>
      <c r="P1637" s="74"/>
      <c r="Q1637" s="74"/>
      <c r="R1637" s="74"/>
      <c r="V1637" s="72"/>
    </row>
    <row r="1638" spans="15:22" x14ac:dyDescent="0.25">
      <c r="O1638" s="74"/>
      <c r="P1638" s="74"/>
      <c r="Q1638" s="74"/>
      <c r="R1638" s="74"/>
      <c r="V1638" s="72"/>
    </row>
    <row r="1639" spans="15:22" x14ac:dyDescent="0.25">
      <c r="O1639" s="74"/>
      <c r="P1639" s="74"/>
      <c r="Q1639" s="74"/>
      <c r="R1639" s="74"/>
      <c r="V1639" s="72"/>
    </row>
    <row r="1640" spans="15:22" x14ac:dyDescent="0.25">
      <c r="O1640" s="74"/>
      <c r="P1640" s="74"/>
      <c r="Q1640" s="74"/>
      <c r="R1640" s="74"/>
      <c r="V1640" s="72"/>
    </row>
    <row r="1641" spans="15:22" x14ac:dyDescent="0.25">
      <c r="O1641" s="74"/>
      <c r="P1641" s="74"/>
      <c r="Q1641" s="74"/>
      <c r="R1641" s="74"/>
      <c r="V1641" s="72"/>
    </row>
    <row r="1642" spans="15:22" x14ac:dyDescent="0.25">
      <c r="O1642" s="74"/>
      <c r="P1642" s="74"/>
      <c r="Q1642" s="74"/>
      <c r="R1642" s="74"/>
      <c r="V1642" s="72"/>
    </row>
    <row r="1643" spans="15:22" x14ac:dyDescent="0.25">
      <c r="O1643" s="74"/>
      <c r="P1643" s="74"/>
      <c r="Q1643" s="74"/>
      <c r="R1643" s="74"/>
      <c r="V1643" s="72"/>
    </row>
    <row r="1644" spans="15:22" x14ac:dyDescent="0.25">
      <c r="O1644" s="74"/>
      <c r="P1644" s="74"/>
      <c r="Q1644" s="74"/>
      <c r="R1644" s="74"/>
      <c r="V1644" s="72"/>
    </row>
    <row r="1645" spans="15:22" x14ac:dyDescent="0.25">
      <c r="O1645" s="74"/>
      <c r="P1645" s="74"/>
      <c r="Q1645" s="74"/>
      <c r="R1645" s="74"/>
      <c r="V1645" s="72"/>
    </row>
    <row r="1646" spans="15:22" x14ac:dyDescent="0.25">
      <c r="O1646" s="74"/>
      <c r="P1646" s="74"/>
      <c r="Q1646" s="74"/>
      <c r="R1646" s="74"/>
      <c r="V1646" s="72"/>
    </row>
    <row r="1647" spans="15:22" x14ac:dyDescent="0.25">
      <c r="O1647" s="74"/>
      <c r="P1647" s="74"/>
      <c r="Q1647" s="74"/>
      <c r="R1647" s="74"/>
      <c r="V1647" s="72"/>
    </row>
    <row r="1648" spans="15:22" x14ac:dyDescent="0.25">
      <c r="O1648" s="74"/>
      <c r="P1648" s="74"/>
      <c r="Q1648" s="74"/>
      <c r="R1648" s="74"/>
      <c r="V1648" s="72"/>
    </row>
    <row r="1649" spans="15:22" x14ac:dyDescent="0.25">
      <c r="O1649" s="74"/>
      <c r="P1649" s="74"/>
      <c r="Q1649" s="74"/>
      <c r="R1649" s="74"/>
      <c r="V1649" s="72"/>
    </row>
    <row r="1650" spans="15:22" x14ac:dyDescent="0.25">
      <c r="O1650" s="74"/>
      <c r="P1650" s="74"/>
      <c r="Q1650" s="74"/>
      <c r="R1650" s="74"/>
      <c r="V1650" s="72"/>
    </row>
    <row r="1651" spans="15:22" x14ac:dyDescent="0.25">
      <c r="O1651" s="74"/>
      <c r="P1651" s="74"/>
      <c r="Q1651" s="74"/>
      <c r="R1651" s="74"/>
      <c r="V1651" s="72"/>
    </row>
    <row r="1652" spans="15:22" x14ac:dyDescent="0.25">
      <c r="O1652" s="74"/>
      <c r="P1652" s="74"/>
      <c r="Q1652" s="74"/>
      <c r="R1652" s="74"/>
      <c r="V1652" s="72"/>
    </row>
    <row r="1653" spans="15:22" x14ac:dyDescent="0.25">
      <c r="O1653" s="74"/>
      <c r="P1653" s="74"/>
      <c r="Q1653" s="74"/>
      <c r="R1653" s="74"/>
      <c r="V1653" s="72"/>
    </row>
    <row r="1654" spans="15:22" x14ac:dyDescent="0.25">
      <c r="O1654" s="74"/>
      <c r="P1654" s="74"/>
      <c r="Q1654" s="74"/>
      <c r="R1654" s="74"/>
      <c r="V1654" s="72"/>
    </row>
    <row r="1655" spans="15:22" x14ac:dyDescent="0.25">
      <c r="O1655" s="74"/>
      <c r="P1655" s="74"/>
      <c r="Q1655" s="74"/>
      <c r="R1655" s="74"/>
      <c r="V1655" s="72"/>
    </row>
    <row r="1656" spans="15:22" x14ac:dyDescent="0.25">
      <c r="O1656" s="74"/>
      <c r="P1656" s="74"/>
      <c r="Q1656" s="74"/>
      <c r="R1656" s="74"/>
      <c r="V1656" s="72"/>
    </row>
    <row r="1657" spans="15:22" x14ac:dyDescent="0.25">
      <c r="O1657" s="74"/>
      <c r="P1657" s="74"/>
      <c r="Q1657" s="74"/>
      <c r="R1657" s="74"/>
      <c r="V1657" s="72"/>
    </row>
    <row r="1658" spans="15:22" x14ac:dyDescent="0.25">
      <c r="O1658" s="74"/>
      <c r="P1658" s="74"/>
      <c r="Q1658" s="74"/>
      <c r="R1658" s="74"/>
      <c r="V1658" s="72"/>
    </row>
    <row r="1659" spans="15:22" x14ac:dyDescent="0.25">
      <c r="O1659" s="74"/>
      <c r="P1659" s="74"/>
      <c r="Q1659" s="74"/>
      <c r="R1659" s="74"/>
      <c r="V1659" s="72"/>
    </row>
    <row r="1660" spans="15:22" x14ac:dyDescent="0.25">
      <c r="O1660" s="74"/>
      <c r="P1660" s="74"/>
      <c r="Q1660" s="74"/>
      <c r="R1660" s="74"/>
      <c r="V1660" s="72"/>
    </row>
    <row r="1661" spans="15:22" x14ac:dyDescent="0.25">
      <c r="O1661" s="74"/>
      <c r="P1661" s="74"/>
      <c r="Q1661" s="74"/>
      <c r="R1661" s="74"/>
      <c r="V1661" s="72"/>
    </row>
    <row r="1662" spans="15:22" x14ac:dyDescent="0.25">
      <c r="O1662" s="74"/>
      <c r="P1662" s="74"/>
      <c r="Q1662" s="74"/>
      <c r="R1662" s="74"/>
      <c r="V1662" s="72"/>
    </row>
    <row r="1663" spans="15:22" x14ac:dyDescent="0.25">
      <c r="O1663" s="74"/>
      <c r="P1663" s="74"/>
      <c r="Q1663" s="74"/>
      <c r="R1663" s="74"/>
      <c r="V1663" s="72"/>
    </row>
    <row r="1664" spans="15:22" x14ac:dyDescent="0.25">
      <c r="O1664" s="74"/>
      <c r="P1664" s="74"/>
      <c r="Q1664" s="74"/>
      <c r="R1664" s="74"/>
      <c r="V1664" s="72"/>
    </row>
    <row r="1665" spans="15:22" x14ac:dyDescent="0.25">
      <c r="O1665" s="74"/>
      <c r="P1665" s="74"/>
      <c r="Q1665" s="74"/>
      <c r="R1665" s="74"/>
      <c r="V1665" s="72"/>
    </row>
    <row r="1666" spans="15:22" x14ac:dyDescent="0.25">
      <c r="O1666" s="74"/>
      <c r="P1666" s="74"/>
      <c r="Q1666" s="74"/>
      <c r="R1666" s="74"/>
      <c r="V1666" s="72"/>
    </row>
    <row r="1667" spans="15:22" x14ac:dyDescent="0.25">
      <c r="O1667" s="74"/>
      <c r="P1667" s="74"/>
      <c r="Q1667" s="74"/>
      <c r="R1667" s="74"/>
      <c r="V1667" s="72"/>
    </row>
    <row r="1668" spans="15:22" x14ac:dyDescent="0.25">
      <c r="O1668" s="74"/>
      <c r="P1668" s="74"/>
      <c r="Q1668" s="74"/>
      <c r="R1668" s="74"/>
      <c r="V1668" s="72"/>
    </row>
    <row r="1669" spans="15:22" x14ac:dyDescent="0.25">
      <c r="O1669" s="74"/>
      <c r="P1669" s="74"/>
      <c r="Q1669" s="74"/>
      <c r="R1669" s="74"/>
      <c r="V1669" s="72"/>
    </row>
    <row r="1670" spans="15:22" x14ac:dyDescent="0.25">
      <c r="O1670" s="74"/>
      <c r="P1670" s="74"/>
      <c r="Q1670" s="74"/>
      <c r="R1670" s="74"/>
      <c r="V1670" s="72"/>
    </row>
    <row r="1671" spans="15:22" x14ac:dyDescent="0.25">
      <c r="O1671" s="74"/>
      <c r="P1671" s="74"/>
      <c r="Q1671" s="74"/>
      <c r="R1671" s="74"/>
      <c r="V1671" s="72"/>
    </row>
    <row r="1672" spans="15:22" x14ac:dyDescent="0.25">
      <c r="O1672" s="74"/>
      <c r="P1672" s="74"/>
      <c r="Q1672" s="74"/>
      <c r="R1672" s="74"/>
      <c r="V1672" s="72"/>
    </row>
    <row r="1673" spans="15:22" x14ac:dyDescent="0.25">
      <c r="O1673" s="74"/>
      <c r="P1673" s="74"/>
      <c r="Q1673" s="74"/>
      <c r="R1673" s="74"/>
      <c r="V1673" s="72"/>
    </row>
    <row r="1674" spans="15:22" x14ac:dyDescent="0.25">
      <c r="O1674" s="74"/>
      <c r="P1674" s="74"/>
      <c r="Q1674" s="74"/>
      <c r="R1674" s="74"/>
      <c r="V1674" s="72"/>
    </row>
    <row r="1675" spans="15:22" x14ac:dyDescent="0.25">
      <c r="O1675" s="74"/>
      <c r="P1675" s="74"/>
      <c r="Q1675" s="74"/>
      <c r="R1675" s="74"/>
      <c r="V1675" s="72"/>
    </row>
    <row r="1676" spans="15:22" x14ac:dyDescent="0.25">
      <c r="O1676" s="74"/>
      <c r="P1676" s="74"/>
      <c r="Q1676" s="74"/>
      <c r="R1676" s="74"/>
      <c r="V1676" s="72"/>
    </row>
    <row r="1677" spans="15:22" x14ac:dyDescent="0.25">
      <c r="O1677" s="74"/>
      <c r="P1677" s="74"/>
      <c r="Q1677" s="74"/>
      <c r="R1677" s="74"/>
      <c r="V1677" s="72"/>
    </row>
    <row r="1678" spans="15:22" x14ac:dyDescent="0.25">
      <c r="O1678" s="74"/>
      <c r="P1678" s="74"/>
      <c r="Q1678" s="74"/>
      <c r="R1678" s="74"/>
      <c r="V1678" s="72"/>
    </row>
    <row r="1679" spans="15:22" x14ac:dyDescent="0.25">
      <c r="O1679" s="74"/>
      <c r="P1679" s="74"/>
      <c r="Q1679" s="74"/>
      <c r="R1679" s="74"/>
      <c r="V1679" s="72"/>
    </row>
    <row r="1680" spans="15:22" x14ac:dyDescent="0.25">
      <c r="O1680" s="74"/>
      <c r="P1680" s="74"/>
      <c r="Q1680" s="74"/>
      <c r="R1680" s="74"/>
      <c r="V1680" s="72"/>
    </row>
    <row r="1681" spans="15:22" x14ac:dyDescent="0.25">
      <c r="O1681" s="74"/>
      <c r="P1681" s="74"/>
      <c r="Q1681" s="74"/>
      <c r="R1681" s="74"/>
      <c r="V1681" s="72"/>
    </row>
    <row r="1682" spans="15:22" x14ac:dyDescent="0.25">
      <c r="O1682" s="74"/>
      <c r="P1682" s="74"/>
      <c r="Q1682" s="74"/>
      <c r="R1682" s="74"/>
      <c r="V1682" s="72"/>
    </row>
    <row r="1683" spans="15:22" x14ac:dyDescent="0.25">
      <c r="O1683" s="74"/>
      <c r="P1683" s="74"/>
      <c r="Q1683" s="74"/>
      <c r="R1683" s="74"/>
      <c r="V1683" s="72"/>
    </row>
    <row r="1684" spans="15:22" x14ac:dyDescent="0.25">
      <c r="O1684" s="74"/>
      <c r="P1684" s="74"/>
      <c r="Q1684" s="74"/>
      <c r="R1684" s="74"/>
      <c r="V1684" s="72"/>
    </row>
    <row r="1685" spans="15:22" x14ac:dyDescent="0.25">
      <c r="O1685" s="74"/>
      <c r="P1685" s="74"/>
      <c r="Q1685" s="74"/>
      <c r="R1685" s="74"/>
      <c r="V1685" s="72"/>
    </row>
    <row r="1686" spans="15:22" x14ac:dyDescent="0.25">
      <c r="O1686" s="74"/>
      <c r="P1686" s="74"/>
      <c r="Q1686" s="74"/>
      <c r="R1686" s="74"/>
      <c r="V1686" s="72"/>
    </row>
    <row r="1687" spans="15:22" x14ac:dyDescent="0.25">
      <c r="O1687" s="74"/>
      <c r="P1687" s="74"/>
      <c r="Q1687" s="74"/>
      <c r="R1687" s="74"/>
      <c r="V1687" s="72"/>
    </row>
    <row r="1688" spans="15:22" x14ac:dyDescent="0.25">
      <c r="O1688" s="74"/>
      <c r="P1688" s="74"/>
      <c r="Q1688" s="74"/>
      <c r="R1688" s="74"/>
      <c r="V1688" s="72"/>
    </row>
    <row r="1689" spans="15:22" x14ac:dyDescent="0.25">
      <c r="O1689" s="74"/>
      <c r="P1689" s="74"/>
      <c r="Q1689" s="74"/>
      <c r="R1689" s="74"/>
      <c r="V1689" s="72"/>
    </row>
    <row r="1690" spans="15:22" x14ac:dyDescent="0.25">
      <c r="O1690" s="74"/>
      <c r="P1690" s="74"/>
      <c r="Q1690" s="74"/>
      <c r="R1690" s="74"/>
      <c r="V1690" s="72"/>
    </row>
    <row r="1691" spans="15:22" x14ac:dyDescent="0.25">
      <c r="O1691" s="74"/>
      <c r="P1691" s="74"/>
      <c r="Q1691" s="74"/>
      <c r="R1691" s="74"/>
      <c r="V1691" s="72"/>
    </row>
    <row r="1692" spans="15:22" x14ac:dyDescent="0.25">
      <c r="O1692" s="74"/>
      <c r="P1692" s="74"/>
      <c r="Q1692" s="74"/>
      <c r="R1692" s="74"/>
      <c r="V1692" s="72"/>
    </row>
    <row r="1693" spans="15:22" x14ac:dyDescent="0.25">
      <c r="O1693" s="74"/>
      <c r="P1693" s="74"/>
      <c r="Q1693" s="74"/>
      <c r="R1693" s="74"/>
      <c r="V1693" s="72"/>
    </row>
    <row r="1694" spans="15:22" x14ac:dyDescent="0.25">
      <c r="O1694" s="74"/>
      <c r="P1694" s="74"/>
      <c r="Q1694" s="74"/>
      <c r="R1694" s="74"/>
      <c r="V1694" s="72"/>
    </row>
    <row r="1695" spans="15:22" x14ac:dyDescent="0.25">
      <c r="O1695" s="74"/>
      <c r="P1695" s="74"/>
      <c r="Q1695" s="74"/>
      <c r="R1695" s="74"/>
      <c r="V1695" s="72"/>
    </row>
    <row r="1696" spans="15:22" x14ac:dyDescent="0.25">
      <c r="O1696" s="74"/>
      <c r="P1696" s="74"/>
      <c r="Q1696" s="74"/>
      <c r="R1696" s="74"/>
      <c r="V1696" s="72"/>
    </row>
    <row r="1697" spans="15:22" x14ac:dyDescent="0.25">
      <c r="O1697" s="74"/>
      <c r="P1697" s="74"/>
      <c r="Q1697" s="74"/>
      <c r="R1697" s="74"/>
      <c r="V1697" s="72"/>
    </row>
    <row r="1698" spans="15:22" x14ac:dyDescent="0.25">
      <c r="O1698" s="74"/>
      <c r="P1698" s="74"/>
      <c r="Q1698" s="74"/>
      <c r="R1698" s="74"/>
      <c r="V1698" s="72"/>
    </row>
    <row r="1699" spans="15:22" x14ac:dyDescent="0.25">
      <c r="O1699" s="74"/>
      <c r="P1699" s="74"/>
      <c r="Q1699" s="74"/>
      <c r="R1699" s="74"/>
      <c r="V1699" s="72"/>
    </row>
    <row r="1700" spans="15:22" x14ac:dyDescent="0.25">
      <c r="O1700" s="74"/>
      <c r="P1700" s="74"/>
      <c r="Q1700" s="74"/>
      <c r="R1700" s="74"/>
      <c r="V1700" s="72"/>
    </row>
    <row r="1701" spans="15:22" x14ac:dyDescent="0.25">
      <c r="O1701" s="74"/>
      <c r="P1701" s="74"/>
      <c r="Q1701" s="74"/>
      <c r="R1701" s="74"/>
      <c r="V1701" s="72"/>
    </row>
    <row r="1702" spans="15:22" x14ac:dyDescent="0.25">
      <c r="O1702" s="74"/>
      <c r="P1702" s="74"/>
      <c r="Q1702" s="74"/>
      <c r="R1702" s="74"/>
      <c r="V1702" s="72"/>
    </row>
    <row r="1703" spans="15:22" x14ac:dyDescent="0.25">
      <c r="O1703" s="74"/>
      <c r="P1703" s="74"/>
      <c r="Q1703" s="74"/>
      <c r="R1703" s="74"/>
      <c r="V1703" s="72"/>
    </row>
    <row r="1704" spans="15:22" x14ac:dyDescent="0.25">
      <c r="O1704" s="74"/>
      <c r="P1704" s="74"/>
      <c r="Q1704" s="74"/>
      <c r="R1704" s="74"/>
      <c r="V1704" s="72"/>
    </row>
    <row r="1705" spans="15:22" x14ac:dyDescent="0.25">
      <c r="O1705" s="74"/>
      <c r="P1705" s="74"/>
      <c r="Q1705" s="74"/>
      <c r="R1705" s="74"/>
      <c r="V1705" s="72"/>
    </row>
    <row r="1706" spans="15:22" x14ac:dyDescent="0.25">
      <c r="O1706" s="74"/>
      <c r="P1706" s="74"/>
      <c r="Q1706" s="74"/>
      <c r="R1706" s="74"/>
      <c r="V1706" s="72"/>
    </row>
    <row r="1707" spans="15:22" x14ac:dyDescent="0.25">
      <c r="O1707" s="74"/>
      <c r="P1707" s="74"/>
      <c r="Q1707" s="74"/>
      <c r="R1707" s="74"/>
      <c r="V1707" s="72"/>
    </row>
    <row r="1708" spans="15:22" x14ac:dyDescent="0.25">
      <c r="O1708" s="74"/>
      <c r="P1708" s="74"/>
      <c r="Q1708" s="74"/>
      <c r="R1708" s="74"/>
      <c r="V1708" s="72"/>
    </row>
    <row r="1709" spans="15:22" x14ac:dyDescent="0.25">
      <c r="O1709" s="74"/>
      <c r="P1709" s="74"/>
      <c r="Q1709" s="74"/>
      <c r="R1709" s="74"/>
      <c r="V1709" s="72"/>
    </row>
    <row r="1710" spans="15:22" x14ac:dyDescent="0.25">
      <c r="O1710" s="74"/>
      <c r="P1710" s="74"/>
      <c r="Q1710" s="74"/>
      <c r="R1710" s="74"/>
      <c r="V1710" s="72"/>
    </row>
    <row r="1711" spans="15:22" x14ac:dyDescent="0.25">
      <c r="O1711" s="74"/>
      <c r="P1711" s="74"/>
      <c r="Q1711" s="74"/>
      <c r="R1711" s="74"/>
      <c r="V1711" s="72"/>
    </row>
    <row r="1712" spans="15:22" x14ac:dyDescent="0.25">
      <c r="O1712" s="74"/>
      <c r="P1712" s="74"/>
      <c r="Q1712" s="74"/>
      <c r="R1712" s="74"/>
      <c r="V1712" s="72"/>
    </row>
    <row r="1713" spans="15:22" x14ac:dyDescent="0.25">
      <c r="O1713" s="74"/>
      <c r="P1713" s="74"/>
      <c r="Q1713" s="74"/>
      <c r="R1713" s="74"/>
      <c r="V1713" s="72"/>
    </row>
    <row r="1714" spans="15:22" x14ac:dyDescent="0.25">
      <c r="O1714" s="74"/>
      <c r="P1714" s="74"/>
      <c r="Q1714" s="74"/>
      <c r="R1714" s="74"/>
      <c r="V1714" s="72"/>
    </row>
    <row r="1715" spans="15:22" x14ac:dyDescent="0.25">
      <c r="O1715" s="74"/>
      <c r="P1715" s="74"/>
      <c r="Q1715" s="74"/>
      <c r="R1715" s="74"/>
      <c r="V1715" s="72"/>
    </row>
    <row r="1716" spans="15:22" x14ac:dyDescent="0.25">
      <c r="O1716" s="74"/>
      <c r="P1716" s="74"/>
      <c r="Q1716" s="74"/>
      <c r="R1716" s="74"/>
      <c r="V1716" s="72"/>
    </row>
    <row r="1717" spans="15:22" x14ac:dyDescent="0.25">
      <c r="O1717" s="74"/>
      <c r="P1717" s="74"/>
      <c r="Q1717" s="74"/>
      <c r="R1717" s="74"/>
      <c r="V1717" s="72"/>
    </row>
    <row r="1718" spans="15:22" x14ac:dyDescent="0.25">
      <c r="O1718" s="74"/>
      <c r="P1718" s="74"/>
      <c r="Q1718" s="74"/>
      <c r="R1718" s="74"/>
      <c r="V1718" s="72"/>
    </row>
    <row r="1719" spans="15:22" x14ac:dyDescent="0.25">
      <c r="O1719" s="74"/>
      <c r="P1719" s="74"/>
      <c r="Q1719" s="74"/>
      <c r="R1719" s="74"/>
      <c r="V1719" s="72"/>
    </row>
    <row r="1720" spans="15:22" x14ac:dyDescent="0.25">
      <c r="O1720" s="74"/>
      <c r="P1720" s="74"/>
      <c r="Q1720" s="74"/>
      <c r="R1720" s="74"/>
      <c r="V1720" s="72"/>
    </row>
    <row r="1721" spans="15:22" x14ac:dyDescent="0.25">
      <c r="O1721" s="74"/>
      <c r="P1721" s="74"/>
      <c r="Q1721" s="74"/>
      <c r="R1721" s="74"/>
      <c r="V1721" s="72"/>
    </row>
    <row r="1722" spans="15:22" x14ac:dyDescent="0.25">
      <c r="O1722" s="74"/>
      <c r="P1722" s="74"/>
      <c r="Q1722" s="74"/>
      <c r="R1722" s="74"/>
      <c r="V1722" s="72"/>
    </row>
    <row r="1723" spans="15:22" x14ac:dyDescent="0.25">
      <c r="O1723" s="74"/>
      <c r="P1723" s="74"/>
      <c r="Q1723" s="74"/>
      <c r="R1723" s="74"/>
      <c r="V1723" s="72"/>
    </row>
    <row r="1724" spans="15:22" x14ac:dyDescent="0.25">
      <c r="O1724" s="74"/>
      <c r="P1724" s="74"/>
      <c r="Q1724" s="74"/>
      <c r="R1724" s="74"/>
      <c r="V1724" s="72"/>
    </row>
    <row r="1725" spans="15:22" x14ac:dyDescent="0.25">
      <c r="O1725" s="74"/>
      <c r="P1725" s="74"/>
      <c r="Q1725" s="74"/>
      <c r="R1725" s="74"/>
      <c r="V1725" s="72"/>
    </row>
    <row r="1726" spans="15:22" x14ac:dyDescent="0.25">
      <c r="O1726" s="74"/>
      <c r="P1726" s="74"/>
      <c r="Q1726" s="74"/>
      <c r="R1726" s="74"/>
      <c r="V1726" s="72"/>
    </row>
    <row r="1727" spans="15:22" x14ac:dyDescent="0.25">
      <c r="O1727" s="74"/>
      <c r="P1727" s="74"/>
      <c r="Q1727" s="74"/>
      <c r="R1727" s="74"/>
      <c r="V1727" s="72"/>
    </row>
    <row r="1728" spans="15:22" x14ac:dyDescent="0.25">
      <c r="O1728" s="74"/>
      <c r="P1728" s="74"/>
      <c r="Q1728" s="74"/>
      <c r="R1728" s="74"/>
      <c r="V1728" s="72"/>
    </row>
    <row r="1729" spans="15:22" x14ac:dyDescent="0.25">
      <c r="O1729" s="74"/>
      <c r="P1729" s="74"/>
      <c r="Q1729" s="74"/>
      <c r="R1729" s="74"/>
      <c r="V1729" s="72"/>
    </row>
    <row r="1730" spans="15:22" x14ac:dyDescent="0.25">
      <c r="O1730" s="74"/>
      <c r="P1730" s="74"/>
      <c r="Q1730" s="74"/>
      <c r="R1730" s="74"/>
      <c r="V1730" s="72"/>
    </row>
    <row r="1731" spans="15:22" x14ac:dyDescent="0.25">
      <c r="O1731" s="74"/>
      <c r="P1731" s="74"/>
      <c r="Q1731" s="74"/>
      <c r="R1731" s="74"/>
      <c r="V1731" s="72"/>
    </row>
    <row r="1732" spans="15:22" x14ac:dyDescent="0.25">
      <c r="O1732" s="74"/>
      <c r="P1732" s="74"/>
      <c r="Q1732" s="74"/>
      <c r="R1732" s="74"/>
      <c r="V1732" s="72"/>
    </row>
    <row r="1733" spans="15:22" x14ac:dyDescent="0.25">
      <c r="O1733" s="74"/>
      <c r="P1733" s="74"/>
      <c r="Q1733" s="74"/>
      <c r="R1733" s="74"/>
      <c r="V1733" s="72"/>
    </row>
    <row r="1734" spans="15:22" x14ac:dyDescent="0.25">
      <c r="O1734" s="74"/>
      <c r="P1734" s="74"/>
      <c r="Q1734" s="74"/>
      <c r="R1734" s="74"/>
      <c r="V1734" s="72"/>
    </row>
    <row r="1735" spans="15:22" x14ac:dyDescent="0.25">
      <c r="O1735" s="74"/>
      <c r="P1735" s="74"/>
      <c r="Q1735" s="74"/>
      <c r="R1735" s="74"/>
      <c r="V1735" s="72"/>
    </row>
    <row r="1736" spans="15:22" x14ac:dyDescent="0.25">
      <c r="O1736" s="74"/>
      <c r="P1736" s="74"/>
      <c r="Q1736" s="74"/>
      <c r="R1736" s="74"/>
      <c r="V1736" s="72"/>
    </row>
    <row r="1737" spans="15:22" x14ac:dyDescent="0.25">
      <c r="O1737" s="74"/>
      <c r="P1737" s="74"/>
      <c r="Q1737" s="74"/>
      <c r="R1737" s="74"/>
      <c r="V1737" s="72"/>
    </row>
    <row r="1738" spans="15:22" x14ac:dyDescent="0.25">
      <c r="O1738" s="74"/>
      <c r="P1738" s="74"/>
      <c r="Q1738" s="74"/>
      <c r="R1738" s="74"/>
      <c r="V1738" s="72"/>
    </row>
    <row r="1739" spans="15:22" x14ac:dyDescent="0.25">
      <c r="O1739" s="74"/>
      <c r="P1739" s="74"/>
      <c r="Q1739" s="74"/>
      <c r="R1739" s="74"/>
      <c r="V1739" s="72"/>
    </row>
    <row r="1740" spans="15:22" x14ac:dyDescent="0.25">
      <c r="O1740" s="74"/>
      <c r="P1740" s="74"/>
      <c r="Q1740" s="74"/>
      <c r="R1740" s="74"/>
      <c r="V1740" s="72"/>
    </row>
    <row r="1741" spans="15:22" x14ac:dyDescent="0.25">
      <c r="O1741" s="74"/>
      <c r="P1741" s="74"/>
      <c r="Q1741" s="74"/>
      <c r="R1741" s="74"/>
      <c r="V1741" s="72"/>
    </row>
    <row r="1742" spans="15:22" x14ac:dyDescent="0.25">
      <c r="O1742" s="74"/>
      <c r="P1742" s="74"/>
      <c r="Q1742" s="74"/>
      <c r="R1742" s="74"/>
      <c r="V1742" s="72"/>
    </row>
    <row r="1743" spans="15:22" x14ac:dyDescent="0.25">
      <c r="O1743" s="74"/>
      <c r="P1743" s="74"/>
      <c r="Q1743" s="74"/>
      <c r="R1743" s="74"/>
      <c r="V1743" s="72"/>
    </row>
    <row r="1744" spans="15:22" x14ac:dyDescent="0.25">
      <c r="O1744" s="74"/>
      <c r="P1744" s="74"/>
      <c r="Q1744" s="74"/>
      <c r="R1744" s="74"/>
      <c r="V1744" s="72"/>
    </row>
    <row r="1745" spans="15:22" x14ac:dyDescent="0.25">
      <c r="O1745" s="74"/>
      <c r="P1745" s="74"/>
      <c r="Q1745" s="74"/>
      <c r="R1745" s="74"/>
      <c r="V1745" s="72"/>
    </row>
    <row r="1746" spans="15:22" x14ac:dyDescent="0.25">
      <c r="O1746" s="74"/>
      <c r="P1746" s="74"/>
      <c r="Q1746" s="74"/>
      <c r="R1746" s="74"/>
      <c r="V1746" s="72"/>
    </row>
    <row r="1747" spans="15:22" x14ac:dyDescent="0.25">
      <c r="O1747" s="74"/>
      <c r="P1747" s="74"/>
      <c r="Q1747" s="74"/>
      <c r="R1747" s="74"/>
      <c r="V1747" s="72"/>
    </row>
    <row r="1748" spans="15:22" x14ac:dyDescent="0.25">
      <c r="O1748" s="74"/>
      <c r="P1748" s="74"/>
      <c r="Q1748" s="74"/>
      <c r="R1748" s="74"/>
      <c r="V1748" s="72"/>
    </row>
    <row r="1749" spans="15:22" x14ac:dyDescent="0.25">
      <c r="O1749" s="74"/>
      <c r="P1749" s="74"/>
      <c r="Q1749" s="74"/>
      <c r="R1749" s="74"/>
      <c r="V1749" s="72"/>
    </row>
    <row r="1750" spans="15:22" x14ac:dyDescent="0.25">
      <c r="O1750" s="74"/>
      <c r="P1750" s="74"/>
      <c r="Q1750" s="74"/>
      <c r="R1750" s="74"/>
      <c r="V1750" s="72"/>
    </row>
    <row r="1751" spans="15:22" x14ac:dyDescent="0.25">
      <c r="O1751" s="74"/>
      <c r="P1751" s="74"/>
      <c r="Q1751" s="74"/>
      <c r="R1751" s="74"/>
      <c r="V1751" s="72"/>
    </row>
    <row r="1752" spans="15:22" x14ac:dyDescent="0.25">
      <c r="O1752" s="74"/>
      <c r="P1752" s="74"/>
      <c r="Q1752" s="74"/>
      <c r="R1752" s="74"/>
      <c r="V1752" s="72"/>
    </row>
    <row r="1753" spans="15:22" x14ac:dyDescent="0.25">
      <c r="O1753" s="74"/>
      <c r="P1753" s="74"/>
      <c r="Q1753" s="74"/>
      <c r="R1753" s="74"/>
      <c r="V1753" s="72"/>
    </row>
    <row r="1754" spans="15:22" x14ac:dyDescent="0.25">
      <c r="O1754" s="74"/>
      <c r="P1754" s="74"/>
      <c r="Q1754" s="74"/>
      <c r="R1754" s="74"/>
      <c r="V1754" s="72"/>
    </row>
    <row r="1755" spans="15:22" x14ac:dyDescent="0.25">
      <c r="O1755" s="74"/>
      <c r="P1755" s="74"/>
      <c r="Q1755" s="74"/>
      <c r="R1755" s="74"/>
      <c r="V1755" s="72"/>
    </row>
    <row r="1756" spans="15:22" x14ac:dyDescent="0.25">
      <c r="O1756" s="74"/>
      <c r="P1756" s="74"/>
      <c r="Q1756" s="74"/>
      <c r="R1756" s="74"/>
      <c r="V1756" s="72"/>
    </row>
    <row r="1757" spans="15:22" x14ac:dyDescent="0.25">
      <c r="O1757" s="74"/>
      <c r="P1757" s="74"/>
      <c r="Q1757" s="74"/>
      <c r="R1757" s="74"/>
      <c r="V1757" s="72"/>
    </row>
    <row r="1758" spans="15:22" x14ac:dyDescent="0.25">
      <c r="O1758" s="74"/>
      <c r="P1758" s="74"/>
      <c r="Q1758" s="74"/>
      <c r="R1758" s="74"/>
      <c r="V1758" s="72"/>
    </row>
    <row r="1759" spans="15:22" x14ac:dyDescent="0.25">
      <c r="O1759" s="74"/>
      <c r="P1759" s="74"/>
      <c r="Q1759" s="74"/>
      <c r="R1759" s="74"/>
      <c r="V1759" s="72"/>
    </row>
    <row r="1760" spans="15:22" x14ac:dyDescent="0.25">
      <c r="O1760" s="74"/>
      <c r="P1760" s="74"/>
      <c r="Q1760" s="74"/>
      <c r="R1760" s="74"/>
      <c r="V1760" s="72"/>
    </row>
    <row r="1761" spans="15:22" x14ac:dyDescent="0.25">
      <c r="O1761" s="74"/>
      <c r="P1761" s="74"/>
      <c r="Q1761" s="74"/>
      <c r="R1761" s="74"/>
      <c r="V1761" s="72"/>
    </row>
    <row r="1762" spans="15:22" x14ac:dyDescent="0.25">
      <c r="O1762" s="74"/>
      <c r="P1762" s="74"/>
      <c r="Q1762" s="74"/>
      <c r="R1762" s="74"/>
      <c r="V1762" s="72"/>
    </row>
    <row r="1763" spans="15:22" x14ac:dyDescent="0.25">
      <c r="O1763" s="74"/>
      <c r="P1763" s="74"/>
      <c r="Q1763" s="74"/>
      <c r="R1763" s="74"/>
      <c r="V1763" s="72"/>
    </row>
    <row r="1764" spans="15:22" x14ac:dyDescent="0.25">
      <c r="O1764" s="74"/>
      <c r="P1764" s="74"/>
      <c r="Q1764" s="74"/>
      <c r="R1764" s="74"/>
      <c r="V1764" s="72"/>
    </row>
    <row r="1765" spans="15:22" x14ac:dyDescent="0.25">
      <c r="O1765" s="74"/>
      <c r="P1765" s="74"/>
      <c r="Q1765" s="74"/>
      <c r="R1765" s="74"/>
      <c r="V1765" s="72"/>
    </row>
    <row r="1766" spans="15:22" x14ac:dyDescent="0.25">
      <c r="O1766" s="74"/>
      <c r="P1766" s="74"/>
      <c r="Q1766" s="74"/>
      <c r="R1766" s="74"/>
      <c r="V1766" s="72"/>
    </row>
    <row r="1767" spans="15:22" x14ac:dyDescent="0.25">
      <c r="O1767" s="74"/>
      <c r="P1767" s="74"/>
      <c r="Q1767" s="74"/>
      <c r="R1767" s="74"/>
      <c r="V1767" s="72"/>
    </row>
    <row r="1768" spans="15:22" x14ac:dyDescent="0.25">
      <c r="O1768" s="74"/>
      <c r="P1768" s="74"/>
      <c r="Q1768" s="74"/>
      <c r="R1768" s="74"/>
      <c r="V1768" s="72"/>
    </row>
    <row r="1769" spans="15:22" x14ac:dyDescent="0.25">
      <c r="O1769" s="74"/>
      <c r="P1769" s="74"/>
      <c r="Q1769" s="74"/>
      <c r="R1769" s="74"/>
      <c r="V1769" s="72"/>
    </row>
    <row r="1770" spans="15:22" x14ac:dyDescent="0.25">
      <c r="O1770" s="74"/>
      <c r="P1770" s="74"/>
      <c r="Q1770" s="74"/>
      <c r="R1770" s="74"/>
      <c r="V1770" s="72"/>
    </row>
    <row r="1771" spans="15:22" x14ac:dyDescent="0.25">
      <c r="O1771" s="74"/>
      <c r="P1771" s="74"/>
      <c r="Q1771" s="74"/>
      <c r="R1771" s="74"/>
      <c r="V1771" s="72"/>
    </row>
    <row r="1772" spans="15:22" x14ac:dyDescent="0.25">
      <c r="O1772" s="74"/>
      <c r="P1772" s="74"/>
      <c r="Q1772" s="74"/>
      <c r="R1772" s="74"/>
      <c r="V1772" s="72"/>
    </row>
    <row r="1773" spans="15:22" x14ac:dyDescent="0.25">
      <c r="O1773" s="74"/>
      <c r="P1773" s="74"/>
      <c r="Q1773" s="74"/>
      <c r="R1773" s="74"/>
      <c r="V1773" s="72"/>
    </row>
    <row r="1774" spans="15:22" x14ac:dyDescent="0.25">
      <c r="O1774" s="74"/>
      <c r="P1774" s="74"/>
      <c r="Q1774" s="74"/>
      <c r="R1774" s="74"/>
      <c r="V1774" s="72"/>
    </row>
    <row r="1775" spans="15:22" x14ac:dyDescent="0.25">
      <c r="O1775" s="74"/>
      <c r="P1775" s="74"/>
      <c r="Q1775" s="74"/>
      <c r="R1775" s="74"/>
      <c r="V1775" s="72"/>
    </row>
    <row r="1776" spans="15:22" x14ac:dyDescent="0.25">
      <c r="O1776" s="74"/>
      <c r="P1776" s="74"/>
      <c r="Q1776" s="74"/>
      <c r="R1776" s="74"/>
      <c r="V1776" s="72"/>
    </row>
    <row r="1777" spans="15:22" x14ac:dyDescent="0.25">
      <c r="O1777" s="74"/>
      <c r="P1777" s="74"/>
      <c r="Q1777" s="74"/>
      <c r="R1777" s="74"/>
      <c r="V1777" s="72"/>
    </row>
    <row r="1778" spans="15:22" x14ac:dyDescent="0.25">
      <c r="O1778" s="74"/>
      <c r="P1778" s="74"/>
      <c r="Q1778" s="74"/>
      <c r="R1778" s="74"/>
      <c r="V1778" s="72"/>
    </row>
    <row r="1779" spans="15:22" x14ac:dyDescent="0.25">
      <c r="O1779" s="74"/>
      <c r="P1779" s="74"/>
      <c r="Q1779" s="74"/>
      <c r="R1779" s="74"/>
      <c r="V1779" s="72"/>
    </row>
    <row r="1780" spans="15:22" x14ac:dyDescent="0.25">
      <c r="O1780" s="74"/>
      <c r="P1780" s="74"/>
      <c r="Q1780" s="74"/>
      <c r="R1780" s="74"/>
      <c r="V1780" s="72"/>
    </row>
    <row r="1781" spans="15:22" x14ac:dyDescent="0.25">
      <c r="O1781" s="74"/>
      <c r="P1781" s="74"/>
      <c r="Q1781" s="74"/>
      <c r="R1781" s="74"/>
      <c r="V1781" s="72"/>
    </row>
    <row r="1782" spans="15:22" x14ac:dyDescent="0.25">
      <c r="O1782" s="74"/>
      <c r="P1782" s="74"/>
      <c r="Q1782" s="74"/>
      <c r="R1782" s="74"/>
      <c r="V1782" s="72"/>
    </row>
    <row r="1783" spans="15:22" x14ac:dyDescent="0.25">
      <c r="O1783" s="74"/>
      <c r="P1783" s="74"/>
      <c r="Q1783" s="74"/>
      <c r="R1783" s="74"/>
      <c r="V1783" s="72"/>
    </row>
    <row r="1784" spans="15:22" x14ac:dyDescent="0.25">
      <c r="O1784" s="74"/>
      <c r="P1784" s="74"/>
      <c r="Q1784" s="74"/>
      <c r="R1784" s="74"/>
      <c r="V1784" s="72"/>
    </row>
    <row r="1785" spans="15:22" x14ac:dyDescent="0.25">
      <c r="O1785" s="74"/>
      <c r="P1785" s="74"/>
      <c r="Q1785" s="74"/>
      <c r="R1785" s="74"/>
      <c r="V1785" s="72"/>
    </row>
    <row r="1786" spans="15:22" x14ac:dyDescent="0.25">
      <c r="O1786" s="74"/>
      <c r="P1786" s="74"/>
      <c r="Q1786" s="74"/>
      <c r="R1786" s="74"/>
      <c r="V1786" s="72"/>
    </row>
    <row r="1787" spans="15:22" x14ac:dyDescent="0.25">
      <c r="O1787" s="74"/>
      <c r="P1787" s="74"/>
      <c r="Q1787" s="74"/>
      <c r="R1787" s="74"/>
      <c r="V1787" s="72"/>
    </row>
    <row r="1788" spans="15:22" x14ac:dyDescent="0.25">
      <c r="O1788" s="74"/>
      <c r="P1788" s="74"/>
      <c r="Q1788" s="74"/>
      <c r="R1788" s="74"/>
      <c r="V1788" s="72"/>
    </row>
    <row r="1789" spans="15:22" x14ac:dyDescent="0.25">
      <c r="O1789" s="74"/>
      <c r="P1789" s="74"/>
      <c r="Q1789" s="74"/>
      <c r="R1789" s="74"/>
      <c r="V1789" s="72"/>
    </row>
    <row r="1790" spans="15:22" x14ac:dyDescent="0.25">
      <c r="O1790" s="74"/>
      <c r="P1790" s="74"/>
      <c r="Q1790" s="74"/>
      <c r="R1790" s="74"/>
      <c r="V1790" s="72"/>
    </row>
    <row r="1791" spans="15:22" x14ac:dyDescent="0.25">
      <c r="O1791" s="74"/>
      <c r="P1791" s="74"/>
      <c r="Q1791" s="74"/>
      <c r="R1791" s="74"/>
      <c r="V1791" s="72"/>
    </row>
    <row r="1792" spans="15:22" x14ac:dyDescent="0.25">
      <c r="O1792" s="74"/>
      <c r="P1792" s="74"/>
      <c r="Q1792" s="74"/>
      <c r="R1792" s="74"/>
      <c r="V1792" s="72"/>
    </row>
    <row r="1793" spans="15:22" x14ac:dyDescent="0.25">
      <c r="O1793" s="74"/>
      <c r="P1793" s="74"/>
      <c r="Q1793" s="74"/>
      <c r="R1793" s="74"/>
      <c r="V1793" s="72"/>
    </row>
    <row r="1794" spans="15:22" x14ac:dyDescent="0.25">
      <c r="O1794" s="74"/>
      <c r="P1794" s="74"/>
      <c r="Q1794" s="74"/>
      <c r="R1794" s="74"/>
      <c r="V1794" s="72"/>
    </row>
    <row r="1795" spans="15:22" x14ac:dyDescent="0.25">
      <c r="O1795" s="74"/>
      <c r="P1795" s="74"/>
      <c r="Q1795" s="74"/>
      <c r="R1795" s="74"/>
      <c r="V1795" s="72"/>
    </row>
    <row r="1796" spans="15:22" x14ac:dyDescent="0.25">
      <c r="O1796" s="74"/>
      <c r="P1796" s="74"/>
      <c r="Q1796" s="74"/>
      <c r="R1796" s="74"/>
      <c r="V1796" s="72"/>
    </row>
    <row r="1797" spans="15:22" x14ac:dyDescent="0.25">
      <c r="O1797" s="74"/>
      <c r="P1797" s="74"/>
      <c r="Q1797" s="74"/>
      <c r="R1797" s="74"/>
      <c r="V1797" s="72"/>
    </row>
    <row r="1798" spans="15:22" x14ac:dyDescent="0.25">
      <c r="O1798" s="74"/>
      <c r="P1798" s="74"/>
      <c r="Q1798" s="74"/>
      <c r="R1798" s="74"/>
      <c r="V1798" s="72"/>
    </row>
    <row r="1799" spans="15:22" x14ac:dyDescent="0.25">
      <c r="O1799" s="74"/>
      <c r="P1799" s="74"/>
      <c r="Q1799" s="74"/>
      <c r="R1799" s="74"/>
      <c r="V1799" s="72"/>
    </row>
    <row r="1800" spans="15:22" x14ac:dyDescent="0.25">
      <c r="O1800" s="74"/>
      <c r="P1800" s="74"/>
      <c r="Q1800" s="74"/>
      <c r="R1800" s="74"/>
      <c r="V1800" s="72"/>
    </row>
    <row r="1801" spans="15:22" x14ac:dyDescent="0.25">
      <c r="O1801" s="74"/>
      <c r="P1801" s="74"/>
      <c r="Q1801" s="74"/>
      <c r="R1801" s="74"/>
      <c r="V1801" s="72"/>
    </row>
    <row r="1802" spans="15:22" x14ac:dyDescent="0.25">
      <c r="O1802" s="74"/>
      <c r="P1802" s="74"/>
      <c r="Q1802" s="74"/>
      <c r="R1802" s="74"/>
      <c r="V1802" s="72"/>
    </row>
    <row r="1803" spans="15:22" x14ac:dyDescent="0.25">
      <c r="O1803" s="74"/>
      <c r="P1803" s="74"/>
      <c r="Q1803" s="74"/>
      <c r="R1803" s="74"/>
      <c r="V1803" s="72"/>
    </row>
    <row r="1804" spans="15:22" x14ac:dyDescent="0.25">
      <c r="O1804" s="74"/>
      <c r="P1804" s="74"/>
      <c r="Q1804" s="74"/>
      <c r="R1804" s="74"/>
      <c r="V1804" s="72"/>
    </row>
    <row r="1805" spans="15:22" x14ac:dyDescent="0.25">
      <c r="O1805" s="74"/>
      <c r="P1805" s="74"/>
      <c r="Q1805" s="74"/>
      <c r="R1805" s="74"/>
      <c r="V1805" s="72"/>
    </row>
    <row r="1806" spans="15:22" x14ac:dyDescent="0.25">
      <c r="O1806" s="74"/>
      <c r="P1806" s="74"/>
      <c r="Q1806" s="74"/>
      <c r="R1806" s="74"/>
      <c r="V1806" s="72"/>
    </row>
    <row r="1807" spans="15:22" x14ac:dyDescent="0.25">
      <c r="O1807" s="74"/>
      <c r="P1807" s="74"/>
      <c r="Q1807" s="74"/>
      <c r="R1807" s="74"/>
      <c r="V1807" s="72"/>
    </row>
    <row r="1808" spans="15:22" x14ac:dyDescent="0.25">
      <c r="O1808" s="74"/>
      <c r="P1808" s="74"/>
      <c r="Q1808" s="74"/>
      <c r="R1808" s="74"/>
      <c r="V1808" s="72"/>
    </row>
    <row r="1809" spans="15:22" x14ac:dyDescent="0.25">
      <c r="O1809" s="74"/>
      <c r="P1809" s="74"/>
      <c r="Q1809" s="74"/>
      <c r="R1809" s="74"/>
      <c r="V1809" s="72"/>
    </row>
    <row r="1810" spans="15:22" x14ac:dyDescent="0.25">
      <c r="O1810" s="74"/>
      <c r="P1810" s="74"/>
      <c r="Q1810" s="74"/>
      <c r="R1810" s="74"/>
      <c r="V1810" s="72"/>
    </row>
    <row r="1811" spans="15:22" x14ac:dyDescent="0.25">
      <c r="O1811" s="74"/>
      <c r="P1811" s="74"/>
      <c r="Q1811" s="74"/>
      <c r="R1811" s="74"/>
      <c r="V1811" s="72"/>
    </row>
    <row r="1812" spans="15:22" x14ac:dyDescent="0.25">
      <c r="O1812" s="74"/>
      <c r="P1812" s="74"/>
      <c r="Q1812" s="74"/>
      <c r="R1812" s="74"/>
      <c r="V1812" s="72"/>
    </row>
    <row r="1813" spans="15:22" x14ac:dyDescent="0.25">
      <c r="O1813" s="74"/>
      <c r="P1813" s="74"/>
      <c r="Q1813" s="74"/>
      <c r="R1813" s="74"/>
      <c r="V1813" s="72"/>
    </row>
    <row r="1814" spans="15:22" x14ac:dyDescent="0.25">
      <c r="O1814" s="74"/>
      <c r="P1814" s="74"/>
      <c r="Q1814" s="74"/>
      <c r="R1814" s="74"/>
      <c r="V1814" s="72"/>
    </row>
    <row r="1815" spans="15:22" x14ac:dyDescent="0.25">
      <c r="O1815" s="74"/>
      <c r="P1815" s="74"/>
      <c r="Q1815" s="74"/>
      <c r="R1815" s="74"/>
      <c r="V1815" s="72"/>
    </row>
    <row r="1816" spans="15:22" x14ac:dyDescent="0.25">
      <c r="O1816" s="74"/>
      <c r="P1816" s="74"/>
      <c r="Q1816" s="74"/>
      <c r="R1816" s="74"/>
      <c r="V1816" s="72"/>
    </row>
    <row r="1817" spans="15:22" x14ac:dyDescent="0.25">
      <c r="O1817" s="74"/>
      <c r="P1817" s="74"/>
      <c r="Q1817" s="74"/>
      <c r="R1817" s="74"/>
      <c r="V1817" s="72"/>
    </row>
    <row r="1818" spans="15:22" x14ac:dyDescent="0.25">
      <c r="O1818" s="74"/>
      <c r="P1818" s="74"/>
      <c r="Q1818" s="74"/>
      <c r="R1818" s="74"/>
      <c r="V1818" s="72"/>
    </row>
    <row r="1819" spans="15:22" x14ac:dyDescent="0.25">
      <c r="O1819" s="74"/>
      <c r="P1819" s="74"/>
      <c r="Q1819" s="74"/>
      <c r="R1819" s="74"/>
      <c r="V1819" s="72"/>
    </row>
    <row r="1820" spans="15:22" x14ac:dyDescent="0.25">
      <c r="O1820" s="74"/>
      <c r="P1820" s="74"/>
      <c r="Q1820" s="74"/>
      <c r="R1820" s="74"/>
      <c r="V1820" s="72"/>
    </row>
    <row r="1821" spans="15:22" x14ac:dyDescent="0.25">
      <c r="O1821" s="74"/>
      <c r="P1821" s="74"/>
      <c r="Q1821" s="74"/>
      <c r="R1821" s="74"/>
      <c r="V1821" s="72"/>
    </row>
    <row r="1822" spans="15:22" x14ac:dyDescent="0.25">
      <c r="O1822" s="74"/>
      <c r="P1822" s="74"/>
      <c r="Q1822" s="74"/>
      <c r="R1822" s="74"/>
      <c r="V1822" s="72"/>
    </row>
    <row r="1823" spans="15:22" x14ac:dyDescent="0.25">
      <c r="O1823" s="74"/>
      <c r="P1823" s="74"/>
      <c r="Q1823" s="74"/>
      <c r="R1823" s="74"/>
      <c r="V1823" s="72"/>
    </row>
    <row r="1824" spans="15:22" x14ac:dyDescent="0.25">
      <c r="O1824" s="74"/>
      <c r="P1824" s="74"/>
      <c r="Q1824" s="74"/>
      <c r="R1824" s="74"/>
      <c r="V1824" s="72"/>
    </row>
    <row r="1825" spans="15:22" x14ac:dyDescent="0.25">
      <c r="O1825" s="74"/>
      <c r="P1825" s="74"/>
      <c r="Q1825" s="74"/>
      <c r="R1825" s="74"/>
      <c r="V1825" s="72"/>
    </row>
    <row r="1826" spans="15:22" x14ac:dyDescent="0.25">
      <c r="O1826" s="74"/>
      <c r="P1826" s="74"/>
      <c r="Q1826" s="74"/>
      <c r="R1826" s="74"/>
      <c r="V1826" s="72"/>
    </row>
    <row r="1827" spans="15:22" x14ac:dyDescent="0.25">
      <c r="O1827" s="74"/>
      <c r="P1827" s="74"/>
      <c r="Q1827" s="74"/>
      <c r="R1827" s="74"/>
      <c r="V1827" s="72"/>
    </row>
    <row r="1828" spans="15:22" x14ac:dyDescent="0.25">
      <c r="O1828" s="74"/>
      <c r="P1828" s="74"/>
      <c r="Q1828" s="74"/>
      <c r="R1828" s="74"/>
      <c r="V1828" s="72"/>
    </row>
    <row r="1829" spans="15:22" x14ac:dyDescent="0.25">
      <c r="O1829" s="74"/>
      <c r="P1829" s="74"/>
      <c r="Q1829" s="74"/>
      <c r="R1829" s="74"/>
      <c r="V1829" s="72"/>
    </row>
    <row r="1830" spans="15:22" x14ac:dyDescent="0.25">
      <c r="O1830" s="74"/>
      <c r="P1830" s="74"/>
      <c r="Q1830" s="74"/>
      <c r="R1830" s="74"/>
      <c r="V1830" s="72"/>
    </row>
    <row r="1831" spans="15:22" x14ac:dyDescent="0.25">
      <c r="O1831" s="74"/>
      <c r="P1831" s="74"/>
      <c r="Q1831" s="74"/>
      <c r="R1831" s="74"/>
      <c r="V1831" s="72"/>
    </row>
    <row r="1832" spans="15:22" x14ac:dyDescent="0.25">
      <c r="O1832" s="74"/>
      <c r="P1832" s="74"/>
      <c r="Q1832" s="74"/>
      <c r="R1832" s="74"/>
      <c r="V1832" s="72"/>
    </row>
    <row r="1833" spans="15:22" x14ac:dyDescent="0.25">
      <c r="O1833" s="74"/>
      <c r="P1833" s="74"/>
      <c r="Q1833" s="74"/>
      <c r="R1833" s="74"/>
      <c r="V1833" s="72"/>
    </row>
    <row r="1834" spans="15:22" x14ac:dyDescent="0.25">
      <c r="O1834" s="74"/>
      <c r="P1834" s="74"/>
      <c r="Q1834" s="74"/>
      <c r="R1834" s="74"/>
      <c r="V1834" s="72"/>
    </row>
    <row r="1835" spans="15:22" x14ac:dyDescent="0.25">
      <c r="O1835" s="74"/>
      <c r="P1835" s="74"/>
      <c r="Q1835" s="74"/>
      <c r="R1835" s="74"/>
      <c r="V1835" s="72"/>
    </row>
    <row r="1836" spans="15:22" x14ac:dyDescent="0.25">
      <c r="O1836" s="74"/>
      <c r="P1836" s="74"/>
      <c r="Q1836" s="74"/>
      <c r="R1836" s="74"/>
      <c r="V1836" s="72"/>
    </row>
    <row r="1837" spans="15:22" x14ac:dyDescent="0.25">
      <c r="O1837" s="74"/>
      <c r="P1837" s="74"/>
      <c r="Q1837" s="74"/>
      <c r="R1837" s="74"/>
      <c r="V1837" s="72"/>
    </row>
    <row r="1838" spans="15:22" x14ac:dyDescent="0.25">
      <c r="O1838" s="74"/>
      <c r="P1838" s="74"/>
      <c r="Q1838" s="74"/>
      <c r="R1838" s="74"/>
      <c r="V1838" s="72"/>
    </row>
    <row r="1839" spans="15:22" x14ac:dyDescent="0.25">
      <c r="O1839" s="74"/>
      <c r="P1839" s="74"/>
      <c r="Q1839" s="74"/>
      <c r="R1839" s="74"/>
      <c r="V1839" s="72"/>
    </row>
    <row r="1840" spans="15:22" x14ac:dyDescent="0.25">
      <c r="O1840" s="74"/>
      <c r="P1840" s="74"/>
      <c r="Q1840" s="74"/>
      <c r="R1840" s="74"/>
      <c r="V1840" s="72"/>
    </row>
    <row r="1841" spans="15:22" x14ac:dyDescent="0.25">
      <c r="O1841" s="74"/>
      <c r="P1841" s="74"/>
      <c r="Q1841" s="74"/>
      <c r="R1841" s="74"/>
      <c r="V1841" s="72"/>
    </row>
    <row r="1842" spans="15:22" x14ac:dyDescent="0.25">
      <c r="O1842" s="74"/>
      <c r="P1842" s="74"/>
      <c r="Q1842" s="74"/>
      <c r="R1842" s="74"/>
      <c r="V1842" s="72"/>
    </row>
    <row r="1843" spans="15:22" x14ac:dyDescent="0.25">
      <c r="O1843" s="74"/>
      <c r="P1843" s="74"/>
      <c r="Q1843" s="74"/>
      <c r="R1843" s="74"/>
      <c r="V1843" s="72"/>
    </row>
    <row r="1844" spans="15:22" x14ac:dyDescent="0.25">
      <c r="O1844" s="74"/>
      <c r="P1844" s="74"/>
      <c r="Q1844" s="74"/>
      <c r="R1844" s="74"/>
      <c r="V1844" s="72"/>
    </row>
    <row r="1845" spans="15:22" x14ac:dyDescent="0.25">
      <c r="O1845" s="74"/>
      <c r="P1845" s="74"/>
      <c r="Q1845" s="74"/>
      <c r="R1845" s="74"/>
      <c r="V1845" s="72"/>
    </row>
    <row r="1846" spans="15:22" x14ac:dyDescent="0.25">
      <c r="O1846" s="74"/>
      <c r="P1846" s="74"/>
      <c r="Q1846" s="74"/>
      <c r="R1846" s="74"/>
      <c r="V1846" s="72"/>
    </row>
    <row r="1847" spans="15:22" x14ac:dyDescent="0.25">
      <c r="O1847" s="74"/>
      <c r="P1847" s="74"/>
      <c r="Q1847" s="74"/>
      <c r="R1847" s="74"/>
      <c r="V1847" s="72"/>
    </row>
    <row r="1848" spans="15:22" x14ac:dyDescent="0.25">
      <c r="O1848" s="74"/>
      <c r="P1848" s="74"/>
      <c r="Q1848" s="74"/>
      <c r="R1848" s="74"/>
      <c r="V1848" s="72"/>
    </row>
    <row r="1849" spans="15:22" x14ac:dyDescent="0.25">
      <c r="O1849" s="74"/>
      <c r="P1849" s="74"/>
      <c r="Q1849" s="74"/>
      <c r="R1849" s="74"/>
      <c r="V1849" s="72"/>
    </row>
    <row r="1850" spans="15:22" x14ac:dyDescent="0.25">
      <c r="O1850" s="74"/>
      <c r="P1850" s="74"/>
      <c r="Q1850" s="74"/>
      <c r="R1850" s="74"/>
      <c r="V1850" s="72"/>
    </row>
    <row r="1851" spans="15:22" x14ac:dyDescent="0.25">
      <c r="O1851" s="74"/>
      <c r="P1851" s="74"/>
      <c r="Q1851" s="74"/>
      <c r="R1851" s="74"/>
      <c r="V1851" s="72"/>
    </row>
    <row r="1852" spans="15:22" x14ac:dyDescent="0.25">
      <c r="O1852" s="74"/>
      <c r="P1852" s="74"/>
      <c r="Q1852" s="74"/>
      <c r="R1852" s="74"/>
      <c r="V1852" s="72"/>
    </row>
    <row r="1853" spans="15:22" x14ac:dyDescent="0.25">
      <c r="O1853" s="74"/>
      <c r="P1853" s="74"/>
      <c r="Q1853" s="74"/>
      <c r="R1853" s="74"/>
      <c r="V1853" s="72"/>
    </row>
    <row r="1854" spans="15:22" x14ac:dyDescent="0.25">
      <c r="O1854" s="74"/>
      <c r="P1854" s="74"/>
      <c r="Q1854" s="74"/>
      <c r="R1854" s="74"/>
      <c r="V1854" s="72"/>
    </row>
    <row r="1855" spans="15:22" x14ac:dyDescent="0.25">
      <c r="O1855" s="74"/>
      <c r="P1855" s="74"/>
      <c r="Q1855" s="74"/>
      <c r="R1855" s="74"/>
      <c r="V1855" s="72"/>
    </row>
    <row r="1856" spans="15:22" x14ac:dyDescent="0.25">
      <c r="O1856" s="74"/>
      <c r="P1856" s="74"/>
      <c r="Q1856" s="74"/>
      <c r="R1856" s="74"/>
      <c r="V1856" s="72"/>
    </row>
    <row r="1857" spans="15:22" x14ac:dyDescent="0.25">
      <c r="O1857" s="74"/>
      <c r="P1857" s="74"/>
      <c r="Q1857" s="74"/>
      <c r="R1857" s="74"/>
      <c r="V1857" s="72"/>
    </row>
    <row r="1858" spans="15:22" x14ac:dyDescent="0.25">
      <c r="O1858" s="74"/>
      <c r="P1858" s="74"/>
      <c r="Q1858" s="74"/>
      <c r="R1858" s="74"/>
      <c r="V1858" s="72"/>
    </row>
    <row r="1859" spans="15:22" x14ac:dyDescent="0.25">
      <c r="O1859" s="74"/>
      <c r="P1859" s="74"/>
      <c r="Q1859" s="74"/>
      <c r="R1859" s="74"/>
      <c r="V1859" s="72"/>
    </row>
    <row r="1860" spans="15:22" x14ac:dyDescent="0.25">
      <c r="O1860" s="74"/>
      <c r="P1860" s="74"/>
      <c r="Q1860" s="74"/>
      <c r="R1860" s="74"/>
      <c r="V1860" s="72"/>
    </row>
    <row r="1861" spans="15:22" x14ac:dyDescent="0.25">
      <c r="O1861" s="74"/>
      <c r="P1861" s="74"/>
      <c r="Q1861" s="74"/>
      <c r="R1861" s="74"/>
      <c r="V1861" s="72"/>
    </row>
    <row r="1862" spans="15:22" x14ac:dyDescent="0.25">
      <c r="O1862" s="74"/>
      <c r="P1862" s="74"/>
      <c r="Q1862" s="74"/>
      <c r="R1862" s="74"/>
      <c r="V1862" s="72"/>
    </row>
    <row r="1863" spans="15:22" x14ac:dyDescent="0.25">
      <c r="O1863" s="74"/>
      <c r="P1863" s="74"/>
      <c r="Q1863" s="74"/>
      <c r="R1863" s="74"/>
      <c r="V1863" s="72"/>
    </row>
    <row r="1864" spans="15:22" x14ac:dyDescent="0.25">
      <c r="O1864" s="74"/>
      <c r="P1864" s="74"/>
      <c r="Q1864" s="74"/>
      <c r="R1864" s="74"/>
      <c r="V1864" s="72"/>
    </row>
    <row r="1865" spans="15:22" x14ac:dyDescent="0.25">
      <c r="O1865" s="74"/>
      <c r="P1865" s="74"/>
      <c r="Q1865" s="74"/>
      <c r="R1865" s="74"/>
      <c r="V1865" s="72"/>
    </row>
    <row r="1866" spans="15:22" x14ac:dyDescent="0.25">
      <c r="O1866" s="74"/>
      <c r="P1866" s="74"/>
      <c r="Q1866" s="74"/>
      <c r="R1866" s="74"/>
      <c r="V1866" s="72"/>
    </row>
    <row r="1867" spans="15:22" x14ac:dyDescent="0.25">
      <c r="O1867" s="74"/>
      <c r="P1867" s="74"/>
      <c r="Q1867" s="74"/>
      <c r="R1867" s="74"/>
      <c r="V1867" s="72"/>
    </row>
    <row r="1868" spans="15:22" x14ac:dyDescent="0.25">
      <c r="O1868" s="74"/>
      <c r="P1868" s="74"/>
      <c r="Q1868" s="74"/>
      <c r="R1868" s="74"/>
      <c r="V1868" s="72"/>
    </row>
    <row r="1869" spans="15:22" x14ac:dyDescent="0.25">
      <c r="O1869" s="74"/>
      <c r="P1869" s="74"/>
      <c r="Q1869" s="74"/>
      <c r="R1869" s="74"/>
      <c r="V1869" s="72"/>
    </row>
    <row r="1870" spans="15:22" x14ac:dyDescent="0.25">
      <c r="O1870" s="74"/>
      <c r="P1870" s="74"/>
      <c r="Q1870" s="74"/>
      <c r="R1870" s="74"/>
      <c r="V1870" s="72"/>
    </row>
    <row r="1871" spans="15:22" x14ac:dyDescent="0.25">
      <c r="O1871" s="74"/>
      <c r="P1871" s="74"/>
      <c r="Q1871" s="74"/>
      <c r="R1871" s="74"/>
      <c r="V1871" s="72"/>
    </row>
    <row r="1872" spans="15:22" x14ac:dyDescent="0.25">
      <c r="O1872" s="74"/>
      <c r="P1872" s="74"/>
      <c r="Q1872" s="74"/>
      <c r="R1872" s="74"/>
      <c r="V1872" s="72"/>
    </row>
    <row r="1873" spans="15:22" x14ac:dyDescent="0.25">
      <c r="O1873" s="74"/>
      <c r="P1873" s="74"/>
      <c r="Q1873" s="74"/>
      <c r="R1873" s="74"/>
      <c r="V1873" s="72"/>
    </row>
    <row r="1874" spans="15:22" x14ac:dyDescent="0.25">
      <c r="O1874" s="74"/>
      <c r="P1874" s="74"/>
      <c r="Q1874" s="74"/>
      <c r="R1874" s="74"/>
      <c r="V1874" s="72"/>
    </row>
    <row r="1875" spans="15:22" x14ac:dyDescent="0.25">
      <c r="O1875" s="74"/>
      <c r="P1875" s="74"/>
      <c r="Q1875" s="74"/>
      <c r="R1875" s="74"/>
      <c r="V1875" s="72"/>
    </row>
    <row r="1876" spans="15:22" x14ac:dyDescent="0.25">
      <c r="O1876" s="74"/>
      <c r="P1876" s="74"/>
      <c r="Q1876" s="74"/>
      <c r="R1876" s="74"/>
      <c r="V1876" s="72"/>
    </row>
    <row r="1877" spans="15:22" x14ac:dyDescent="0.25">
      <c r="O1877" s="74"/>
      <c r="P1877" s="74"/>
      <c r="Q1877" s="74"/>
      <c r="R1877" s="74"/>
      <c r="V1877" s="72"/>
    </row>
    <row r="1878" spans="15:22" x14ac:dyDescent="0.25">
      <c r="O1878" s="74"/>
      <c r="P1878" s="74"/>
      <c r="Q1878" s="74"/>
      <c r="R1878" s="74"/>
      <c r="V1878" s="72"/>
    </row>
    <row r="1879" spans="15:22" x14ac:dyDescent="0.25">
      <c r="O1879" s="74"/>
      <c r="P1879" s="74"/>
      <c r="Q1879" s="74"/>
      <c r="R1879" s="74"/>
      <c r="V1879" s="72"/>
    </row>
    <row r="1880" spans="15:22" x14ac:dyDescent="0.25">
      <c r="O1880" s="74"/>
      <c r="P1880" s="74"/>
      <c r="Q1880" s="74"/>
      <c r="R1880" s="74"/>
      <c r="V1880" s="72"/>
    </row>
    <row r="1881" spans="15:22" x14ac:dyDescent="0.25">
      <c r="O1881" s="74"/>
      <c r="P1881" s="74"/>
      <c r="Q1881" s="74"/>
      <c r="R1881" s="74"/>
      <c r="V1881" s="72"/>
    </row>
    <row r="1882" spans="15:22" x14ac:dyDescent="0.25">
      <c r="O1882" s="74"/>
      <c r="P1882" s="74"/>
      <c r="Q1882" s="74"/>
      <c r="R1882" s="74"/>
      <c r="V1882" s="72"/>
    </row>
    <row r="1883" spans="15:22" x14ac:dyDescent="0.25">
      <c r="O1883" s="74"/>
      <c r="P1883" s="74"/>
      <c r="Q1883" s="74"/>
      <c r="R1883" s="74"/>
      <c r="V1883" s="72"/>
    </row>
    <row r="1884" spans="15:22" x14ac:dyDescent="0.25">
      <c r="O1884" s="74"/>
      <c r="P1884" s="74"/>
      <c r="Q1884" s="74"/>
      <c r="R1884" s="74"/>
      <c r="V1884" s="72"/>
    </row>
    <row r="1885" spans="15:22" x14ac:dyDescent="0.25">
      <c r="O1885" s="74"/>
      <c r="P1885" s="74"/>
      <c r="Q1885" s="74"/>
      <c r="R1885" s="74"/>
      <c r="V1885" s="72"/>
    </row>
    <row r="1886" spans="15:22" x14ac:dyDescent="0.25">
      <c r="O1886" s="74"/>
      <c r="P1886" s="74"/>
      <c r="Q1886" s="74"/>
      <c r="R1886" s="74"/>
      <c r="V1886" s="72"/>
    </row>
    <row r="1887" spans="15:22" x14ac:dyDescent="0.25">
      <c r="O1887" s="74"/>
      <c r="P1887" s="74"/>
      <c r="Q1887" s="74"/>
      <c r="R1887" s="74"/>
      <c r="V1887" s="72"/>
    </row>
    <row r="1888" spans="15:22" x14ac:dyDescent="0.25">
      <c r="O1888" s="74"/>
      <c r="P1888" s="74"/>
      <c r="Q1888" s="74"/>
      <c r="R1888" s="74"/>
      <c r="V1888" s="72"/>
    </row>
    <row r="1889" spans="15:22" x14ac:dyDescent="0.25">
      <c r="O1889" s="74"/>
      <c r="P1889" s="74"/>
      <c r="Q1889" s="74"/>
      <c r="R1889" s="74"/>
      <c r="V1889" s="72"/>
    </row>
    <row r="1890" spans="15:22" x14ac:dyDescent="0.25">
      <c r="O1890" s="74"/>
      <c r="P1890" s="74"/>
      <c r="Q1890" s="74"/>
      <c r="R1890" s="74"/>
      <c r="V1890" s="72"/>
    </row>
    <row r="1891" spans="15:22" x14ac:dyDescent="0.25">
      <c r="O1891" s="74"/>
      <c r="P1891" s="74"/>
      <c r="Q1891" s="74"/>
      <c r="R1891" s="74"/>
      <c r="V1891" s="72"/>
    </row>
    <row r="1892" spans="15:22" x14ac:dyDescent="0.25">
      <c r="O1892" s="74"/>
      <c r="P1892" s="74"/>
      <c r="Q1892" s="74"/>
      <c r="R1892" s="74"/>
      <c r="V1892" s="72"/>
    </row>
    <row r="1893" spans="15:22" x14ac:dyDescent="0.25">
      <c r="O1893" s="74"/>
      <c r="P1893" s="74"/>
      <c r="Q1893" s="74"/>
      <c r="R1893" s="74"/>
      <c r="V1893" s="72"/>
    </row>
    <row r="1894" spans="15:22" x14ac:dyDescent="0.25">
      <c r="O1894" s="74"/>
      <c r="P1894" s="74"/>
      <c r="Q1894" s="74"/>
      <c r="R1894" s="74"/>
      <c r="V1894" s="72"/>
    </row>
    <row r="1895" spans="15:22" x14ac:dyDescent="0.25">
      <c r="O1895" s="74"/>
      <c r="P1895" s="74"/>
      <c r="Q1895" s="74"/>
      <c r="R1895" s="74"/>
      <c r="V1895" s="72"/>
    </row>
    <row r="1896" spans="15:22" x14ac:dyDescent="0.25">
      <c r="O1896" s="74"/>
      <c r="P1896" s="74"/>
      <c r="Q1896" s="74"/>
      <c r="R1896" s="74"/>
      <c r="V1896" s="72"/>
    </row>
    <row r="1897" spans="15:22" x14ac:dyDescent="0.25">
      <c r="O1897" s="74"/>
      <c r="P1897" s="74"/>
      <c r="Q1897" s="74"/>
      <c r="R1897" s="74"/>
      <c r="V1897" s="72"/>
    </row>
    <row r="1898" spans="15:22" x14ac:dyDescent="0.25">
      <c r="O1898" s="74"/>
      <c r="P1898" s="74"/>
      <c r="Q1898" s="74"/>
      <c r="R1898" s="74"/>
      <c r="V1898" s="72"/>
    </row>
    <row r="1899" spans="15:22" x14ac:dyDescent="0.25">
      <c r="O1899" s="74"/>
      <c r="P1899" s="74"/>
      <c r="Q1899" s="74"/>
      <c r="R1899" s="74"/>
      <c r="V1899" s="72"/>
    </row>
    <row r="1900" spans="15:22" x14ac:dyDescent="0.25">
      <c r="O1900" s="74"/>
      <c r="P1900" s="74"/>
      <c r="Q1900" s="74"/>
      <c r="R1900" s="74"/>
      <c r="V1900" s="72"/>
    </row>
    <row r="1901" spans="15:22" x14ac:dyDescent="0.25">
      <c r="O1901" s="74"/>
      <c r="P1901" s="74"/>
      <c r="Q1901" s="74"/>
      <c r="R1901" s="74"/>
      <c r="V1901" s="72"/>
    </row>
    <row r="1902" spans="15:22" x14ac:dyDescent="0.25">
      <c r="O1902" s="74"/>
      <c r="P1902" s="74"/>
      <c r="Q1902" s="74"/>
      <c r="R1902" s="74"/>
      <c r="V1902" s="72"/>
    </row>
    <row r="1903" spans="15:22" x14ac:dyDescent="0.25">
      <c r="O1903" s="74"/>
      <c r="P1903" s="74"/>
      <c r="Q1903" s="74"/>
      <c r="R1903" s="74"/>
      <c r="V1903" s="72"/>
    </row>
    <row r="1904" spans="15:22" x14ac:dyDescent="0.25">
      <c r="O1904" s="74"/>
      <c r="P1904" s="74"/>
      <c r="Q1904" s="74"/>
      <c r="R1904" s="74"/>
      <c r="V1904" s="72"/>
    </row>
    <row r="1905" spans="15:22" x14ac:dyDescent="0.25">
      <c r="O1905" s="74"/>
      <c r="P1905" s="74"/>
      <c r="Q1905" s="74"/>
      <c r="R1905" s="74"/>
      <c r="V1905" s="72"/>
    </row>
    <row r="1906" spans="15:22" x14ac:dyDescent="0.25">
      <c r="O1906" s="74"/>
      <c r="P1906" s="74"/>
      <c r="Q1906" s="74"/>
      <c r="R1906" s="74"/>
      <c r="V1906" s="72"/>
    </row>
    <row r="1907" spans="15:22" x14ac:dyDescent="0.25">
      <c r="O1907" s="74"/>
      <c r="P1907" s="74"/>
      <c r="Q1907" s="74"/>
      <c r="R1907" s="74"/>
      <c r="V1907" s="72"/>
    </row>
    <row r="1908" spans="15:22" x14ac:dyDescent="0.25">
      <c r="O1908" s="74"/>
      <c r="P1908" s="74"/>
      <c r="Q1908" s="74"/>
      <c r="R1908" s="74"/>
      <c r="V1908" s="72"/>
    </row>
    <row r="1909" spans="15:22" x14ac:dyDescent="0.25">
      <c r="O1909" s="74"/>
      <c r="P1909" s="74"/>
      <c r="Q1909" s="74"/>
      <c r="R1909" s="74"/>
      <c r="V1909" s="72"/>
    </row>
    <row r="1910" spans="15:22" x14ac:dyDescent="0.25">
      <c r="O1910" s="74"/>
      <c r="P1910" s="74"/>
      <c r="Q1910" s="74"/>
      <c r="R1910" s="74"/>
      <c r="V1910" s="72"/>
    </row>
    <row r="1911" spans="15:22" x14ac:dyDescent="0.25">
      <c r="O1911" s="74"/>
      <c r="P1911" s="74"/>
      <c r="Q1911" s="74"/>
      <c r="R1911" s="74"/>
      <c r="V1911" s="72"/>
    </row>
    <row r="1912" spans="15:22" x14ac:dyDescent="0.25">
      <c r="O1912" s="74"/>
      <c r="P1912" s="74"/>
      <c r="Q1912" s="74"/>
      <c r="R1912" s="74"/>
      <c r="V1912" s="72"/>
    </row>
    <row r="1913" spans="15:22" x14ac:dyDescent="0.25">
      <c r="O1913" s="74"/>
      <c r="P1913" s="74"/>
      <c r="Q1913" s="74"/>
      <c r="R1913" s="74"/>
      <c r="V1913" s="72"/>
    </row>
    <row r="1914" spans="15:22" x14ac:dyDescent="0.25">
      <c r="O1914" s="74"/>
      <c r="P1914" s="74"/>
      <c r="Q1914" s="74"/>
      <c r="R1914" s="74"/>
      <c r="V1914" s="72"/>
    </row>
    <row r="1915" spans="15:22" x14ac:dyDescent="0.25">
      <c r="O1915" s="74"/>
      <c r="P1915" s="74"/>
      <c r="Q1915" s="74"/>
      <c r="R1915" s="74"/>
      <c r="V1915" s="72"/>
    </row>
    <row r="1916" spans="15:22" x14ac:dyDescent="0.25">
      <c r="O1916" s="74"/>
      <c r="P1916" s="74"/>
      <c r="Q1916" s="74"/>
      <c r="R1916" s="74"/>
      <c r="V1916" s="72"/>
    </row>
    <row r="1917" spans="15:22" x14ac:dyDescent="0.25">
      <c r="O1917" s="74"/>
      <c r="P1917" s="74"/>
      <c r="Q1917" s="74"/>
      <c r="R1917" s="74"/>
      <c r="V1917" s="72"/>
    </row>
    <row r="1918" spans="15:22" x14ac:dyDescent="0.25">
      <c r="O1918" s="74"/>
      <c r="P1918" s="74"/>
      <c r="Q1918" s="74"/>
      <c r="R1918" s="74"/>
      <c r="V1918" s="72"/>
    </row>
    <row r="1919" spans="15:22" x14ac:dyDescent="0.25">
      <c r="O1919" s="74"/>
      <c r="P1919" s="74"/>
      <c r="Q1919" s="74"/>
      <c r="R1919" s="74"/>
      <c r="V1919" s="72"/>
    </row>
    <row r="1920" spans="15:22" x14ac:dyDescent="0.25">
      <c r="O1920" s="74"/>
      <c r="P1920" s="74"/>
      <c r="Q1920" s="74"/>
      <c r="R1920" s="74"/>
      <c r="V1920" s="72"/>
    </row>
    <row r="1921" spans="15:22" x14ac:dyDescent="0.25">
      <c r="O1921" s="74"/>
      <c r="P1921" s="74"/>
      <c r="Q1921" s="74"/>
      <c r="R1921" s="74"/>
      <c r="V1921" s="72"/>
    </row>
    <row r="1922" spans="15:22" x14ac:dyDescent="0.25">
      <c r="O1922" s="74"/>
      <c r="P1922" s="74"/>
      <c r="Q1922" s="74"/>
      <c r="R1922" s="74"/>
      <c r="V1922" s="72"/>
    </row>
    <row r="1923" spans="15:22" x14ac:dyDescent="0.25">
      <c r="O1923" s="74"/>
      <c r="P1923" s="74"/>
      <c r="Q1923" s="74"/>
      <c r="R1923" s="74"/>
      <c r="V1923" s="72"/>
    </row>
    <row r="1924" spans="15:22" x14ac:dyDescent="0.25">
      <c r="O1924" s="74"/>
      <c r="P1924" s="74"/>
      <c r="Q1924" s="74"/>
      <c r="R1924" s="74"/>
      <c r="V1924" s="72"/>
    </row>
    <row r="1925" spans="15:22" x14ac:dyDescent="0.25">
      <c r="O1925" s="74"/>
      <c r="P1925" s="74"/>
      <c r="Q1925" s="74"/>
      <c r="R1925" s="74"/>
      <c r="V1925" s="72"/>
    </row>
    <row r="1926" spans="15:22" x14ac:dyDescent="0.25">
      <c r="O1926" s="74"/>
      <c r="P1926" s="74"/>
      <c r="Q1926" s="74"/>
      <c r="R1926" s="74"/>
      <c r="V1926" s="72"/>
    </row>
    <row r="1927" spans="15:22" x14ac:dyDescent="0.25">
      <c r="O1927" s="74"/>
      <c r="P1927" s="74"/>
      <c r="Q1927" s="74"/>
      <c r="R1927" s="74"/>
      <c r="V1927" s="72"/>
    </row>
    <row r="1928" spans="15:22" x14ac:dyDescent="0.25">
      <c r="O1928" s="74"/>
      <c r="P1928" s="74"/>
      <c r="Q1928" s="74"/>
      <c r="R1928" s="74"/>
      <c r="V1928" s="72"/>
    </row>
    <row r="1929" spans="15:22" x14ac:dyDescent="0.25">
      <c r="O1929" s="74"/>
      <c r="P1929" s="74"/>
      <c r="Q1929" s="74"/>
      <c r="R1929" s="74"/>
      <c r="V1929" s="72"/>
    </row>
    <row r="1930" spans="15:22" x14ac:dyDescent="0.25">
      <c r="O1930" s="74"/>
      <c r="P1930" s="74"/>
      <c r="Q1930" s="74"/>
      <c r="R1930" s="74"/>
      <c r="V1930" s="72"/>
    </row>
    <row r="1931" spans="15:22" x14ac:dyDescent="0.25">
      <c r="O1931" s="74"/>
      <c r="P1931" s="74"/>
      <c r="Q1931" s="74"/>
      <c r="R1931" s="74"/>
      <c r="V1931" s="72"/>
    </row>
    <row r="1932" spans="15:22" x14ac:dyDescent="0.25">
      <c r="O1932" s="74"/>
      <c r="P1932" s="74"/>
      <c r="Q1932" s="74"/>
      <c r="R1932" s="74"/>
      <c r="V1932" s="72"/>
    </row>
    <row r="1933" spans="15:22" x14ac:dyDescent="0.25">
      <c r="O1933" s="74"/>
      <c r="P1933" s="74"/>
      <c r="Q1933" s="74"/>
      <c r="R1933" s="74"/>
      <c r="V1933" s="72"/>
    </row>
    <row r="1934" spans="15:22" x14ac:dyDescent="0.25">
      <c r="O1934" s="74"/>
      <c r="P1934" s="74"/>
      <c r="Q1934" s="74"/>
      <c r="R1934" s="74"/>
      <c r="V1934" s="72"/>
    </row>
    <row r="1935" spans="15:22" x14ac:dyDescent="0.25">
      <c r="O1935" s="74"/>
      <c r="P1935" s="74"/>
      <c r="Q1935" s="74"/>
      <c r="R1935" s="74"/>
      <c r="V1935" s="72"/>
    </row>
    <row r="1936" spans="15:22" x14ac:dyDescent="0.25">
      <c r="O1936" s="74"/>
      <c r="P1936" s="74"/>
      <c r="Q1936" s="74"/>
      <c r="R1936" s="74"/>
      <c r="V1936" s="72"/>
    </row>
    <row r="1937" spans="15:22" x14ac:dyDescent="0.25">
      <c r="O1937" s="74"/>
      <c r="P1937" s="74"/>
      <c r="Q1937" s="74"/>
      <c r="R1937" s="74"/>
      <c r="V1937" s="72"/>
    </row>
    <row r="1938" spans="15:22" x14ac:dyDescent="0.25">
      <c r="O1938" s="74"/>
      <c r="P1938" s="74"/>
      <c r="Q1938" s="74"/>
      <c r="R1938" s="74"/>
      <c r="V1938" s="72"/>
    </row>
    <row r="1939" spans="15:22" x14ac:dyDescent="0.25">
      <c r="O1939" s="74"/>
      <c r="P1939" s="74"/>
      <c r="Q1939" s="74"/>
      <c r="R1939" s="74"/>
      <c r="V1939" s="72"/>
    </row>
    <row r="1940" spans="15:22" x14ac:dyDescent="0.25">
      <c r="O1940" s="74"/>
      <c r="P1940" s="74"/>
      <c r="Q1940" s="74"/>
      <c r="R1940" s="74"/>
      <c r="V1940" s="72"/>
    </row>
    <row r="1941" spans="15:22" x14ac:dyDescent="0.25">
      <c r="O1941" s="74"/>
      <c r="P1941" s="74"/>
      <c r="Q1941" s="74"/>
      <c r="R1941" s="74"/>
      <c r="V1941" s="72"/>
    </row>
    <row r="1942" spans="15:22" x14ac:dyDescent="0.25">
      <c r="O1942" s="74"/>
      <c r="P1942" s="74"/>
      <c r="Q1942" s="74"/>
      <c r="R1942" s="74"/>
      <c r="V1942" s="72"/>
    </row>
    <row r="1943" spans="15:22" x14ac:dyDescent="0.25">
      <c r="O1943" s="74"/>
      <c r="P1943" s="74"/>
      <c r="Q1943" s="74"/>
      <c r="R1943" s="74"/>
      <c r="V1943" s="72"/>
    </row>
    <row r="1944" spans="15:22" x14ac:dyDescent="0.25">
      <c r="O1944" s="74"/>
      <c r="P1944" s="74"/>
      <c r="Q1944" s="74"/>
      <c r="R1944" s="74"/>
      <c r="V1944" s="72"/>
    </row>
    <row r="1945" spans="15:22" x14ac:dyDescent="0.25">
      <c r="O1945" s="74"/>
      <c r="P1945" s="74"/>
      <c r="Q1945" s="74"/>
      <c r="R1945" s="74"/>
      <c r="V1945" s="72"/>
    </row>
    <row r="1946" spans="15:22" x14ac:dyDescent="0.25">
      <c r="O1946" s="74"/>
      <c r="P1946" s="74"/>
      <c r="Q1946" s="74"/>
      <c r="R1946" s="74"/>
      <c r="V1946" s="72"/>
    </row>
    <row r="1947" spans="15:22" x14ac:dyDescent="0.25">
      <c r="O1947" s="74"/>
      <c r="P1947" s="74"/>
      <c r="Q1947" s="74"/>
      <c r="R1947" s="74"/>
      <c r="V1947" s="72"/>
    </row>
    <row r="1948" spans="15:22" x14ac:dyDescent="0.25">
      <c r="O1948" s="74"/>
      <c r="P1948" s="74"/>
      <c r="Q1948" s="74"/>
      <c r="R1948" s="74"/>
      <c r="V1948" s="72"/>
    </row>
    <row r="1949" spans="15:22" x14ac:dyDescent="0.25">
      <c r="O1949" s="74"/>
      <c r="P1949" s="74"/>
      <c r="Q1949" s="74"/>
      <c r="R1949" s="74"/>
      <c r="V1949" s="72"/>
    </row>
    <row r="1950" spans="15:22" x14ac:dyDescent="0.25">
      <c r="O1950" s="74"/>
      <c r="P1950" s="74"/>
      <c r="Q1950" s="74"/>
      <c r="R1950" s="74"/>
      <c r="V1950" s="72"/>
    </row>
    <row r="1951" spans="15:22" x14ac:dyDescent="0.25">
      <c r="O1951" s="74"/>
      <c r="P1951" s="74"/>
      <c r="Q1951" s="74"/>
      <c r="R1951" s="74"/>
      <c r="V1951" s="72"/>
    </row>
    <row r="1952" spans="15:22" x14ac:dyDescent="0.25">
      <c r="O1952" s="74"/>
      <c r="P1952" s="74"/>
      <c r="Q1952" s="74"/>
      <c r="R1952" s="74"/>
      <c r="V1952" s="72"/>
    </row>
    <row r="1953" spans="15:22" x14ac:dyDescent="0.25">
      <c r="O1953" s="74"/>
      <c r="P1953" s="74"/>
      <c r="Q1953" s="74"/>
      <c r="R1953" s="74"/>
      <c r="V1953" s="72"/>
    </row>
    <row r="1954" spans="15:22" x14ac:dyDescent="0.25">
      <c r="O1954" s="74"/>
      <c r="P1954" s="74"/>
      <c r="Q1954" s="74"/>
      <c r="R1954" s="74"/>
      <c r="V1954" s="72"/>
    </row>
    <row r="1955" spans="15:22" x14ac:dyDescent="0.25">
      <c r="O1955" s="74"/>
      <c r="P1955" s="74"/>
      <c r="Q1955" s="74"/>
      <c r="R1955" s="74"/>
      <c r="V1955" s="72"/>
    </row>
    <row r="1956" spans="15:22" x14ac:dyDescent="0.25">
      <c r="O1956" s="74"/>
      <c r="P1956" s="74"/>
      <c r="Q1956" s="74"/>
      <c r="R1956" s="74"/>
      <c r="V1956" s="72"/>
    </row>
    <row r="1957" spans="15:22" x14ac:dyDescent="0.25">
      <c r="O1957" s="74"/>
      <c r="P1957" s="74"/>
      <c r="Q1957" s="74"/>
      <c r="R1957" s="74"/>
      <c r="V1957" s="72"/>
    </row>
    <row r="1958" spans="15:22" x14ac:dyDescent="0.25">
      <c r="O1958" s="74"/>
      <c r="P1958" s="74"/>
      <c r="Q1958" s="74"/>
      <c r="R1958" s="74"/>
      <c r="V1958" s="72"/>
    </row>
    <row r="1959" spans="15:22" x14ac:dyDescent="0.25">
      <c r="O1959" s="74"/>
      <c r="P1959" s="74"/>
      <c r="Q1959" s="74"/>
      <c r="R1959" s="74"/>
      <c r="V1959" s="72"/>
    </row>
    <row r="1960" spans="15:22" x14ac:dyDescent="0.25">
      <c r="O1960" s="74"/>
      <c r="P1960" s="74"/>
      <c r="Q1960" s="74"/>
      <c r="R1960" s="74"/>
      <c r="V1960" s="72"/>
    </row>
    <row r="1961" spans="15:22" x14ac:dyDescent="0.25">
      <c r="O1961" s="74"/>
      <c r="P1961" s="74"/>
      <c r="Q1961" s="74"/>
      <c r="R1961" s="74"/>
      <c r="V1961" s="72"/>
    </row>
    <row r="1962" spans="15:22" x14ac:dyDescent="0.25">
      <c r="O1962" s="74"/>
      <c r="P1962" s="74"/>
      <c r="Q1962" s="74"/>
      <c r="R1962" s="74"/>
      <c r="V1962" s="72"/>
    </row>
    <row r="1963" spans="15:22" x14ac:dyDescent="0.25">
      <c r="O1963" s="74"/>
      <c r="P1963" s="74"/>
      <c r="Q1963" s="74"/>
      <c r="R1963" s="74"/>
      <c r="V1963" s="72"/>
    </row>
    <row r="1964" spans="15:22" x14ac:dyDescent="0.25">
      <c r="O1964" s="74"/>
      <c r="P1964" s="74"/>
      <c r="Q1964" s="74"/>
      <c r="R1964" s="74"/>
      <c r="V1964" s="72"/>
    </row>
    <row r="1965" spans="15:22" x14ac:dyDescent="0.25">
      <c r="O1965" s="74"/>
      <c r="P1965" s="74"/>
      <c r="Q1965" s="74"/>
      <c r="R1965" s="74"/>
      <c r="V1965" s="72"/>
    </row>
    <row r="1966" spans="15:22" x14ac:dyDescent="0.25">
      <c r="O1966" s="74"/>
      <c r="P1966" s="74"/>
      <c r="Q1966" s="74"/>
      <c r="R1966" s="74"/>
      <c r="V1966" s="72"/>
    </row>
    <row r="1967" spans="15:22" x14ac:dyDescent="0.25">
      <c r="O1967" s="74"/>
      <c r="P1967" s="74"/>
      <c r="Q1967" s="74"/>
      <c r="R1967" s="74"/>
      <c r="V1967" s="72"/>
    </row>
    <row r="1968" spans="15:22" x14ac:dyDescent="0.25">
      <c r="O1968" s="74"/>
      <c r="P1968" s="74"/>
      <c r="Q1968" s="74"/>
      <c r="R1968" s="74"/>
      <c r="V1968" s="72"/>
    </row>
    <row r="1969" spans="15:22" x14ac:dyDescent="0.25">
      <c r="O1969" s="74"/>
      <c r="P1969" s="74"/>
      <c r="Q1969" s="74"/>
      <c r="R1969" s="74"/>
      <c r="V1969" s="72"/>
    </row>
    <row r="1970" spans="15:22" x14ac:dyDescent="0.25">
      <c r="O1970" s="74"/>
      <c r="P1970" s="74"/>
      <c r="Q1970" s="74"/>
      <c r="R1970" s="74"/>
      <c r="V1970" s="72"/>
    </row>
    <row r="1971" spans="15:22" x14ac:dyDescent="0.25">
      <c r="O1971" s="74"/>
      <c r="P1971" s="74"/>
      <c r="Q1971" s="74"/>
      <c r="R1971" s="74"/>
      <c r="V1971" s="72"/>
    </row>
    <row r="1972" spans="15:22" x14ac:dyDescent="0.25">
      <c r="O1972" s="74"/>
      <c r="P1972" s="74"/>
      <c r="Q1972" s="74"/>
      <c r="R1972" s="74"/>
      <c r="V1972" s="72"/>
    </row>
    <row r="1973" spans="15:22" x14ac:dyDescent="0.25">
      <c r="O1973" s="74"/>
      <c r="P1973" s="74"/>
      <c r="Q1973" s="74"/>
      <c r="R1973" s="74"/>
      <c r="V1973" s="72"/>
    </row>
    <row r="1974" spans="15:22" x14ac:dyDescent="0.25">
      <c r="O1974" s="74"/>
      <c r="P1974" s="74"/>
      <c r="Q1974" s="74"/>
      <c r="R1974" s="74"/>
      <c r="V1974" s="72"/>
    </row>
    <row r="1975" spans="15:22" x14ac:dyDescent="0.25">
      <c r="O1975" s="74"/>
      <c r="P1975" s="74"/>
      <c r="Q1975" s="74"/>
      <c r="R1975" s="74"/>
      <c r="V1975" s="72"/>
    </row>
    <row r="1976" spans="15:22" x14ac:dyDescent="0.25">
      <c r="O1976" s="74"/>
      <c r="P1976" s="74"/>
      <c r="Q1976" s="74"/>
      <c r="R1976" s="74"/>
      <c r="V1976" s="72"/>
    </row>
    <row r="1977" spans="15:22" x14ac:dyDescent="0.25">
      <c r="O1977" s="74"/>
      <c r="P1977" s="74"/>
      <c r="Q1977" s="74"/>
      <c r="R1977" s="74"/>
      <c r="V1977" s="72"/>
    </row>
    <row r="1978" spans="15:22" x14ac:dyDescent="0.25">
      <c r="O1978" s="74"/>
      <c r="P1978" s="74"/>
      <c r="Q1978" s="74"/>
      <c r="R1978" s="74"/>
      <c r="V1978" s="72"/>
    </row>
    <row r="1979" spans="15:22" x14ac:dyDescent="0.25">
      <c r="O1979" s="74"/>
      <c r="P1979" s="74"/>
      <c r="Q1979" s="74"/>
      <c r="R1979" s="74"/>
      <c r="V1979" s="72"/>
    </row>
    <row r="1980" spans="15:22" x14ac:dyDescent="0.25">
      <c r="O1980" s="74"/>
      <c r="P1980" s="74"/>
      <c r="Q1980" s="74"/>
      <c r="R1980" s="74"/>
      <c r="V1980" s="72"/>
    </row>
    <row r="1981" spans="15:22" x14ac:dyDescent="0.25">
      <c r="O1981" s="74"/>
      <c r="P1981" s="74"/>
      <c r="Q1981" s="74"/>
      <c r="R1981" s="74"/>
      <c r="V1981" s="72"/>
    </row>
    <row r="1982" spans="15:22" x14ac:dyDescent="0.25">
      <c r="O1982" s="74"/>
      <c r="P1982" s="74"/>
      <c r="Q1982" s="74"/>
      <c r="R1982" s="74"/>
      <c r="V1982" s="72"/>
    </row>
    <row r="1983" spans="15:22" x14ac:dyDescent="0.25">
      <c r="O1983" s="74"/>
      <c r="P1983" s="74"/>
      <c r="Q1983" s="74"/>
      <c r="R1983" s="74"/>
      <c r="V1983" s="72"/>
    </row>
    <row r="1984" spans="15:22" x14ac:dyDescent="0.25">
      <c r="O1984" s="74"/>
      <c r="P1984" s="74"/>
      <c r="Q1984" s="74"/>
      <c r="R1984" s="74"/>
      <c r="V1984" s="72"/>
    </row>
    <row r="1985" spans="15:22" x14ac:dyDescent="0.25">
      <c r="O1985" s="74"/>
      <c r="P1985" s="74"/>
      <c r="Q1985" s="74"/>
      <c r="R1985" s="74"/>
      <c r="V1985" s="72"/>
    </row>
    <row r="1986" spans="15:22" x14ac:dyDescent="0.25">
      <c r="O1986" s="74"/>
      <c r="P1986" s="74"/>
      <c r="Q1986" s="74"/>
      <c r="R1986" s="74"/>
      <c r="V1986" s="72"/>
    </row>
    <row r="1987" spans="15:22" x14ac:dyDescent="0.25">
      <c r="O1987" s="74"/>
      <c r="P1987" s="74"/>
      <c r="Q1987" s="74"/>
      <c r="R1987" s="74"/>
      <c r="V1987" s="72"/>
    </row>
    <row r="1988" spans="15:22" x14ac:dyDescent="0.25">
      <c r="O1988" s="74"/>
      <c r="P1988" s="74"/>
      <c r="Q1988" s="74"/>
      <c r="R1988" s="74"/>
      <c r="V1988" s="72"/>
    </row>
    <row r="1989" spans="15:22" x14ac:dyDescent="0.25">
      <c r="O1989" s="74"/>
      <c r="P1989" s="74"/>
      <c r="Q1989" s="74"/>
      <c r="R1989" s="74"/>
      <c r="V1989" s="72"/>
    </row>
    <row r="1990" spans="15:22" x14ac:dyDescent="0.25">
      <c r="O1990" s="74"/>
      <c r="P1990" s="74"/>
      <c r="Q1990" s="74"/>
      <c r="R1990" s="74"/>
      <c r="V1990" s="72"/>
    </row>
    <row r="1991" spans="15:22" x14ac:dyDescent="0.25">
      <c r="O1991" s="74"/>
      <c r="P1991" s="74"/>
      <c r="Q1991" s="74"/>
      <c r="R1991" s="74"/>
      <c r="V1991" s="72"/>
    </row>
    <row r="1992" spans="15:22" x14ac:dyDescent="0.25">
      <c r="O1992" s="74"/>
      <c r="P1992" s="74"/>
      <c r="Q1992" s="74"/>
      <c r="R1992" s="74"/>
      <c r="V1992" s="72"/>
    </row>
    <row r="1993" spans="15:22" x14ac:dyDescent="0.25">
      <c r="O1993" s="74"/>
      <c r="P1993" s="74"/>
      <c r="Q1993" s="74"/>
      <c r="R1993" s="74"/>
      <c r="V1993" s="72"/>
    </row>
    <row r="1994" spans="15:22" x14ac:dyDescent="0.25">
      <c r="O1994" s="74"/>
      <c r="P1994" s="74"/>
      <c r="Q1994" s="74"/>
      <c r="R1994" s="74"/>
      <c r="V1994" s="72"/>
    </row>
    <row r="1995" spans="15:22" x14ac:dyDescent="0.25">
      <c r="O1995" s="74"/>
      <c r="P1995" s="74"/>
      <c r="Q1995" s="74"/>
      <c r="R1995" s="74"/>
      <c r="V1995" s="72"/>
    </row>
    <row r="1996" spans="15:22" x14ac:dyDescent="0.25">
      <c r="O1996" s="74"/>
      <c r="P1996" s="74"/>
      <c r="Q1996" s="74"/>
      <c r="R1996" s="74"/>
      <c r="V1996" s="72"/>
    </row>
    <row r="1997" spans="15:22" x14ac:dyDescent="0.25">
      <c r="O1997" s="74"/>
      <c r="P1997" s="74"/>
      <c r="Q1997" s="74"/>
      <c r="R1997" s="74"/>
      <c r="V1997" s="72"/>
    </row>
    <row r="1998" spans="15:22" x14ac:dyDescent="0.25">
      <c r="O1998" s="74"/>
      <c r="P1998" s="74"/>
      <c r="Q1998" s="74"/>
      <c r="R1998" s="74"/>
      <c r="V1998" s="72"/>
    </row>
    <row r="1999" spans="15:22" x14ac:dyDescent="0.25">
      <c r="O1999" s="74"/>
      <c r="P1999" s="74"/>
      <c r="Q1999" s="74"/>
      <c r="R1999" s="74"/>
      <c r="V1999" s="72"/>
    </row>
    <row r="2000" spans="15:22" x14ac:dyDescent="0.25">
      <c r="O2000" s="74"/>
      <c r="P2000" s="74"/>
      <c r="Q2000" s="74"/>
      <c r="R2000" s="74"/>
      <c r="V2000" s="72"/>
    </row>
    <row r="2001" spans="15:22" x14ac:dyDescent="0.25">
      <c r="O2001" s="74"/>
      <c r="P2001" s="74"/>
      <c r="Q2001" s="74"/>
      <c r="R2001" s="74"/>
      <c r="V2001" s="72"/>
    </row>
    <row r="2002" spans="15:22" x14ac:dyDescent="0.25">
      <c r="O2002" s="74"/>
      <c r="P2002" s="74"/>
      <c r="Q2002" s="74"/>
      <c r="R2002" s="74"/>
      <c r="V2002" s="72"/>
    </row>
    <row r="2003" spans="15:22" x14ac:dyDescent="0.25">
      <c r="O2003" s="74"/>
      <c r="P2003" s="74"/>
      <c r="Q2003" s="74"/>
      <c r="R2003" s="74"/>
      <c r="V2003" s="72"/>
    </row>
    <row r="2004" spans="15:22" x14ac:dyDescent="0.25">
      <c r="O2004" s="74"/>
      <c r="P2004" s="74"/>
      <c r="Q2004" s="74"/>
      <c r="R2004" s="74"/>
      <c r="V2004" s="72"/>
    </row>
    <row r="2005" spans="15:22" x14ac:dyDescent="0.25">
      <c r="O2005" s="74"/>
      <c r="P2005" s="74"/>
      <c r="Q2005" s="74"/>
      <c r="R2005" s="74"/>
      <c r="V2005" s="72"/>
    </row>
    <row r="2006" spans="15:22" x14ac:dyDescent="0.25">
      <c r="O2006" s="74"/>
      <c r="P2006" s="74"/>
      <c r="Q2006" s="74"/>
      <c r="R2006" s="74"/>
      <c r="V2006" s="72"/>
    </row>
    <row r="2007" spans="15:22" x14ac:dyDescent="0.25">
      <c r="O2007" s="74"/>
      <c r="P2007" s="74"/>
      <c r="Q2007" s="74"/>
      <c r="R2007" s="74"/>
      <c r="V2007" s="72"/>
    </row>
    <row r="2008" spans="15:22" x14ac:dyDescent="0.25">
      <c r="O2008" s="74"/>
      <c r="P2008" s="74"/>
      <c r="Q2008" s="74"/>
      <c r="R2008" s="74"/>
      <c r="V2008" s="72"/>
    </row>
    <row r="2009" spans="15:22" x14ac:dyDescent="0.25">
      <c r="O2009" s="74"/>
      <c r="P2009" s="74"/>
      <c r="Q2009" s="74"/>
      <c r="R2009" s="74"/>
      <c r="V2009" s="72"/>
    </row>
    <row r="2010" spans="15:22" x14ac:dyDescent="0.25">
      <c r="O2010" s="74"/>
      <c r="P2010" s="74"/>
      <c r="Q2010" s="74"/>
      <c r="R2010" s="74"/>
      <c r="V2010" s="72"/>
    </row>
    <row r="2011" spans="15:22" x14ac:dyDescent="0.25">
      <c r="O2011" s="74"/>
      <c r="P2011" s="74"/>
      <c r="Q2011" s="74"/>
      <c r="R2011" s="74"/>
      <c r="V2011" s="72"/>
    </row>
    <row r="2012" spans="15:22" x14ac:dyDescent="0.25">
      <c r="O2012" s="74"/>
      <c r="P2012" s="74"/>
      <c r="Q2012" s="74"/>
      <c r="R2012" s="74"/>
      <c r="V2012" s="72"/>
    </row>
    <row r="2013" spans="15:22" x14ac:dyDescent="0.25">
      <c r="O2013" s="74"/>
      <c r="P2013" s="74"/>
      <c r="Q2013" s="74"/>
      <c r="R2013" s="74"/>
      <c r="V2013" s="72"/>
    </row>
    <row r="2014" spans="15:22" x14ac:dyDescent="0.25">
      <c r="O2014" s="74"/>
      <c r="P2014" s="74"/>
      <c r="Q2014" s="74"/>
      <c r="R2014" s="74"/>
      <c r="V2014" s="72"/>
    </row>
    <row r="2015" spans="15:22" x14ac:dyDescent="0.25">
      <c r="O2015" s="74"/>
      <c r="P2015" s="74"/>
      <c r="Q2015" s="74"/>
      <c r="R2015" s="74"/>
      <c r="V2015" s="72"/>
    </row>
    <row r="2016" spans="15:22" x14ac:dyDescent="0.25">
      <c r="O2016" s="74"/>
      <c r="P2016" s="74"/>
      <c r="Q2016" s="74"/>
      <c r="R2016" s="74"/>
      <c r="V2016" s="72"/>
    </row>
    <row r="2017" spans="15:22" x14ac:dyDescent="0.25">
      <c r="O2017" s="74"/>
      <c r="P2017" s="74"/>
      <c r="Q2017" s="74"/>
      <c r="R2017" s="74"/>
      <c r="V2017" s="72"/>
    </row>
    <row r="2018" spans="15:22" x14ac:dyDescent="0.25">
      <c r="O2018" s="74"/>
      <c r="P2018" s="74"/>
      <c r="Q2018" s="74"/>
      <c r="R2018" s="74"/>
      <c r="V2018" s="72"/>
    </row>
    <row r="2019" spans="15:22" x14ac:dyDescent="0.25">
      <c r="O2019" s="74"/>
      <c r="P2019" s="74"/>
      <c r="Q2019" s="74"/>
      <c r="R2019" s="74"/>
      <c r="V2019" s="72"/>
    </row>
    <row r="2020" spans="15:22" x14ac:dyDescent="0.25">
      <c r="O2020" s="74"/>
      <c r="P2020" s="74"/>
      <c r="Q2020" s="74"/>
      <c r="R2020" s="74"/>
      <c r="V2020" s="72"/>
    </row>
    <row r="2021" spans="15:22" x14ac:dyDescent="0.25">
      <c r="O2021" s="74"/>
      <c r="P2021" s="74"/>
      <c r="Q2021" s="74"/>
      <c r="R2021" s="74"/>
      <c r="V2021" s="72"/>
    </row>
    <row r="2022" spans="15:22" x14ac:dyDescent="0.25">
      <c r="O2022" s="74"/>
      <c r="P2022" s="74"/>
      <c r="Q2022" s="74"/>
      <c r="R2022" s="74"/>
      <c r="V2022" s="72"/>
    </row>
    <row r="2023" spans="15:22" x14ac:dyDescent="0.25">
      <c r="O2023" s="74"/>
      <c r="P2023" s="74"/>
      <c r="Q2023" s="74"/>
      <c r="R2023" s="74"/>
      <c r="V2023" s="72"/>
    </row>
    <row r="2024" spans="15:22" x14ac:dyDescent="0.25">
      <c r="O2024" s="74"/>
      <c r="P2024" s="74"/>
      <c r="Q2024" s="74"/>
      <c r="R2024" s="74"/>
      <c r="V2024" s="72"/>
    </row>
    <row r="2025" spans="15:22" x14ac:dyDescent="0.25">
      <c r="O2025" s="74"/>
      <c r="P2025" s="74"/>
      <c r="Q2025" s="74"/>
      <c r="R2025" s="74"/>
      <c r="V2025" s="72"/>
    </row>
    <row r="2026" spans="15:22" x14ac:dyDescent="0.25">
      <c r="O2026" s="74"/>
      <c r="P2026" s="74"/>
      <c r="Q2026" s="74"/>
      <c r="R2026" s="74"/>
      <c r="V2026" s="72"/>
    </row>
    <row r="2027" spans="15:22" x14ac:dyDescent="0.25">
      <c r="O2027" s="74"/>
      <c r="P2027" s="74"/>
      <c r="Q2027" s="74"/>
      <c r="R2027" s="74"/>
      <c r="V2027" s="72"/>
    </row>
    <row r="2028" spans="15:22" x14ac:dyDescent="0.25">
      <c r="O2028" s="74"/>
      <c r="P2028" s="74"/>
      <c r="Q2028" s="74"/>
      <c r="R2028" s="74"/>
      <c r="V2028" s="72"/>
    </row>
    <row r="2029" spans="15:22" x14ac:dyDescent="0.25">
      <c r="O2029" s="74"/>
      <c r="P2029" s="74"/>
      <c r="Q2029" s="74"/>
      <c r="R2029" s="74"/>
      <c r="V2029" s="72"/>
    </row>
    <row r="2030" spans="15:22" x14ac:dyDescent="0.25">
      <c r="O2030" s="74"/>
      <c r="P2030" s="74"/>
      <c r="Q2030" s="74"/>
      <c r="R2030" s="74"/>
      <c r="V2030" s="72"/>
    </row>
    <row r="2031" spans="15:22" x14ac:dyDescent="0.25">
      <c r="O2031" s="74"/>
      <c r="P2031" s="74"/>
      <c r="Q2031" s="74"/>
      <c r="R2031" s="74"/>
      <c r="V2031" s="72"/>
    </row>
    <row r="2032" spans="15:22" x14ac:dyDescent="0.25">
      <c r="O2032" s="74"/>
      <c r="P2032" s="74"/>
      <c r="Q2032" s="74"/>
      <c r="R2032" s="74"/>
      <c r="V2032" s="72"/>
    </row>
    <row r="2033" spans="15:22" x14ac:dyDescent="0.25">
      <c r="O2033" s="74"/>
      <c r="P2033" s="74"/>
      <c r="Q2033" s="74"/>
      <c r="R2033" s="74"/>
      <c r="V2033" s="72"/>
    </row>
    <row r="2034" spans="15:22" x14ac:dyDescent="0.25">
      <c r="O2034" s="74"/>
      <c r="P2034" s="74"/>
      <c r="Q2034" s="74"/>
      <c r="R2034" s="74"/>
      <c r="V2034" s="72"/>
    </row>
    <row r="2035" spans="15:22" x14ac:dyDescent="0.25">
      <c r="O2035" s="74"/>
      <c r="P2035" s="74"/>
      <c r="Q2035" s="74"/>
      <c r="R2035" s="74"/>
      <c r="V2035" s="72"/>
    </row>
    <row r="2036" spans="15:22" x14ac:dyDescent="0.25">
      <c r="O2036" s="74"/>
      <c r="P2036" s="74"/>
      <c r="Q2036" s="74"/>
      <c r="R2036" s="74"/>
      <c r="V2036" s="72"/>
    </row>
    <row r="2037" spans="15:22" x14ac:dyDescent="0.25">
      <c r="O2037" s="74"/>
      <c r="P2037" s="74"/>
      <c r="Q2037" s="74"/>
      <c r="R2037" s="74"/>
      <c r="V2037" s="72"/>
    </row>
    <row r="2038" spans="15:22" x14ac:dyDescent="0.25">
      <c r="O2038" s="74"/>
      <c r="P2038" s="74"/>
      <c r="Q2038" s="74"/>
      <c r="R2038" s="74"/>
      <c r="V2038" s="72"/>
    </row>
    <row r="2039" spans="15:22" x14ac:dyDescent="0.25">
      <c r="O2039" s="74"/>
      <c r="P2039" s="74"/>
      <c r="Q2039" s="74"/>
      <c r="R2039" s="74"/>
      <c r="V2039" s="72"/>
    </row>
    <row r="2040" spans="15:22" x14ac:dyDescent="0.25">
      <c r="O2040" s="74"/>
      <c r="P2040" s="74"/>
      <c r="Q2040" s="74"/>
      <c r="R2040" s="74"/>
      <c r="V2040" s="72"/>
    </row>
    <row r="2041" spans="15:22" x14ac:dyDescent="0.25">
      <c r="O2041" s="74"/>
      <c r="P2041" s="74"/>
      <c r="Q2041" s="74"/>
      <c r="R2041" s="74"/>
      <c r="V2041" s="72"/>
    </row>
    <row r="2042" spans="15:22" x14ac:dyDescent="0.25">
      <c r="O2042" s="74"/>
      <c r="P2042" s="74"/>
      <c r="Q2042" s="74"/>
      <c r="R2042" s="74"/>
      <c r="V2042" s="72"/>
    </row>
    <row r="2043" spans="15:22" x14ac:dyDescent="0.25">
      <c r="O2043" s="74"/>
      <c r="P2043" s="74"/>
      <c r="Q2043" s="74"/>
      <c r="R2043" s="74"/>
      <c r="V2043" s="72"/>
    </row>
    <row r="2044" spans="15:22" x14ac:dyDescent="0.25">
      <c r="O2044" s="74"/>
      <c r="P2044" s="74"/>
      <c r="Q2044" s="74"/>
      <c r="R2044" s="74"/>
      <c r="V2044" s="72"/>
    </row>
    <row r="2045" spans="15:22" x14ac:dyDescent="0.25">
      <c r="O2045" s="74"/>
      <c r="P2045" s="74"/>
      <c r="Q2045" s="74"/>
      <c r="R2045" s="74"/>
      <c r="V2045" s="72"/>
    </row>
    <row r="2046" spans="15:22" x14ac:dyDescent="0.25">
      <c r="O2046" s="74"/>
      <c r="P2046" s="74"/>
      <c r="Q2046" s="74"/>
      <c r="R2046" s="74"/>
      <c r="V2046" s="72"/>
    </row>
    <row r="2047" spans="15:22" x14ac:dyDescent="0.25">
      <c r="O2047" s="74"/>
      <c r="P2047" s="74"/>
      <c r="Q2047" s="74"/>
      <c r="R2047" s="74"/>
      <c r="V2047" s="72"/>
    </row>
    <row r="2048" spans="15:22" x14ac:dyDescent="0.25">
      <c r="O2048" s="74"/>
      <c r="P2048" s="74"/>
      <c r="Q2048" s="74"/>
      <c r="R2048" s="74"/>
      <c r="V2048" s="72"/>
    </row>
    <row r="2049" spans="15:22" x14ac:dyDescent="0.25">
      <c r="O2049" s="74"/>
      <c r="P2049" s="74"/>
      <c r="Q2049" s="74"/>
      <c r="R2049" s="74"/>
      <c r="V2049" s="72"/>
    </row>
    <row r="2050" spans="15:22" x14ac:dyDescent="0.25">
      <c r="O2050" s="74"/>
      <c r="P2050" s="74"/>
      <c r="Q2050" s="74"/>
      <c r="R2050" s="74"/>
      <c r="V2050" s="72"/>
    </row>
    <row r="2051" spans="15:22" x14ac:dyDescent="0.25">
      <c r="O2051" s="74"/>
      <c r="P2051" s="74"/>
      <c r="Q2051" s="74"/>
      <c r="R2051" s="74"/>
      <c r="V2051" s="72"/>
    </row>
    <row r="2052" spans="15:22" x14ac:dyDescent="0.25">
      <c r="O2052" s="74"/>
      <c r="P2052" s="74"/>
      <c r="Q2052" s="74"/>
      <c r="R2052" s="74"/>
      <c r="V2052" s="72"/>
    </row>
    <row r="2053" spans="15:22" x14ac:dyDescent="0.25">
      <c r="O2053" s="74"/>
      <c r="P2053" s="74"/>
      <c r="Q2053" s="74"/>
      <c r="R2053" s="74"/>
      <c r="V2053" s="72"/>
    </row>
    <row r="2054" spans="15:22" x14ac:dyDescent="0.25">
      <c r="O2054" s="74"/>
      <c r="P2054" s="74"/>
      <c r="Q2054" s="74"/>
      <c r="R2054" s="74"/>
      <c r="V2054" s="72"/>
    </row>
    <row r="2055" spans="15:22" x14ac:dyDescent="0.25">
      <c r="O2055" s="74"/>
      <c r="P2055" s="74"/>
      <c r="Q2055" s="74"/>
      <c r="R2055" s="74"/>
      <c r="V2055" s="72"/>
    </row>
    <row r="2056" spans="15:22" x14ac:dyDescent="0.25">
      <c r="O2056" s="74"/>
      <c r="P2056" s="74"/>
      <c r="Q2056" s="74"/>
      <c r="R2056" s="74"/>
      <c r="V2056" s="72"/>
    </row>
    <row r="2057" spans="15:22" x14ac:dyDescent="0.25">
      <c r="O2057" s="74"/>
      <c r="P2057" s="74"/>
      <c r="Q2057" s="74"/>
      <c r="R2057" s="74"/>
      <c r="V2057" s="72"/>
    </row>
    <row r="2058" spans="15:22" x14ac:dyDescent="0.25">
      <c r="O2058" s="74"/>
      <c r="P2058" s="74"/>
      <c r="Q2058" s="74"/>
      <c r="R2058" s="74"/>
      <c r="V2058" s="72"/>
    </row>
    <row r="2059" spans="15:22" x14ac:dyDescent="0.25">
      <c r="O2059" s="74"/>
      <c r="P2059" s="74"/>
      <c r="Q2059" s="74"/>
      <c r="R2059" s="74"/>
      <c r="V2059" s="72"/>
    </row>
    <row r="2060" spans="15:22" x14ac:dyDescent="0.25">
      <c r="O2060" s="74"/>
      <c r="P2060" s="74"/>
      <c r="Q2060" s="74"/>
      <c r="R2060" s="74"/>
      <c r="V2060" s="72"/>
    </row>
    <row r="2061" spans="15:22" x14ac:dyDescent="0.25">
      <c r="O2061" s="74"/>
      <c r="P2061" s="74"/>
      <c r="Q2061" s="74"/>
      <c r="R2061" s="74"/>
      <c r="V2061" s="72"/>
    </row>
    <row r="2062" spans="15:22" x14ac:dyDescent="0.25">
      <c r="O2062" s="74"/>
      <c r="P2062" s="74"/>
      <c r="Q2062" s="74"/>
      <c r="R2062" s="74"/>
      <c r="V2062" s="72"/>
    </row>
    <row r="2063" spans="15:22" x14ac:dyDescent="0.25">
      <c r="O2063" s="74"/>
      <c r="P2063" s="74"/>
      <c r="Q2063" s="74"/>
      <c r="R2063" s="74"/>
      <c r="V2063" s="72"/>
    </row>
    <row r="2064" spans="15:22" x14ac:dyDescent="0.25">
      <c r="O2064" s="74"/>
      <c r="P2064" s="74"/>
      <c r="Q2064" s="74"/>
      <c r="R2064" s="74"/>
      <c r="V2064" s="72"/>
    </row>
    <row r="2065" spans="15:22" x14ac:dyDescent="0.25">
      <c r="O2065" s="74"/>
      <c r="P2065" s="74"/>
      <c r="Q2065" s="74"/>
      <c r="R2065" s="74"/>
      <c r="V2065" s="72"/>
    </row>
    <row r="2066" spans="15:22" x14ac:dyDescent="0.25">
      <c r="O2066" s="74"/>
      <c r="P2066" s="74"/>
      <c r="Q2066" s="74"/>
      <c r="R2066" s="74"/>
      <c r="V2066" s="72"/>
    </row>
    <row r="2067" spans="15:22" x14ac:dyDescent="0.25">
      <c r="O2067" s="74"/>
      <c r="P2067" s="74"/>
      <c r="Q2067" s="74"/>
      <c r="R2067" s="74"/>
      <c r="V2067" s="72"/>
    </row>
    <row r="2068" spans="15:22" x14ac:dyDescent="0.25">
      <c r="O2068" s="74"/>
      <c r="P2068" s="74"/>
      <c r="Q2068" s="74"/>
      <c r="R2068" s="74"/>
      <c r="V2068" s="72"/>
    </row>
    <row r="2069" spans="15:22" x14ac:dyDescent="0.25">
      <c r="O2069" s="74"/>
      <c r="P2069" s="74"/>
      <c r="Q2069" s="74"/>
      <c r="R2069" s="74"/>
      <c r="V2069" s="72"/>
    </row>
    <row r="2070" spans="15:22" x14ac:dyDescent="0.25">
      <c r="O2070" s="74"/>
      <c r="P2070" s="74"/>
      <c r="Q2070" s="74"/>
      <c r="R2070" s="74"/>
      <c r="V2070" s="72"/>
    </row>
    <row r="2071" spans="15:22" x14ac:dyDescent="0.25">
      <c r="O2071" s="74"/>
      <c r="P2071" s="74"/>
      <c r="Q2071" s="74"/>
      <c r="R2071" s="74"/>
      <c r="V2071" s="72"/>
    </row>
    <row r="2072" spans="15:22" x14ac:dyDescent="0.25">
      <c r="O2072" s="74"/>
      <c r="P2072" s="74"/>
      <c r="Q2072" s="74"/>
      <c r="R2072" s="74"/>
      <c r="V2072" s="72"/>
    </row>
    <row r="2073" spans="15:22" x14ac:dyDescent="0.25">
      <c r="O2073" s="74"/>
      <c r="P2073" s="74"/>
      <c r="Q2073" s="74"/>
      <c r="R2073" s="74"/>
      <c r="V2073" s="72"/>
    </row>
    <row r="2074" spans="15:22" x14ac:dyDescent="0.25">
      <c r="O2074" s="74"/>
      <c r="P2074" s="74"/>
      <c r="Q2074" s="74"/>
      <c r="R2074" s="74"/>
      <c r="V2074" s="72"/>
    </row>
    <row r="2075" spans="15:22" x14ac:dyDescent="0.25">
      <c r="O2075" s="74"/>
      <c r="P2075" s="74"/>
      <c r="Q2075" s="74"/>
      <c r="R2075" s="74"/>
      <c r="V2075" s="72"/>
    </row>
    <row r="2076" spans="15:22" x14ac:dyDescent="0.25">
      <c r="O2076" s="74"/>
      <c r="P2076" s="74"/>
      <c r="Q2076" s="74"/>
      <c r="R2076" s="74"/>
      <c r="V2076" s="72"/>
    </row>
    <row r="2077" spans="15:22" x14ac:dyDescent="0.25">
      <c r="O2077" s="74"/>
      <c r="P2077" s="74"/>
      <c r="Q2077" s="74"/>
      <c r="R2077" s="74"/>
      <c r="V2077" s="72"/>
    </row>
    <row r="2078" spans="15:22" x14ac:dyDescent="0.25">
      <c r="O2078" s="74"/>
      <c r="P2078" s="74"/>
      <c r="Q2078" s="74"/>
      <c r="R2078" s="74"/>
      <c r="V2078" s="72"/>
    </row>
    <row r="2079" spans="15:22" x14ac:dyDescent="0.25">
      <c r="O2079" s="74"/>
      <c r="P2079" s="74"/>
      <c r="Q2079" s="74"/>
      <c r="R2079" s="74"/>
      <c r="V2079" s="72"/>
    </row>
    <row r="2080" spans="15:22" x14ac:dyDescent="0.25">
      <c r="O2080" s="74"/>
      <c r="P2080" s="74"/>
      <c r="Q2080" s="74"/>
      <c r="R2080" s="74"/>
      <c r="V2080" s="72"/>
    </row>
    <row r="2081" spans="15:22" x14ac:dyDescent="0.25">
      <c r="O2081" s="74"/>
      <c r="P2081" s="74"/>
      <c r="Q2081" s="74"/>
      <c r="R2081" s="74"/>
      <c r="V2081" s="72"/>
    </row>
    <row r="2082" spans="15:22" x14ac:dyDescent="0.25">
      <c r="O2082" s="74"/>
      <c r="P2082" s="74"/>
      <c r="Q2082" s="74"/>
      <c r="R2082" s="74"/>
      <c r="V2082" s="72"/>
    </row>
    <row r="2083" spans="15:22" x14ac:dyDescent="0.25">
      <c r="O2083" s="74"/>
      <c r="P2083" s="74"/>
      <c r="Q2083" s="74"/>
      <c r="R2083" s="74"/>
      <c r="V2083" s="72"/>
    </row>
    <row r="2084" spans="15:22" x14ac:dyDescent="0.25">
      <c r="O2084" s="74"/>
      <c r="P2084" s="74"/>
      <c r="Q2084" s="74"/>
      <c r="R2084" s="74"/>
      <c r="V2084" s="72"/>
    </row>
    <row r="2085" spans="15:22" x14ac:dyDescent="0.25">
      <c r="O2085" s="74"/>
      <c r="P2085" s="74"/>
      <c r="Q2085" s="74"/>
      <c r="R2085" s="74"/>
      <c r="V2085" s="72"/>
    </row>
    <row r="2086" spans="15:22" x14ac:dyDescent="0.25">
      <c r="O2086" s="74"/>
      <c r="P2086" s="74"/>
      <c r="Q2086" s="74"/>
      <c r="R2086" s="74"/>
      <c r="V2086" s="72"/>
    </row>
    <row r="2087" spans="15:22" x14ac:dyDescent="0.25">
      <c r="O2087" s="74"/>
      <c r="P2087" s="74"/>
      <c r="Q2087" s="74"/>
      <c r="R2087" s="74"/>
      <c r="V2087" s="72"/>
    </row>
    <row r="2088" spans="15:22" x14ac:dyDescent="0.25">
      <c r="O2088" s="74"/>
      <c r="P2088" s="74"/>
      <c r="Q2088" s="74"/>
      <c r="R2088" s="74"/>
      <c r="V2088" s="72"/>
    </row>
    <row r="2089" spans="15:22" x14ac:dyDescent="0.25">
      <c r="O2089" s="74"/>
      <c r="P2089" s="74"/>
      <c r="Q2089" s="74"/>
      <c r="R2089" s="74"/>
      <c r="V2089" s="72"/>
    </row>
    <row r="2090" spans="15:22" x14ac:dyDescent="0.25">
      <c r="O2090" s="74"/>
      <c r="P2090" s="74"/>
      <c r="Q2090" s="74"/>
      <c r="R2090" s="74"/>
      <c r="V2090" s="72"/>
    </row>
    <row r="2091" spans="15:22" x14ac:dyDescent="0.25">
      <c r="O2091" s="74"/>
      <c r="P2091" s="74"/>
      <c r="Q2091" s="74"/>
      <c r="R2091" s="74"/>
      <c r="V2091" s="72"/>
    </row>
    <row r="2092" spans="15:22" x14ac:dyDescent="0.25">
      <c r="O2092" s="74"/>
      <c r="P2092" s="74"/>
      <c r="Q2092" s="74"/>
      <c r="R2092" s="74"/>
      <c r="V2092" s="72"/>
    </row>
    <row r="2093" spans="15:22" x14ac:dyDescent="0.25">
      <c r="O2093" s="74"/>
      <c r="P2093" s="74"/>
      <c r="Q2093" s="74"/>
      <c r="R2093" s="74"/>
      <c r="V2093" s="72"/>
    </row>
    <row r="2094" spans="15:22" x14ac:dyDescent="0.25">
      <c r="O2094" s="74"/>
      <c r="P2094" s="74"/>
      <c r="Q2094" s="74"/>
      <c r="R2094" s="74"/>
      <c r="V2094" s="72"/>
    </row>
    <row r="2095" spans="15:22" x14ac:dyDescent="0.25">
      <c r="O2095" s="74"/>
      <c r="P2095" s="74"/>
      <c r="Q2095" s="74"/>
      <c r="R2095" s="74"/>
      <c r="V2095" s="72"/>
    </row>
    <row r="2096" spans="15:22" x14ac:dyDescent="0.25">
      <c r="O2096" s="74"/>
      <c r="P2096" s="74"/>
      <c r="Q2096" s="74"/>
      <c r="R2096" s="74"/>
      <c r="V2096" s="72"/>
    </row>
    <row r="2097" spans="15:22" x14ac:dyDescent="0.25">
      <c r="O2097" s="74"/>
      <c r="P2097" s="74"/>
      <c r="Q2097" s="74"/>
      <c r="R2097" s="74"/>
      <c r="V2097" s="72"/>
    </row>
    <row r="2098" spans="15:22" x14ac:dyDescent="0.25">
      <c r="O2098" s="74"/>
      <c r="P2098" s="74"/>
      <c r="Q2098" s="74"/>
      <c r="R2098" s="74"/>
      <c r="V2098" s="72"/>
    </row>
    <row r="2099" spans="15:22" x14ac:dyDescent="0.25">
      <c r="O2099" s="74"/>
      <c r="P2099" s="74"/>
      <c r="Q2099" s="74"/>
      <c r="R2099" s="74"/>
      <c r="V2099" s="72"/>
    </row>
    <row r="2100" spans="15:22" x14ac:dyDescent="0.25">
      <c r="O2100" s="74"/>
      <c r="P2100" s="74"/>
      <c r="Q2100" s="74"/>
      <c r="R2100" s="74"/>
      <c r="V2100" s="72"/>
    </row>
    <row r="2101" spans="15:22" x14ac:dyDescent="0.25">
      <c r="O2101" s="74"/>
      <c r="P2101" s="74"/>
      <c r="Q2101" s="74"/>
      <c r="R2101" s="74"/>
      <c r="V2101" s="72"/>
    </row>
    <row r="2102" spans="15:22" x14ac:dyDescent="0.25">
      <c r="O2102" s="74"/>
      <c r="P2102" s="74"/>
      <c r="Q2102" s="74"/>
      <c r="R2102" s="74"/>
      <c r="V2102" s="72"/>
    </row>
    <row r="2103" spans="15:22" x14ac:dyDescent="0.25">
      <c r="O2103" s="74"/>
      <c r="P2103" s="74"/>
      <c r="Q2103" s="74"/>
      <c r="R2103" s="74"/>
      <c r="V2103" s="72"/>
    </row>
    <row r="2104" spans="15:22" x14ac:dyDescent="0.25">
      <c r="O2104" s="74"/>
      <c r="P2104" s="74"/>
      <c r="Q2104" s="74"/>
      <c r="R2104" s="74"/>
      <c r="V2104" s="72"/>
    </row>
    <row r="2105" spans="15:22" x14ac:dyDescent="0.25">
      <c r="O2105" s="74"/>
      <c r="P2105" s="74"/>
      <c r="Q2105" s="74"/>
      <c r="R2105" s="74"/>
      <c r="V2105" s="72"/>
    </row>
    <row r="2106" spans="15:22" x14ac:dyDescent="0.25">
      <c r="O2106" s="74"/>
      <c r="P2106" s="74"/>
      <c r="Q2106" s="74"/>
      <c r="R2106" s="74"/>
      <c r="V2106" s="72"/>
    </row>
    <row r="2107" spans="15:22" x14ac:dyDescent="0.25">
      <c r="O2107" s="74"/>
      <c r="P2107" s="74"/>
      <c r="Q2107" s="74"/>
      <c r="R2107" s="74"/>
      <c r="V2107" s="72"/>
    </row>
    <row r="2108" spans="15:22" x14ac:dyDescent="0.25">
      <c r="O2108" s="74"/>
      <c r="P2108" s="74"/>
      <c r="Q2108" s="74"/>
      <c r="R2108" s="74"/>
      <c r="V2108" s="72"/>
    </row>
    <row r="2109" spans="15:22" x14ac:dyDescent="0.25">
      <c r="O2109" s="74"/>
      <c r="P2109" s="74"/>
      <c r="Q2109" s="74"/>
      <c r="R2109" s="74"/>
      <c r="V2109" s="72"/>
    </row>
    <row r="2110" spans="15:22" x14ac:dyDescent="0.25">
      <c r="O2110" s="74"/>
      <c r="P2110" s="74"/>
      <c r="Q2110" s="74"/>
      <c r="R2110" s="74"/>
      <c r="V2110" s="72"/>
    </row>
    <row r="2111" spans="15:22" x14ac:dyDescent="0.25">
      <c r="O2111" s="74"/>
      <c r="P2111" s="74"/>
      <c r="Q2111" s="74"/>
      <c r="R2111" s="74"/>
      <c r="V2111" s="72"/>
    </row>
    <row r="2112" spans="15:22" x14ac:dyDescent="0.25">
      <c r="O2112" s="74"/>
      <c r="P2112" s="74"/>
      <c r="Q2112" s="74"/>
      <c r="R2112" s="74"/>
      <c r="V2112" s="72"/>
    </row>
    <row r="2113" spans="15:22" x14ac:dyDescent="0.25">
      <c r="O2113" s="74"/>
      <c r="P2113" s="74"/>
      <c r="Q2113" s="74"/>
      <c r="R2113" s="74"/>
      <c r="V2113" s="72"/>
    </row>
    <row r="2114" spans="15:22" x14ac:dyDescent="0.25">
      <c r="O2114" s="74"/>
      <c r="P2114" s="74"/>
      <c r="Q2114" s="74"/>
      <c r="R2114" s="74"/>
      <c r="V2114" s="72"/>
    </row>
    <row r="2115" spans="15:22" x14ac:dyDescent="0.25">
      <c r="O2115" s="74"/>
      <c r="P2115" s="74"/>
      <c r="Q2115" s="74"/>
      <c r="R2115" s="74"/>
      <c r="V2115" s="72"/>
    </row>
    <row r="2116" spans="15:22" x14ac:dyDescent="0.25">
      <c r="O2116" s="74"/>
      <c r="P2116" s="74"/>
      <c r="Q2116" s="74"/>
      <c r="R2116" s="74"/>
      <c r="V2116" s="72"/>
    </row>
    <row r="2117" spans="15:22" x14ac:dyDescent="0.25">
      <c r="O2117" s="74"/>
      <c r="P2117" s="74"/>
      <c r="Q2117" s="74"/>
      <c r="R2117" s="74"/>
      <c r="V2117" s="72"/>
    </row>
    <row r="2118" spans="15:22" x14ac:dyDescent="0.25">
      <c r="O2118" s="74"/>
      <c r="P2118" s="74"/>
      <c r="Q2118" s="74"/>
      <c r="R2118" s="74"/>
      <c r="V2118" s="72"/>
    </row>
    <row r="2119" spans="15:22" x14ac:dyDescent="0.25">
      <c r="O2119" s="74"/>
      <c r="P2119" s="74"/>
      <c r="Q2119" s="74"/>
      <c r="R2119" s="74"/>
      <c r="V2119" s="72"/>
    </row>
    <row r="2120" spans="15:22" x14ac:dyDescent="0.25">
      <c r="O2120" s="74"/>
      <c r="P2120" s="74"/>
      <c r="Q2120" s="74"/>
      <c r="R2120" s="74"/>
      <c r="V2120" s="72"/>
    </row>
    <row r="2121" spans="15:22" x14ac:dyDescent="0.25">
      <c r="O2121" s="74"/>
      <c r="P2121" s="74"/>
      <c r="Q2121" s="74"/>
      <c r="R2121" s="74"/>
      <c r="V2121" s="72"/>
    </row>
    <row r="2122" spans="15:22" x14ac:dyDescent="0.25">
      <c r="O2122" s="74"/>
      <c r="P2122" s="74"/>
      <c r="Q2122" s="74"/>
      <c r="R2122" s="74"/>
      <c r="V2122" s="72"/>
    </row>
    <row r="2123" spans="15:22" x14ac:dyDescent="0.25">
      <c r="O2123" s="74"/>
      <c r="P2123" s="74"/>
      <c r="Q2123" s="74"/>
      <c r="R2123" s="74"/>
      <c r="V2123" s="72"/>
    </row>
    <row r="2124" spans="15:22" x14ac:dyDescent="0.25">
      <c r="O2124" s="74"/>
      <c r="P2124" s="74"/>
      <c r="Q2124" s="74"/>
      <c r="R2124" s="74"/>
      <c r="V2124" s="72"/>
    </row>
    <row r="2125" spans="15:22" x14ac:dyDescent="0.25">
      <c r="O2125" s="74"/>
      <c r="P2125" s="74"/>
      <c r="Q2125" s="74"/>
      <c r="R2125" s="74"/>
      <c r="V2125" s="72"/>
    </row>
    <row r="2126" spans="15:22" x14ac:dyDescent="0.25">
      <c r="O2126" s="74"/>
      <c r="P2126" s="74"/>
      <c r="Q2126" s="74"/>
      <c r="R2126" s="74"/>
      <c r="V2126" s="72"/>
    </row>
    <row r="2127" spans="15:22" x14ac:dyDescent="0.25">
      <c r="O2127" s="74"/>
      <c r="P2127" s="74"/>
      <c r="Q2127" s="74"/>
      <c r="R2127" s="74"/>
      <c r="V2127" s="72"/>
    </row>
    <row r="2128" spans="15:22" x14ac:dyDescent="0.25">
      <c r="O2128" s="74"/>
      <c r="P2128" s="74"/>
      <c r="Q2128" s="74"/>
      <c r="R2128" s="74"/>
      <c r="V2128" s="72"/>
    </row>
    <row r="2129" spans="15:22" x14ac:dyDescent="0.25">
      <c r="O2129" s="74"/>
      <c r="P2129" s="74"/>
      <c r="Q2129" s="74"/>
      <c r="R2129" s="74"/>
      <c r="V2129" s="72"/>
    </row>
    <row r="2130" spans="15:22" x14ac:dyDescent="0.25">
      <c r="O2130" s="74"/>
      <c r="P2130" s="74"/>
      <c r="Q2130" s="74"/>
      <c r="R2130" s="74"/>
      <c r="V2130" s="72"/>
    </row>
    <row r="2131" spans="15:22" x14ac:dyDescent="0.25">
      <c r="O2131" s="74"/>
      <c r="P2131" s="74"/>
      <c r="Q2131" s="74"/>
      <c r="R2131" s="74"/>
      <c r="V2131" s="72"/>
    </row>
    <row r="2132" spans="15:22" x14ac:dyDescent="0.25">
      <c r="O2132" s="74"/>
      <c r="P2132" s="74"/>
      <c r="Q2132" s="74"/>
      <c r="R2132" s="74"/>
      <c r="V2132" s="72"/>
    </row>
    <row r="2133" spans="15:22" x14ac:dyDescent="0.25">
      <c r="O2133" s="74"/>
      <c r="P2133" s="74"/>
      <c r="Q2133" s="74"/>
      <c r="R2133" s="74"/>
      <c r="V2133" s="72"/>
    </row>
    <row r="2134" spans="15:22" x14ac:dyDescent="0.25">
      <c r="O2134" s="74"/>
      <c r="P2134" s="74"/>
      <c r="Q2134" s="74"/>
      <c r="R2134" s="74"/>
      <c r="V2134" s="72"/>
    </row>
    <row r="2135" spans="15:22" x14ac:dyDescent="0.25">
      <c r="O2135" s="74"/>
      <c r="P2135" s="74"/>
      <c r="Q2135" s="74"/>
      <c r="R2135" s="74"/>
      <c r="V2135" s="72"/>
    </row>
    <row r="2136" spans="15:22" x14ac:dyDescent="0.25">
      <c r="O2136" s="74"/>
      <c r="P2136" s="74"/>
      <c r="Q2136" s="74"/>
      <c r="R2136" s="74"/>
      <c r="V2136" s="72"/>
    </row>
    <row r="2137" spans="15:22" x14ac:dyDescent="0.25">
      <c r="O2137" s="74"/>
      <c r="P2137" s="74"/>
      <c r="Q2137" s="74"/>
      <c r="R2137" s="74"/>
      <c r="V2137" s="72"/>
    </row>
    <row r="2138" spans="15:22" x14ac:dyDescent="0.25">
      <c r="O2138" s="74"/>
      <c r="P2138" s="74"/>
      <c r="Q2138" s="74"/>
      <c r="R2138" s="74"/>
      <c r="V2138" s="72"/>
    </row>
    <row r="2139" spans="15:22" x14ac:dyDescent="0.25">
      <c r="O2139" s="74"/>
      <c r="P2139" s="74"/>
      <c r="Q2139" s="74"/>
      <c r="R2139" s="74"/>
      <c r="V2139" s="72"/>
    </row>
    <row r="2140" spans="15:22" x14ac:dyDescent="0.25">
      <c r="O2140" s="74"/>
      <c r="P2140" s="74"/>
      <c r="Q2140" s="74"/>
      <c r="R2140" s="74"/>
      <c r="V2140" s="72"/>
    </row>
    <row r="2141" spans="15:22" x14ac:dyDescent="0.25">
      <c r="O2141" s="74"/>
      <c r="P2141" s="74"/>
      <c r="Q2141" s="74"/>
      <c r="R2141" s="74"/>
      <c r="V2141" s="72"/>
    </row>
    <row r="2142" spans="15:22" x14ac:dyDescent="0.25">
      <c r="O2142" s="74"/>
      <c r="P2142" s="74"/>
      <c r="Q2142" s="74"/>
      <c r="R2142" s="74"/>
      <c r="V2142" s="72"/>
    </row>
    <row r="2143" spans="15:22" x14ac:dyDescent="0.25">
      <c r="O2143" s="74"/>
      <c r="P2143" s="74"/>
      <c r="Q2143" s="74"/>
      <c r="R2143" s="74"/>
      <c r="V2143" s="72"/>
    </row>
    <row r="2144" spans="15:22" x14ac:dyDescent="0.25">
      <c r="O2144" s="74"/>
      <c r="P2144" s="74"/>
      <c r="Q2144" s="74"/>
      <c r="R2144" s="74"/>
      <c r="V2144" s="72"/>
    </row>
    <row r="2145" spans="15:22" x14ac:dyDescent="0.25">
      <c r="O2145" s="74"/>
      <c r="P2145" s="74"/>
      <c r="Q2145" s="74"/>
      <c r="R2145" s="74"/>
      <c r="V2145" s="72"/>
    </row>
    <row r="2146" spans="15:22" x14ac:dyDescent="0.25">
      <c r="O2146" s="74"/>
      <c r="P2146" s="74"/>
      <c r="Q2146" s="74"/>
      <c r="R2146" s="74"/>
      <c r="V2146" s="72"/>
    </row>
    <row r="2147" spans="15:22" x14ac:dyDescent="0.25">
      <c r="O2147" s="74"/>
      <c r="P2147" s="74"/>
      <c r="Q2147" s="74"/>
      <c r="R2147" s="74"/>
      <c r="V2147" s="72"/>
    </row>
    <row r="2148" spans="15:22" x14ac:dyDescent="0.25">
      <c r="O2148" s="74"/>
      <c r="P2148" s="74"/>
      <c r="Q2148" s="74"/>
      <c r="R2148" s="74"/>
      <c r="V2148" s="72"/>
    </row>
    <row r="2149" spans="15:22" x14ac:dyDescent="0.25">
      <c r="O2149" s="74"/>
      <c r="P2149" s="74"/>
      <c r="Q2149" s="74"/>
      <c r="R2149" s="74"/>
      <c r="V2149" s="72"/>
    </row>
    <row r="2150" spans="15:22" x14ac:dyDescent="0.25">
      <c r="O2150" s="74"/>
      <c r="P2150" s="74"/>
      <c r="Q2150" s="74"/>
      <c r="R2150" s="74"/>
      <c r="V2150" s="72"/>
    </row>
    <row r="2151" spans="15:22" x14ac:dyDescent="0.25">
      <c r="O2151" s="74"/>
      <c r="P2151" s="74"/>
      <c r="Q2151" s="74"/>
      <c r="R2151" s="74"/>
      <c r="V2151" s="72"/>
    </row>
    <row r="2152" spans="15:22" x14ac:dyDescent="0.25">
      <c r="O2152" s="74"/>
      <c r="P2152" s="74"/>
      <c r="Q2152" s="74"/>
      <c r="R2152" s="74"/>
      <c r="V2152" s="72"/>
    </row>
    <row r="2153" spans="15:22" x14ac:dyDescent="0.25">
      <c r="O2153" s="74"/>
      <c r="P2153" s="74"/>
      <c r="Q2153" s="74"/>
      <c r="R2153" s="74"/>
      <c r="V2153" s="72"/>
    </row>
    <row r="2154" spans="15:22" x14ac:dyDescent="0.25">
      <c r="O2154" s="74"/>
      <c r="P2154" s="74"/>
      <c r="Q2154" s="74"/>
      <c r="R2154" s="74"/>
      <c r="V2154" s="72"/>
    </row>
    <row r="2155" spans="15:22" x14ac:dyDescent="0.25">
      <c r="O2155" s="74"/>
      <c r="P2155" s="74"/>
      <c r="Q2155" s="74"/>
      <c r="R2155" s="74"/>
      <c r="V2155" s="72"/>
    </row>
    <row r="2156" spans="15:22" x14ac:dyDescent="0.25">
      <c r="O2156" s="74"/>
      <c r="P2156" s="74"/>
      <c r="Q2156" s="74"/>
      <c r="R2156" s="74"/>
      <c r="V2156" s="72"/>
    </row>
    <row r="2157" spans="15:22" x14ac:dyDescent="0.25">
      <c r="O2157" s="74"/>
      <c r="P2157" s="74"/>
      <c r="Q2157" s="74"/>
      <c r="R2157" s="74"/>
      <c r="V2157" s="72"/>
    </row>
    <row r="2158" spans="15:22" x14ac:dyDescent="0.25">
      <c r="O2158" s="74"/>
      <c r="P2158" s="74"/>
      <c r="Q2158" s="74"/>
      <c r="R2158" s="74"/>
      <c r="V2158" s="72"/>
    </row>
    <row r="2159" spans="15:22" x14ac:dyDescent="0.25">
      <c r="O2159" s="74"/>
      <c r="P2159" s="74"/>
      <c r="Q2159" s="74"/>
      <c r="R2159" s="74"/>
      <c r="V2159" s="72"/>
    </row>
    <row r="2160" spans="15:22" x14ac:dyDescent="0.25">
      <c r="O2160" s="74"/>
      <c r="P2160" s="74"/>
      <c r="Q2160" s="74"/>
      <c r="R2160" s="74"/>
      <c r="V2160" s="72"/>
    </row>
    <row r="2161" spans="15:22" x14ac:dyDescent="0.25">
      <c r="O2161" s="74"/>
      <c r="P2161" s="74"/>
      <c r="Q2161" s="74"/>
      <c r="R2161" s="74"/>
      <c r="V2161" s="72"/>
    </row>
    <row r="2162" spans="15:22" x14ac:dyDescent="0.25">
      <c r="O2162" s="74"/>
      <c r="P2162" s="74"/>
      <c r="Q2162" s="74"/>
      <c r="R2162" s="74"/>
      <c r="V2162" s="72"/>
    </row>
    <row r="2163" spans="15:22" x14ac:dyDescent="0.25">
      <c r="O2163" s="74"/>
      <c r="P2163" s="74"/>
      <c r="Q2163" s="74"/>
      <c r="R2163" s="74"/>
      <c r="V2163" s="72"/>
    </row>
    <row r="2164" spans="15:22" x14ac:dyDescent="0.25">
      <c r="O2164" s="74"/>
      <c r="P2164" s="74"/>
      <c r="Q2164" s="74"/>
      <c r="R2164" s="74"/>
      <c r="V2164" s="72"/>
    </row>
    <row r="2165" spans="15:22" x14ac:dyDescent="0.25">
      <c r="O2165" s="74"/>
      <c r="P2165" s="74"/>
      <c r="Q2165" s="74"/>
      <c r="R2165" s="74"/>
      <c r="V2165" s="72"/>
    </row>
    <row r="2166" spans="15:22" x14ac:dyDescent="0.25">
      <c r="O2166" s="74"/>
      <c r="P2166" s="74"/>
      <c r="Q2166" s="74"/>
      <c r="R2166" s="74"/>
      <c r="V2166" s="72"/>
    </row>
    <row r="2167" spans="15:22" x14ac:dyDescent="0.25">
      <c r="O2167" s="74"/>
      <c r="P2167" s="74"/>
      <c r="Q2167" s="74"/>
      <c r="R2167" s="74"/>
      <c r="V2167" s="72"/>
    </row>
    <row r="2168" spans="15:22" x14ac:dyDescent="0.25">
      <c r="O2168" s="74"/>
      <c r="P2168" s="74"/>
      <c r="Q2168" s="74"/>
      <c r="R2168" s="74"/>
      <c r="V2168" s="72"/>
    </row>
    <row r="2169" spans="15:22" x14ac:dyDescent="0.25">
      <c r="O2169" s="74"/>
      <c r="P2169" s="74"/>
      <c r="Q2169" s="74"/>
      <c r="R2169" s="74"/>
      <c r="V2169" s="72"/>
    </row>
    <row r="2170" spans="15:22" x14ac:dyDescent="0.25">
      <c r="O2170" s="74"/>
      <c r="P2170" s="74"/>
      <c r="Q2170" s="74"/>
      <c r="R2170" s="74"/>
      <c r="V2170" s="72"/>
    </row>
    <row r="2171" spans="15:22" x14ac:dyDescent="0.25">
      <c r="O2171" s="74"/>
      <c r="P2171" s="74"/>
      <c r="Q2171" s="74"/>
      <c r="R2171" s="74"/>
      <c r="V2171" s="72"/>
    </row>
    <row r="2172" spans="15:22" x14ac:dyDescent="0.25">
      <c r="O2172" s="74"/>
      <c r="P2172" s="74"/>
      <c r="Q2172" s="74"/>
      <c r="R2172" s="74"/>
      <c r="V2172" s="72"/>
    </row>
    <row r="2173" spans="15:22" x14ac:dyDescent="0.25">
      <c r="O2173" s="74"/>
      <c r="P2173" s="74"/>
      <c r="Q2173" s="74"/>
      <c r="R2173" s="74"/>
      <c r="V2173" s="72"/>
    </row>
    <row r="2174" spans="15:22" x14ac:dyDescent="0.25">
      <c r="O2174" s="74"/>
      <c r="P2174" s="74"/>
      <c r="Q2174" s="74"/>
      <c r="R2174" s="74"/>
      <c r="V2174" s="72"/>
    </row>
    <row r="2175" spans="15:22" x14ac:dyDescent="0.25">
      <c r="O2175" s="74"/>
      <c r="P2175" s="74"/>
      <c r="Q2175" s="74"/>
      <c r="R2175" s="74"/>
      <c r="V2175" s="72"/>
    </row>
    <row r="2176" spans="15:22" x14ac:dyDescent="0.25">
      <c r="O2176" s="74"/>
      <c r="P2176" s="74"/>
      <c r="Q2176" s="74"/>
      <c r="R2176" s="74"/>
      <c r="V2176" s="72"/>
    </row>
    <row r="2177" spans="15:22" x14ac:dyDescent="0.25">
      <c r="O2177" s="74"/>
      <c r="P2177" s="74"/>
      <c r="Q2177" s="74"/>
      <c r="R2177" s="74"/>
      <c r="V2177" s="72"/>
    </row>
    <row r="2178" spans="15:22" x14ac:dyDescent="0.25">
      <c r="O2178" s="74"/>
      <c r="P2178" s="74"/>
      <c r="Q2178" s="74"/>
      <c r="R2178" s="74"/>
      <c r="V2178" s="72"/>
    </row>
    <row r="2179" spans="15:22" x14ac:dyDescent="0.25">
      <c r="O2179" s="74"/>
      <c r="P2179" s="74"/>
      <c r="Q2179" s="74"/>
      <c r="R2179" s="74"/>
      <c r="V2179" s="72"/>
    </row>
    <row r="2180" spans="15:22" x14ac:dyDescent="0.25">
      <c r="O2180" s="74"/>
      <c r="P2180" s="74"/>
      <c r="Q2180" s="74"/>
      <c r="R2180" s="74"/>
      <c r="V2180" s="72"/>
    </row>
    <row r="2181" spans="15:22" x14ac:dyDescent="0.25">
      <c r="O2181" s="74"/>
      <c r="P2181" s="74"/>
      <c r="Q2181" s="74"/>
      <c r="R2181" s="74"/>
      <c r="V2181" s="72"/>
    </row>
    <row r="2182" spans="15:22" x14ac:dyDescent="0.25">
      <c r="O2182" s="74"/>
      <c r="P2182" s="74"/>
      <c r="Q2182" s="74"/>
      <c r="R2182" s="74"/>
      <c r="V2182" s="72"/>
    </row>
    <row r="2183" spans="15:22" x14ac:dyDescent="0.25">
      <c r="O2183" s="74"/>
      <c r="P2183" s="74"/>
      <c r="Q2183" s="74"/>
      <c r="R2183" s="74"/>
      <c r="V2183" s="72"/>
    </row>
    <row r="2184" spans="15:22" x14ac:dyDescent="0.25">
      <c r="O2184" s="74"/>
      <c r="P2184" s="74"/>
      <c r="Q2184" s="74"/>
      <c r="R2184" s="74"/>
      <c r="V2184" s="72"/>
    </row>
    <row r="2185" spans="15:22" x14ac:dyDescent="0.25">
      <c r="O2185" s="74"/>
      <c r="P2185" s="74"/>
      <c r="Q2185" s="74"/>
      <c r="R2185" s="74"/>
      <c r="V2185" s="72"/>
    </row>
    <row r="2186" spans="15:22" x14ac:dyDescent="0.25">
      <c r="O2186" s="74"/>
      <c r="P2186" s="74"/>
      <c r="Q2186" s="74"/>
      <c r="R2186" s="74"/>
      <c r="V2186" s="72"/>
    </row>
    <row r="2187" spans="15:22" x14ac:dyDescent="0.25">
      <c r="O2187" s="74"/>
      <c r="P2187" s="74"/>
      <c r="Q2187" s="74"/>
      <c r="R2187" s="74"/>
      <c r="V2187" s="72"/>
    </row>
    <row r="2188" spans="15:22" x14ac:dyDescent="0.25">
      <c r="O2188" s="74"/>
      <c r="P2188" s="74"/>
      <c r="Q2188" s="74"/>
      <c r="R2188" s="74"/>
      <c r="V2188" s="72"/>
    </row>
    <row r="2189" spans="15:22" x14ac:dyDescent="0.25">
      <c r="O2189" s="74"/>
      <c r="P2189" s="74"/>
      <c r="Q2189" s="74"/>
      <c r="R2189" s="74"/>
      <c r="V2189" s="72"/>
    </row>
    <row r="2190" spans="15:22" x14ac:dyDescent="0.25">
      <c r="O2190" s="74"/>
      <c r="P2190" s="74"/>
      <c r="Q2190" s="74"/>
      <c r="R2190" s="74"/>
      <c r="V2190" s="72"/>
    </row>
    <row r="2191" spans="15:22" x14ac:dyDescent="0.25">
      <c r="O2191" s="74"/>
      <c r="P2191" s="74"/>
      <c r="Q2191" s="74"/>
      <c r="R2191" s="74"/>
      <c r="V2191" s="72"/>
    </row>
    <row r="2192" spans="15:22" x14ac:dyDescent="0.25">
      <c r="O2192" s="74"/>
      <c r="P2192" s="74"/>
      <c r="Q2192" s="74"/>
      <c r="R2192" s="74"/>
      <c r="V2192" s="72"/>
    </row>
    <row r="2193" spans="15:22" x14ac:dyDescent="0.25">
      <c r="O2193" s="74"/>
      <c r="P2193" s="74"/>
      <c r="Q2193" s="74"/>
      <c r="R2193" s="74"/>
      <c r="V2193" s="72"/>
    </row>
    <row r="2194" spans="15:22" x14ac:dyDescent="0.25">
      <c r="O2194" s="74"/>
      <c r="P2194" s="74"/>
      <c r="Q2194" s="74"/>
      <c r="R2194" s="74"/>
      <c r="V2194" s="72"/>
    </row>
    <row r="2195" spans="15:22" x14ac:dyDescent="0.25">
      <c r="O2195" s="74"/>
      <c r="P2195" s="74"/>
      <c r="Q2195" s="74"/>
      <c r="R2195" s="74"/>
      <c r="V2195" s="72"/>
    </row>
    <row r="2196" spans="15:22" x14ac:dyDescent="0.25">
      <c r="O2196" s="74"/>
      <c r="P2196" s="74"/>
      <c r="Q2196" s="74"/>
      <c r="R2196" s="74"/>
      <c r="V2196" s="72"/>
    </row>
    <row r="2197" spans="15:22" x14ac:dyDescent="0.25">
      <c r="O2197" s="74"/>
      <c r="P2197" s="74"/>
      <c r="Q2197" s="74"/>
      <c r="R2197" s="74"/>
      <c r="V2197" s="72"/>
    </row>
    <row r="2198" spans="15:22" x14ac:dyDescent="0.25">
      <c r="O2198" s="74"/>
      <c r="P2198" s="74"/>
      <c r="Q2198" s="74"/>
      <c r="R2198" s="74"/>
      <c r="V2198" s="72"/>
    </row>
    <row r="2199" spans="15:22" x14ac:dyDescent="0.25">
      <c r="O2199" s="74"/>
      <c r="P2199" s="74"/>
      <c r="Q2199" s="74"/>
      <c r="R2199" s="74"/>
      <c r="V2199" s="72"/>
    </row>
    <row r="2200" spans="15:22" x14ac:dyDescent="0.25">
      <c r="O2200" s="74"/>
      <c r="P2200" s="74"/>
      <c r="Q2200" s="74"/>
      <c r="R2200" s="74"/>
      <c r="V2200" s="72"/>
    </row>
    <row r="2201" spans="15:22" x14ac:dyDescent="0.25">
      <c r="O2201" s="74"/>
      <c r="P2201" s="74"/>
      <c r="Q2201" s="74"/>
      <c r="R2201" s="74"/>
      <c r="V2201" s="72"/>
    </row>
    <row r="2202" spans="15:22" x14ac:dyDescent="0.25">
      <c r="O2202" s="74"/>
      <c r="P2202" s="74"/>
      <c r="Q2202" s="74"/>
      <c r="R2202" s="74"/>
      <c r="V2202" s="72"/>
    </row>
    <row r="2203" spans="15:22" x14ac:dyDescent="0.25">
      <c r="O2203" s="74"/>
      <c r="P2203" s="74"/>
      <c r="Q2203" s="74"/>
      <c r="R2203" s="74"/>
      <c r="V2203" s="72"/>
    </row>
    <row r="2204" spans="15:22" x14ac:dyDescent="0.25">
      <c r="O2204" s="74"/>
      <c r="P2204" s="74"/>
      <c r="Q2204" s="74"/>
      <c r="R2204" s="74"/>
      <c r="V2204" s="72"/>
    </row>
    <row r="2205" spans="15:22" x14ac:dyDescent="0.25">
      <c r="O2205" s="74"/>
      <c r="P2205" s="74"/>
      <c r="Q2205" s="74"/>
      <c r="R2205" s="74"/>
      <c r="V2205" s="72"/>
    </row>
    <row r="2206" spans="15:22" x14ac:dyDescent="0.25">
      <c r="O2206" s="74"/>
      <c r="P2206" s="74"/>
      <c r="Q2206" s="74"/>
      <c r="R2206" s="74"/>
      <c r="V2206" s="72"/>
    </row>
    <row r="2207" spans="15:22" x14ac:dyDescent="0.25">
      <c r="O2207" s="74"/>
      <c r="P2207" s="74"/>
      <c r="Q2207" s="74"/>
      <c r="R2207" s="74"/>
      <c r="V2207" s="72"/>
    </row>
    <row r="2208" spans="15:22" x14ac:dyDescent="0.25">
      <c r="O2208" s="74"/>
      <c r="P2208" s="74"/>
      <c r="Q2208" s="74"/>
      <c r="R2208" s="74"/>
      <c r="V2208" s="72"/>
    </row>
    <row r="2209" spans="15:22" x14ac:dyDescent="0.25">
      <c r="O2209" s="74"/>
      <c r="P2209" s="74"/>
      <c r="Q2209" s="74"/>
      <c r="R2209" s="74"/>
      <c r="V2209" s="72"/>
    </row>
    <row r="2210" spans="15:22" x14ac:dyDescent="0.25">
      <c r="O2210" s="74"/>
      <c r="P2210" s="74"/>
      <c r="Q2210" s="74"/>
      <c r="R2210" s="74"/>
      <c r="V2210" s="72"/>
    </row>
    <row r="2211" spans="15:22" x14ac:dyDescent="0.25">
      <c r="O2211" s="74"/>
      <c r="P2211" s="74"/>
      <c r="Q2211" s="74"/>
      <c r="R2211" s="74"/>
      <c r="V2211" s="72"/>
    </row>
    <row r="2212" spans="15:22" x14ac:dyDescent="0.25">
      <c r="O2212" s="74"/>
      <c r="P2212" s="74"/>
      <c r="Q2212" s="74"/>
      <c r="R2212" s="74"/>
      <c r="V2212" s="72"/>
    </row>
    <row r="2213" spans="15:22" x14ac:dyDescent="0.25">
      <c r="O2213" s="74"/>
      <c r="P2213" s="74"/>
      <c r="Q2213" s="74"/>
      <c r="R2213" s="74"/>
      <c r="V2213" s="72"/>
    </row>
    <row r="2214" spans="15:22" x14ac:dyDescent="0.25">
      <c r="O2214" s="74"/>
      <c r="P2214" s="74"/>
      <c r="Q2214" s="74"/>
      <c r="R2214" s="74"/>
      <c r="V2214" s="72"/>
    </row>
    <row r="2215" spans="15:22" x14ac:dyDescent="0.25">
      <c r="O2215" s="74"/>
      <c r="P2215" s="74"/>
      <c r="Q2215" s="74"/>
      <c r="R2215" s="74"/>
      <c r="V2215" s="72"/>
    </row>
    <row r="2216" spans="15:22" x14ac:dyDescent="0.25">
      <c r="O2216" s="74"/>
      <c r="P2216" s="74"/>
      <c r="Q2216" s="74"/>
      <c r="R2216" s="74"/>
      <c r="V2216" s="72"/>
    </row>
    <row r="2217" spans="15:22" x14ac:dyDescent="0.25">
      <c r="O2217" s="74"/>
      <c r="P2217" s="74"/>
      <c r="Q2217" s="74"/>
      <c r="R2217" s="74"/>
      <c r="V2217" s="72"/>
    </row>
    <row r="2218" spans="15:22" x14ac:dyDescent="0.25">
      <c r="O2218" s="74"/>
      <c r="P2218" s="74"/>
      <c r="Q2218" s="74"/>
      <c r="R2218" s="74"/>
      <c r="V2218" s="72"/>
    </row>
    <row r="2219" spans="15:22" x14ac:dyDescent="0.25">
      <c r="O2219" s="74"/>
      <c r="P2219" s="74"/>
      <c r="Q2219" s="74"/>
      <c r="R2219" s="74"/>
      <c r="V2219" s="72"/>
    </row>
    <row r="2220" spans="15:22" x14ac:dyDescent="0.25">
      <c r="O2220" s="74"/>
      <c r="P2220" s="74"/>
      <c r="Q2220" s="74"/>
      <c r="R2220" s="74"/>
      <c r="V2220" s="72"/>
    </row>
    <row r="2221" spans="15:22" x14ac:dyDescent="0.25">
      <c r="O2221" s="74"/>
      <c r="P2221" s="74"/>
      <c r="Q2221" s="74"/>
      <c r="R2221" s="74"/>
      <c r="V2221" s="72"/>
    </row>
    <row r="2222" spans="15:22" x14ac:dyDescent="0.25">
      <c r="O2222" s="74"/>
      <c r="P2222" s="74"/>
      <c r="Q2222" s="74"/>
      <c r="R2222" s="74"/>
      <c r="V2222" s="72"/>
    </row>
    <row r="2223" spans="15:22" x14ac:dyDescent="0.25">
      <c r="O2223" s="74"/>
      <c r="P2223" s="74"/>
      <c r="Q2223" s="74"/>
      <c r="R2223" s="74"/>
      <c r="V2223" s="72"/>
    </row>
    <row r="2224" spans="15:22" x14ac:dyDescent="0.25">
      <c r="O2224" s="74"/>
      <c r="P2224" s="74"/>
      <c r="Q2224" s="74"/>
      <c r="R2224" s="74"/>
      <c r="V2224" s="72"/>
    </row>
    <row r="2225" spans="15:22" x14ac:dyDescent="0.25">
      <c r="O2225" s="74"/>
      <c r="P2225" s="74"/>
      <c r="Q2225" s="74"/>
      <c r="R2225" s="74"/>
      <c r="V2225" s="72"/>
    </row>
    <row r="2226" spans="15:22" x14ac:dyDescent="0.25">
      <c r="O2226" s="74"/>
      <c r="P2226" s="74"/>
      <c r="Q2226" s="74"/>
      <c r="R2226" s="74"/>
      <c r="V2226" s="72"/>
    </row>
    <row r="2227" spans="15:22" x14ac:dyDescent="0.25">
      <c r="O2227" s="74"/>
      <c r="P2227" s="74"/>
      <c r="Q2227" s="74"/>
      <c r="R2227" s="74"/>
      <c r="V2227" s="72"/>
    </row>
    <row r="2228" spans="15:22" x14ac:dyDescent="0.25">
      <c r="O2228" s="74"/>
      <c r="P2228" s="74"/>
      <c r="Q2228" s="74"/>
      <c r="R2228" s="74"/>
      <c r="V2228" s="72"/>
    </row>
    <row r="2229" spans="15:22" x14ac:dyDescent="0.25">
      <c r="O2229" s="74"/>
      <c r="P2229" s="74"/>
      <c r="Q2229" s="74"/>
      <c r="R2229" s="74"/>
      <c r="V2229" s="72"/>
    </row>
    <row r="2230" spans="15:22" x14ac:dyDescent="0.25">
      <c r="O2230" s="74"/>
      <c r="P2230" s="74"/>
      <c r="Q2230" s="74"/>
      <c r="R2230" s="74"/>
      <c r="V2230" s="72"/>
    </row>
    <row r="2231" spans="15:22" x14ac:dyDescent="0.25">
      <c r="O2231" s="74"/>
      <c r="P2231" s="74"/>
      <c r="Q2231" s="74"/>
      <c r="R2231" s="74"/>
      <c r="V2231" s="72"/>
    </row>
    <row r="2232" spans="15:22" x14ac:dyDescent="0.25">
      <c r="O2232" s="74"/>
      <c r="P2232" s="74"/>
      <c r="Q2232" s="74"/>
      <c r="R2232" s="74"/>
      <c r="V2232" s="72"/>
    </row>
    <row r="2233" spans="15:22" x14ac:dyDescent="0.25">
      <c r="O2233" s="74"/>
      <c r="P2233" s="74"/>
      <c r="Q2233" s="74"/>
      <c r="R2233" s="74"/>
      <c r="V2233" s="72"/>
    </row>
    <row r="2234" spans="15:22" x14ac:dyDescent="0.25">
      <c r="O2234" s="74"/>
      <c r="P2234" s="74"/>
      <c r="Q2234" s="74"/>
      <c r="R2234" s="74"/>
      <c r="V2234" s="72"/>
    </row>
    <row r="2235" spans="15:22" x14ac:dyDescent="0.25">
      <c r="O2235" s="74"/>
      <c r="P2235" s="74"/>
      <c r="Q2235" s="74"/>
      <c r="R2235" s="74"/>
      <c r="V2235" s="72"/>
    </row>
    <row r="2236" spans="15:22" x14ac:dyDescent="0.25">
      <c r="O2236" s="74"/>
      <c r="P2236" s="74"/>
      <c r="Q2236" s="74"/>
      <c r="R2236" s="74"/>
      <c r="V2236" s="72"/>
    </row>
    <row r="2237" spans="15:22" x14ac:dyDescent="0.25">
      <c r="O2237" s="74"/>
      <c r="P2237" s="74"/>
      <c r="Q2237" s="74"/>
      <c r="R2237" s="74"/>
      <c r="V2237" s="72"/>
    </row>
    <row r="2238" spans="15:22" x14ac:dyDescent="0.25">
      <c r="O2238" s="74"/>
      <c r="P2238" s="74"/>
      <c r="Q2238" s="74"/>
      <c r="R2238" s="74"/>
      <c r="V2238" s="72"/>
    </row>
    <row r="2239" spans="15:22" x14ac:dyDescent="0.25">
      <c r="O2239" s="74"/>
      <c r="P2239" s="74"/>
      <c r="Q2239" s="74"/>
      <c r="R2239" s="74"/>
      <c r="V2239" s="72"/>
    </row>
    <row r="2240" spans="15:22" x14ac:dyDescent="0.25">
      <c r="O2240" s="74"/>
      <c r="P2240" s="74"/>
      <c r="Q2240" s="74"/>
      <c r="R2240" s="74"/>
      <c r="V2240" s="72"/>
    </row>
    <row r="2241" spans="15:22" x14ac:dyDescent="0.25">
      <c r="O2241" s="74"/>
      <c r="P2241" s="74"/>
      <c r="Q2241" s="74"/>
      <c r="R2241" s="74"/>
      <c r="V2241" s="72"/>
    </row>
    <row r="2242" spans="15:22" x14ac:dyDescent="0.25">
      <c r="O2242" s="74"/>
      <c r="P2242" s="74"/>
      <c r="Q2242" s="74"/>
      <c r="R2242" s="74"/>
      <c r="V2242" s="72"/>
    </row>
    <row r="2243" spans="15:22" x14ac:dyDescent="0.25">
      <c r="O2243" s="74"/>
      <c r="P2243" s="74"/>
      <c r="Q2243" s="74"/>
      <c r="R2243" s="74"/>
      <c r="V2243" s="72"/>
    </row>
    <row r="2244" spans="15:22" x14ac:dyDescent="0.25">
      <c r="O2244" s="74"/>
      <c r="P2244" s="74"/>
      <c r="Q2244" s="74"/>
      <c r="R2244" s="74"/>
      <c r="V2244" s="72"/>
    </row>
    <row r="2245" spans="15:22" x14ac:dyDescent="0.25">
      <c r="O2245" s="74"/>
      <c r="P2245" s="74"/>
      <c r="Q2245" s="74"/>
      <c r="R2245" s="74"/>
      <c r="V2245" s="72"/>
    </row>
    <row r="2246" spans="15:22" x14ac:dyDescent="0.25">
      <c r="O2246" s="74"/>
      <c r="P2246" s="74"/>
      <c r="Q2246" s="74"/>
      <c r="R2246" s="74"/>
      <c r="V2246" s="72"/>
    </row>
    <row r="2247" spans="15:22" x14ac:dyDescent="0.25">
      <c r="O2247" s="74"/>
      <c r="P2247" s="74"/>
      <c r="Q2247" s="74"/>
      <c r="R2247" s="74"/>
      <c r="V2247" s="72"/>
    </row>
    <row r="2248" spans="15:22" x14ac:dyDescent="0.25">
      <c r="O2248" s="74"/>
      <c r="P2248" s="74"/>
      <c r="Q2248" s="74"/>
      <c r="R2248" s="74"/>
      <c r="V2248" s="72"/>
    </row>
    <row r="2249" spans="15:22" x14ac:dyDescent="0.25">
      <c r="O2249" s="74"/>
      <c r="P2249" s="74"/>
      <c r="Q2249" s="74"/>
      <c r="R2249" s="74"/>
      <c r="V2249" s="72"/>
    </row>
    <row r="2250" spans="15:22" x14ac:dyDescent="0.25">
      <c r="O2250" s="74"/>
      <c r="P2250" s="74"/>
      <c r="Q2250" s="74"/>
      <c r="R2250" s="74"/>
      <c r="V2250" s="72"/>
    </row>
    <row r="2251" spans="15:22" x14ac:dyDescent="0.25">
      <c r="O2251" s="74"/>
      <c r="P2251" s="74"/>
      <c r="Q2251" s="74"/>
      <c r="R2251" s="74"/>
      <c r="V2251" s="72"/>
    </row>
    <row r="2252" spans="15:22" x14ac:dyDescent="0.25">
      <c r="O2252" s="74"/>
      <c r="P2252" s="74"/>
      <c r="Q2252" s="74"/>
      <c r="R2252" s="74"/>
      <c r="V2252" s="72"/>
    </row>
    <row r="2253" spans="15:22" x14ac:dyDescent="0.25">
      <c r="O2253" s="74"/>
      <c r="P2253" s="74"/>
      <c r="Q2253" s="74"/>
      <c r="R2253" s="74"/>
      <c r="V2253" s="72"/>
    </row>
    <row r="2254" spans="15:22" x14ac:dyDescent="0.25">
      <c r="O2254" s="74"/>
      <c r="P2254" s="74"/>
      <c r="Q2254" s="74"/>
      <c r="R2254" s="74"/>
      <c r="V2254" s="72"/>
    </row>
    <row r="2255" spans="15:22" x14ac:dyDescent="0.25">
      <c r="O2255" s="74"/>
      <c r="P2255" s="74"/>
      <c r="Q2255" s="74"/>
      <c r="R2255" s="74"/>
      <c r="V2255" s="72"/>
    </row>
    <row r="2256" spans="15:22" x14ac:dyDescent="0.25">
      <c r="O2256" s="74"/>
      <c r="P2256" s="74"/>
      <c r="Q2256" s="74"/>
      <c r="R2256" s="74"/>
      <c r="V2256" s="72"/>
    </row>
    <row r="2257" spans="15:22" x14ac:dyDescent="0.25">
      <c r="O2257" s="74"/>
      <c r="P2257" s="74"/>
      <c r="Q2257" s="74"/>
      <c r="R2257" s="74"/>
      <c r="V2257" s="72"/>
    </row>
    <row r="2258" spans="15:22" x14ac:dyDescent="0.25">
      <c r="O2258" s="74"/>
      <c r="P2258" s="74"/>
      <c r="Q2258" s="74"/>
      <c r="R2258" s="74"/>
      <c r="V2258" s="72"/>
    </row>
    <row r="2259" spans="15:22" x14ac:dyDescent="0.25">
      <c r="O2259" s="74"/>
      <c r="P2259" s="74"/>
      <c r="Q2259" s="74"/>
      <c r="R2259" s="74"/>
      <c r="V2259" s="72"/>
    </row>
    <row r="2260" spans="15:22" x14ac:dyDescent="0.25">
      <c r="O2260" s="74"/>
      <c r="P2260" s="74"/>
      <c r="Q2260" s="74"/>
      <c r="R2260" s="74"/>
      <c r="V2260" s="72"/>
    </row>
    <row r="2261" spans="15:22" x14ac:dyDescent="0.25">
      <c r="O2261" s="74"/>
      <c r="P2261" s="74"/>
      <c r="Q2261" s="74"/>
      <c r="R2261" s="74"/>
      <c r="V2261" s="72"/>
    </row>
    <row r="2262" spans="15:22" x14ac:dyDescent="0.25">
      <c r="O2262" s="74"/>
      <c r="P2262" s="74"/>
      <c r="Q2262" s="74"/>
      <c r="R2262" s="74"/>
      <c r="V2262" s="72"/>
    </row>
    <row r="2263" spans="15:22" x14ac:dyDescent="0.25">
      <c r="O2263" s="74"/>
      <c r="P2263" s="74"/>
      <c r="Q2263" s="74"/>
      <c r="R2263" s="74"/>
      <c r="V2263" s="72"/>
    </row>
    <row r="2264" spans="15:22" x14ac:dyDescent="0.25">
      <c r="O2264" s="74"/>
      <c r="P2264" s="74"/>
      <c r="Q2264" s="74"/>
      <c r="R2264" s="74"/>
      <c r="V2264" s="72"/>
    </row>
    <row r="2265" spans="15:22" x14ac:dyDescent="0.25">
      <c r="O2265" s="74"/>
      <c r="P2265" s="74"/>
      <c r="Q2265" s="74"/>
      <c r="R2265" s="74"/>
      <c r="V2265" s="72"/>
    </row>
    <row r="2266" spans="15:22" x14ac:dyDescent="0.25">
      <c r="O2266" s="74"/>
      <c r="P2266" s="74"/>
      <c r="Q2266" s="74"/>
      <c r="R2266" s="74"/>
      <c r="V2266" s="72"/>
    </row>
    <row r="2267" spans="15:22" x14ac:dyDescent="0.25">
      <c r="O2267" s="74"/>
      <c r="P2267" s="74"/>
      <c r="Q2267" s="74"/>
      <c r="R2267" s="74"/>
      <c r="V2267" s="72"/>
    </row>
    <row r="2268" spans="15:22" x14ac:dyDescent="0.25">
      <c r="O2268" s="74"/>
      <c r="P2268" s="74"/>
      <c r="Q2268" s="74"/>
      <c r="R2268" s="74"/>
      <c r="V2268" s="72"/>
    </row>
    <row r="2269" spans="15:22" x14ac:dyDescent="0.25">
      <c r="O2269" s="74"/>
      <c r="P2269" s="74"/>
      <c r="Q2269" s="74"/>
      <c r="R2269" s="74"/>
      <c r="V2269" s="72"/>
    </row>
    <row r="2270" spans="15:22" x14ac:dyDescent="0.25">
      <c r="O2270" s="74"/>
      <c r="P2270" s="74"/>
      <c r="Q2270" s="74"/>
      <c r="R2270" s="74"/>
      <c r="V2270" s="72"/>
    </row>
    <row r="2271" spans="15:22" x14ac:dyDescent="0.25">
      <c r="O2271" s="74"/>
      <c r="P2271" s="74"/>
      <c r="Q2271" s="74"/>
      <c r="R2271" s="74"/>
      <c r="V2271" s="72"/>
    </row>
    <row r="2272" spans="15:22" x14ac:dyDescent="0.25">
      <c r="O2272" s="74"/>
      <c r="P2272" s="74"/>
      <c r="Q2272" s="74"/>
      <c r="R2272" s="74"/>
      <c r="V2272" s="72"/>
    </row>
    <row r="2273" spans="15:22" x14ac:dyDescent="0.25">
      <c r="O2273" s="74"/>
      <c r="P2273" s="74"/>
      <c r="Q2273" s="74"/>
      <c r="R2273" s="74"/>
      <c r="V2273" s="72"/>
    </row>
    <row r="2274" spans="15:22" x14ac:dyDescent="0.25">
      <c r="O2274" s="74"/>
      <c r="P2274" s="74"/>
      <c r="Q2274" s="74"/>
      <c r="R2274" s="74"/>
      <c r="V2274" s="72"/>
    </row>
    <row r="2275" spans="15:22" x14ac:dyDescent="0.25">
      <c r="O2275" s="74"/>
      <c r="P2275" s="74"/>
      <c r="Q2275" s="74"/>
      <c r="R2275" s="74"/>
      <c r="V2275" s="72"/>
    </row>
    <row r="2276" spans="15:22" x14ac:dyDescent="0.25">
      <c r="O2276" s="74"/>
      <c r="P2276" s="74"/>
      <c r="Q2276" s="74"/>
      <c r="R2276" s="74"/>
      <c r="V2276" s="72"/>
    </row>
    <row r="2277" spans="15:22" x14ac:dyDescent="0.25">
      <c r="O2277" s="74"/>
      <c r="P2277" s="74"/>
      <c r="Q2277" s="74"/>
      <c r="R2277" s="74"/>
      <c r="V2277" s="72"/>
    </row>
    <row r="2278" spans="15:22" x14ac:dyDescent="0.25">
      <c r="O2278" s="74"/>
      <c r="P2278" s="74"/>
      <c r="Q2278" s="74"/>
      <c r="R2278" s="74"/>
      <c r="V2278" s="72"/>
    </row>
    <row r="2279" spans="15:22" x14ac:dyDescent="0.25">
      <c r="O2279" s="74"/>
      <c r="P2279" s="74"/>
      <c r="Q2279" s="74"/>
      <c r="R2279" s="74"/>
      <c r="V2279" s="72"/>
    </row>
    <row r="2280" spans="15:22" x14ac:dyDescent="0.25">
      <c r="O2280" s="74"/>
      <c r="P2280" s="74"/>
      <c r="Q2280" s="74"/>
      <c r="R2280" s="74"/>
      <c r="V2280" s="72"/>
    </row>
    <row r="2281" spans="15:22" x14ac:dyDescent="0.25">
      <c r="O2281" s="74"/>
      <c r="P2281" s="74"/>
      <c r="Q2281" s="74"/>
      <c r="R2281" s="74"/>
      <c r="V2281" s="72"/>
    </row>
    <row r="2282" spans="15:22" x14ac:dyDescent="0.25">
      <c r="O2282" s="74"/>
      <c r="P2282" s="74"/>
      <c r="Q2282" s="74"/>
      <c r="R2282" s="74"/>
      <c r="V2282" s="72"/>
    </row>
    <row r="2283" spans="15:22" x14ac:dyDescent="0.25">
      <c r="O2283" s="74"/>
      <c r="P2283" s="74"/>
      <c r="Q2283" s="74"/>
      <c r="R2283" s="74"/>
      <c r="V2283" s="72"/>
    </row>
    <row r="2284" spans="15:22" x14ac:dyDescent="0.25">
      <c r="O2284" s="74"/>
      <c r="P2284" s="74"/>
      <c r="Q2284" s="74"/>
      <c r="R2284" s="74"/>
      <c r="V2284" s="72"/>
    </row>
    <row r="2285" spans="15:22" x14ac:dyDescent="0.25">
      <c r="O2285" s="74"/>
      <c r="P2285" s="74"/>
      <c r="Q2285" s="74"/>
      <c r="R2285" s="74"/>
      <c r="V2285" s="72"/>
    </row>
    <row r="2286" spans="15:22" x14ac:dyDescent="0.25">
      <c r="O2286" s="74"/>
      <c r="P2286" s="74"/>
      <c r="Q2286" s="74"/>
      <c r="R2286" s="74"/>
      <c r="V2286" s="72"/>
    </row>
    <row r="2287" spans="15:22" x14ac:dyDescent="0.25">
      <c r="O2287" s="74"/>
      <c r="P2287" s="74"/>
      <c r="Q2287" s="74"/>
      <c r="R2287" s="74"/>
      <c r="V2287" s="72"/>
    </row>
    <row r="2288" spans="15:22" x14ac:dyDescent="0.25">
      <c r="O2288" s="74"/>
      <c r="P2288" s="74"/>
      <c r="Q2288" s="74"/>
      <c r="R2288" s="74"/>
      <c r="V2288" s="72"/>
    </row>
    <row r="2289" spans="15:22" x14ac:dyDescent="0.25">
      <c r="O2289" s="74"/>
      <c r="P2289" s="74"/>
      <c r="Q2289" s="74"/>
      <c r="R2289" s="74"/>
      <c r="V2289" s="72"/>
    </row>
    <row r="2290" spans="15:22" x14ac:dyDescent="0.25">
      <c r="O2290" s="74"/>
      <c r="P2290" s="74"/>
      <c r="Q2290" s="74"/>
      <c r="R2290" s="74"/>
      <c r="V2290" s="72"/>
    </row>
    <row r="2291" spans="15:22" x14ac:dyDescent="0.25">
      <c r="O2291" s="74"/>
      <c r="P2291" s="74"/>
      <c r="Q2291" s="74"/>
      <c r="R2291" s="74"/>
      <c r="V2291" s="72"/>
    </row>
    <row r="2292" spans="15:22" x14ac:dyDescent="0.25">
      <c r="O2292" s="74"/>
      <c r="P2292" s="74"/>
      <c r="Q2292" s="74"/>
      <c r="R2292" s="74"/>
      <c r="V2292" s="72"/>
    </row>
    <row r="2293" spans="15:22" x14ac:dyDescent="0.25">
      <c r="O2293" s="74"/>
      <c r="P2293" s="74"/>
      <c r="Q2293" s="74"/>
      <c r="R2293" s="74"/>
      <c r="V2293" s="72"/>
    </row>
    <row r="2294" spans="15:22" x14ac:dyDescent="0.25">
      <c r="O2294" s="74"/>
      <c r="P2294" s="74"/>
      <c r="Q2294" s="74"/>
      <c r="R2294" s="74"/>
      <c r="V2294" s="72"/>
    </row>
    <row r="2295" spans="15:22" x14ac:dyDescent="0.25">
      <c r="O2295" s="74"/>
      <c r="P2295" s="74"/>
      <c r="Q2295" s="74"/>
      <c r="R2295" s="74"/>
      <c r="V2295" s="72"/>
    </row>
    <row r="2296" spans="15:22" x14ac:dyDescent="0.25">
      <c r="O2296" s="74"/>
      <c r="P2296" s="74"/>
      <c r="Q2296" s="74"/>
      <c r="R2296" s="74"/>
      <c r="V2296" s="72"/>
    </row>
    <row r="2297" spans="15:22" x14ac:dyDescent="0.25">
      <c r="O2297" s="74"/>
      <c r="P2297" s="74"/>
      <c r="Q2297" s="74"/>
      <c r="R2297" s="74"/>
      <c r="V2297" s="72"/>
    </row>
    <row r="2298" spans="15:22" x14ac:dyDescent="0.25">
      <c r="O2298" s="74"/>
      <c r="P2298" s="74"/>
      <c r="Q2298" s="74"/>
      <c r="R2298" s="74"/>
      <c r="V2298" s="72"/>
    </row>
    <row r="2299" spans="15:22" x14ac:dyDescent="0.25">
      <c r="O2299" s="74"/>
      <c r="P2299" s="74"/>
      <c r="Q2299" s="74"/>
      <c r="R2299" s="74"/>
      <c r="V2299" s="72"/>
    </row>
    <row r="2300" spans="15:22" x14ac:dyDescent="0.25">
      <c r="O2300" s="74"/>
      <c r="P2300" s="74"/>
      <c r="Q2300" s="74"/>
      <c r="R2300" s="74"/>
      <c r="V2300" s="72"/>
    </row>
    <row r="2301" spans="15:22" x14ac:dyDescent="0.25">
      <c r="O2301" s="74"/>
      <c r="P2301" s="74"/>
      <c r="Q2301" s="74"/>
      <c r="R2301" s="74"/>
      <c r="V2301" s="72"/>
    </row>
    <row r="2302" spans="15:22" x14ac:dyDescent="0.25">
      <c r="O2302" s="74"/>
      <c r="P2302" s="74"/>
      <c r="Q2302" s="74"/>
      <c r="R2302" s="74"/>
      <c r="V2302" s="72"/>
    </row>
    <row r="2303" spans="15:22" x14ac:dyDescent="0.25">
      <c r="O2303" s="74"/>
      <c r="P2303" s="74"/>
      <c r="Q2303" s="74"/>
      <c r="R2303" s="74"/>
      <c r="V2303" s="72"/>
    </row>
    <row r="2304" spans="15:22" x14ac:dyDescent="0.25">
      <c r="O2304" s="74"/>
      <c r="P2304" s="74"/>
      <c r="Q2304" s="74"/>
      <c r="R2304" s="74"/>
      <c r="V2304" s="72"/>
    </row>
    <row r="2305" spans="15:22" x14ac:dyDescent="0.25">
      <c r="O2305" s="74"/>
      <c r="P2305" s="74"/>
      <c r="Q2305" s="74"/>
      <c r="R2305" s="74"/>
      <c r="V2305" s="72"/>
    </row>
    <row r="2306" spans="15:22" x14ac:dyDescent="0.25">
      <c r="O2306" s="74"/>
      <c r="P2306" s="74"/>
      <c r="Q2306" s="74"/>
      <c r="R2306" s="74"/>
      <c r="V2306" s="72"/>
    </row>
    <row r="2307" spans="15:22" x14ac:dyDescent="0.25">
      <c r="O2307" s="74"/>
      <c r="P2307" s="74"/>
      <c r="Q2307" s="74"/>
      <c r="R2307" s="74"/>
      <c r="V2307" s="72"/>
    </row>
    <row r="2308" spans="15:22" x14ac:dyDescent="0.25">
      <c r="O2308" s="74"/>
      <c r="P2308" s="74"/>
      <c r="Q2308" s="74"/>
      <c r="R2308" s="74"/>
      <c r="V2308" s="72"/>
    </row>
    <row r="2309" spans="15:22" x14ac:dyDescent="0.25">
      <c r="O2309" s="74"/>
      <c r="P2309" s="74"/>
      <c r="Q2309" s="74"/>
      <c r="R2309" s="74"/>
      <c r="V2309" s="72"/>
    </row>
    <row r="2310" spans="15:22" x14ac:dyDescent="0.25">
      <c r="O2310" s="74"/>
      <c r="P2310" s="74"/>
      <c r="Q2310" s="74"/>
      <c r="R2310" s="74"/>
      <c r="V2310" s="72"/>
    </row>
    <row r="2311" spans="15:22" x14ac:dyDescent="0.25">
      <c r="O2311" s="74"/>
      <c r="P2311" s="74"/>
      <c r="Q2311" s="74"/>
      <c r="R2311" s="74"/>
      <c r="V2311" s="72"/>
    </row>
    <row r="2312" spans="15:22" x14ac:dyDescent="0.25">
      <c r="O2312" s="74"/>
      <c r="P2312" s="74"/>
      <c r="Q2312" s="74"/>
      <c r="R2312" s="74"/>
      <c r="V2312" s="72"/>
    </row>
    <row r="2313" spans="15:22" x14ac:dyDescent="0.25">
      <c r="O2313" s="74"/>
      <c r="P2313" s="74"/>
      <c r="Q2313" s="74"/>
      <c r="R2313" s="74"/>
      <c r="V2313" s="72"/>
    </row>
    <row r="2314" spans="15:22" x14ac:dyDescent="0.25">
      <c r="O2314" s="74"/>
      <c r="P2314" s="74"/>
      <c r="Q2314" s="74"/>
      <c r="R2314" s="74"/>
      <c r="V2314" s="72"/>
    </row>
    <row r="2315" spans="15:22" x14ac:dyDescent="0.25">
      <c r="O2315" s="74"/>
      <c r="P2315" s="74"/>
      <c r="Q2315" s="74"/>
      <c r="R2315" s="74"/>
      <c r="V2315" s="72"/>
    </row>
    <row r="2316" spans="15:22" x14ac:dyDescent="0.25">
      <c r="O2316" s="74"/>
      <c r="P2316" s="74"/>
      <c r="Q2316" s="74"/>
      <c r="R2316" s="74"/>
      <c r="V2316" s="72"/>
    </row>
    <row r="2317" spans="15:22" x14ac:dyDescent="0.25">
      <c r="O2317" s="74"/>
      <c r="P2317" s="74"/>
      <c r="Q2317" s="74"/>
      <c r="R2317" s="74"/>
      <c r="V2317" s="72"/>
    </row>
    <row r="2318" spans="15:22" x14ac:dyDescent="0.25">
      <c r="O2318" s="74"/>
      <c r="P2318" s="74"/>
      <c r="Q2318" s="74"/>
      <c r="R2318" s="74"/>
      <c r="V2318" s="72"/>
    </row>
    <row r="2319" spans="15:22" x14ac:dyDescent="0.25">
      <c r="O2319" s="74"/>
      <c r="P2319" s="74"/>
      <c r="Q2319" s="74"/>
      <c r="R2319" s="74"/>
      <c r="V2319" s="72"/>
    </row>
    <row r="2320" spans="15:22" x14ac:dyDescent="0.25">
      <c r="O2320" s="74"/>
      <c r="P2320" s="74"/>
      <c r="Q2320" s="74"/>
      <c r="R2320" s="74"/>
      <c r="V2320" s="72"/>
    </row>
    <row r="2321" spans="15:22" x14ac:dyDescent="0.25">
      <c r="O2321" s="74"/>
      <c r="P2321" s="74"/>
      <c r="Q2321" s="74"/>
      <c r="R2321" s="74"/>
      <c r="V2321" s="72"/>
    </row>
    <row r="2322" spans="15:22" x14ac:dyDescent="0.25">
      <c r="O2322" s="74"/>
      <c r="P2322" s="74"/>
      <c r="Q2322" s="74"/>
      <c r="R2322" s="74"/>
      <c r="V2322" s="72"/>
    </row>
    <row r="2323" spans="15:22" x14ac:dyDescent="0.25">
      <c r="O2323" s="74"/>
      <c r="P2323" s="74"/>
      <c r="Q2323" s="74"/>
      <c r="R2323" s="74"/>
      <c r="V2323" s="72"/>
    </row>
    <row r="2324" spans="15:22" x14ac:dyDescent="0.25">
      <c r="O2324" s="74"/>
      <c r="P2324" s="74"/>
      <c r="Q2324" s="74"/>
      <c r="R2324" s="74"/>
      <c r="V2324" s="72"/>
    </row>
    <row r="2325" spans="15:22" x14ac:dyDescent="0.25">
      <c r="O2325" s="74"/>
      <c r="P2325" s="74"/>
      <c r="Q2325" s="74"/>
      <c r="R2325" s="74"/>
      <c r="V2325" s="72"/>
    </row>
    <row r="2326" spans="15:22" x14ac:dyDescent="0.25">
      <c r="O2326" s="74"/>
      <c r="P2326" s="74"/>
      <c r="Q2326" s="74"/>
      <c r="R2326" s="74"/>
      <c r="V2326" s="72"/>
    </row>
    <row r="2327" spans="15:22" x14ac:dyDescent="0.25">
      <c r="O2327" s="74"/>
      <c r="P2327" s="74"/>
      <c r="Q2327" s="74"/>
      <c r="R2327" s="74"/>
      <c r="V2327" s="72"/>
    </row>
    <row r="2328" spans="15:22" x14ac:dyDescent="0.25">
      <c r="O2328" s="74"/>
      <c r="P2328" s="74"/>
      <c r="Q2328" s="74"/>
      <c r="R2328" s="74"/>
      <c r="V2328" s="72"/>
    </row>
    <row r="2329" spans="15:22" x14ac:dyDescent="0.25">
      <c r="O2329" s="74"/>
      <c r="P2329" s="74"/>
      <c r="Q2329" s="74"/>
      <c r="R2329" s="74"/>
      <c r="V2329" s="72"/>
    </row>
    <row r="2330" spans="15:22" x14ac:dyDescent="0.25">
      <c r="O2330" s="74"/>
      <c r="P2330" s="74"/>
      <c r="Q2330" s="74"/>
      <c r="R2330" s="74"/>
      <c r="V2330" s="72"/>
    </row>
    <row r="2331" spans="15:22" x14ac:dyDescent="0.25">
      <c r="O2331" s="74"/>
      <c r="P2331" s="74"/>
      <c r="Q2331" s="74"/>
      <c r="R2331" s="74"/>
      <c r="V2331" s="72"/>
    </row>
    <row r="2332" spans="15:22" x14ac:dyDescent="0.25">
      <c r="O2332" s="74"/>
      <c r="P2332" s="74"/>
      <c r="Q2332" s="74"/>
      <c r="R2332" s="74"/>
      <c r="V2332" s="72"/>
    </row>
    <row r="2333" spans="15:22" x14ac:dyDescent="0.25">
      <c r="O2333" s="74"/>
      <c r="P2333" s="74"/>
      <c r="Q2333" s="74"/>
      <c r="R2333" s="74"/>
      <c r="V2333" s="72"/>
    </row>
    <row r="2334" spans="15:22" x14ac:dyDescent="0.25">
      <c r="O2334" s="74"/>
      <c r="P2334" s="74"/>
      <c r="Q2334" s="74"/>
      <c r="R2334" s="74"/>
      <c r="V2334" s="72"/>
    </row>
    <row r="2335" spans="15:22" x14ac:dyDescent="0.25">
      <c r="O2335" s="74"/>
      <c r="P2335" s="74"/>
      <c r="Q2335" s="74"/>
      <c r="R2335" s="74"/>
      <c r="V2335" s="72"/>
    </row>
    <row r="2336" spans="15:22" x14ac:dyDescent="0.25">
      <c r="O2336" s="74"/>
      <c r="P2336" s="74"/>
      <c r="Q2336" s="74"/>
      <c r="R2336" s="74"/>
      <c r="V2336" s="72"/>
    </row>
    <row r="2337" spans="15:22" x14ac:dyDescent="0.25">
      <c r="O2337" s="74"/>
      <c r="P2337" s="74"/>
      <c r="Q2337" s="74"/>
      <c r="R2337" s="74"/>
      <c r="V2337" s="72"/>
    </row>
    <row r="2338" spans="15:22" x14ac:dyDescent="0.25">
      <c r="O2338" s="74"/>
      <c r="P2338" s="74"/>
      <c r="Q2338" s="74"/>
      <c r="R2338" s="74"/>
      <c r="V2338" s="72"/>
    </row>
    <row r="2339" spans="15:22" x14ac:dyDescent="0.25">
      <c r="O2339" s="74"/>
      <c r="P2339" s="74"/>
      <c r="Q2339" s="74"/>
      <c r="R2339" s="74"/>
      <c r="V2339" s="72"/>
    </row>
    <row r="2340" spans="15:22" x14ac:dyDescent="0.25">
      <c r="O2340" s="74"/>
      <c r="P2340" s="74"/>
      <c r="Q2340" s="74"/>
      <c r="R2340" s="74"/>
      <c r="V2340" s="72"/>
    </row>
    <row r="2341" spans="15:22" x14ac:dyDescent="0.25">
      <c r="O2341" s="74"/>
      <c r="P2341" s="74"/>
      <c r="Q2341" s="74"/>
      <c r="R2341" s="74"/>
      <c r="V2341" s="72"/>
    </row>
    <row r="2342" spans="15:22" x14ac:dyDescent="0.25">
      <c r="O2342" s="74"/>
      <c r="P2342" s="74"/>
      <c r="Q2342" s="74"/>
      <c r="R2342" s="74"/>
      <c r="V2342" s="72"/>
    </row>
    <row r="2343" spans="15:22" x14ac:dyDescent="0.25">
      <c r="O2343" s="74"/>
      <c r="P2343" s="74"/>
      <c r="Q2343" s="74"/>
      <c r="R2343" s="74"/>
      <c r="V2343" s="72"/>
    </row>
    <row r="2344" spans="15:22" x14ac:dyDescent="0.25">
      <c r="O2344" s="74"/>
      <c r="P2344" s="74"/>
      <c r="Q2344" s="74"/>
      <c r="R2344" s="74"/>
      <c r="V2344" s="72"/>
    </row>
    <row r="2345" spans="15:22" x14ac:dyDescent="0.25">
      <c r="O2345" s="74"/>
      <c r="P2345" s="74"/>
      <c r="Q2345" s="74"/>
      <c r="R2345" s="74"/>
      <c r="V2345" s="72"/>
    </row>
    <row r="2346" spans="15:22" x14ac:dyDescent="0.25">
      <c r="O2346" s="74"/>
      <c r="P2346" s="74"/>
      <c r="Q2346" s="74"/>
      <c r="R2346" s="74"/>
      <c r="V2346" s="72"/>
    </row>
    <row r="2347" spans="15:22" x14ac:dyDescent="0.25">
      <c r="O2347" s="74"/>
      <c r="P2347" s="74"/>
      <c r="Q2347" s="74"/>
      <c r="R2347" s="74"/>
      <c r="V2347" s="72"/>
    </row>
    <row r="2348" spans="15:22" x14ac:dyDescent="0.25">
      <c r="O2348" s="74"/>
      <c r="P2348" s="74"/>
      <c r="Q2348" s="74"/>
      <c r="R2348" s="74"/>
      <c r="V2348" s="72"/>
    </row>
    <row r="2349" spans="15:22" x14ac:dyDescent="0.25">
      <c r="O2349" s="74"/>
      <c r="P2349" s="74"/>
      <c r="Q2349" s="74"/>
      <c r="R2349" s="74"/>
      <c r="V2349" s="72"/>
    </row>
    <row r="2350" spans="15:22" x14ac:dyDescent="0.25">
      <c r="O2350" s="74"/>
      <c r="P2350" s="74"/>
      <c r="Q2350" s="74"/>
      <c r="R2350" s="74"/>
      <c r="V2350" s="72"/>
    </row>
    <row r="2351" spans="15:22" x14ac:dyDescent="0.25">
      <c r="O2351" s="74"/>
      <c r="P2351" s="74"/>
      <c r="Q2351" s="74"/>
      <c r="R2351" s="74"/>
      <c r="V2351" s="72"/>
    </row>
    <row r="2352" spans="15:22" x14ac:dyDescent="0.25">
      <c r="O2352" s="74"/>
      <c r="P2352" s="74"/>
      <c r="Q2352" s="74"/>
      <c r="R2352" s="74"/>
      <c r="V2352" s="72"/>
    </row>
    <row r="2353" spans="15:22" x14ac:dyDescent="0.25">
      <c r="O2353" s="74"/>
      <c r="P2353" s="74"/>
      <c r="Q2353" s="74"/>
      <c r="R2353" s="74"/>
      <c r="V2353" s="72"/>
    </row>
    <row r="2354" spans="15:22" x14ac:dyDescent="0.25">
      <c r="O2354" s="74"/>
      <c r="P2354" s="74"/>
      <c r="Q2354" s="74"/>
      <c r="R2354" s="74"/>
      <c r="V2354" s="72"/>
    </row>
    <row r="2355" spans="15:22" x14ac:dyDescent="0.25">
      <c r="O2355" s="74"/>
      <c r="P2355" s="74"/>
      <c r="Q2355" s="74"/>
      <c r="R2355" s="74"/>
      <c r="V2355" s="72"/>
    </row>
    <row r="2356" spans="15:22" x14ac:dyDescent="0.25">
      <c r="O2356" s="74"/>
      <c r="P2356" s="74"/>
      <c r="Q2356" s="74"/>
      <c r="R2356" s="74"/>
      <c r="V2356" s="72"/>
    </row>
    <row r="2357" spans="15:22" x14ac:dyDescent="0.25">
      <c r="O2357" s="74"/>
      <c r="P2357" s="74"/>
      <c r="Q2357" s="74"/>
      <c r="R2357" s="74"/>
      <c r="V2357" s="72"/>
    </row>
    <row r="2358" spans="15:22" x14ac:dyDescent="0.25">
      <c r="O2358" s="74"/>
      <c r="P2358" s="74"/>
      <c r="Q2358" s="74"/>
      <c r="R2358" s="74"/>
      <c r="V2358" s="72"/>
    </row>
    <row r="2359" spans="15:22" x14ac:dyDescent="0.25">
      <c r="O2359" s="74"/>
      <c r="P2359" s="74"/>
      <c r="Q2359" s="74"/>
      <c r="R2359" s="74"/>
      <c r="V2359" s="72"/>
    </row>
    <row r="2360" spans="15:22" x14ac:dyDescent="0.25">
      <c r="O2360" s="74"/>
      <c r="P2360" s="74"/>
      <c r="Q2360" s="74"/>
      <c r="R2360" s="74"/>
      <c r="V2360" s="72"/>
    </row>
    <row r="2361" spans="15:22" x14ac:dyDescent="0.25">
      <c r="O2361" s="74"/>
      <c r="P2361" s="74"/>
      <c r="Q2361" s="74"/>
      <c r="R2361" s="74"/>
      <c r="V2361" s="72"/>
    </row>
    <row r="2362" spans="15:22" x14ac:dyDescent="0.25">
      <c r="O2362" s="74"/>
      <c r="P2362" s="74"/>
      <c r="Q2362" s="74"/>
      <c r="R2362" s="74"/>
      <c r="V2362" s="72"/>
    </row>
    <row r="2363" spans="15:22" x14ac:dyDescent="0.25">
      <c r="O2363" s="74"/>
      <c r="P2363" s="74"/>
      <c r="Q2363" s="74"/>
      <c r="R2363" s="74"/>
      <c r="V2363" s="72"/>
    </row>
    <row r="2364" spans="15:22" x14ac:dyDescent="0.25">
      <c r="O2364" s="74"/>
      <c r="P2364" s="74"/>
      <c r="Q2364" s="74"/>
      <c r="R2364" s="74"/>
      <c r="V2364" s="72"/>
    </row>
    <row r="2365" spans="15:22" x14ac:dyDescent="0.25">
      <c r="O2365" s="74"/>
      <c r="P2365" s="74"/>
      <c r="Q2365" s="74"/>
      <c r="R2365" s="74"/>
      <c r="V2365" s="72"/>
    </row>
    <row r="2366" spans="15:22" x14ac:dyDescent="0.25">
      <c r="O2366" s="74"/>
      <c r="P2366" s="74"/>
      <c r="Q2366" s="74"/>
      <c r="R2366" s="74"/>
      <c r="V2366" s="72"/>
    </row>
    <row r="2367" spans="15:22" x14ac:dyDescent="0.25">
      <c r="O2367" s="74"/>
      <c r="P2367" s="74"/>
      <c r="Q2367" s="74"/>
      <c r="R2367" s="74"/>
      <c r="V2367" s="72"/>
    </row>
    <row r="2368" spans="15:22" x14ac:dyDescent="0.25">
      <c r="O2368" s="74"/>
      <c r="P2368" s="74"/>
      <c r="Q2368" s="74"/>
      <c r="R2368" s="74"/>
      <c r="V2368" s="72"/>
    </row>
    <row r="2369" spans="15:22" x14ac:dyDescent="0.25">
      <c r="O2369" s="74"/>
      <c r="P2369" s="74"/>
      <c r="Q2369" s="74"/>
      <c r="R2369" s="74"/>
      <c r="V2369" s="72"/>
    </row>
    <row r="2370" spans="15:22" x14ac:dyDescent="0.25">
      <c r="O2370" s="74"/>
      <c r="P2370" s="74"/>
      <c r="Q2370" s="74"/>
      <c r="R2370" s="74"/>
      <c r="V2370" s="72"/>
    </row>
    <row r="2371" spans="15:22" x14ac:dyDescent="0.25">
      <c r="O2371" s="74"/>
      <c r="P2371" s="74"/>
      <c r="Q2371" s="74"/>
      <c r="R2371" s="74"/>
      <c r="V2371" s="72"/>
    </row>
    <row r="2372" spans="15:22" x14ac:dyDescent="0.25">
      <c r="O2372" s="74"/>
      <c r="P2372" s="74"/>
      <c r="Q2372" s="74"/>
      <c r="R2372" s="74"/>
      <c r="V2372" s="72"/>
    </row>
    <row r="2373" spans="15:22" x14ac:dyDescent="0.25">
      <c r="O2373" s="74"/>
      <c r="P2373" s="74"/>
      <c r="Q2373" s="74"/>
      <c r="R2373" s="74"/>
      <c r="V2373" s="72"/>
    </row>
    <row r="2374" spans="15:22" x14ac:dyDescent="0.25">
      <c r="O2374" s="74"/>
      <c r="P2374" s="74"/>
      <c r="Q2374" s="74"/>
      <c r="R2374" s="74"/>
      <c r="V2374" s="72"/>
    </row>
    <row r="2375" spans="15:22" x14ac:dyDescent="0.25">
      <c r="O2375" s="74"/>
      <c r="P2375" s="74"/>
      <c r="Q2375" s="74"/>
      <c r="R2375" s="74"/>
      <c r="V2375" s="72"/>
    </row>
    <row r="2376" spans="15:22" x14ac:dyDescent="0.25">
      <c r="O2376" s="74"/>
      <c r="P2376" s="74"/>
      <c r="Q2376" s="74"/>
      <c r="R2376" s="74"/>
      <c r="V2376" s="72"/>
    </row>
    <row r="2377" spans="15:22" x14ac:dyDescent="0.25">
      <c r="O2377" s="74"/>
      <c r="P2377" s="74"/>
      <c r="Q2377" s="74"/>
      <c r="R2377" s="74"/>
      <c r="V2377" s="72"/>
    </row>
    <row r="2378" spans="15:22" x14ac:dyDescent="0.25">
      <c r="O2378" s="74"/>
      <c r="P2378" s="74"/>
      <c r="Q2378" s="74"/>
      <c r="R2378" s="74"/>
      <c r="V2378" s="72"/>
    </row>
    <row r="2379" spans="15:22" x14ac:dyDescent="0.25">
      <c r="O2379" s="74"/>
      <c r="P2379" s="74"/>
      <c r="Q2379" s="74"/>
      <c r="R2379" s="74"/>
      <c r="V2379" s="72"/>
    </row>
    <row r="2380" spans="15:22" x14ac:dyDescent="0.25">
      <c r="O2380" s="74"/>
      <c r="P2380" s="74"/>
      <c r="Q2380" s="74"/>
      <c r="R2380" s="74"/>
      <c r="V2380" s="72"/>
    </row>
    <row r="2381" spans="15:22" x14ac:dyDescent="0.25">
      <c r="O2381" s="74"/>
      <c r="P2381" s="74"/>
      <c r="Q2381" s="74"/>
      <c r="R2381" s="74"/>
      <c r="V2381" s="72"/>
    </row>
    <row r="2382" spans="15:22" x14ac:dyDescent="0.25">
      <c r="O2382" s="74"/>
      <c r="P2382" s="74"/>
      <c r="Q2382" s="74"/>
      <c r="R2382" s="74"/>
      <c r="V2382" s="72"/>
    </row>
    <row r="2383" spans="15:22" x14ac:dyDescent="0.25">
      <c r="O2383" s="74"/>
      <c r="P2383" s="74"/>
      <c r="Q2383" s="74"/>
      <c r="R2383" s="74"/>
      <c r="V2383" s="72"/>
    </row>
    <row r="2384" spans="15:22" x14ac:dyDescent="0.25">
      <c r="O2384" s="74"/>
      <c r="P2384" s="74"/>
      <c r="Q2384" s="74"/>
      <c r="R2384" s="74"/>
      <c r="V2384" s="72"/>
    </row>
    <row r="2385" spans="15:22" x14ac:dyDescent="0.25">
      <c r="O2385" s="74"/>
      <c r="P2385" s="74"/>
      <c r="Q2385" s="74"/>
      <c r="R2385" s="74"/>
      <c r="V2385" s="72"/>
    </row>
    <row r="2386" spans="15:22" x14ac:dyDescent="0.25">
      <c r="O2386" s="74"/>
      <c r="P2386" s="74"/>
      <c r="Q2386" s="74"/>
      <c r="R2386" s="74"/>
      <c r="V2386" s="72"/>
    </row>
    <row r="2387" spans="15:22" x14ac:dyDescent="0.25">
      <c r="O2387" s="74"/>
      <c r="P2387" s="74"/>
      <c r="Q2387" s="74"/>
      <c r="R2387" s="74"/>
      <c r="V2387" s="72"/>
    </row>
    <row r="2388" spans="15:22" x14ac:dyDescent="0.25">
      <c r="O2388" s="74"/>
      <c r="P2388" s="74"/>
      <c r="Q2388" s="74"/>
      <c r="R2388" s="74"/>
      <c r="V2388" s="72"/>
    </row>
    <row r="2389" spans="15:22" x14ac:dyDescent="0.25">
      <c r="O2389" s="74"/>
      <c r="P2389" s="74"/>
      <c r="Q2389" s="74"/>
      <c r="R2389" s="74"/>
      <c r="V2389" s="72"/>
    </row>
    <row r="2390" spans="15:22" x14ac:dyDescent="0.25">
      <c r="O2390" s="74"/>
      <c r="P2390" s="74"/>
      <c r="Q2390" s="74"/>
      <c r="R2390" s="74"/>
      <c r="V2390" s="72"/>
    </row>
    <row r="2391" spans="15:22" x14ac:dyDescent="0.25">
      <c r="O2391" s="74"/>
      <c r="P2391" s="74"/>
      <c r="Q2391" s="74"/>
      <c r="R2391" s="74"/>
      <c r="V2391" s="72"/>
    </row>
    <row r="2392" spans="15:22" x14ac:dyDescent="0.25">
      <c r="O2392" s="74"/>
      <c r="P2392" s="74"/>
      <c r="Q2392" s="74"/>
      <c r="R2392" s="74"/>
      <c r="V2392" s="72"/>
    </row>
    <row r="2393" spans="15:22" x14ac:dyDescent="0.25">
      <c r="O2393" s="74"/>
      <c r="P2393" s="74"/>
      <c r="Q2393" s="74"/>
      <c r="R2393" s="74"/>
      <c r="V2393" s="72"/>
    </row>
    <row r="2394" spans="15:22" x14ac:dyDescent="0.25">
      <c r="O2394" s="74"/>
      <c r="P2394" s="74"/>
      <c r="Q2394" s="74"/>
      <c r="R2394" s="74"/>
      <c r="V2394" s="72"/>
    </row>
    <row r="2395" spans="15:22" x14ac:dyDescent="0.25">
      <c r="O2395" s="74"/>
      <c r="P2395" s="74"/>
      <c r="Q2395" s="74"/>
      <c r="R2395" s="74"/>
      <c r="V2395" s="72"/>
    </row>
    <row r="2396" spans="15:22" x14ac:dyDescent="0.25">
      <c r="O2396" s="74"/>
      <c r="P2396" s="74"/>
      <c r="Q2396" s="74"/>
      <c r="R2396" s="74"/>
      <c r="V2396" s="72"/>
    </row>
    <row r="2397" spans="15:22" x14ac:dyDescent="0.25">
      <c r="O2397" s="74"/>
      <c r="P2397" s="74"/>
      <c r="Q2397" s="74"/>
      <c r="R2397" s="74"/>
      <c r="V2397" s="72"/>
    </row>
    <row r="2398" spans="15:22" x14ac:dyDescent="0.25">
      <c r="O2398" s="74"/>
      <c r="P2398" s="74"/>
      <c r="Q2398" s="74"/>
      <c r="R2398" s="74"/>
      <c r="V2398" s="72"/>
    </row>
    <row r="2399" spans="15:22" x14ac:dyDescent="0.25">
      <c r="O2399" s="74"/>
      <c r="P2399" s="74"/>
      <c r="Q2399" s="74"/>
      <c r="R2399" s="74"/>
      <c r="V2399" s="72"/>
    </row>
    <row r="2400" spans="15:22" x14ac:dyDescent="0.25">
      <c r="O2400" s="74"/>
      <c r="P2400" s="74"/>
      <c r="Q2400" s="74"/>
      <c r="R2400" s="74"/>
      <c r="V2400" s="72"/>
    </row>
    <row r="2401" spans="15:22" x14ac:dyDescent="0.25">
      <c r="O2401" s="74"/>
      <c r="P2401" s="74"/>
      <c r="Q2401" s="74"/>
      <c r="R2401" s="74"/>
      <c r="V2401" s="72"/>
    </row>
    <row r="2402" spans="15:22" x14ac:dyDescent="0.25">
      <c r="O2402" s="74"/>
      <c r="P2402" s="74"/>
      <c r="Q2402" s="74"/>
      <c r="R2402" s="74"/>
      <c r="V2402" s="72"/>
    </row>
    <row r="2403" spans="15:22" x14ac:dyDescent="0.25">
      <c r="O2403" s="74"/>
      <c r="P2403" s="74"/>
      <c r="Q2403" s="74"/>
      <c r="R2403" s="74"/>
      <c r="V2403" s="72"/>
    </row>
    <row r="2404" spans="15:22" x14ac:dyDescent="0.25">
      <c r="O2404" s="74"/>
      <c r="P2404" s="74"/>
      <c r="Q2404" s="74"/>
      <c r="R2404" s="74"/>
      <c r="V2404" s="72"/>
    </row>
    <row r="2405" spans="15:22" x14ac:dyDescent="0.25">
      <c r="O2405" s="74"/>
      <c r="P2405" s="74"/>
      <c r="Q2405" s="74"/>
      <c r="R2405" s="74"/>
      <c r="V2405" s="72"/>
    </row>
    <row r="2406" spans="15:22" x14ac:dyDescent="0.25">
      <c r="O2406" s="74"/>
      <c r="P2406" s="74"/>
      <c r="Q2406" s="74"/>
      <c r="R2406" s="74"/>
      <c r="V2406" s="72"/>
    </row>
    <row r="2407" spans="15:22" x14ac:dyDescent="0.25">
      <c r="O2407" s="74"/>
      <c r="P2407" s="74"/>
      <c r="Q2407" s="74"/>
      <c r="R2407" s="74"/>
      <c r="V2407" s="72"/>
    </row>
    <row r="2408" spans="15:22" x14ac:dyDescent="0.25">
      <c r="O2408" s="74"/>
      <c r="P2408" s="74"/>
      <c r="Q2408" s="74"/>
      <c r="R2408" s="74"/>
      <c r="V2408" s="72"/>
    </row>
    <row r="2409" spans="15:22" x14ac:dyDescent="0.25">
      <c r="O2409" s="74"/>
      <c r="P2409" s="74"/>
      <c r="Q2409" s="74"/>
      <c r="R2409" s="74"/>
      <c r="V2409" s="72"/>
    </row>
    <row r="2410" spans="15:22" x14ac:dyDescent="0.25">
      <c r="O2410" s="74"/>
      <c r="P2410" s="74"/>
      <c r="Q2410" s="74"/>
      <c r="R2410" s="74"/>
      <c r="V2410" s="72"/>
    </row>
    <row r="2411" spans="15:22" x14ac:dyDescent="0.25">
      <c r="O2411" s="74"/>
      <c r="P2411" s="74"/>
      <c r="Q2411" s="74"/>
      <c r="R2411" s="74"/>
      <c r="V2411" s="72"/>
    </row>
    <row r="2412" spans="15:22" x14ac:dyDescent="0.25">
      <c r="O2412" s="74"/>
      <c r="P2412" s="74"/>
      <c r="Q2412" s="74"/>
      <c r="R2412" s="74"/>
      <c r="V2412" s="72"/>
    </row>
    <row r="2413" spans="15:22" x14ac:dyDescent="0.25">
      <c r="O2413" s="74"/>
      <c r="P2413" s="74"/>
      <c r="Q2413" s="74"/>
      <c r="R2413" s="74"/>
      <c r="V2413" s="72"/>
    </row>
    <row r="2414" spans="15:22" x14ac:dyDescent="0.25">
      <c r="O2414" s="74"/>
      <c r="P2414" s="74"/>
      <c r="Q2414" s="74"/>
      <c r="R2414" s="74"/>
      <c r="V2414" s="72"/>
    </row>
    <row r="2415" spans="15:22" x14ac:dyDescent="0.25">
      <c r="O2415" s="74"/>
      <c r="P2415" s="74"/>
      <c r="Q2415" s="74"/>
      <c r="R2415" s="74"/>
      <c r="V2415" s="72"/>
    </row>
    <row r="2416" spans="15:22" x14ac:dyDescent="0.25">
      <c r="O2416" s="74"/>
      <c r="P2416" s="74"/>
      <c r="Q2416" s="74"/>
      <c r="R2416" s="74"/>
      <c r="V2416" s="72"/>
    </row>
    <row r="2417" spans="15:22" x14ac:dyDescent="0.25">
      <c r="O2417" s="74"/>
      <c r="P2417" s="74"/>
      <c r="Q2417" s="74"/>
      <c r="R2417" s="74"/>
      <c r="V2417" s="72"/>
    </row>
    <row r="2418" spans="15:22" x14ac:dyDescent="0.25">
      <c r="O2418" s="74"/>
      <c r="P2418" s="74"/>
      <c r="Q2418" s="74"/>
      <c r="R2418" s="74"/>
      <c r="V2418" s="72"/>
    </row>
    <row r="2419" spans="15:22" x14ac:dyDescent="0.25">
      <c r="O2419" s="74"/>
      <c r="P2419" s="74"/>
      <c r="Q2419" s="74"/>
      <c r="R2419" s="74"/>
      <c r="V2419" s="72"/>
    </row>
    <row r="2420" spans="15:22" x14ac:dyDescent="0.25">
      <c r="O2420" s="74"/>
      <c r="P2420" s="74"/>
      <c r="Q2420" s="74"/>
      <c r="R2420" s="74"/>
      <c r="V2420" s="72"/>
    </row>
    <row r="2421" spans="15:22" x14ac:dyDescent="0.25">
      <c r="O2421" s="74"/>
      <c r="P2421" s="74"/>
      <c r="Q2421" s="74"/>
      <c r="R2421" s="74"/>
      <c r="V2421" s="72"/>
    </row>
    <row r="2422" spans="15:22" x14ac:dyDescent="0.25">
      <c r="O2422" s="74"/>
      <c r="P2422" s="74"/>
      <c r="Q2422" s="74"/>
      <c r="R2422" s="74"/>
      <c r="V2422" s="72"/>
    </row>
    <row r="2423" spans="15:22" x14ac:dyDescent="0.25">
      <c r="O2423" s="74"/>
      <c r="P2423" s="74"/>
      <c r="Q2423" s="74"/>
      <c r="R2423" s="74"/>
      <c r="V2423" s="72"/>
    </row>
    <row r="2424" spans="15:22" x14ac:dyDescent="0.25">
      <c r="O2424" s="74"/>
      <c r="P2424" s="74"/>
      <c r="Q2424" s="74"/>
      <c r="R2424" s="74"/>
      <c r="V2424" s="72"/>
    </row>
    <row r="2425" spans="15:22" x14ac:dyDescent="0.25">
      <c r="O2425" s="74"/>
      <c r="P2425" s="74"/>
      <c r="Q2425" s="74"/>
      <c r="R2425" s="74"/>
      <c r="V2425" s="72"/>
    </row>
    <row r="2426" spans="15:22" x14ac:dyDescent="0.25">
      <c r="O2426" s="74"/>
      <c r="P2426" s="74"/>
      <c r="Q2426" s="74"/>
      <c r="R2426" s="74"/>
      <c r="V2426" s="72"/>
    </row>
    <row r="2427" spans="15:22" x14ac:dyDescent="0.25">
      <c r="O2427" s="74"/>
      <c r="P2427" s="74"/>
      <c r="Q2427" s="74"/>
      <c r="R2427" s="74"/>
      <c r="V2427" s="72"/>
    </row>
    <row r="2428" spans="15:22" x14ac:dyDescent="0.25">
      <c r="O2428" s="74"/>
      <c r="P2428" s="74"/>
      <c r="Q2428" s="74"/>
      <c r="R2428" s="74"/>
      <c r="V2428" s="72"/>
    </row>
    <row r="2429" spans="15:22" x14ac:dyDescent="0.25">
      <c r="O2429" s="74"/>
      <c r="P2429" s="74"/>
      <c r="Q2429" s="74"/>
      <c r="R2429" s="74"/>
      <c r="V2429" s="72"/>
    </row>
    <row r="2430" spans="15:22" x14ac:dyDescent="0.25">
      <c r="O2430" s="74"/>
      <c r="P2430" s="74"/>
      <c r="Q2430" s="74"/>
      <c r="R2430" s="74"/>
      <c r="V2430" s="72"/>
    </row>
    <row r="2431" spans="15:22" x14ac:dyDescent="0.25">
      <c r="O2431" s="74"/>
      <c r="P2431" s="74"/>
      <c r="Q2431" s="74"/>
      <c r="R2431" s="74"/>
      <c r="V2431" s="72"/>
    </row>
    <row r="2432" spans="15:22" x14ac:dyDescent="0.25">
      <c r="O2432" s="74"/>
      <c r="P2432" s="74"/>
      <c r="Q2432" s="74"/>
      <c r="R2432" s="74"/>
      <c r="V2432" s="72"/>
    </row>
    <row r="2433" spans="15:22" x14ac:dyDescent="0.25">
      <c r="O2433" s="74"/>
      <c r="P2433" s="74"/>
      <c r="Q2433" s="74"/>
      <c r="R2433" s="74"/>
      <c r="V2433" s="72"/>
    </row>
    <row r="2434" spans="15:22" x14ac:dyDescent="0.25">
      <c r="O2434" s="74"/>
      <c r="P2434" s="74"/>
      <c r="Q2434" s="74"/>
      <c r="R2434" s="74"/>
      <c r="V2434" s="72"/>
    </row>
    <row r="2435" spans="15:22" x14ac:dyDescent="0.25">
      <c r="O2435" s="74"/>
      <c r="P2435" s="74"/>
      <c r="Q2435" s="74"/>
      <c r="R2435" s="74"/>
      <c r="V2435" s="72"/>
    </row>
    <row r="2436" spans="15:22" x14ac:dyDescent="0.25">
      <c r="O2436" s="74"/>
      <c r="P2436" s="74"/>
      <c r="Q2436" s="74"/>
      <c r="R2436" s="74"/>
      <c r="V2436" s="72"/>
    </row>
    <row r="2437" spans="15:22" x14ac:dyDescent="0.25">
      <c r="O2437" s="74"/>
      <c r="P2437" s="74"/>
      <c r="Q2437" s="74"/>
      <c r="R2437" s="74"/>
      <c r="V2437" s="72"/>
    </row>
    <row r="2438" spans="15:22" x14ac:dyDescent="0.25">
      <c r="O2438" s="74"/>
      <c r="P2438" s="74"/>
      <c r="Q2438" s="74"/>
      <c r="R2438" s="74"/>
      <c r="V2438" s="72"/>
    </row>
    <row r="2439" spans="15:22" x14ac:dyDescent="0.25">
      <c r="O2439" s="74"/>
      <c r="P2439" s="74"/>
      <c r="Q2439" s="74"/>
      <c r="R2439" s="74"/>
      <c r="V2439" s="72"/>
    </row>
    <row r="2440" spans="15:22" x14ac:dyDescent="0.25">
      <c r="O2440" s="74"/>
      <c r="P2440" s="74"/>
      <c r="Q2440" s="74"/>
      <c r="R2440" s="74"/>
      <c r="V2440" s="72"/>
    </row>
    <row r="2441" spans="15:22" x14ac:dyDescent="0.25">
      <c r="O2441" s="74"/>
      <c r="P2441" s="74"/>
      <c r="Q2441" s="74"/>
      <c r="R2441" s="74"/>
      <c r="V2441" s="72"/>
    </row>
    <row r="2442" spans="15:22" x14ac:dyDescent="0.25">
      <c r="O2442" s="74"/>
      <c r="P2442" s="74"/>
      <c r="Q2442" s="74"/>
      <c r="R2442" s="74"/>
      <c r="V2442" s="72"/>
    </row>
    <row r="2443" spans="15:22" x14ac:dyDescent="0.25">
      <c r="O2443" s="74"/>
      <c r="P2443" s="74"/>
      <c r="Q2443" s="74"/>
      <c r="R2443" s="74"/>
      <c r="V2443" s="72"/>
    </row>
    <row r="2444" spans="15:22" x14ac:dyDescent="0.25">
      <c r="O2444" s="74"/>
      <c r="P2444" s="74"/>
      <c r="Q2444" s="74"/>
      <c r="R2444" s="74"/>
      <c r="V2444" s="72"/>
    </row>
    <row r="2445" spans="15:22" x14ac:dyDescent="0.25">
      <c r="O2445" s="74"/>
      <c r="P2445" s="74"/>
      <c r="Q2445" s="74"/>
      <c r="R2445" s="74"/>
      <c r="V2445" s="72"/>
    </row>
    <row r="2446" spans="15:22" x14ac:dyDescent="0.25">
      <c r="O2446" s="74"/>
      <c r="P2446" s="74"/>
      <c r="Q2446" s="74"/>
      <c r="R2446" s="74"/>
      <c r="V2446" s="72"/>
    </row>
    <row r="2447" spans="15:22" x14ac:dyDescent="0.25">
      <c r="O2447" s="74"/>
      <c r="P2447" s="74"/>
      <c r="Q2447" s="74"/>
      <c r="R2447" s="74"/>
      <c r="V2447" s="72"/>
    </row>
    <row r="2448" spans="15:22" x14ac:dyDescent="0.25">
      <c r="O2448" s="74"/>
      <c r="P2448" s="74"/>
      <c r="Q2448" s="74"/>
      <c r="R2448" s="74"/>
      <c r="V2448" s="72"/>
    </row>
    <row r="2449" spans="15:22" x14ac:dyDescent="0.25">
      <c r="O2449" s="74"/>
      <c r="P2449" s="74"/>
      <c r="Q2449" s="74"/>
      <c r="R2449" s="74"/>
      <c r="V2449" s="72"/>
    </row>
    <row r="2450" spans="15:22" x14ac:dyDescent="0.25">
      <c r="O2450" s="74"/>
      <c r="P2450" s="74"/>
      <c r="Q2450" s="74"/>
      <c r="R2450" s="74"/>
      <c r="V2450" s="72"/>
    </row>
    <row r="2451" spans="15:22" x14ac:dyDescent="0.25">
      <c r="O2451" s="74"/>
      <c r="P2451" s="74"/>
      <c r="Q2451" s="74"/>
      <c r="R2451" s="74"/>
      <c r="V2451" s="72"/>
    </row>
    <row r="2452" spans="15:22" x14ac:dyDescent="0.25">
      <c r="O2452" s="74"/>
      <c r="P2452" s="74"/>
      <c r="Q2452" s="74"/>
      <c r="R2452" s="74"/>
      <c r="V2452" s="72"/>
    </row>
    <row r="2453" spans="15:22" x14ac:dyDescent="0.25">
      <c r="O2453" s="74"/>
      <c r="P2453" s="74"/>
      <c r="Q2453" s="74"/>
      <c r="R2453" s="74"/>
      <c r="V2453" s="72"/>
    </row>
    <row r="2454" spans="15:22" x14ac:dyDescent="0.25">
      <c r="O2454" s="74"/>
      <c r="P2454" s="74"/>
      <c r="Q2454" s="74"/>
      <c r="R2454" s="74"/>
      <c r="V2454" s="72"/>
    </row>
    <row r="2455" spans="15:22" x14ac:dyDescent="0.25">
      <c r="O2455" s="74"/>
      <c r="P2455" s="74"/>
      <c r="Q2455" s="74"/>
      <c r="R2455" s="74"/>
      <c r="V2455" s="72"/>
    </row>
    <row r="2456" spans="15:22" x14ac:dyDescent="0.25">
      <c r="O2456" s="74"/>
      <c r="P2456" s="74"/>
      <c r="Q2456" s="74"/>
      <c r="R2456" s="74"/>
      <c r="V2456" s="72"/>
    </row>
    <row r="2457" spans="15:22" x14ac:dyDescent="0.25">
      <c r="O2457" s="74"/>
      <c r="P2457" s="74"/>
      <c r="Q2457" s="74"/>
      <c r="R2457" s="74"/>
      <c r="V2457" s="72"/>
    </row>
    <row r="2458" spans="15:22" x14ac:dyDescent="0.25">
      <c r="O2458" s="74"/>
      <c r="P2458" s="74"/>
      <c r="Q2458" s="74"/>
      <c r="R2458" s="74"/>
      <c r="V2458" s="72"/>
    </row>
    <row r="2459" spans="15:22" x14ac:dyDescent="0.25">
      <c r="O2459" s="74"/>
      <c r="P2459" s="74"/>
      <c r="Q2459" s="74"/>
      <c r="R2459" s="74"/>
      <c r="V2459" s="72"/>
    </row>
    <row r="2460" spans="15:22" x14ac:dyDescent="0.25">
      <c r="O2460" s="74"/>
      <c r="P2460" s="74"/>
      <c r="Q2460" s="74"/>
      <c r="R2460" s="74"/>
      <c r="V2460" s="72"/>
    </row>
    <row r="2461" spans="15:22" x14ac:dyDescent="0.25">
      <c r="O2461" s="74"/>
      <c r="P2461" s="74"/>
      <c r="Q2461" s="74"/>
      <c r="R2461" s="74"/>
      <c r="V2461" s="72"/>
    </row>
    <row r="2462" spans="15:22" x14ac:dyDescent="0.25">
      <c r="O2462" s="74"/>
      <c r="P2462" s="74"/>
      <c r="Q2462" s="74"/>
      <c r="R2462" s="74"/>
      <c r="V2462" s="72"/>
    </row>
    <row r="2463" spans="15:22" x14ac:dyDescent="0.25">
      <c r="O2463" s="74"/>
      <c r="P2463" s="74"/>
      <c r="Q2463" s="74"/>
      <c r="R2463" s="74"/>
      <c r="V2463" s="72"/>
    </row>
    <row r="2464" spans="15:22" x14ac:dyDescent="0.25">
      <c r="O2464" s="74"/>
      <c r="P2464" s="74"/>
      <c r="Q2464" s="74"/>
      <c r="R2464" s="74"/>
      <c r="V2464" s="72"/>
    </row>
    <row r="2465" spans="15:22" x14ac:dyDescent="0.25">
      <c r="O2465" s="74"/>
      <c r="P2465" s="74"/>
      <c r="Q2465" s="74"/>
      <c r="R2465" s="74"/>
      <c r="V2465" s="72"/>
    </row>
    <row r="2466" spans="15:22" x14ac:dyDescent="0.25">
      <c r="O2466" s="74"/>
      <c r="P2466" s="74"/>
      <c r="Q2466" s="74"/>
      <c r="R2466" s="74"/>
      <c r="V2466" s="72"/>
    </row>
    <row r="2467" spans="15:22" x14ac:dyDescent="0.25">
      <c r="O2467" s="74"/>
      <c r="P2467" s="74"/>
      <c r="Q2467" s="74"/>
      <c r="R2467" s="74"/>
      <c r="V2467" s="72"/>
    </row>
    <row r="2468" spans="15:22" x14ac:dyDescent="0.25">
      <c r="O2468" s="74"/>
      <c r="P2468" s="74"/>
      <c r="Q2468" s="74"/>
      <c r="R2468" s="74"/>
      <c r="V2468" s="72"/>
    </row>
    <row r="2469" spans="15:22" x14ac:dyDescent="0.25">
      <c r="O2469" s="74"/>
      <c r="P2469" s="74"/>
      <c r="Q2469" s="74"/>
      <c r="R2469" s="74"/>
      <c r="V2469" s="72"/>
    </row>
    <row r="2470" spans="15:22" x14ac:dyDescent="0.25">
      <c r="O2470" s="74"/>
      <c r="P2470" s="74"/>
      <c r="Q2470" s="74"/>
      <c r="R2470" s="74"/>
      <c r="V2470" s="72"/>
    </row>
    <row r="2471" spans="15:22" x14ac:dyDescent="0.25">
      <c r="O2471" s="74"/>
      <c r="P2471" s="74"/>
      <c r="Q2471" s="74"/>
      <c r="R2471" s="74"/>
      <c r="V2471" s="72"/>
    </row>
    <row r="2472" spans="15:22" x14ac:dyDescent="0.25">
      <c r="O2472" s="74"/>
      <c r="P2472" s="74"/>
      <c r="Q2472" s="74"/>
      <c r="R2472" s="74"/>
      <c r="V2472" s="72"/>
    </row>
    <row r="2473" spans="15:22" x14ac:dyDescent="0.25">
      <c r="O2473" s="74"/>
      <c r="P2473" s="74"/>
      <c r="Q2473" s="74"/>
      <c r="R2473" s="74"/>
      <c r="V2473" s="72"/>
    </row>
    <row r="2474" spans="15:22" x14ac:dyDescent="0.25">
      <c r="O2474" s="74"/>
      <c r="P2474" s="74"/>
      <c r="Q2474" s="74"/>
      <c r="R2474" s="74"/>
      <c r="V2474" s="72"/>
    </row>
    <row r="2475" spans="15:22" x14ac:dyDescent="0.25">
      <c r="O2475" s="74"/>
      <c r="P2475" s="74"/>
      <c r="Q2475" s="74"/>
      <c r="R2475" s="74"/>
      <c r="V2475" s="72"/>
    </row>
    <row r="2476" spans="15:22" x14ac:dyDescent="0.25">
      <c r="O2476" s="74"/>
      <c r="P2476" s="74"/>
      <c r="Q2476" s="74"/>
      <c r="R2476" s="74"/>
      <c r="V2476" s="72"/>
    </row>
    <row r="2477" spans="15:22" x14ac:dyDescent="0.25">
      <c r="O2477" s="74"/>
      <c r="P2477" s="74"/>
      <c r="Q2477" s="74"/>
      <c r="R2477" s="74"/>
      <c r="V2477" s="72"/>
    </row>
    <row r="2478" spans="15:22" x14ac:dyDescent="0.25">
      <c r="O2478" s="74"/>
      <c r="P2478" s="74"/>
      <c r="Q2478" s="74"/>
      <c r="R2478" s="74"/>
      <c r="V2478" s="72"/>
    </row>
    <row r="2479" spans="15:22" x14ac:dyDescent="0.25">
      <c r="O2479" s="74"/>
      <c r="P2479" s="74"/>
      <c r="Q2479" s="74"/>
      <c r="R2479" s="74"/>
      <c r="V2479" s="72"/>
    </row>
    <row r="2480" spans="15:22" x14ac:dyDescent="0.25">
      <c r="O2480" s="74"/>
      <c r="P2480" s="74"/>
      <c r="Q2480" s="74"/>
      <c r="R2480" s="74"/>
      <c r="V2480" s="72"/>
    </row>
    <row r="2481" spans="15:22" x14ac:dyDescent="0.25">
      <c r="O2481" s="74"/>
      <c r="P2481" s="74"/>
      <c r="Q2481" s="74"/>
      <c r="R2481" s="74"/>
      <c r="V2481" s="72"/>
    </row>
    <row r="2482" spans="15:22" x14ac:dyDescent="0.25">
      <c r="O2482" s="74"/>
      <c r="P2482" s="74"/>
      <c r="Q2482" s="74"/>
      <c r="R2482" s="74"/>
      <c r="V2482" s="72"/>
    </row>
    <row r="2483" spans="15:22" x14ac:dyDescent="0.25">
      <c r="O2483" s="74"/>
      <c r="P2483" s="74"/>
      <c r="Q2483" s="74"/>
      <c r="R2483" s="74"/>
      <c r="V2483" s="72"/>
    </row>
    <row r="2484" spans="15:22" x14ac:dyDescent="0.25">
      <c r="O2484" s="74"/>
      <c r="P2484" s="74"/>
      <c r="Q2484" s="74"/>
      <c r="R2484" s="74"/>
      <c r="V2484" s="72"/>
    </row>
    <row r="2485" spans="15:22" x14ac:dyDescent="0.25">
      <c r="O2485" s="74"/>
      <c r="P2485" s="74"/>
      <c r="Q2485" s="74"/>
      <c r="R2485" s="74"/>
      <c r="V2485" s="72"/>
    </row>
    <row r="2486" spans="15:22" x14ac:dyDescent="0.25">
      <c r="O2486" s="74"/>
      <c r="P2486" s="74"/>
      <c r="Q2486" s="74"/>
      <c r="R2486" s="74"/>
      <c r="V2486" s="72"/>
    </row>
    <row r="2487" spans="15:22" x14ac:dyDescent="0.25">
      <c r="O2487" s="74"/>
      <c r="P2487" s="74"/>
      <c r="Q2487" s="74"/>
      <c r="R2487" s="74"/>
      <c r="V2487" s="72"/>
    </row>
    <row r="2488" spans="15:22" x14ac:dyDescent="0.25">
      <c r="O2488" s="74"/>
      <c r="P2488" s="74"/>
      <c r="Q2488" s="74"/>
      <c r="R2488" s="74"/>
      <c r="V2488" s="72"/>
    </row>
    <row r="2489" spans="15:22" x14ac:dyDescent="0.25">
      <c r="O2489" s="74"/>
      <c r="P2489" s="74"/>
      <c r="Q2489" s="74"/>
      <c r="R2489" s="74"/>
      <c r="V2489" s="72"/>
    </row>
    <row r="2490" spans="15:22" x14ac:dyDescent="0.25">
      <c r="O2490" s="74"/>
      <c r="P2490" s="74"/>
      <c r="Q2490" s="74"/>
      <c r="R2490" s="74"/>
      <c r="V2490" s="72"/>
    </row>
    <row r="2491" spans="15:22" x14ac:dyDescent="0.25">
      <c r="O2491" s="74"/>
      <c r="P2491" s="74"/>
      <c r="Q2491" s="74"/>
      <c r="R2491" s="74"/>
      <c r="V2491" s="72"/>
    </row>
    <row r="2492" spans="15:22" x14ac:dyDescent="0.25">
      <c r="O2492" s="74"/>
      <c r="P2492" s="74"/>
      <c r="Q2492" s="74"/>
      <c r="R2492" s="74"/>
      <c r="V2492" s="72"/>
    </row>
    <row r="2493" spans="15:22" x14ac:dyDescent="0.25">
      <c r="O2493" s="74"/>
      <c r="P2493" s="74"/>
      <c r="Q2493" s="74"/>
      <c r="R2493" s="74"/>
      <c r="V2493" s="72"/>
    </row>
    <row r="2494" spans="15:22" x14ac:dyDescent="0.25">
      <c r="O2494" s="74"/>
      <c r="P2494" s="74"/>
      <c r="Q2494" s="74"/>
      <c r="R2494" s="74"/>
      <c r="V2494" s="72"/>
    </row>
    <row r="2495" spans="15:22" x14ac:dyDescent="0.25">
      <c r="O2495" s="74"/>
      <c r="P2495" s="74"/>
      <c r="Q2495" s="74"/>
      <c r="R2495" s="74"/>
      <c r="V2495" s="72"/>
    </row>
    <row r="2496" spans="15:22" x14ac:dyDescent="0.25">
      <c r="O2496" s="74"/>
      <c r="P2496" s="74"/>
      <c r="Q2496" s="74"/>
      <c r="R2496" s="74"/>
      <c r="V2496" s="72"/>
    </row>
    <row r="2497" spans="15:22" x14ac:dyDescent="0.25">
      <c r="O2497" s="74"/>
      <c r="P2497" s="74"/>
      <c r="Q2497" s="74"/>
      <c r="R2497" s="74"/>
      <c r="V2497" s="72"/>
    </row>
    <row r="2498" spans="15:22" x14ac:dyDescent="0.25">
      <c r="O2498" s="74"/>
      <c r="P2498" s="74"/>
      <c r="Q2498" s="74"/>
      <c r="R2498" s="74"/>
      <c r="V2498" s="72"/>
    </row>
    <row r="2499" spans="15:22" x14ac:dyDescent="0.25">
      <c r="O2499" s="74"/>
      <c r="P2499" s="74"/>
      <c r="Q2499" s="74"/>
      <c r="R2499" s="74"/>
      <c r="V2499" s="72"/>
    </row>
    <row r="2500" spans="15:22" x14ac:dyDescent="0.25">
      <c r="O2500" s="74"/>
      <c r="P2500" s="74"/>
      <c r="Q2500" s="74"/>
      <c r="R2500" s="74"/>
      <c r="V2500" s="72"/>
    </row>
    <row r="2501" spans="15:22" x14ac:dyDescent="0.25">
      <c r="O2501" s="74"/>
      <c r="P2501" s="74"/>
      <c r="Q2501" s="74"/>
      <c r="R2501" s="74"/>
      <c r="V2501" s="72"/>
    </row>
    <row r="2502" spans="15:22" x14ac:dyDescent="0.25">
      <c r="O2502" s="74"/>
      <c r="P2502" s="74"/>
      <c r="Q2502" s="74"/>
      <c r="R2502" s="74"/>
      <c r="V2502" s="72"/>
    </row>
    <row r="2503" spans="15:22" x14ac:dyDescent="0.25">
      <c r="O2503" s="74"/>
      <c r="P2503" s="74"/>
      <c r="Q2503" s="74"/>
      <c r="R2503" s="74"/>
      <c r="V2503" s="72"/>
    </row>
    <row r="2504" spans="15:22" x14ac:dyDescent="0.25">
      <c r="O2504" s="74"/>
      <c r="P2504" s="74"/>
      <c r="Q2504" s="74"/>
      <c r="R2504" s="74"/>
      <c r="V2504" s="72"/>
    </row>
    <row r="2505" spans="15:22" x14ac:dyDescent="0.25">
      <c r="O2505" s="74"/>
      <c r="P2505" s="74"/>
      <c r="Q2505" s="74"/>
      <c r="R2505" s="74"/>
      <c r="V2505" s="72"/>
    </row>
    <row r="2506" spans="15:22" x14ac:dyDescent="0.25">
      <c r="O2506" s="74"/>
      <c r="P2506" s="74"/>
      <c r="Q2506" s="74"/>
      <c r="R2506" s="74"/>
      <c r="V2506" s="72"/>
    </row>
    <row r="2507" spans="15:22" x14ac:dyDescent="0.25">
      <c r="O2507" s="74"/>
      <c r="P2507" s="74"/>
      <c r="Q2507" s="74"/>
      <c r="R2507" s="74"/>
      <c r="V2507" s="72"/>
    </row>
    <row r="2508" spans="15:22" x14ac:dyDescent="0.25">
      <c r="O2508" s="74"/>
      <c r="P2508" s="74"/>
      <c r="Q2508" s="74"/>
      <c r="R2508" s="74"/>
      <c r="V2508" s="72"/>
    </row>
    <row r="2509" spans="15:22" x14ac:dyDescent="0.25">
      <c r="O2509" s="74"/>
      <c r="P2509" s="74"/>
      <c r="Q2509" s="74"/>
      <c r="R2509" s="74"/>
      <c r="V2509" s="72"/>
    </row>
    <row r="2510" spans="15:22" x14ac:dyDescent="0.25">
      <c r="O2510" s="74"/>
      <c r="P2510" s="74"/>
      <c r="Q2510" s="74"/>
      <c r="R2510" s="74"/>
      <c r="V2510" s="72"/>
    </row>
    <row r="2511" spans="15:22" x14ac:dyDescent="0.25">
      <c r="O2511" s="74"/>
      <c r="P2511" s="74"/>
      <c r="Q2511" s="74"/>
      <c r="R2511" s="74"/>
      <c r="V2511" s="72"/>
    </row>
    <row r="2512" spans="15:22" x14ac:dyDescent="0.25">
      <c r="O2512" s="74"/>
      <c r="P2512" s="74"/>
      <c r="Q2512" s="74"/>
      <c r="R2512" s="74"/>
      <c r="V2512" s="72"/>
    </row>
    <row r="2513" spans="15:22" x14ac:dyDescent="0.25">
      <c r="O2513" s="74"/>
      <c r="P2513" s="74"/>
      <c r="Q2513" s="74"/>
      <c r="R2513" s="74"/>
      <c r="V2513" s="72"/>
    </row>
    <row r="2514" spans="15:22" x14ac:dyDescent="0.25">
      <c r="O2514" s="74"/>
      <c r="P2514" s="74"/>
      <c r="Q2514" s="74"/>
      <c r="R2514" s="74"/>
      <c r="V2514" s="72"/>
    </row>
    <row r="2515" spans="15:22" x14ac:dyDescent="0.25">
      <c r="O2515" s="74"/>
      <c r="P2515" s="74"/>
      <c r="Q2515" s="74"/>
      <c r="R2515" s="74"/>
      <c r="V2515" s="72"/>
    </row>
    <row r="2516" spans="15:22" x14ac:dyDescent="0.25">
      <c r="O2516" s="74"/>
      <c r="P2516" s="74"/>
      <c r="Q2516" s="74"/>
      <c r="R2516" s="74"/>
      <c r="V2516" s="72"/>
    </row>
    <row r="2517" spans="15:22" x14ac:dyDescent="0.25">
      <c r="O2517" s="74"/>
      <c r="P2517" s="74"/>
      <c r="Q2517" s="74"/>
      <c r="R2517" s="74"/>
      <c r="V2517" s="72"/>
    </row>
    <row r="2518" spans="15:22" x14ac:dyDescent="0.25">
      <c r="O2518" s="74"/>
      <c r="P2518" s="74"/>
      <c r="Q2518" s="74"/>
      <c r="R2518" s="74"/>
      <c r="V2518" s="72"/>
    </row>
    <row r="2519" spans="15:22" x14ac:dyDescent="0.25">
      <c r="O2519" s="74"/>
      <c r="P2519" s="74"/>
      <c r="Q2519" s="74"/>
      <c r="R2519" s="74"/>
      <c r="V2519" s="72"/>
    </row>
    <row r="2520" spans="15:22" x14ac:dyDescent="0.25">
      <c r="O2520" s="74"/>
      <c r="P2520" s="74"/>
      <c r="Q2520" s="74"/>
      <c r="R2520" s="74"/>
      <c r="V2520" s="72"/>
    </row>
    <row r="2521" spans="15:22" x14ac:dyDescent="0.25">
      <c r="O2521" s="74"/>
      <c r="P2521" s="74"/>
      <c r="Q2521" s="74"/>
      <c r="R2521" s="74"/>
      <c r="V2521" s="72"/>
    </row>
    <row r="2522" spans="15:22" x14ac:dyDescent="0.25">
      <c r="O2522" s="74"/>
      <c r="P2522" s="74"/>
      <c r="Q2522" s="74"/>
      <c r="R2522" s="74"/>
      <c r="V2522" s="72"/>
    </row>
    <row r="2523" spans="15:22" x14ac:dyDescent="0.25">
      <c r="O2523" s="74"/>
      <c r="P2523" s="74"/>
      <c r="Q2523" s="74"/>
      <c r="R2523" s="74"/>
      <c r="V2523" s="72"/>
    </row>
    <row r="2524" spans="15:22" x14ac:dyDescent="0.25">
      <c r="O2524" s="74"/>
      <c r="P2524" s="74"/>
      <c r="Q2524" s="74"/>
      <c r="R2524" s="74"/>
      <c r="V2524" s="72"/>
    </row>
    <row r="2525" spans="15:22" x14ac:dyDescent="0.25">
      <c r="O2525" s="74"/>
      <c r="P2525" s="74"/>
      <c r="Q2525" s="74"/>
      <c r="R2525" s="74"/>
      <c r="V2525" s="72"/>
    </row>
    <row r="2526" spans="15:22" x14ac:dyDescent="0.25">
      <c r="O2526" s="74"/>
      <c r="P2526" s="74"/>
      <c r="Q2526" s="74"/>
      <c r="R2526" s="74"/>
      <c r="V2526" s="72"/>
    </row>
    <row r="2527" spans="15:22" x14ac:dyDescent="0.25">
      <c r="O2527" s="74"/>
      <c r="P2527" s="74"/>
      <c r="Q2527" s="74"/>
      <c r="R2527" s="74"/>
      <c r="V2527" s="72"/>
    </row>
    <row r="2528" spans="15:22" x14ac:dyDescent="0.25">
      <c r="O2528" s="74"/>
      <c r="P2528" s="74"/>
      <c r="Q2528" s="74"/>
      <c r="R2528" s="74"/>
      <c r="V2528" s="72"/>
    </row>
    <row r="2529" spans="15:22" x14ac:dyDescent="0.25">
      <c r="O2529" s="74"/>
      <c r="P2529" s="74"/>
      <c r="Q2529" s="74"/>
      <c r="R2529" s="74"/>
      <c r="V2529" s="72"/>
    </row>
    <row r="2530" spans="15:22" x14ac:dyDescent="0.25">
      <c r="O2530" s="74"/>
      <c r="P2530" s="74"/>
      <c r="Q2530" s="74"/>
      <c r="R2530" s="74"/>
      <c r="V2530" s="72"/>
    </row>
    <row r="2531" spans="15:22" x14ac:dyDescent="0.25">
      <c r="O2531" s="74"/>
      <c r="P2531" s="74"/>
      <c r="Q2531" s="74"/>
      <c r="R2531" s="74"/>
      <c r="V2531" s="72"/>
    </row>
    <row r="2532" spans="15:22" x14ac:dyDescent="0.25">
      <c r="O2532" s="74"/>
      <c r="P2532" s="74"/>
      <c r="Q2532" s="74"/>
      <c r="R2532" s="74"/>
      <c r="V2532" s="72"/>
    </row>
    <row r="2533" spans="15:22" x14ac:dyDescent="0.25">
      <c r="O2533" s="74"/>
      <c r="P2533" s="74"/>
      <c r="Q2533" s="74"/>
      <c r="R2533" s="74"/>
      <c r="V2533" s="72"/>
    </row>
    <row r="2534" spans="15:22" x14ac:dyDescent="0.25">
      <c r="O2534" s="74"/>
      <c r="P2534" s="74"/>
      <c r="Q2534" s="74"/>
      <c r="R2534" s="74"/>
      <c r="V2534" s="72"/>
    </row>
    <row r="2535" spans="15:22" x14ac:dyDescent="0.25">
      <c r="O2535" s="74"/>
      <c r="P2535" s="74"/>
      <c r="Q2535" s="74"/>
      <c r="R2535" s="74"/>
      <c r="V2535" s="72"/>
    </row>
    <row r="2536" spans="15:22" x14ac:dyDescent="0.25">
      <c r="O2536" s="74"/>
      <c r="P2536" s="74"/>
      <c r="Q2536" s="74"/>
      <c r="R2536" s="74"/>
      <c r="V2536" s="72"/>
    </row>
    <row r="2537" spans="15:22" x14ac:dyDescent="0.25">
      <c r="O2537" s="74"/>
      <c r="P2537" s="74"/>
      <c r="Q2537" s="74"/>
      <c r="R2537" s="74"/>
      <c r="V2537" s="72"/>
    </row>
    <row r="2538" spans="15:22" x14ac:dyDescent="0.25">
      <c r="O2538" s="74"/>
      <c r="P2538" s="74"/>
      <c r="Q2538" s="74"/>
      <c r="R2538" s="74"/>
      <c r="V2538" s="72"/>
    </row>
    <row r="2539" spans="15:22" x14ac:dyDescent="0.25">
      <c r="O2539" s="74"/>
      <c r="P2539" s="74"/>
      <c r="Q2539" s="74"/>
      <c r="R2539" s="74"/>
      <c r="V2539" s="72"/>
    </row>
    <row r="2540" spans="15:22" x14ac:dyDescent="0.25">
      <c r="O2540" s="74"/>
      <c r="P2540" s="74"/>
      <c r="Q2540" s="74"/>
      <c r="R2540" s="74"/>
      <c r="V2540" s="72"/>
    </row>
    <row r="2541" spans="15:22" x14ac:dyDescent="0.25">
      <c r="O2541" s="74"/>
      <c r="P2541" s="74"/>
      <c r="Q2541" s="74"/>
      <c r="R2541" s="74"/>
      <c r="V2541" s="72"/>
    </row>
    <row r="2542" spans="15:22" x14ac:dyDescent="0.25">
      <c r="O2542" s="74"/>
      <c r="P2542" s="74"/>
      <c r="Q2542" s="74"/>
      <c r="R2542" s="74"/>
      <c r="V2542" s="72"/>
    </row>
    <row r="2543" spans="15:22" x14ac:dyDescent="0.25">
      <c r="O2543" s="74"/>
      <c r="P2543" s="74"/>
      <c r="Q2543" s="74"/>
      <c r="R2543" s="74"/>
      <c r="V2543" s="72"/>
    </row>
    <row r="2544" spans="15:22" x14ac:dyDescent="0.25">
      <c r="O2544" s="74"/>
      <c r="P2544" s="74"/>
      <c r="Q2544" s="74"/>
      <c r="R2544" s="74"/>
      <c r="V2544" s="72"/>
    </row>
    <row r="2545" spans="15:22" x14ac:dyDescent="0.25">
      <c r="O2545" s="74"/>
      <c r="P2545" s="74"/>
      <c r="Q2545" s="74"/>
      <c r="R2545" s="74"/>
      <c r="V2545" s="72"/>
    </row>
    <row r="2546" spans="15:22" x14ac:dyDescent="0.25">
      <c r="O2546" s="74"/>
      <c r="P2546" s="74"/>
      <c r="Q2546" s="74"/>
      <c r="R2546" s="74"/>
      <c r="V2546" s="72"/>
    </row>
    <row r="2547" spans="15:22" x14ac:dyDescent="0.25">
      <c r="O2547" s="74"/>
      <c r="P2547" s="74"/>
      <c r="Q2547" s="74"/>
      <c r="R2547" s="74"/>
      <c r="V2547" s="72"/>
    </row>
    <row r="2548" spans="15:22" x14ac:dyDescent="0.25">
      <c r="O2548" s="74"/>
      <c r="P2548" s="74"/>
      <c r="Q2548" s="74"/>
      <c r="R2548" s="74"/>
      <c r="V2548" s="72"/>
    </row>
    <row r="2549" spans="15:22" x14ac:dyDescent="0.25">
      <c r="O2549" s="74"/>
      <c r="P2549" s="74"/>
      <c r="Q2549" s="74"/>
      <c r="R2549" s="74"/>
      <c r="V2549" s="72"/>
    </row>
    <row r="2550" spans="15:22" x14ac:dyDescent="0.25">
      <c r="O2550" s="74"/>
      <c r="P2550" s="74"/>
      <c r="Q2550" s="74"/>
      <c r="R2550" s="74"/>
      <c r="V2550" s="72"/>
    </row>
    <row r="2551" spans="15:22" x14ac:dyDescent="0.25">
      <c r="O2551" s="74"/>
      <c r="P2551" s="74"/>
      <c r="Q2551" s="74"/>
      <c r="R2551" s="74"/>
      <c r="V2551" s="72"/>
    </row>
    <row r="2552" spans="15:22" x14ac:dyDescent="0.25">
      <c r="O2552" s="74"/>
      <c r="P2552" s="74"/>
      <c r="Q2552" s="74"/>
      <c r="R2552" s="74"/>
      <c r="V2552" s="72"/>
    </row>
    <row r="2553" spans="15:22" x14ac:dyDescent="0.25">
      <c r="O2553" s="74"/>
      <c r="P2553" s="74"/>
      <c r="Q2553" s="74"/>
      <c r="R2553" s="74"/>
      <c r="V2553" s="72"/>
    </row>
    <row r="2554" spans="15:22" x14ac:dyDescent="0.25">
      <c r="O2554" s="74"/>
      <c r="P2554" s="74"/>
      <c r="Q2554" s="74"/>
      <c r="R2554" s="74"/>
      <c r="V2554" s="72"/>
    </row>
    <row r="2555" spans="15:22" x14ac:dyDescent="0.25">
      <c r="O2555" s="74"/>
      <c r="P2555" s="74"/>
      <c r="Q2555" s="74"/>
      <c r="R2555" s="74"/>
      <c r="V2555" s="72"/>
    </row>
    <row r="2556" spans="15:22" x14ac:dyDescent="0.25">
      <c r="O2556" s="74"/>
      <c r="P2556" s="74"/>
      <c r="Q2556" s="74"/>
      <c r="R2556" s="74"/>
      <c r="V2556" s="72"/>
    </row>
    <row r="2557" spans="15:22" x14ac:dyDescent="0.25">
      <c r="O2557" s="74"/>
      <c r="P2557" s="74"/>
      <c r="Q2557" s="74"/>
      <c r="R2557" s="74"/>
      <c r="V2557" s="72"/>
    </row>
    <row r="2558" spans="15:22" x14ac:dyDescent="0.25">
      <c r="O2558" s="74"/>
      <c r="P2558" s="74"/>
      <c r="Q2558" s="74"/>
      <c r="R2558" s="74"/>
      <c r="V2558" s="72"/>
    </row>
    <row r="2559" spans="15:22" x14ac:dyDescent="0.25">
      <c r="O2559" s="74"/>
      <c r="P2559" s="74"/>
      <c r="Q2559" s="74"/>
      <c r="R2559" s="74"/>
      <c r="V2559" s="72"/>
    </row>
    <row r="2560" spans="15:22" x14ac:dyDescent="0.25">
      <c r="O2560" s="74"/>
      <c r="P2560" s="74"/>
      <c r="Q2560" s="74"/>
      <c r="R2560" s="74"/>
      <c r="V2560" s="72"/>
    </row>
    <row r="2561" spans="15:22" x14ac:dyDescent="0.25">
      <c r="O2561" s="74"/>
      <c r="P2561" s="74"/>
      <c r="Q2561" s="74"/>
      <c r="R2561" s="74"/>
      <c r="V2561" s="72"/>
    </row>
    <row r="2562" spans="15:22" x14ac:dyDescent="0.25">
      <c r="O2562" s="74"/>
      <c r="P2562" s="74"/>
      <c r="Q2562" s="74"/>
      <c r="R2562" s="74"/>
      <c r="V2562" s="72"/>
    </row>
    <row r="2563" spans="15:22" x14ac:dyDescent="0.25">
      <c r="O2563" s="74"/>
      <c r="P2563" s="74"/>
      <c r="Q2563" s="74"/>
      <c r="R2563" s="74"/>
      <c r="V2563" s="72"/>
    </row>
    <row r="2564" spans="15:22" x14ac:dyDescent="0.25">
      <c r="O2564" s="74"/>
      <c r="P2564" s="74"/>
      <c r="Q2564" s="74"/>
      <c r="R2564" s="74"/>
      <c r="V2564" s="72"/>
    </row>
    <row r="2565" spans="15:22" x14ac:dyDescent="0.25">
      <c r="O2565" s="74"/>
      <c r="P2565" s="74"/>
      <c r="Q2565" s="74"/>
      <c r="R2565" s="74"/>
      <c r="V2565" s="72"/>
    </row>
    <row r="2566" spans="15:22" x14ac:dyDescent="0.25">
      <c r="O2566" s="74"/>
      <c r="P2566" s="74"/>
      <c r="Q2566" s="74"/>
      <c r="R2566" s="74"/>
      <c r="V2566" s="72"/>
    </row>
    <row r="2567" spans="15:22" x14ac:dyDescent="0.25">
      <c r="O2567" s="74"/>
      <c r="P2567" s="74"/>
      <c r="Q2567" s="74"/>
      <c r="R2567" s="74"/>
      <c r="V2567" s="72"/>
    </row>
    <row r="2568" spans="15:22" x14ac:dyDescent="0.25">
      <c r="O2568" s="74"/>
      <c r="P2568" s="74"/>
      <c r="Q2568" s="74"/>
      <c r="R2568" s="74"/>
      <c r="V2568" s="72"/>
    </row>
    <row r="2569" spans="15:22" x14ac:dyDescent="0.25">
      <c r="O2569" s="74"/>
      <c r="P2569" s="74"/>
      <c r="Q2569" s="74"/>
      <c r="R2569" s="74"/>
      <c r="V2569" s="72"/>
    </row>
    <row r="2570" spans="15:22" x14ac:dyDescent="0.25">
      <c r="O2570" s="74"/>
      <c r="P2570" s="74"/>
      <c r="Q2570" s="74"/>
      <c r="R2570" s="74"/>
      <c r="V2570" s="72"/>
    </row>
    <row r="2571" spans="15:22" x14ac:dyDescent="0.25">
      <c r="O2571" s="74"/>
      <c r="P2571" s="74"/>
      <c r="Q2571" s="74"/>
      <c r="R2571" s="74"/>
      <c r="V2571" s="72"/>
    </row>
    <row r="2572" spans="15:22" x14ac:dyDescent="0.25">
      <c r="O2572" s="74"/>
      <c r="P2572" s="74"/>
      <c r="Q2572" s="74"/>
      <c r="R2572" s="74"/>
      <c r="V2572" s="72"/>
    </row>
    <row r="2573" spans="15:22" x14ac:dyDescent="0.25">
      <c r="O2573" s="74"/>
      <c r="P2573" s="74"/>
      <c r="Q2573" s="74"/>
      <c r="R2573" s="74"/>
      <c r="V2573" s="72"/>
    </row>
    <row r="2574" spans="15:22" x14ac:dyDescent="0.25">
      <c r="O2574" s="74"/>
      <c r="P2574" s="74"/>
      <c r="Q2574" s="74"/>
      <c r="R2574" s="74"/>
      <c r="V2574" s="72"/>
    </row>
    <row r="2575" spans="15:22" x14ac:dyDescent="0.25">
      <c r="O2575" s="74"/>
      <c r="P2575" s="74"/>
      <c r="Q2575" s="74"/>
      <c r="R2575" s="74"/>
      <c r="V2575" s="72"/>
    </row>
    <row r="2576" spans="15:22" x14ac:dyDescent="0.25">
      <c r="O2576" s="74"/>
      <c r="P2576" s="74"/>
      <c r="Q2576" s="74"/>
      <c r="R2576" s="74"/>
      <c r="V2576" s="72"/>
    </row>
    <row r="2577" spans="15:22" x14ac:dyDescent="0.25">
      <c r="O2577" s="74"/>
      <c r="P2577" s="74"/>
      <c r="Q2577" s="74"/>
      <c r="R2577" s="74"/>
      <c r="V2577" s="72"/>
    </row>
    <row r="2578" spans="15:22" x14ac:dyDescent="0.25">
      <c r="O2578" s="74"/>
      <c r="P2578" s="74"/>
      <c r="Q2578" s="74"/>
      <c r="R2578" s="74"/>
      <c r="V2578" s="72"/>
    </row>
    <row r="2579" spans="15:22" x14ac:dyDescent="0.25">
      <c r="O2579" s="74"/>
      <c r="P2579" s="74"/>
      <c r="Q2579" s="74"/>
      <c r="R2579" s="74"/>
      <c r="V2579" s="72"/>
    </row>
    <row r="2580" spans="15:22" x14ac:dyDescent="0.25">
      <c r="O2580" s="74"/>
      <c r="P2580" s="74"/>
      <c r="Q2580" s="74"/>
      <c r="R2580" s="74"/>
      <c r="V2580" s="72"/>
    </row>
    <row r="2581" spans="15:22" x14ac:dyDescent="0.25">
      <c r="O2581" s="74"/>
      <c r="P2581" s="74"/>
      <c r="Q2581" s="74"/>
      <c r="R2581" s="74"/>
      <c r="V2581" s="72"/>
    </row>
    <row r="2582" spans="15:22" x14ac:dyDescent="0.25">
      <c r="O2582" s="74"/>
      <c r="P2582" s="74"/>
      <c r="Q2582" s="74"/>
      <c r="R2582" s="74"/>
      <c r="V2582" s="72"/>
    </row>
    <row r="2583" spans="15:22" x14ac:dyDescent="0.25">
      <c r="O2583" s="74"/>
      <c r="P2583" s="74"/>
      <c r="Q2583" s="74"/>
      <c r="R2583" s="74"/>
      <c r="V2583" s="72"/>
    </row>
    <row r="2584" spans="15:22" x14ac:dyDescent="0.25">
      <c r="O2584" s="74"/>
      <c r="P2584" s="74"/>
      <c r="Q2584" s="74"/>
      <c r="R2584" s="74"/>
      <c r="V2584" s="72"/>
    </row>
    <row r="2585" spans="15:22" x14ac:dyDescent="0.25">
      <c r="O2585" s="74"/>
      <c r="P2585" s="74"/>
      <c r="Q2585" s="74"/>
      <c r="R2585" s="74"/>
      <c r="V2585" s="72"/>
    </row>
    <row r="2586" spans="15:22" x14ac:dyDescent="0.25">
      <c r="O2586" s="74"/>
      <c r="P2586" s="74"/>
      <c r="Q2586" s="74"/>
      <c r="R2586" s="74"/>
      <c r="V2586" s="72"/>
    </row>
    <row r="2587" spans="15:22" x14ac:dyDescent="0.25">
      <c r="O2587" s="74"/>
      <c r="P2587" s="74"/>
      <c r="Q2587" s="74"/>
      <c r="R2587" s="74"/>
      <c r="V2587" s="72"/>
    </row>
    <row r="2588" spans="15:22" x14ac:dyDescent="0.25">
      <c r="O2588" s="74"/>
      <c r="P2588" s="74"/>
      <c r="Q2588" s="74"/>
      <c r="R2588" s="74"/>
      <c r="V2588" s="72"/>
    </row>
    <row r="2589" spans="15:22" x14ac:dyDescent="0.25">
      <c r="O2589" s="74"/>
      <c r="P2589" s="74"/>
      <c r="Q2589" s="74"/>
      <c r="R2589" s="74"/>
      <c r="V2589" s="72"/>
    </row>
    <row r="2590" spans="15:22" x14ac:dyDescent="0.25">
      <c r="O2590" s="74"/>
      <c r="P2590" s="74"/>
      <c r="Q2590" s="74"/>
      <c r="R2590" s="74"/>
      <c r="V2590" s="72"/>
    </row>
    <row r="2591" spans="15:22" x14ac:dyDescent="0.25">
      <c r="O2591" s="74"/>
      <c r="P2591" s="74"/>
      <c r="Q2591" s="74"/>
      <c r="R2591" s="74"/>
      <c r="V2591" s="72"/>
    </row>
    <row r="2592" spans="15:22" x14ac:dyDescent="0.25">
      <c r="O2592" s="74"/>
      <c r="P2592" s="74"/>
      <c r="Q2592" s="74"/>
      <c r="R2592" s="74"/>
      <c r="V2592" s="72"/>
    </row>
    <row r="2593" spans="15:22" x14ac:dyDescent="0.25">
      <c r="O2593" s="74"/>
      <c r="P2593" s="74"/>
      <c r="Q2593" s="74"/>
      <c r="R2593" s="74"/>
      <c r="V2593" s="72"/>
    </row>
    <row r="2594" spans="15:22" x14ac:dyDescent="0.25">
      <c r="O2594" s="74"/>
      <c r="P2594" s="74"/>
      <c r="Q2594" s="74"/>
      <c r="R2594" s="74"/>
      <c r="V2594" s="72"/>
    </row>
    <row r="2595" spans="15:22" x14ac:dyDescent="0.25">
      <c r="O2595" s="74"/>
      <c r="P2595" s="74"/>
      <c r="Q2595" s="74"/>
      <c r="R2595" s="74"/>
      <c r="V2595" s="72"/>
    </row>
    <row r="2596" spans="15:22" x14ac:dyDescent="0.25">
      <c r="O2596" s="74"/>
      <c r="P2596" s="74"/>
      <c r="Q2596" s="74"/>
      <c r="R2596" s="74"/>
      <c r="V2596" s="72"/>
    </row>
    <row r="2597" spans="15:22" x14ac:dyDescent="0.25">
      <c r="O2597" s="74"/>
      <c r="P2597" s="74"/>
      <c r="Q2597" s="74"/>
      <c r="R2597" s="74"/>
      <c r="V2597" s="72"/>
    </row>
    <row r="2598" spans="15:22" x14ac:dyDescent="0.25">
      <c r="O2598" s="74"/>
      <c r="P2598" s="74"/>
      <c r="Q2598" s="74"/>
      <c r="R2598" s="74"/>
      <c r="V2598" s="72"/>
    </row>
    <row r="2599" spans="15:22" x14ac:dyDescent="0.25">
      <c r="O2599" s="74"/>
      <c r="P2599" s="74"/>
      <c r="Q2599" s="74"/>
      <c r="R2599" s="74"/>
      <c r="V2599" s="72"/>
    </row>
    <row r="2600" spans="15:22" x14ac:dyDescent="0.25">
      <c r="O2600" s="74"/>
      <c r="P2600" s="74"/>
      <c r="Q2600" s="74"/>
      <c r="R2600" s="74"/>
      <c r="V2600" s="72"/>
    </row>
    <row r="2601" spans="15:22" x14ac:dyDescent="0.25">
      <c r="O2601" s="74"/>
      <c r="P2601" s="74"/>
      <c r="Q2601" s="74"/>
      <c r="R2601" s="74"/>
      <c r="V2601" s="72"/>
    </row>
    <row r="2602" spans="15:22" x14ac:dyDescent="0.25">
      <c r="O2602" s="74"/>
      <c r="P2602" s="74"/>
      <c r="Q2602" s="74"/>
      <c r="R2602" s="74"/>
      <c r="V2602" s="72"/>
    </row>
    <row r="2603" spans="15:22" x14ac:dyDescent="0.25">
      <c r="O2603" s="74"/>
      <c r="P2603" s="74"/>
      <c r="Q2603" s="74"/>
      <c r="R2603" s="74"/>
      <c r="V2603" s="72"/>
    </row>
    <row r="2604" spans="15:22" x14ac:dyDescent="0.25">
      <c r="O2604" s="74"/>
      <c r="P2604" s="74"/>
      <c r="Q2604" s="74"/>
      <c r="R2604" s="74"/>
      <c r="V2604" s="72"/>
    </row>
    <row r="2605" spans="15:22" x14ac:dyDescent="0.25">
      <c r="O2605" s="74"/>
      <c r="P2605" s="74"/>
      <c r="Q2605" s="74"/>
      <c r="R2605" s="74"/>
      <c r="V2605" s="72"/>
    </row>
    <row r="2606" spans="15:22" x14ac:dyDescent="0.25">
      <c r="O2606" s="74"/>
      <c r="P2606" s="74"/>
      <c r="Q2606" s="74"/>
      <c r="R2606" s="74"/>
      <c r="V2606" s="72"/>
    </row>
    <row r="2607" spans="15:22" x14ac:dyDescent="0.25">
      <c r="O2607" s="74"/>
      <c r="P2607" s="74"/>
      <c r="Q2607" s="74"/>
      <c r="R2607" s="74"/>
      <c r="V2607" s="72"/>
    </row>
    <row r="2608" spans="15:22" x14ac:dyDescent="0.25">
      <c r="O2608" s="74"/>
      <c r="P2608" s="74"/>
      <c r="Q2608" s="74"/>
      <c r="R2608" s="74"/>
      <c r="V2608" s="72"/>
    </row>
    <row r="2609" spans="15:22" x14ac:dyDescent="0.25">
      <c r="O2609" s="74"/>
      <c r="P2609" s="74"/>
      <c r="Q2609" s="74"/>
      <c r="R2609" s="74"/>
      <c r="V2609" s="72"/>
    </row>
    <row r="2610" spans="15:22" x14ac:dyDescent="0.25">
      <c r="O2610" s="74"/>
      <c r="P2610" s="74"/>
      <c r="Q2610" s="74"/>
      <c r="R2610" s="74"/>
      <c r="V2610" s="72"/>
    </row>
    <row r="2611" spans="15:22" x14ac:dyDescent="0.25">
      <c r="O2611" s="74"/>
      <c r="P2611" s="74"/>
      <c r="Q2611" s="74"/>
      <c r="R2611" s="74"/>
      <c r="V2611" s="72"/>
    </row>
    <row r="2612" spans="15:22" x14ac:dyDescent="0.25">
      <c r="O2612" s="74"/>
      <c r="P2612" s="74"/>
      <c r="Q2612" s="74"/>
      <c r="R2612" s="74"/>
      <c r="V2612" s="72"/>
    </row>
    <row r="2613" spans="15:22" x14ac:dyDescent="0.25">
      <c r="O2613" s="74"/>
      <c r="P2613" s="74"/>
      <c r="Q2613" s="74"/>
      <c r="R2613" s="74"/>
      <c r="V2613" s="72"/>
    </row>
    <row r="2614" spans="15:22" x14ac:dyDescent="0.25">
      <c r="O2614" s="74"/>
      <c r="P2614" s="74"/>
      <c r="Q2614" s="74"/>
      <c r="R2614" s="74"/>
      <c r="V2614" s="72"/>
    </row>
    <row r="2615" spans="15:22" x14ac:dyDescent="0.25">
      <c r="O2615" s="74"/>
      <c r="P2615" s="74"/>
      <c r="Q2615" s="74"/>
      <c r="R2615" s="74"/>
      <c r="V2615" s="72"/>
    </row>
    <row r="2616" spans="15:22" x14ac:dyDescent="0.25">
      <c r="O2616" s="74"/>
      <c r="P2616" s="74"/>
      <c r="Q2616" s="74"/>
      <c r="R2616" s="74"/>
      <c r="V2616" s="72"/>
    </row>
    <row r="2617" spans="15:22" x14ac:dyDescent="0.25">
      <c r="O2617" s="74"/>
      <c r="P2617" s="74"/>
      <c r="Q2617" s="74"/>
      <c r="R2617" s="74"/>
      <c r="V2617" s="72"/>
    </row>
    <row r="2618" spans="15:22" x14ac:dyDescent="0.25">
      <c r="O2618" s="74"/>
      <c r="P2618" s="74"/>
      <c r="Q2618" s="74"/>
      <c r="R2618" s="74"/>
      <c r="V2618" s="72"/>
    </row>
    <row r="2619" spans="15:22" x14ac:dyDescent="0.25">
      <c r="O2619" s="74"/>
      <c r="P2619" s="74"/>
      <c r="Q2619" s="74"/>
      <c r="R2619" s="74"/>
      <c r="V2619" s="72"/>
    </row>
    <row r="2620" spans="15:22" x14ac:dyDescent="0.25">
      <c r="O2620" s="74"/>
      <c r="P2620" s="74"/>
      <c r="Q2620" s="74"/>
      <c r="R2620" s="74"/>
      <c r="V2620" s="72"/>
    </row>
    <row r="2621" spans="15:22" x14ac:dyDescent="0.25">
      <c r="O2621" s="74"/>
      <c r="P2621" s="74"/>
      <c r="Q2621" s="74"/>
      <c r="R2621" s="74"/>
      <c r="V2621" s="72"/>
    </row>
    <row r="2622" spans="15:22" x14ac:dyDescent="0.25">
      <c r="O2622" s="74"/>
      <c r="P2622" s="74"/>
      <c r="Q2622" s="74"/>
      <c r="R2622" s="74"/>
      <c r="V2622" s="72"/>
    </row>
    <row r="2623" spans="15:22" x14ac:dyDescent="0.25">
      <c r="O2623" s="74"/>
      <c r="P2623" s="74"/>
      <c r="Q2623" s="74"/>
      <c r="R2623" s="74"/>
      <c r="V2623" s="72"/>
    </row>
    <row r="2624" spans="15:22" x14ac:dyDescent="0.25">
      <c r="O2624" s="74"/>
      <c r="P2624" s="74"/>
      <c r="Q2624" s="74"/>
      <c r="R2624" s="74"/>
      <c r="V2624" s="72"/>
    </row>
    <row r="2625" spans="15:22" x14ac:dyDescent="0.25">
      <c r="O2625" s="74"/>
      <c r="P2625" s="74"/>
      <c r="Q2625" s="74"/>
      <c r="R2625" s="74"/>
      <c r="V2625" s="72"/>
    </row>
    <row r="2626" spans="15:22" x14ac:dyDescent="0.25">
      <c r="O2626" s="74"/>
      <c r="P2626" s="74"/>
      <c r="Q2626" s="74"/>
      <c r="R2626" s="74"/>
      <c r="V2626" s="72"/>
    </row>
    <row r="2627" spans="15:22" x14ac:dyDescent="0.25">
      <c r="O2627" s="74"/>
      <c r="P2627" s="74"/>
      <c r="Q2627" s="74"/>
      <c r="R2627" s="74"/>
      <c r="V2627" s="72"/>
    </row>
    <row r="2628" spans="15:22" x14ac:dyDescent="0.25">
      <c r="O2628" s="74"/>
      <c r="P2628" s="74"/>
      <c r="Q2628" s="74"/>
      <c r="R2628" s="74"/>
      <c r="V2628" s="72"/>
    </row>
    <row r="2629" spans="15:22" x14ac:dyDescent="0.25">
      <c r="O2629" s="74"/>
      <c r="P2629" s="74"/>
      <c r="Q2629" s="74"/>
      <c r="R2629" s="74"/>
      <c r="V2629" s="72"/>
    </row>
    <row r="2630" spans="15:22" x14ac:dyDescent="0.25">
      <c r="O2630" s="74"/>
      <c r="P2630" s="74"/>
      <c r="Q2630" s="74"/>
      <c r="R2630" s="74"/>
      <c r="V2630" s="72"/>
    </row>
    <row r="2631" spans="15:22" x14ac:dyDescent="0.25">
      <c r="O2631" s="74"/>
      <c r="P2631" s="74"/>
      <c r="Q2631" s="74"/>
      <c r="R2631" s="74"/>
      <c r="V2631" s="72"/>
    </row>
    <row r="2632" spans="15:22" x14ac:dyDescent="0.25">
      <c r="O2632" s="74"/>
      <c r="P2632" s="74"/>
      <c r="Q2632" s="74"/>
      <c r="R2632" s="74"/>
      <c r="V2632" s="72"/>
    </row>
    <row r="2633" spans="15:22" x14ac:dyDescent="0.25">
      <c r="O2633" s="74"/>
      <c r="P2633" s="74"/>
      <c r="Q2633" s="74"/>
      <c r="R2633" s="74"/>
      <c r="V2633" s="72"/>
    </row>
    <row r="2634" spans="15:22" x14ac:dyDescent="0.25">
      <c r="O2634" s="74"/>
      <c r="P2634" s="74"/>
      <c r="Q2634" s="74"/>
      <c r="R2634" s="74"/>
      <c r="V2634" s="72"/>
    </row>
    <row r="2635" spans="15:22" x14ac:dyDescent="0.25">
      <c r="O2635" s="74"/>
      <c r="P2635" s="74"/>
      <c r="Q2635" s="74"/>
      <c r="R2635" s="74"/>
      <c r="V2635" s="72"/>
    </row>
    <row r="2636" spans="15:22" x14ac:dyDescent="0.25">
      <c r="O2636" s="74"/>
      <c r="P2636" s="74"/>
      <c r="Q2636" s="74"/>
      <c r="R2636" s="74"/>
      <c r="V2636" s="72"/>
    </row>
    <row r="2637" spans="15:22" x14ac:dyDescent="0.25">
      <c r="O2637" s="74"/>
      <c r="P2637" s="74"/>
      <c r="Q2637" s="74"/>
      <c r="R2637" s="74"/>
      <c r="V2637" s="72"/>
    </row>
    <row r="2638" spans="15:22" x14ac:dyDescent="0.25">
      <c r="O2638" s="74"/>
      <c r="P2638" s="74"/>
      <c r="Q2638" s="74"/>
      <c r="R2638" s="74"/>
      <c r="V2638" s="72"/>
    </row>
    <row r="2639" spans="15:22" x14ac:dyDescent="0.25">
      <c r="O2639" s="74"/>
      <c r="P2639" s="74"/>
      <c r="Q2639" s="74"/>
      <c r="R2639" s="74"/>
      <c r="V2639" s="72"/>
    </row>
    <row r="2640" spans="15:22" x14ac:dyDescent="0.25">
      <c r="O2640" s="74"/>
      <c r="P2640" s="74"/>
      <c r="Q2640" s="74"/>
      <c r="R2640" s="74"/>
      <c r="V2640" s="72"/>
    </row>
    <row r="2641" spans="15:22" x14ac:dyDescent="0.25">
      <c r="O2641" s="74"/>
      <c r="P2641" s="74"/>
      <c r="Q2641" s="74"/>
      <c r="R2641" s="74"/>
      <c r="V2641" s="72"/>
    </row>
    <row r="2642" spans="15:22" x14ac:dyDescent="0.25">
      <c r="O2642" s="74"/>
      <c r="P2642" s="74"/>
      <c r="Q2642" s="74"/>
      <c r="R2642" s="74"/>
      <c r="V2642" s="72"/>
    </row>
    <row r="2643" spans="15:22" x14ac:dyDescent="0.25">
      <c r="O2643" s="74"/>
      <c r="P2643" s="74"/>
      <c r="Q2643" s="74"/>
      <c r="R2643" s="74"/>
      <c r="V2643" s="72"/>
    </row>
    <row r="2644" spans="15:22" x14ac:dyDescent="0.25">
      <c r="O2644" s="74"/>
      <c r="P2644" s="74"/>
      <c r="Q2644" s="74"/>
      <c r="R2644" s="74"/>
      <c r="V2644" s="72"/>
    </row>
    <row r="2645" spans="15:22" x14ac:dyDescent="0.25">
      <c r="O2645" s="74"/>
      <c r="P2645" s="74"/>
      <c r="Q2645" s="74"/>
      <c r="R2645" s="74"/>
      <c r="V2645" s="72"/>
    </row>
    <row r="2646" spans="15:22" x14ac:dyDescent="0.25">
      <c r="O2646" s="74"/>
      <c r="P2646" s="74"/>
      <c r="Q2646" s="74"/>
      <c r="R2646" s="74"/>
      <c r="V2646" s="72"/>
    </row>
    <row r="2647" spans="15:22" x14ac:dyDescent="0.25">
      <c r="O2647" s="74"/>
      <c r="P2647" s="74"/>
      <c r="Q2647" s="74"/>
      <c r="R2647" s="74"/>
      <c r="V2647" s="72"/>
    </row>
    <row r="2648" spans="15:22" x14ac:dyDescent="0.25">
      <c r="O2648" s="74"/>
      <c r="P2648" s="74"/>
      <c r="Q2648" s="74"/>
      <c r="R2648" s="74"/>
      <c r="V2648" s="72"/>
    </row>
    <row r="2649" spans="15:22" x14ac:dyDescent="0.25">
      <c r="O2649" s="74"/>
      <c r="P2649" s="74"/>
      <c r="Q2649" s="74"/>
      <c r="R2649" s="74"/>
      <c r="V2649" s="72"/>
    </row>
    <row r="2650" spans="15:22" x14ac:dyDescent="0.25">
      <c r="O2650" s="74"/>
      <c r="P2650" s="74"/>
      <c r="Q2650" s="74"/>
      <c r="R2650" s="74"/>
      <c r="V2650" s="72"/>
    </row>
    <row r="2651" spans="15:22" x14ac:dyDescent="0.25">
      <c r="O2651" s="74"/>
      <c r="P2651" s="74"/>
      <c r="Q2651" s="74"/>
      <c r="R2651" s="74"/>
      <c r="V2651" s="72"/>
    </row>
    <row r="2652" spans="15:22" x14ac:dyDescent="0.25">
      <c r="O2652" s="74"/>
      <c r="P2652" s="74"/>
      <c r="Q2652" s="74"/>
      <c r="R2652" s="74"/>
      <c r="V2652" s="72"/>
    </row>
    <row r="2653" spans="15:22" x14ac:dyDescent="0.25">
      <c r="O2653" s="74"/>
      <c r="P2653" s="74"/>
      <c r="Q2653" s="74"/>
      <c r="R2653" s="74"/>
      <c r="V2653" s="72"/>
    </row>
    <row r="2654" spans="15:22" x14ac:dyDescent="0.25">
      <c r="O2654" s="74"/>
      <c r="P2654" s="74"/>
      <c r="Q2654" s="74"/>
      <c r="R2654" s="74"/>
      <c r="V2654" s="72"/>
    </row>
    <row r="2655" spans="15:22" x14ac:dyDescent="0.25">
      <c r="O2655" s="74"/>
      <c r="P2655" s="74"/>
      <c r="Q2655" s="74"/>
      <c r="R2655" s="74"/>
      <c r="V2655" s="72"/>
    </row>
    <row r="2656" spans="15:22" x14ac:dyDescent="0.25">
      <c r="O2656" s="74"/>
      <c r="P2656" s="74"/>
      <c r="Q2656" s="74"/>
      <c r="R2656" s="74"/>
      <c r="V2656" s="72"/>
    </row>
    <row r="2657" spans="15:22" x14ac:dyDescent="0.25">
      <c r="O2657" s="74"/>
      <c r="P2657" s="74"/>
      <c r="Q2657" s="74"/>
      <c r="R2657" s="74"/>
      <c r="V2657" s="72"/>
    </row>
    <row r="2658" spans="15:22" x14ac:dyDescent="0.25">
      <c r="O2658" s="74"/>
      <c r="P2658" s="74"/>
      <c r="Q2658" s="74"/>
      <c r="R2658" s="74"/>
      <c r="V2658" s="72"/>
    </row>
    <row r="2659" spans="15:22" x14ac:dyDescent="0.25">
      <c r="O2659" s="74"/>
      <c r="P2659" s="74"/>
      <c r="Q2659" s="74"/>
      <c r="R2659" s="74"/>
      <c r="V2659" s="72"/>
    </row>
    <row r="2660" spans="15:22" x14ac:dyDescent="0.25">
      <c r="O2660" s="74"/>
      <c r="P2660" s="74"/>
      <c r="Q2660" s="74"/>
      <c r="R2660" s="74"/>
      <c r="V2660" s="72"/>
    </row>
    <row r="2661" spans="15:22" x14ac:dyDescent="0.25">
      <c r="O2661" s="74"/>
      <c r="P2661" s="74"/>
      <c r="Q2661" s="74"/>
      <c r="R2661" s="74"/>
      <c r="V2661" s="72"/>
    </row>
    <row r="2662" spans="15:22" x14ac:dyDescent="0.25">
      <c r="O2662" s="74"/>
      <c r="P2662" s="74"/>
      <c r="Q2662" s="74"/>
      <c r="R2662" s="74"/>
      <c r="V2662" s="72"/>
    </row>
    <row r="2663" spans="15:22" x14ac:dyDescent="0.25">
      <c r="O2663" s="74"/>
      <c r="P2663" s="74"/>
      <c r="Q2663" s="74"/>
      <c r="R2663" s="74"/>
      <c r="V2663" s="72"/>
    </row>
    <row r="2664" spans="15:22" x14ac:dyDescent="0.25">
      <c r="O2664" s="74"/>
      <c r="P2664" s="74"/>
      <c r="Q2664" s="74"/>
      <c r="R2664" s="74"/>
      <c r="V2664" s="72"/>
    </row>
    <row r="2665" spans="15:22" x14ac:dyDescent="0.25">
      <c r="O2665" s="74"/>
      <c r="P2665" s="74"/>
      <c r="Q2665" s="74"/>
      <c r="R2665" s="74"/>
      <c r="V2665" s="72"/>
    </row>
    <row r="2666" spans="15:22" x14ac:dyDescent="0.25">
      <c r="O2666" s="74"/>
      <c r="P2666" s="74"/>
      <c r="Q2666" s="74"/>
      <c r="R2666" s="74"/>
      <c r="V2666" s="72"/>
    </row>
    <row r="2667" spans="15:22" x14ac:dyDescent="0.25">
      <c r="O2667" s="74"/>
      <c r="P2667" s="74"/>
      <c r="Q2667" s="74"/>
      <c r="R2667" s="74"/>
      <c r="V2667" s="72"/>
    </row>
    <row r="2668" spans="15:22" x14ac:dyDescent="0.25">
      <c r="O2668" s="74"/>
      <c r="P2668" s="74"/>
      <c r="Q2668" s="74"/>
      <c r="R2668" s="74"/>
      <c r="V2668" s="72"/>
    </row>
    <row r="2669" spans="15:22" x14ac:dyDescent="0.25">
      <c r="O2669" s="74"/>
      <c r="P2669" s="74"/>
      <c r="Q2669" s="74"/>
      <c r="R2669" s="74"/>
      <c r="V2669" s="72"/>
    </row>
    <row r="2670" spans="15:22" x14ac:dyDescent="0.25">
      <c r="O2670" s="74"/>
      <c r="P2670" s="74"/>
      <c r="Q2670" s="74"/>
      <c r="R2670" s="74"/>
      <c r="V2670" s="72"/>
    </row>
    <row r="2671" spans="15:22" x14ac:dyDescent="0.25">
      <c r="O2671" s="74"/>
      <c r="P2671" s="74"/>
      <c r="Q2671" s="74"/>
      <c r="R2671" s="74"/>
      <c r="V2671" s="72"/>
    </row>
    <row r="2672" spans="15:22" x14ac:dyDescent="0.25">
      <c r="O2672" s="74"/>
      <c r="P2672" s="74"/>
      <c r="Q2672" s="74"/>
      <c r="R2672" s="74"/>
      <c r="V2672" s="72"/>
    </row>
    <row r="2673" spans="15:22" x14ac:dyDescent="0.25">
      <c r="O2673" s="74"/>
      <c r="P2673" s="74"/>
      <c r="Q2673" s="74"/>
      <c r="R2673" s="74"/>
      <c r="V2673" s="72"/>
    </row>
    <row r="2674" spans="15:22" x14ac:dyDescent="0.25">
      <c r="O2674" s="74"/>
      <c r="P2674" s="74"/>
      <c r="Q2674" s="74"/>
      <c r="R2674" s="74"/>
      <c r="V2674" s="72"/>
    </row>
    <row r="2675" spans="15:22" x14ac:dyDescent="0.25">
      <c r="O2675" s="74"/>
      <c r="P2675" s="74"/>
      <c r="Q2675" s="74"/>
      <c r="R2675" s="74"/>
      <c r="V2675" s="72"/>
    </row>
    <row r="2676" spans="15:22" x14ac:dyDescent="0.25">
      <c r="O2676" s="74"/>
      <c r="P2676" s="74"/>
      <c r="Q2676" s="74"/>
      <c r="R2676" s="74"/>
      <c r="V2676" s="72"/>
    </row>
    <row r="2677" spans="15:22" x14ac:dyDescent="0.25">
      <c r="O2677" s="74"/>
      <c r="P2677" s="74"/>
      <c r="Q2677" s="74"/>
      <c r="R2677" s="74"/>
      <c r="V2677" s="72"/>
    </row>
    <row r="2678" spans="15:22" x14ac:dyDescent="0.25">
      <c r="O2678" s="74"/>
      <c r="P2678" s="74"/>
      <c r="Q2678" s="74"/>
      <c r="R2678" s="74"/>
      <c r="V2678" s="72"/>
    </row>
    <row r="2679" spans="15:22" x14ac:dyDescent="0.25">
      <c r="O2679" s="74"/>
      <c r="P2679" s="74"/>
      <c r="Q2679" s="74"/>
      <c r="R2679" s="74"/>
      <c r="V2679" s="72"/>
    </row>
    <row r="2680" spans="15:22" x14ac:dyDescent="0.25">
      <c r="O2680" s="74"/>
      <c r="P2680" s="74"/>
      <c r="Q2680" s="74"/>
      <c r="R2680" s="74"/>
      <c r="V2680" s="72"/>
    </row>
    <row r="2681" spans="15:22" x14ac:dyDescent="0.25">
      <c r="O2681" s="74"/>
      <c r="P2681" s="74"/>
      <c r="Q2681" s="74"/>
      <c r="R2681" s="74"/>
      <c r="V2681" s="72"/>
    </row>
    <row r="2682" spans="15:22" x14ac:dyDescent="0.25">
      <c r="O2682" s="74"/>
      <c r="P2682" s="74"/>
      <c r="Q2682" s="74"/>
      <c r="R2682" s="74"/>
      <c r="V2682" s="72"/>
    </row>
    <row r="2683" spans="15:22" x14ac:dyDescent="0.25">
      <c r="O2683" s="74"/>
      <c r="P2683" s="74"/>
      <c r="Q2683" s="74"/>
      <c r="R2683" s="74"/>
      <c r="V2683" s="72"/>
    </row>
    <row r="2684" spans="15:22" x14ac:dyDescent="0.25">
      <c r="O2684" s="74"/>
      <c r="P2684" s="74"/>
      <c r="Q2684" s="74"/>
      <c r="R2684" s="74"/>
      <c r="V2684" s="72"/>
    </row>
    <row r="2685" spans="15:22" x14ac:dyDescent="0.25">
      <c r="O2685" s="74"/>
      <c r="P2685" s="74"/>
      <c r="Q2685" s="74"/>
      <c r="R2685" s="74"/>
      <c r="V2685" s="72"/>
    </row>
    <row r="2686" spans="15:22" x14ac:dyDescent="0.25">
      <c r="O2686" s="74"/>
      <c r="P2686" s="74"/>
      <c r="Q2686" s="74"/>
      <c r="R2686" s="74"/>
      <c r="V2686" s="72"/>
    </row>
    <row r="2687" spans="15:22" x14ac:dyDescent="0.25">
      <c r="O2687" s="74"/>
      <c r="P2687" s="74"/>
      <c r="Q2687" s="74"/>
      <c r="R2687" s="74"/>
      <c r="V2687" s="72"/>
    </row>
    <row r="2688" spans="15:22" x14ac:dyDescent="0.25">
      <c r="O2688" s="74"/>
      <c r="P2688" s="74"/>
      <c r="Q2688" s="74"/>
      <c r="R2688" s="74"/>
      <c r="V2688" s="72"/>
    </row>
    <row r="2689" spans="15:22" x14ac:dyDescent="0.25">
      <c r="O2689" s="74"/>
      <c r="P2689" s="74"/>
      <c r="Q2689" s="74"/>
      <c r="R2689" s="74"/>
      <c r="V2689" s="72"/>
    </row>
    <row r="2690" spans="15:22" x14ac:dyDescent="0.25">
      <c r="O2690" s="74"/>
      <c r="P2690" s="74"/>
      <c r="Q2690" s="74"/>
      <c r="R2690" s="74"/>
      <c r="V2690" s="72"/>
    </row>
    <row r="2691" spans="15:22" x14ac:dyDescent="0.25">
      <c r="O2691" s="74"/>
      <c r="P2691" s="74"/>
      <c r="Q2691" s="74"/>
      <c r="R2691" s="74"/>
      <c r="V2691" s="72"/>
    </row>
    <row r="2692" spans="15:22" x14ac:dyDescent="0.25">
      <c r="O2692" s="74"/>
      <c r="P2692" s="74"/>
      <c r="Q2692" s="74"/>
      <c r="R2692" s="74"/>
      <c r="V2692" s="72"/>
    </row>
    <row r="2693" spans="15:22" x14ac:dyDescent="0.25">
      <c r="O2693" s="74"/>
      <c r="P2693" s="74"/>
      <c r="Q2693" s="74"/>
      <c r="R2693" s="74"/>
      <c r="V2693" s="72"/>
    </row>
    <row r="2694" spans="15:22" x14ac:dyDescent="0.25">
      <c r="O2694" s="74"/>
      <c r="P2694" s="74"/>
      <c r="Q2694" s="74"/>
      <c r="R2694" s="74"/>
      <c r="V2694" s="72"/>
    </row>
    <row r="2695" spans="15:22" x14ac:dyDescent="0.25">
      <c r="O2695" s="74"/>
      <c r="P2695" s="74"/>
      <c r="Q2695" s="74"/>
      <c r="R2695" s="74"/>
      <c r="V2695" s="72"/>
    </row>
    <row r="2696" spans="15:22" x14ac:dyDescent="0.25">
      <c r="O2696" s="74"/>
      <c r="P2696" s="74"/>
      <c r="Q2696" s="74"/>
      <c r="R2696" s="74"/>
      <c r="V2696" s="72"/>
    </row>
    <row r="2697" spans="15:22" x14ac:dyDescent="0.25">
      <c r="O2697" s="74"/>
      <c r="P2697" s="74"/>
      <c r="Q2697" s="74"/>
      <c r="R2697" s="74"/>
      <c r="V2697" s="72"/>
    </row>
    <row r="2698" spans="15:22" x14ac:dyDescent="0.25">
      <c r="O2698" s="74"/>
      <c r="P2698" s="74"/>
      <c r="Q2698" s="74"/>
      <c r="R2698" s="74"/>
      <c r="V2698" s="72"/>
    </row>
    <row r="2699" spans="15:22" x14ac:dyDescent="0.25">
      <c r="O2699" s="74"/>
      <c r="P2699" s="74"/>
      <c r="Q2699" s="74"/>
      <c r="R2699" s="74"/>
      <c r="V2699" s="72"/>
    </row>
    <row r="2700" spans="15:22" x14ac:dyDescent="0.25">
      <c r="O2700" s="74"/>
      <c r="P2700" s="74"/>
      <c r="Q2700" s="74"/>
      <c r="R2700" s="74"/>
      <c r="V2700" s="72"/>
    </row>
    <row r="2701" spans="15:22" x14ac:dyDescent="0.25">
      <c r="O2701" s="74"/>
      <c r="P2701" s="74"/>
      <c r="Q2701" s="74"/>
      <c r="R2701" s="74"/>
      <c r="V2701" s="72"/>
    </row>
    <row r="2702" spans="15:22" x14ac:dyDescent="0.25">
      <c r="O2702" s="74"/>
      <c r="P2702" s="74"/>
      <c r="Q2702" s="74"/>
      <c r="R2702" s="74"/>
      <c r="V2702" s="72"/>
    </row>
    <row r="2703" spans="15:22" x14ac:dyDescent="0.25">
      <c r="O2703" s="74"/>
      <c r="P2703" s="74"/>
      <c r="Q2703" s="74"/>
      <c r="R2703" s="74"/>
      <c r="V2703" s="72"/>
    </row>
    <row r="2704" spans="15:22" x14ac:dyDescent="0.25">
      <c r="O2704" s="74"/>
      <c r="P2704" s="74"/>
      <c r="Q2704" s="74"/>
      <c r="R2704" s="74"/>
      <c r="V2704" s="72"/>
    </row>
    <row r="2705" spans="15:22" x14ac:dyDescent="0.25">
      <c r="O2705" s="74"/>
      <c r="P2705" s="74"/>
      <c r="Q2705" s="74"/>
      <c r="R2705" s="74"/>
      <c r="V2705" s="72"/>
    </row>
    <row r="2706" spans="15:22" x14ac:dyDescent="0.25">
      <c r="O2706" s="74"/>
      <c r="P2706" s="74"/>
      <c r="Q2706" s="74"/>
      <c r="R2706" s="74"/>
      <c r="V2706" s="72"/>
    </row>
    <row r="2707" spans="15:22" x14ac:dyDescent="0.25">
      <c r="O2707" s="74"/>
      <c r="P2707" s="74"/>
      <c r="Q2707" s="74"/>
      <c r="R2707" s="74"/>
      <c r="V2707" s="72"/>
    </row>
    <row r="2708" spans="15:22" x14ac:dyDescent="0.25">
      <c r="O2708" s="74"/>
      <c r="P2708" s="74"/>
      <c r="Q2708" s="74"/>
      <c r="R2708" s="74"/>
      <c r="V2708" s="72"/>
    </row>
    <row r="2709" spans="15:22" x14ac:dyDescent="0.25">
      <c r="O2709" s="74"/>
      <c r="P2709" s="74"/>
      <c r="Q2709" s="74"/>
      <c r="R2709" s="74"/>
      <c r="V2709" s="72"/>
    </row>
    <row r="2710" spans="15:22" x14ac:dyDescent="0.25">
      <c r="O2710" s="74"/>
      <c r="P2710" s="74"/>
      <c r="Q2710" s="74"/>
      <c r="R2710" s="74"/>
      <c r="V2710" s="72"/>
    </row>
    <row r="2711" spans="15:22" x14ac:dyDescent="0.25">
      <c r="O2711" s="74"/>
      <c r="P2711" s="74"/>
      <c r="Q2711" s="74"/>
      <c r="R2711" s="74"/>
      <c r="V2711" s="72"/>
    </row>
    <row r="2712" spans="15:22" x14ac:dyDescent="0.25">
      <c r="O2712" s="74"/>
      <c r="P2712" s="74"/>
      <c r="Q2712" s="74"/>
      <c r="R2712" s="74"/>
      <c r="V2712" s="72"/>
    </row>
    <row r="2713" spans="15:22" x14ac:dyDescent="0.25">
      <c r="O2713" s="74"/>
      <c r="P2713" s="74"/>
      <c r="Q2713" s="74"/>
      <c r="R2713" s="74"/>
      <c r="V2713" s="72"/>
    </row>
    <row r="2714" spans="15:22" x14ac:dyDescent="0.25">
      <c r="O2714" s="74"/>
      <c r="P2714" s="74"/>
      <c r="Q2714" s="74"/>
      <c r="R2714" s="74"/>
      <c r="V2714" s="72"/>
    </row>
    <row r="2715" spans="15:22" x14ac:dyDescent="0.25">
      <c r="O2715" s="74"/>
      <c r="P2715" s="74"/>
      <c r="Q2715" s="74"/>
      <c r="R2715" s="74"/>
      <c r="V2715" s="72"/>
    </row>
    <row r="2716" spans="15:22" x14ac:dyDescent="0.25">
      <c r="O2716" s="74"/>
      <c r="P2716" s="74"/>
      <c r="Q2716" s="74"/>
      <c r="R2716" s="74"/>
      <c r="V2716" s="72"/>
    </row>
    <row r="2717" spans="15:22" x14ac:dyDescent="0.25">
      <c r="O2717" s="74"/>
      <c r="P2717" s="74"/>
      <c r="Q2717" s="74"/>
      <c r="R2717" s="74"/>
      <c r="V2717" s="72"/>
    </row>
    <row r="2718" spans="15:22" x14ac:dyDescent="0.25">
      <c r="O2718" s="74"/>
      <c r="P2718" s="74"/>
      <c r="Q2718" s="74"/>
      <c r="R2718" s="74"/>
      <c r="V2718" s="72"/>
    </row>
    <row r="2719" spans="15:22" x14ac:dyDescent="0.25">
      <c r="O2719" s="74"/>
      <c r="P2719" s="74"/>
      <c r="Q2719" s="74"/>
      <c r="R2719" s="74"/>
      <c r="V2719" s="72"/>
    </row>
    <row r="2720" spans="15:22" x14ac:dyDescent="0.25">
      <c r="O2720" s="74"/>
      <c r="P2720" s="74"/>
      <c r="Q2720" s="74"/>
      <c r="R2720" s="74"/>
      <c r="V2720" s="72"/>
    </row>
    <row r="2721" spans="15:22" x14ac:dyDescent="0.25">
      <c r="O2721" s="74"/>
      <c r="P2721" s="74"/>
      <c r="Q2721" s="74"/>
      <c r="R2721" s="74"/>
      <c r="V2721" s="72"/>
    </row>
    <row r="2722" spans="15:22" x14ac:dyDescent="0.25">
      <c r="O2722" s="74"/>
      <c r="P2722" s="74"/>
      <c r="Q2722" s="74"/>
      <c r="R2722" s="74"/>
      <c r="V2722" s="72"/>
    </row>
    <row r="2723" spans="15:22" x14ac:dyDescent="0.25">
      <c r="O2723" s="74"/>
      <c r="P2723" s="74"/>
      <c r="Q2723" s="74"/>
      <c r="R2723" s="74"/>
      <c r="V2723" s="72"/>
    </row>
    <row r="2724" spans="15:22" x14ac:dyDescent="0.25">
      <c r="O2724" s="74"/>
      <c r="P2724" s="74"/>
      <c r="Q2724" s="74"/>
      <c r="R2724" s="74"/>
      <c r="V2724" s="72"/>
    </row>
    <row r="2725" spans="15:22" x14ac:dyDescent="0.25">
      <c r="O2725" s="74"/>
      <c r="P2725" s="74"/>
      <c r="Q2725" s="74"/>
      <c r="R2725" s="74"/>
      <c r="V2725" s="72"/>
    </row>
    <row r="2726" spans="15:22" x14ac:dyDescent="0.25">
      <c r="O2726" s="74"/>
      <c r="P2726" s="74"/>
      <c r="Q2726" s="74"/>
      <c r="R2726" s="74"/>
      <c r="V2726" s="72"/>
    </row>
    <row r="2727" spans="15:22" x14ac:dyDescent="0.25">
      <c r="O2727" s="74"/>
      <c r="P2727" s="74"/>
      <c r="Q2727" s="74"/>
      <c r="R2727" s="74"/>
      <c r="V2727" s="72"/>
    </row>
    <row r="2728" spans="15:22" x14ac:dyDescent="0.25">
      <c r="O2728" s="74"/>
      <c r="P2728" s="74"/>
      <c r="Q2728" s="74"/>
      <c r="R2728" s="74"/>
      <c r="V2728" s="72"/>
    </row>
    <row r="2729" spans="15:22" x14ac:dyDescent="0.25">
      <c r="O2729" s="74"/>
      <c r="P2729" s="74"/>
      <c r="Q2729" s="74"/>
      <c r="R2729" s="74"/>
      <c r="V2729" s="72"/>
    </row>
    <row r="2730" spans="15:22" x14ac:dyDescent="0.25">
      <c r="O2730" s="74"/>
      <c r="P2730" s="74"/>
      <c r="Q2730" s="74"/>
      <c r="R2730" s="74"/>
      <c r="V2730" s="72"/>
    </row>
    <row r="2731" spans="15:22" x14ac:dyDescent="0.25">
      <c r="O2731" s="74"/>
      <c r="P2731" s="74"/>
      <c r="Q2731" s="74"/>
      <c r="R2731" s="74"/>
      <c r="V2731" s="72"/>
    </row>
    <row r="2732" spans="15:22" x14ac:dyDescent="0.25">
      <c r="O2732" s="74"/>
      <c r="P2732" s="74"/>
      <c r="Q2732" s="74"/>
      <c r="R2732" s="74"/>
      <c r="V2732" s="72"/>
    </row>
    <row r="2733" spans="15:22" x14ac:dyDescent="0.25">
      <c r="O2733" s="74"/>
      <c r="P2733" s="74"/>
      <c r="Q2733" s="74"/>
      <c r="R2733" s="74"/>
      <c r="V2733" s="72"/>
    </row>
    <row r="2734" spans="15:22" x14ac:dyDescent="0.25">
      <c r="O2734" s="74"/>
      <c r="P2734" s="74"/>
      <c r="Q2734" s="74"/>
      <c r="R2734" s="74"/>
      <c r="V2734" s="72"/>
    </row>
    <row r="2735" spans="15:22" x14ac:dyDescent="0.25">
      <c r="O2735" s="74"/>
      <c r="P2735" s="74"/>
      <c r="Q2735" s="74"/>
      <c r="R2735" s="74"/>
      <c r="V2735" s="72"/>
    </row>
    <row r="2736" spans="15:22" x14ac:dyDescent="0.25">
      <c r="O2736" s="74"/>
      <c r="P2736" s="74"/>
      <c r="Q2736" s="74"/>
      <c r="R2736" s="74"/>
      <c r="V2736" s="72"/>
    </row>
    <row r="2737" spans="15:22" x14ac:dyDescent="0.25">
      <c r="O2737" s="74"/>
      <c r="P2737" s="74"/>
      <c r="Q2737" s="74"/>
      <c r="R2737" s="74"/>
      <c r="V2737" s="72"/>
    </row>
    <row r="2738" spans="15:22" x14ac:dyDescent="0.25">
      <c r="O2738" s="74"/>
      <c r="P2738" s="74"/>
      <c r="Q2738" s="74"/>
      <c r="R2738" s="74"/>
      <c r="V2738" s="72"/>
    </row>
    <row r="2739" spans="15:22" x14ac:dyDescent="0.25">
      <c r="O2739" s="74"/>
      <c r="P2739" s="74"/>
      <c r="Q2739" s="74"/>
      <c r="R2739" s="74"/>
      <c r="V2739" s="72"/>
    </row>
    <row r="2740" spans="15:22" x14ac:dyDescent="0.25">
      <c r="O2740" s="74"/>
      <c r="P2740" s="74"/>
      <c r="Q2740" s="74"/>
      <c r="R2740" s="74"/>
      <c r="V2740" s="72"/>
    </row>
    <row r="2741" spans="15:22" x14ac:dyDescent="0.25">
      <c r="O2741" s="74"/>
      <c r="P2741" s="74"/>
      <c r="Q2741" s="74"/>
      <c r="R2741" s="74"/>
      <c r="V2741" s="72"/>
    </row>
    <row r="2742" spans="15:22" x14ac:dyDescent="0.25">
      <c r="O2742" s="74"/>
      <c r="P2742" s="74"/>
      <c r="Q2742" s="74"/>
      <c r="R2742" s="74"/>
      <c r="V2742" s="72"/>
    </row>
    <row r="2743" spans="15:22" x14ac:dyDescent="0.25">
      <c r="O2743" s="74"/>
      <c r="P2743" s="74"/>
      <c r="Q2743" s="74"/>
      <c r="R2743" s="74"/>
      <c r="V2743" s="72"/>
    </row>
    <row r="2744" spans="15:22" x14ac:dyDescent="0.25">
      <c r="O2744" s="74"/>
      <c r="P2744" s="74"/>
      <c r="Q2744" s="74"/>
      <c r="R2744" s="74"/>
      <c r="V2744" s="72"/>
    </row>
    <row r="2745" spans="15:22" x14ac:dyDescent="0.25">
      <c r="O2745" s="74"/>
      <c r="P2745" s="74"/>
      <c r="Q2745" s="74"/>
      <c r="R2745" s="74"/>
      <c r="V2745" s="72"/>
    </row>
    <row r="2746" spans="15:22" x14ac:dyDescent="0.25">
      <c r="O2746" s="74"/>
      <c r="P2746" s="74"/>
      <c r="Q2746" s="74"/>
      <c r="R2746" s="74"/>
      <c r="V2746" s="72"/>
    </row>
    <row r="2747" spans="15:22" x14ac:dyDescent="0.25">
      <c r="O2747" s="74"/>
      <c r="P2747" s="74"/>
      <c r="Q2747" s="74"/>
      <c r="R2747" s="74"/>
      <c r="V2747" s="72"/>
    </row>
    <row r="2748" spans="15:22" x14ac:dyDescent="0.25">
      <c r="O2748" s="74"/>
      <c r="P2748" s="74"/>
      <c r="Q2748" s="74"/>
      <c r="R2748" s="74"/>
      <c r="V2748" s="72"/>
    </row>
    <row r="2749" spans="15:22" x14ac:dyDescent="0.25">
      <c r="O2749" s="74"/>
      <c r="P2749" s="74"/>
      <c r="Q2749" s="74"/>
      <c r="R2749" s="74"/>
      <c r="V2749" s="72"/>
    </row>
    <row r="2750" spans="15:22" x14ac:dyDescent="0.25">
      <c r="O2750" s="74"/>
      <c r="P2750" s="74"/>
      <c r="Q2750" s="74"/>
      <c r="R2750" s="74"/>
      <c r="V2750" s="72"/>
    </row>
    <row r="2751" spans="15:22" x14ac:dyDescent="0.25">
      <c r="O2751" s="74"/>
      <c r="P2751" s="74"/>
      <c r="Q2751" s="74"/>
      <c r="R2751" s="74"/>
      <c r="V2751" s="72"/>
    </row>
    <row r="2752" spans="15:22" x14ac:dyDescent="0.25">
      <c r="O2752" s="74"/>
      <c r="P2752" s="74"/>
      <c r="Q2752" s="74"/>
      <c r="R2752" s="74"/>
      <c r="V2752" s="72"/>
    </row>
    <row r="2753" spans="15:22" x14ac:dyDescent="0.25">
      <c r="O2753" s="74"/>
      <c r="P2753" s="74"/>
      <c r="Q2753" s="74"/>
      <c r="R2753" s="74"/>
      <c r="V2753" s="72"/>
    </row>
    <row r="2754" spans="15:22" x14ac:dyDescent="0.25">
      <c r="O2754" s="74"/>
      <c r="P2754" s="74"/>
      <c r="Q2754" s="74"/>
      <c r="R2754" s="74"/>
      <c r="V2754" s="72"/>
    </row>
    <row r="2755" spans="15:22" x14ac:dyDescent="0.25">
      <c r="O2755" s="74"/>
      <c r="P2755" s="74"/>
      <c r="Q2755" s="74"/>
      <c r="R2755" s="74"/>
      <c r="V2755" s="72"/>
    </row>
    <row r="2756" spans="15:22" x14ac:dyDescent="0.25">
      <c r="O2756" s="74"/>
      <c r="P2756" s="74"/>
      <c r="Q2756" s="74"/>
      <c r="R2756" s="74"/>
      <c r="V2756" s="72"/>
    </row>
    <row r="2757" spans="15:22" x14ac:dyDescent="0.25">
      <c r="O2757" s="74"/>
      <c r="P2757" s="74"/>
      <c r="Q2757" s="74"/>
      <c r="R2757" s="74"/>
      <c r="V2757" s="72"/>
    </row>
    <row r="2758" spans="15:22" x14ac:dyDescent="0.25">
      <c r="O2758" s="74"/>
      <c r="P2758" s="74"/>
      <c r="Q2758" s="74"/>
      <c r="R2758" s="74"/>
      <c r="V2758" s="72"/>
    </row>
    <row r="2759" spans="15:22" x14ac:dyDescent="0.25">
      <c r="O2759" s="74"/>
      <c r="P2759" s="74"/>
      <c r="Q2759" s="74"/>
      <c r="R2759" s="74"/>
      <c r="V2759" s="72"/>
    </row>
    <row r="2760" spans="15:22" x14ac:dyDescent="0.25">
      <c r="O2760" s="74"/>
      <c r="P2760" s="74"/>
      <c r="Q2760" s="74"/>
      <c r="R2760" s="74"/>
      <c r="V2760" s="72"/>
    </row>
    <row r="2761" spans="15:22" x14ac:dyDescent="0.25">
      <c r="O2761" s="74"/>
      <c r="P2761" s="74"/>
      <c r="Q2761" s="74"/>
      <c r="R2761" s="74"/>
      <c r="V2761" s="72"/>
    </row>
    <row r="2762" spans="15:22" x14ac:dyDescent="0.25">
      <c r="O2762" s="74"/>
      <c r="P2762" s="74"/>
      <c r="Q2762" s="74"/>
      <c r="R2762" s="74"/>
      <c r="V2762" s="72"/>
    </row>
    <row r="2763" spans="15:22" x14ac:dyDescent="0.25">
      <c r="O2763" s="74"/>
      <c r="P2763" s="74"/>
      <c r="Q2763" s="74"/>
      <c r="R2763" s="74"/>
      <c r="V2763" s="72"/>
    </row>
    <row r="2764" spans="15:22" x14ac:dyDescent="0.25">
      <c r="O2764" s="74"/>
      <c r="P2764" s="74"/>
      <c r="Q2764" s="74"/>
      <c r="R2764" s="74"/>
      <c r="V2764" s="72"/>
    </row>
    <row r="2765" spans="15:22" x14ac:dyDescent="0.25">
      <c r="O2765" s="74"/>
      <c r="P2765" s="74"/>
      <c r="Q2765" s="74"/>
      <c r="R2765" s="74"/>
      <c r="V2765" s="72"/>
    </row>
    <row r="2766" spans="15:22" x14ac:dyDescent="0.25">
      <c r="O2766" s="74"/>
      <c r="P2766" s="74"/>
      <c r="Q2766" s="74"/>
      <c r="R2766" s="74"/>
      <c r="V2766" s="72"/>
    </row>
    <row r="2767" spans="15:22" x14ac:dyDescent="0.25">
      <c r="O2767" s="74"/>
      <c r="P2767" s="74"/>
      <c r="Q2767" s="74"/>
      <c r="R2767" s="74"/>
      <c r="V2767" s="72"/>
    </row>
    <row r="2768" spans="15:22" x14ac:dyDescent="0.25">
      <c r="O2768" s="74"/>
      <c r="P2768" s="74"/>
      <c r="Q2768" s="74"/>
      <c r="R2768" s="74"/>
      <c r="V2768" s="72"/>
    </row>
    <row r="2769" spans="15:22" x14ac:dyDescent="0.25">
      <c r="O2769" s="74"/>
      <c r="P2769" s="74"/>
      <c r="Q2769" s="74"/>
      <c r="R2769" s="74"/>
      <c r="V2769" s="72"/>
    </row>
    <row r="2770" spans="15:22" x14ac:dyDescent="0.25">
      <c r="O2770" s="74"/>
      <c r="P2770" s="74"/>
      <c r="Q2770" s="74"/>
      <c r="R2770" s="74"/>
      <c r="V2770" s="72"/>
    </row>
    <row r="2771" spans="15:22" x14ac:dyDescent="0.25">
      <c r="O2771" s="74"/>
      <c r="P2771" s="74"/>
      <c r="Q2771" s="74"/>
      <c r="R2771" s="74"/>
      <c r="V2771" s="72"/>
    </row>
    <row r="2772" spans="15:22" x14ac:dyDescent="0.25">
      <c r="O2772" s="74"/>
      <c r="P2772" s="74"/>
      <c r="Q2772" s="74"/>
      <c r="R2772" s="74"/>
      <c r="V2772" s="72"/>
    </row>
    <row r="2773" spans="15:22" x14ac:dyDescent="0.25">
      <c r="O2773" s="74"/>
      <c r="P2773" s="74"/>
      <c r="Q2773" s="74"/>
      <c r="R2773" s="74"/>
      <c r="V2773" s="72"/>
    </row>
    <row r="2774" spans="15:22" x14ac:dyDescent="0.25">
      <c r="O2774" s="74"/>
      <c r="P2774" s="74"/>
      <c r="Q2774" s="74"/>
      <c r="R2774" s="74"/>
      <c r="V2774" s="72"/>
    </row>
    <row r="2775" spans="15:22" x14ac:dyDescent="0.25">
      <c r="O2775" s="74"/>
      <c r="P2775" s="74"/>
      <c r="Q2775" s="74"/>
      <c r="R2775" s="74"/>
      <c r="V2775" s="72"/>
    </row>
    <row r="2776" spans="15:22" x14ac:dyDescent="0.25">
      <c r="O2776" s="74"/>
      <c r="P2776" s="74"/>
      <c r="Q2776" s="74"/>
      <c r="R2776" s="74"/>
      <c r="V2776" s="72"/>
    </row>
    <row r="2777" spans="15:22" x14ac:dyDescent="0.25">
      <c r="O2777" s="74"/>
      <c r="P2777" s="74"/>
      <c r="Q2777" s="74"/>
      <c r="R2777" s="74"/>
      <c r="V2777" s="72"/>
    </row>
    <row r="2778" spans="15:22" x14ac:dyDescent="0.25">
      <c r="O2778" s="74"/>
      <c r="P2778" s="74"/>
      <c r="Q2778" s="74"/>
      <c r="R2778" s="74"/>
      <c r="V2778" s="72"/>
    </row>
    <row r="2779" spans="15:22" x14ac:dyDescent="0.25">
      <c r="O2779" s="74"/>
      <c r="P2779" s="74"/>
      <c r="Q2779" s="74"/>
      <c r="R2779" s="74"/>
      <c r="V2779" s="72"/>
    </row>
    <row r="2780" spans="15:22" x14ac:dyDescent="0.25">
      <c r="O2780" s="74"/>
      <c r="P2780" s="74"/>
      <c r="Q2780" s="74"/>
      <c r="R2780" s="74"/>
      <c r="V2780" s="72"/>
    </row>
    <row r="2781" spans="15:22" x14ac:dyDescent="0.25">
      <c r="O2781" s="74"/>
      <c r="P2781" s="74"/>
      <c r="Q2781" s="74"/>
      <c r="R2781" s="74"/>
      <c r="V2781" s="72"/>
    </row>
    <row r="2782" spans="15:22" x14ac:dyDescent="0.25">
      <c r="O2782" s="74"/>
      <c r="P2782" s="74"/>
      <c r="Q2782" s="74"/>
      <c r="R2782" s="74"/>
      <c r="V2782" s="72"/>
    </row>
    <row r="2783" spans="15:22" x14ac:dyDescent="0.25">
      <c r="O2783" s="74"/>
      <c r="P2783" s="74"/>
      <c r="Q2783" s="74"/>
      <c r="R2783" s="74"/>
      <c r="V2783" s="72"/>
    </row>
    <row r="2784" spans="15:22" x14ac:dyDescent="0.25">
      <c r="O2784" s="74"/>
      <c r="P2784" s="74"/>
      <c r="Q2784" s="74"/>
      <c r="R2784" s="74"/>
      <c r="V2784" s="72"/>
    </row>
    <row r="2785" spans="15:22" x14ac:dyDescent="0.25">
      <c r="O2785" s="74"/>
      <c r="P2785" s="74"/>
      <c r="Q2785" s="74"/>
      <c r="R2785" s="74"/>
      <c r="V2785" s="72"/>
    </row>
    <row r="2786" spans="15:22" x14ac:dyDescent="0.25">
      <c r="O2786" s="74"/>
      <c r="P2786" s="74"/>
      <c r="Q2786" s="74"/>
      <c r="R2786" s="74"/>
      <c r="V2786" s="72"/>
    </row>
    <row r="2787" spans="15:22" x14ac:dyDescent="0.25">
      <c r="O2787" s="74"/>
      <c r="P2787" s="74"/>
      <c r="Q2787" s="74"/>
      <c r="R2787" s="74"/>
      <c r="V2787" s="72"/>
    </row>
    <row r="2788" spans="15:22" x14ac:dyDescent="0.25">
      <c r="O2788" s="74"/>
      <c r="P2788" s="74"/>
      <c r="Q2788" s="74"/>
      <c r="R2788" s="74"/>
      <c r="V2788" s="72"/>
    </row>
    <row r="2789" spans="15:22" x14ac:dyDescent="0.25">
      <c r="O2789" s="74"/>
      <c r="P2789" s="74"/>
      <c r="Q2789" s="74"/>
      <c r="R2789" s="74"/>
      <c r="V2789" s="72"/>
    </row>
    <row r="2790" spans="15:22" x14ac:dyDescent="0.25">
      <c r="O2790" s="74"/>
      <c r="P2790" s="74"/>
      <c r="Q2790" s="74"/>
      <c r="R2790" s="74"/>
      <c r="V2790" s="72"/>
    </row>
    <row r="2791" spans="15:22" x14ac:dyDescent="0.25">
      <c r="O2791" s="74"/>
      <c r="P2791" s="74"/>
      <c r="Q2791" s="74"/>
      <c r="R2791" s="74"/>
      <c r="V2791" s="72"/>
    </row>
    <row r="2792" spans="15:22" x14ac:dyDescent="0.25">
      <c r="O2792" s="74"/>
      <c r="P2792" s="74"/>
      <c r="Q2792" s="74"/>
      <c r="R2792" s="74"/>
      <c r="V2792" s="72"/>
    </row>
    <row r="2793" spans="15:22" x14ac:dyDescent="0.25">
      <c r="O2793" s="74"/>
      <c r="P2793" s="74"/>
      <c r="Q2793" s="74"/>
      <c r="R2793" s="74"/>
      <c r="V2793" s="72"/>
    </row>
    <row r="2794" spans="15:22" x14ac:dyDescent="0.25">
      <c r="O2794" s="74"/>
      <c r="P2794" s="74"/>
      <c r="Q2794" s="74"/>
      <c r="R2794" s="74"/>
      <c r="V2794" s="72"/>
    </row>
    <row r="2795" spans="15:22" x14ac:dyDescent="0.25">
      <c r="O2795" s="74"/>
      <c r="P2795" s="74"/>
      <c r="Q2795" s="74"/>
      <c r="R2795" s="74"/>
      <c r="V2795" s="72"/>
    </row>
    <row r="2796" spans="15:22" x14ac:dyDescent="0.25">
      <c r="O2796" s="74"/>
      <c r="P2796" s="74"/>
      <c r="Q2796" s="74"/>
      <c r="R2796" s="74"/>
      <c r="V2796" s="72"/>
    </row>
    <row r="2797" spans="15:22" x14ac:dyDescent="0.25">
      <c r="O2797" s="74"/>
      <c r="P2797" s="74"/>
      <c r="Q2797" s="74"/>
      <c r="R2797" s="74"/>
      <c r="V2797" s="72"/>
    </row>
    <row r="2798" spans="15:22" x14ac:dyDescent="0.25">
      <c r="O2798" s="74"/>
      <c r="P2798" s="74"/>
      <c r="Q2798" s="74"/>
      <c r="R2798" s="74"/>
      <c r="V2798" s="72"/>
    </row>
    <row r="2799" spans="15:22" x14ac:dyDescent="0.25">
      <c r="O2799" s="74"/>
      <c r="P2799" s="74"/>
      <c r="Q2799" s="74"/>
      <c r="R2799" s="74"/>
      <c r="V2799" s="72"/>
    </row>
    <row r="2800" spans="15:22" x14ac:dyDescent="0.25">
      <c r="O2800" s="74"/>
      <c r="P2800" s="74"/>
      <c r="Q2800" s="74"/>
      <c r="R2800" s="74"/>
      <c r="V2800" s="72"/>
    </row>
    <row r="2801" spans="15:22" x14ac:dyDescent="0.25">
      <c r="O2801" s="74"/>
      <c r="P2801" s="74"/>
      <c r="Q2801" s="74"/>
      <c r="R2801" s="74"/>
      <c r="V2801" s="72"/>
    </row>
    <row r="2802" spans="15:22" x14ac:dyDescent="0.25">
      <c r="O2802" s="74"/>
      <c r="P2802" s="74"/>
      <c r="Q2802" s="74"/>
      <c r="R2802" s="74"/>
      <c r="V2802" s="72"/>
    </row>
    <row r="2803" spans="15:22" x14ac:dyDescent="0.25">
      <c r="O2803" s="74"/>
      <c r="P2803" s="74"/>
      <c r="Q2803" s="74"/>
      <c r="R2803" s="74"/>
      <c r="V2803" s="72"/>
    </row>
    <row r="2804" spans="15:22" x14ac:dyDescent="0.25">
      <c r="O2804" s="74"/>
      <c r="P2804" s="74"/>
      <c r="Q2804" s="74"/>
      <c r="R2804" s="74"/>
      <c r="V2804" s="72"/>
    </row>
    <row r="2805" spans="15:22" x14ac:dyDescent="0.25">
      <c r="O2805" s="74"/>
      <c r="P2805" s="74"/>
      <c r="Q2805" s="74"/>
      <c r="R2805" s="74"/>
      <c r="V2805" s="72"/>
    </row>
    <row r="2806" spans="15:22" x14ac:dyDescent="0.25">
      <c r="O2806" s="74"/>
      <c r="P2806" s="74"/>
      <c r="Q2806" s="74"/>
      <c r="R2806" s="74"/>
      <c r="V2806" s="72"/>
    </row>
    <row r="2807" spans="15:22" x14ac:dyDescent="0.25">
      <c r="O2807" s="74"/>
      <c r="P2807" s="74"/>
      <c r="Q2807" s="74"/>
      <c r="R2807" s="74"/>
      <c r="V2807" s="72"/>
    </row>
    <row r="2808" spans="15:22" x14ac:dyDescent="0.25">
      <c r="O2808" s="74"/>
      <c r="P2808" s="74"/>
      <c r="Q2808" s="74"/>
      <c r="R2808" s="74"/>
      <c r="V2808" s="72"/>
    </row>
    <row r="2809" spans="15:22" x14ac:dyDescent="0.25">
      <c r="O2809" s="74"/>
      <c r="P2809" s="74"/>
      <c r="Q2809" s="74"/>
      <c r="R2809" s="74"/>
      <c r="V2809" s="72"/>
    </row>
    <row r="2810" spans="15:22" x14ac:dyDescent="0.25">
      <c r="O2810" s="74"/>
      <c r="P2810" s="74"/>
      <c r="Q2810" s="74"/>
      <c r="R2810" s="74"/>
      <c r="V2810" s="72"/>
    </row>
    <row r="2811" spans="15:22" x14ac:dyDescent="0.25">
      <c r="O2811" s="74"/>
      <c r="P2811" s="74"/>
      <c r="Q2811" s="74"/>
      <c r="R2811" s="74"/>
      <c r="V2811" s="72"/>
    </row>
    <row r="2812" spans="15:22" x14ac:dyDescent="0.25">
      <c r="O2812" s="74"/>
      <c r="P2812" s="74"/>
      <c r="Q2812" s="74"/>
      <c r="R2812" s="74"/>
      <c r="V2812" s="72"/>
    </row>
    <row r="2813" spans="15:22" x14ac:dyDescent="0.25">
      <c r="O2813" s="74"/>
      <c r="P2813" s="74"/>
      <c r="Q2813" s="74"/>
      <c r="R2813" s="74"/>
      <c r="V2813" s="72"/>
    </row>
    <row r="2814" spans="15:22" x14ac:dyDescent="0.25">
      <c r="O2814" s="74"/>
      <c r="P2814" s="74"/>
      <c r="Q2814" s="74"/>
      <c r="R2814" s="74"/>
      <c r="V2814" s="72"/>
    </row>
    <row r="2815" spans="15:22" x14ac:dyDescent="0.25">
      <c r="O2815" s="74"/>
      <c r="P2815" s="74"/>
      <c r="Q2815" s="74"/>
      <c r="R2815" s="74"/>
      <c r="V2815" s="72"/>
    </row>
    <row r="2816" spans="15:22" x14ac:dyDescent="0.25">
      <c r="O2816" s="74"/>
      <c r="P2816" s="74"/>
      <c r="Q2816" s="74"/>
      <c r="R2816" s="74"/>
      <c r="V2816" s="72"/>
    </row>
    <row r="2817" spans="15:22" x14ac:dyDescent="0.25">
      <c r="O2817" s="74"/>
      <c r="P2817" s="74"/>
      <c r="Q2817" s="74"/>
      <c r="R2817" s="74"/>
      <c r="V2817" s="72"/>
    </row>
    <row r="2818" spans="15:22" x14ac:dyDescent="0.25">
      <c r="O2818" s="74"/>
      <c r="P2818" s="74"/>
      <c r="Q2818" s="74"/>
      <c r="R2818" s="74"/>
      <c r="V2818" s="72"/>
    </row>
    <row r="2819" spans="15:22" x14ac:dyDescent="0.25">
      <c r="O2819" s="74"/>
      <c r="P2819" s="74"/>
      <c r="Q2819" s="74"/>
      <c r="R2819" s="74"/>
      <c r="V2819" s="72"/>
    </row>
    <row r="2820" spans="15:22" x14ac:dyDescent="0.25">
      <c r="O2820" s="74"/>
      <c r="P2820" s="74"/>
      <c r="Q2820" s="74"/>
      <c r="R2820" s="74"/>
      <c r="V2820" s="72"/>
    </row>
    <row r="2821" spans="15:22" x14ac:dyDescent="0.25">
      <c r="O2821" s="74"/>
      <c r="P2821" s="74"/>
      <c r="Q2821" s="74"/>
      <c r="R2821" s="74"/>
      <c r="V2821" s="72"/>
    </row>
    <row r="2822" spans="15:22" x14ac:dyDescent="0.25">
      <c r="O2822" s="74"/>
      <c r="P2822" s="74"/>
      <c r="Q2822" s="74"/>
      <c r="R2822" s="74"/>
      <c r="V2822" s="72"/>
    </row>
    <row r="2823" spans="15:22" x14ac:dyDescent="0.25">
      <c r="O2823" s="74"/>
      <c r="P2823" s="74"/>
      <c r="Q2823" s="74"/>
      <c r="R2823" s="74"/>
      <c r="V2823" s="72"/>
    </row>
    <row r="2824" spans="15:22" x14ac:dyDescent="0.25">
      <c r="O2824" s="74"/>
      <c r="P2824" s="74"/>
      <c r="Q2824" s="74"/>
      <c r="R2824" s="74"/>
      <c r="V2824" s="72"/>
    </row>
    <row r="2825" spans="15:22" x14ac:dyDescent="0.25">
      <c r="O2825" s="74"/>
      <c r="P2825" s="74"/>
      <c r="Q2825" s="74"/>
      <c r="R2825" s="74"/>
      <c r="V2825" s="72"/>
    </row>
    <row r="2826" spans="15:22" x14ac:dyDescent="0.25">
      <c r="O2826" s="74"/>
      <c r="P2826" s="74"/>
      <c r="Q2826" s="74"/>
      <c r="R2826" s="74"/>
      <c r="V2826" s="72"/>
    </row>
    <row r="2827" spans="15:22" x14ac:dyDescent="0.25">
      <c r="O2827" s="74"/>
      <c r="P2827" s="74"/>
      <c r="Q2827" s="74"/>
      <c r="R2827" s="74"/>
      <c r="V2827" s="72"/>
    </row>
    <row r="2828" spans="15:22" x14ac:dyDescent="0.25">
      <c r="O2828" s="74"/>
      <c r="P2828" s="74"/>
      <c r="Q2828" s="74"/>
      <c r="R2828" s="74"/>
      <c r="V2828" s="72"/>
    </row>
    <row r="2829" spans="15:22" x14ac:dyDescent="0.25">
      <c r="O2829" s="74"/>
      <c r="P2829" s="74"/>
      <c r="Q2829" s="74"/>
      <c r="R2829" s="74"/>
      <c r="V2829" s="72"/>
    </row>
    <row r="2830" spans="15:22" x14ac:dyDescent="0.25">
      <c r="O2830" s="74"/>
      <c r="P2830" s="74"/>
      <c r="Q2830" s="74"/>
      <c r="R2830" s="74"/>
      <c r="V2830" s="72"/>
    </row>
    <row r="2831" spans="15:22" x14ac:dyDescent="0.25">
      <c r="O2831" s="74"/>
      <c r="P2831" s="74"/>
      <c r="Q2831" s="74"/>
      <c r="R2831" s="74"/>
      <c r="V2831" s="72"/>
    </row>
    <row r="2832" spans="15:22" x14ac:dyDescent="0.25">
      <c r="O2832" s="74"/>
      <c r="P2832" s="74"/>
      <c r="Q2832" s="74"/>
      <c r="R2832" s="74"/>
      <c r="V2832" s="72"/>
    </row>
    <row r="2833" spans="15:22" x14ac:dyDescent="0.25">
      <c r="O2833" s="74"/>
      <c r="P2833" s="74"/>
      <c r="Q2833" s="74"/>
      <c r="R2833" s="74"/>
      <c r="V2833" s="72"/>
    </row>
    <row r="2834" spans="15:22" x14ac:dyDescent="0.25">
      <c r="O2834" s="74"/>
      <c r="P2834" s="74"/>
      <c r="Q2834" s="74"/>
      <c r="R2834" s="74"/>
      <c r="V2834" s="72"/>
    </row>
    <row r="2835" spans="15:22" x14ac:dyDescent="0.25">
      <c r="O2835" s="74"/>
      <c r="P2835" s="74"/>
      <c r="Q2835" s="74"/>
      <c r="R2835" s="74"/>
      <c r="V2835" s="72"/>
    </row>
    <row r="2836" spans="15:22" x14ac:dyDescent="0.25">
      <c r="O2836" s="74"/>
      <c r="P2836" s="74"/>
      <c r="Q2836" s="74"/>
      <c r="R2836" s="74"/>
      <c r="V2836" s="72"/>
    </row>
    <row r="2837" spans="15:22" x14ac:dyDescent="0.25">
      <c r="O2837" s="74"/>
      <c r="P2837" s="74"/>
      <c r="Q2837" s="74"/>
      <c r="R2837" s="74"/>
      <c r="V2837" s="72"/>
    </row>
    <row r="2838" spans="15:22" x14ac:dyDescent="0.25">
      <c r="O2838" s="74"/>
      <c r="P2838" s="74"/>
      <c r="Q2838" s="74"/>
      <c r="R2838" s="74"/>
      <c r="V2838" s="72"/>
    </row>
    <row r="2839" spans="15:22" x14ac:dyDescent="0.25">
      <c r="O2839" s="74"/>
      <c r="P2839" s="74"/>
      <c r="Q2839" s="74"/>
      <c r="R2839" s="74"/>
      <c r="V2839" s="72"/>
    </row>
    <row r="2840" spans="15:22" x14ac:dyDescent="0.25">
      <c r="O2840" s="74"/>
      <c r="P2840" s="74"/>
      <c r="Q2840" s="74"/>
      <c r="R2840" s="74"/>
      <c r="V2840" s="72"/>
    </row>
    <row r="2841" spans="15:22" x14ac:dyDescent="0.25">
      <c r="O2841" s="74"/>
      <c r="P2841" s="74"/>
      <c r="Q2841" s="74"/>
      <c r="R2841" s="74"/>
      <c r="V2841" s="72"/>
    </row>
    <row r="2842" spans="15:22" x14ac:dyDescent="0.25">
      <c r="O2842" s="74"/>
      <c r="P2842" s="74"/>
      <c r="Q2842" s="74"/>
      <c r="R2842" s="74"/>
      <c r="V2842" s="72"/>
    </row>
    <row r="2843" spans="15:22" x14ac:dyDescent="0.25">
      <c r="O2843" s="74"/>
      <c r="P2843" s="74"/>
      <c r="Q2843" s="74"/>
      <c r="R2843" s="74"/>
      <c r="V2843" s="72"/>
    </row>
    <row r="2844" spans="15:22" x14ac:dyDescent="0.25">
      <c r="O2844" s="74"/>
      <c r="P2844" s="74"/>
      <c r="Q2844" s="74"/>
      <c r="R2844" s="74"/>
      <c r="V2844" s="72"/>
    </row>
    <row r="2845" spans="15:22" x14ac:dyDescent="0.25">
      <c r="O2845" s="74"/>
      <c r="P2845" s="74"/>
      <c r="Q2845" s="74"/>
      <c r="R2845" s="74"/>
      <c r="V2845" s="72"/>
    </row>
    <row r="2846" spans="15:22" x14ac:dyDescent="0.25">
      <c r="O2846" s="74"/>
      <c r="P2846" s="74"/>
      <c r="Q2846" s="74"/>
      <c r="R2846" s="74"/>
      <c r="V2846" s="72"/>
    </row>
    <row r="2847" spans="15:22" x14ac:dyDescent="0.25">
      <c r="O2847" s="74"/>
      <c r="P2847" s="74"/>
      <c r="Q2847" s="74"/>
      <c r="R2847" s="74"/>
      <c r="V2847" s="72"/>
    </row>
    <row r="2848" spans="15:22" x14ac:dyDescent="0.25">
      <c r="O2848" s="74"/>
      <c r="P2848" s="74"/>
      <c r="Q2848" s="74"/>
      <c r="R2848" s="74"/>
      <c r="V2848" s="72"/>
    </row>
    <row r="2849" spans="15:22" x14ac:dyDescent="0.25">
      <c r="O2849" s="74"/>
      <c r="P2849" s="74"/>
      <c r="Q2849" s="74"/>
      <c r="R2849" s="74"/>
      <c r="V2849" s="72"/>
    </row>
    <row r="2850" spans="15:22" x14ac:dyDescent="0.25">
      <c r="O2850" s="74"/>
      <c r="P2850" s="74"/>
      <c r="Q2850" s="74"/>
      <c r="R2850" s="74"/>
      <c r="V2850" s="72"/>
    </row>
    <row r="2851" spans="15:22" x14ac:dyDescent="0.25">
      <c r="O2851" s="74"/>
      <c r="P2851" s="74"/>
      <c r="Q2851" s="74"/>
      <c r="R2851" s="74"/>
      <c r="V2851" s="72"/>
    </row>
    <row r="2852" spans="15:22" x14ac:dyDescent="0.25">
      <c r="O2852" s="74"/>
      <c r="P2852" s="74"/>
      <c r="Q2852" s="74"/>
      <c r="R2852" s="74"/>
      <c r="V2852" s="72"/>
    </row>
    <row r="2853" spans="15:22" x14ac:dyDescent="0.25">
      <c r="O2853" s="74"/>
      <c r="P2853" s="74"/>
      <c r="Q2853" s="74"/>
      <c r="R2853" s="74"/>
      <c r="V2853" s="72"/>
    </row>
    <row r="2854" spans="15:22" x14ac:dyDescent="0.25">
      <c r="O2854" s="74"/>
      <c r="P2854" s="74"/>
      <c r="Q2854" s="74"/>
      <c r="R2854" s="74"/>
      <c r="V2854" s="72"/>
    </row>
    <row r="2855" spans="15:22" x14ac:dyDescent="0.25">
      <c r="O2855" s="74"/>
      <c r="P2855" s="74"/>
      <c r="Q2855" s="74"/>
      <c r="R2855" s="74"/>
      <c r="V2855" s="72"/>
    </row>
    <row r="2856" spans="15:22" x14ac:dyDescent="0.25">
      <c r="O2856" s="74"/>
      <c r="P2856" s="74"/>
      <c r="Q2856" s="74"/>
      <c r="R2856" s="74"/>
      <c r="V2856" s="72"/>
    </row>
    <row r="2857" spans="15:22" x14ac:dyDescent="0.25">
      <c r="O2857" s="74"/>
      <c r="P2857" s="74"/>
      <c r="Q2857" s="74"/>
      <c r="R2857" s="74"/>
      <c r="V2857" s="72"/>
    </row>
    <row r="2858" spans="15:22" x14ac:dyDescent="0.25">
      <c r="O2858" s="74"/>
      <c r="P2858" s="74"/>
      <c r="Q2858" s="74"/>
      <c r="R2858" s="74"/>
      <c r="V2858" s="72"/>
    </row>
    <row r="2859" spans="15:22" x14ac:dyDescent="0.25">
      <c r="O2859" s="74"/>
      <c r="P2859" s="74"/>
      <c r="Q2859" s="74"/>
      <c r="R2859" s="74"/>
      <c r="V2859" s="72"/>
    </row>
    <row r="2860" spans="15:22" x14ac:dyDescent="0.25">
      <c r="O2860" s="74"/>
      <c r="P2860" s="74"/>
      <c r="Q2860" s="74"/>
      <c r="R2860" s="74"/>
      <c r="V2860" s="72"/>
    </row>
    <row r="2861" spans="15:22" x14ac:dyDescent="0.25">
      <c r="O2861" s="74"/>
      <c r="P2861" s="74"/>
      <c r="Q2861" s="74"/>
      <c r="R2861" s="74"/>
      <c r="V2861" s="72"/>
    </row>
    <row r="2862" spans="15:22" x14ac:dyDescent="0.25">
      <c r="O2862" s="74"/>
      <c r="P2862" s="74"/>
      <c r="Q2862" s="74"/>
      <c r="R2862" s="74"/>
      <c r="V2862" s="72"/>
    </row>
    <row r="2863" spans="15:22" x14ac:dyDescent="0.25">
      <c r="O2863" s="74"/>
      <c r="P2863" s="74"/>
      <c r="Q2863" s="74"/>
      <c r="R2863" s="74"/>
      <c r="V2863" s="72"/>
    </row>
    <row r="2864" spans="15:22" x14ac:dyDescent="0.25">
      <c r="O2864" s="74"/>
      <c r="P2864" s="74"/>
      <c r="Q2864" s="74"/>
      <c r="R2864" s="74"/>
      <c r="V2864" s="72"/>
    </row>
    <row r="2865" spans="15:22" x14ac:dyDescent="0.25">
      <c r="O2865" s="74"/>
      <c r="P2865" s="74"/>
      <c r="Q2865" s="74"/>
      <c r="R2865" s="74"/>
      <c r="V2865" s="72"/>
    </row>
    <row r="2866" spans="15:22" x14ac:dyDescent="0.25">
      <c r="O2866" s="74"/>
      <c r="P2866" s="74"/>
      <c r="Q2866" s="74"/>
      <c r="R2866" s="74"/>
      <c r="V2866" s="72"/>
    </row>
    <row r="2867" spans="15:22" x14ac:dyDescent="0.25">
      <c r="O2867" s="74"/>
      <c r="P2867" s="74"/>
      <c r="Q2867" s="74"/>
      <c r="R2867" s="74"/>
      <c r="V2867" s="72"/>
    </row>
    <row r="2868" spans="15:22" x14ac:dyDescent="0.25">
      <c r="O2868" s="74"/>
      <c r="P2868" s="74"/>
      <c r="Q2868" s="74"/>
      <c r="R2868" s="74"/>
      <c r="V2868" s="72"/>
    </row>
    <row r="2869" spans="15:22" x14ac:dyDescent="0.25">
      <c r="O2869" s="74"/>
      <c r="P2869" s="74"/>
      <c r="Q2869" s="74"/>
      <c r="R2869" s="74"/>
      <c r="V2869" s="72"/>
    </row>
    <row r="2870" spans="15:22" x14ac:dyDescent="0.25">
      <c r="O2870" s="74"/>
      <c r="P2870" s="74"/>
      <c r="Q2870" s="74"/>
      <c r="R2870" s="74"/>
      <c r="V2870" s="72"/>
    </row>
    <row r="2871" spans="15:22" x14ac:dyDescent="0.25">
      <c r="O2871" s="74"/>
      <c r="P2871" s="74"/>
      <c r="Q2871" s="74"/>
      <c r="R2871" s="74"/>
      <c r="V2871" s="72"/>
    </row>
    <row r="2872" spans="15:22" x14ac:dyDescent="0.25">
      <c r="O2872" s="74"/>
      <c r="P2872" s="74"/>
      <c r="Q2872" s="74"/>
      <c r="R2872" s="74"/>
      <c r="V2872" s="72"/>
    </row>
    <row r="2873" spans="15:22" x14ac:dyDescent="0.25">
      <c r="O2873" s="74"/>
      <c r="P2873" s="74"/>
      <c r="Q2873" s="74"/>
      <c r="R2873" s="74"/>
      <c r="V2873" s="72"/>
    </row>
    <row r="2874" spans="15:22" x14ac:dyDescent="0.25">
      <c r="O2874" s="74"/>
      <c r="P2874" s="74"/>
      <c r="Q2874" s="74"/>
      <c r="R2874" s="74"/>
      <c r="V2874" s="72"/>
    </row>
    <row r="2875" spans="15:22" x14ac:dyDescent="0.25">
      <c r="O2875" s="74"/>
      <c r="P2875" s="74"/>
      <c r="Q2875" s="74"/>
      <c r="R2875" s="74"/>
      <c r="V2875" s="72"/>
    </row>
    <row r="2876" spans="15:22" x14ac:dyDescent="0.25">
      <c r="O2876" s="74"/>
      <c r="P2876" s="74"/>
      <c r="Q2876" s="74"/>
      <c r="R2876" s="74"/>
      <c r="V2876" s="72"/>
    </row>
    <row r="2877" spans="15:22" x14ac:dyDescent="0.25">
      <c r="O2877" s="74"/>
      <c r="P2877" s="74"/>
      <c r="Q2877" s="74"/>
      <c r="R2877" s="74"/>
      <c r="V2877" s="72"/>
    </row>
    <row r="2878" spans="15:22" x14ac:dyDescent="0.25">
      <c r="O2878" s="74"/>
      <c r="P2878" s="74"/>
      <c r="Q2878" s="74"/>
      <c r="R2878" s="74"/>
      <c r="V2878" s="72"/>
    </row>
    <row r="2879" spans="15:22" x14ac:dyDescent="0.25">
      <c r="O2879" s="74"/>
      <c r="P2879" s="74"/>
      <c r="Q2879" s="74"/>
      <c r="R2879" s="74"/>
      <c r="V2879" s="72"/>
    </row>
    <row r="2880" spans="15:22" x14ac:dyDescent="0.25">
      <c r="O2880" s="74"/>
      <c r="P2880" s="74"/>
      <c r="Q2880" s="74"/>
      <c r="R2880" s="74"/>
      <c r="V2880" s="72"/>
    </row>
    <row r="2881" spans="15:22" x14ac:dyDescent="0.25">
      <c r="O2881" s="74"/>
      <c r="P2881" s="74"/>
      <c r="Q2881" s="74"/>
      <c r="R2881" s="74"/>
      <c r="V2881" s="72"/>
    </row>
    <row r="2882" spans="15:22" x14ac:dyDescent="0.25">
      <c r="O2882" s="74"/>
      <c r="P2882" s="74"/>
      <c r="Q2882" s="74"/>
      <c r="R2882" s="74"/>
      <c r="V2882" s="72"/>
    </row>
    <row r="2883" spans="15:22" x14ac:dyDescent="0.25">
      <c r="O2883" s="74"/>
      <c r="P2883" s="74"/>
      <c r="Q2883" s="74"/>
      <c r="R2883" s="74"/>
      <c r="V2883" s="72"/>
    </row>
    <row r="2884" spans="15:22" x14ac:dyDescent="0.25">
      <c r="O2884" s="74"/>
      <c r="P2884" s="74"/>
      <c r="Q2884" s="74"/>
      <c r="R2884" s="74"/>
      <c r="V2884" s="72"/>
    </row>
    <row r="2885" spans="15:22" x14ac:dyDescent="0.25">
      <c r="O2885" s="74"/>
      <c r="P2885" s="74"/>
      <c r="Q2885" s="74"/>
      <c r="R2885" s="74"/>
      <c r="V2885" s="72"/>
    </row>
    <row r="2886" spans="15:22" x14ac:dyDescent="0.25">
      <c r="O2886" s="74"/>
      <c r="P2886" s="74"/>
      <c r="Q2886" s="74"/>
      <c r="R2886" s="74"/>
      <c r="V2886" s="72"/>
    </row>
    <row r="2887" spans="15:22" x14ac:dyDescent="0.25">
      <c r="O2887" s="74"/>
      <c r="P2887" s="74"/>
      <c r="Q2887" s="74"/>
      <c r="R2887" s="74"/>
      <c r="V2887" s="72"/>
    </row>
    <row r="2888" spans="15:22" x14ac:dyDescent="0.25">
      <c r="O2888" s="74"/>
      <c r="P2888" s="74"/>
      <c r="Q2888" s="74"/>
      <c r="R2888" s="74"/>
      <c r="V2888" s="72"/>
    </row>
    <row r="2889" spans="15:22" x14ac:dyDescent="0.25">
      <c r="O2889" s="74"/>
      <c r="P2889" s="74"/>
      <c r="Q2889" s="74"/>
      <c r="R2889" s="74"/>
      <c r="V2889" s="72"/>
    </row>
    <row r="2890" spans="15:22" x14ac:dyDescent="0.25">
      <c r="O2890" s="74"/>
      <c r="P2890" s="74"/>
      <c r="Q2890" s="74"/>
      <c r="R2890" s="74"/>
      <c r="V2890" s="72"/>
    </row>
    <row r="2891" spans="15:22" x14ac:dyDescent="0.25">
      <c r="O2891" s="74"/>
      <c r="P2891" s="74"/>
      <c r="Q2891" s="74"/>
      <c r="R2891" s="74"/>
      <c r="V2891" s="72"/>
    </row>
    <row r="2892" spans="15:22" x14ac:dyDescent="0.25">
      <c r="O2892" s="74"/>
      <c r="P2892" s="74"/>
      <c r="Q2892" s="74"/>
      <c r="R2892" s="74"/>
      <c r="V2892" s="72"/>
    </row>
    <row r="2893" spans="15:22" x14ac:dyDescent="0.25">
      <c r="O2893" s="74"/>
      <c r="P2893" s="74"/>
      <c r="Q2893" s="74"/>
      <c r="R2893" s="74"/>
      <c r="V2893" s="72"/>
    </row>
    <row r="2894" spans="15:22" x14ac:dyDescent="0.25">
      <c r="O2894" s="74"/>
      <c r="P2894" s="74"/>
      <c r="Q2894" s="74"/>
      <c r="R2894" s="74"/>
      <c r="V2894" s="72"/>
    </row>
    <row r="2895" spans="15:22" x14ac:dyDescent="0.25">
      <c r="O2895" s="74"/>
      <c r="P2895" s="74"/>
      <c r="Q2895" s="74"/>
      <c r="R2895" s="74"/>
      <c r="V2895" s="72"/>
    </row>
    <row r="2896" spans="15:22" x14ac:dyDescent="0.25">
      <c r="O2896" s="74"/>
      <c r="P2896" s="74"/>
      <c r="Q2896" s="74"/>
      <c r="R2896" s="74"/>
      <c r="V2896" s="72"/>
    </row>
    <row r="2897" spans="15:22" x14ac:dyDescent="0.25">
      <c r="O2897" s="74"/>
      <c r="P2897" s="74"/>
      <c r="Q2897" s="74"/>
      <c r="R2897" s="74"/>
      <c r="V2897" s="72"/>
    </row>
    <row r="2898" spans="15:22" x14ac:dyDescent="0.25">
      <c r="O2898" s="74"/>
      <c r="P2898" s="74"/>
      <c r="Q2898" s="74"/>
      <c r="R2898" s="74"/>
      <c r="V2898" s="72"/>
    </row>
    <row r="2899" spans="15:22" x14ac:dyDescent="0.25">
      <c r="O2899" s="74"/>
      <c r="P2899" s="74"/>
      <c r="Q2899" s="74"/>
      <c r="R2899" s="74"/>
      <c r="V2899" s="72"/>
    </row>
    <row r="2900" spans="15:22" x14ac:dyDescent="0.25">
      <c r="O2900" s="74"/>
      <c r="P2900" s="74"/>
      <c r="Q2900" s="74"/>
      <c r="R2900" s="74"/>
      <c r="V2900" s="72"/>
    </row>
    <row r="2901" spans="15:22" x14ac:dyDescent="0.25">
      <c r="O2901" s="74"/>
      <c r="P2901" s="74"/>
      <c r="Q2901" s="74"/>
      <c r="R2901" s="74"/>
      <c r="V2901" s="72"/>
    </row>
    <row r="2902" spans="15:22" x14ac:dyDescent="0.25">
      <c r="O2902" s="74"/>
      <c r="P2902" s="74"/>
      <c r="Q2902" s="74"/>
      <c r="R2902" s="74"/>
      <c r="V2902" s="72"/>
    </row>
    <row r="2903" spans="15:22" x14ac:dyDescent="0.25">
      <c r="O2903" s="74"/>
      <c r="P2903" s="74"/>
      <c r="Q2903" s="74"/>
      <c r="R2903" s="74"/>
      <c r="V2903" s="72"/>
    </row>
    <row r="2904" spans="15:22" x14ac:dyDescent="0.25">
      <c r="O2904" s="74"/>
      <c r="P2904" s="74"/>
      <c r="Q2904" s="74"/>
      <c r="R2904" s="74"/>
      <c r="V2904" s="72"/>
    </row>
    <row r="2905" spans="15:22" x14ac:dyDescent="0.25">
      <c r="O2905" s="74"/>
      <c r="P2905" s="74"/>
      <c r="Q2905" s="74"/>
      <c r="R2905" s="74"/>
      <c r="V2905" s="72"/>
    </row>
    <row r="2906" spans="15:22" x14ac:dyDescent="0.25">
      <c r="O2906" s="74"/>
      <c r="P2906" s="74"/>
      <c r="Q2906" s="74"/>
      <c r="R2906" s="74"/>
      <c r="V2906" s="72"/>
    </row>
    <row r="2907" spans="15:22" x14ac:dyDescent="0.25">
      <c r="O2907" s="74"/>
      <c r="P2907" s="74"/>
      <c r="Q2907" s="74"/>
      <c r="R2907" s="74"/>
      <c r="V2907" s="72"/>
    </row>
    <row r="2908" spans="15:22" x14ac:dyDescent="0.25">
      <c r="O2908" s="74"/>
      <c r="P2908" s="74"/>
      <c r="Q2908" s="74"/>
      <c r="R2908" s="74"/>
      <c r="V2908" s="72"/>
    </row>
    <row r="2909" spans="15:22" x14ac:dyDescent="0.25">
      <c r="O2909" s="74"/>
      <c r="P2909" s="74"/>
      <c r="Q2909" s="74"/>
      <c r="R2909" s="74"/>
      <c r="V2909" s="72"/>
    </row>
    <row r="2910" spans="15:22" x14ac:dyDescent="0.25">
      <c r="O2910" s="74"/>
      <c r="P2910" s="74"/>
      <c r="Q2910" s="74"/>
      <c r="R2910" s="74"/>
      <c r="V2910" s="72"/>
    </row>
    <row r="2911" spans="15:22" x14ac:dyDescent="0.25">
      <c r="O2911" s="74"/>
      <c r="P2911" s="74"/>
      <c r="Q2911" s="74"/>
      <c r="R2911" s="74"/>
      <c r="V2911" s="72"/>
    </row>
    <row r="2912" spans="15:22" x14ac:dyDescent="0.25">
      <c r="O2912" s="74"/>
      <c r="P2912" s="74"/>
      <c r="Q2912" s="74"/>
      <c r="R2912" s="74"/>
      <c r="V2912" s="72"/>
    </row>
    <row r="2913" spans="15:22" x14ac:dyDescent="0.25">
      <c r="O2913" s="74"/>
      <c r="P2913" s="74"/>
      <c r="Q2913" s="74"/>
      <c r="R2913" s="74"/>
      <c r="V2913" s="72"/>
    </row>
    <row r="2914" spans="15:22" x14ac:dyDescent="0.25">
      <c r="O2914" s="74"/>
      <c r="P2914" s="74"/>
      <c r="Q2914" s="74"/>
      <c r="R2914" s="74"/>
      <c r="V2914" s="72"/>
    </row>
    <row r="2915" spans="15:22" x14ac:dyDescent="0.25">
      <c r="O2915" s="74"/>
      <c r="P2915" s="74"/>
      <c r="Q2915" s="74"/>
      <c r="R2915" s="74"/>
      <c r="V2915" s="72"/>
    </row>
    <row r="2916" spans="15:22" x14ac:dyDescent="0.25">
      <c r="O2916" s="74"/>
      <c r="P2916" s="74"/>
      <c r="Q2916" s="74"/>
      <c r="R2916" s="74"/>
      <c r="V2916" s="72"/>
    </row>
    <row r="2917" spans="15:22" x14ac:dyDescent="0.25">
      <c r="O2917" s="74"/>
      <c r="P2917" s="74"/>
      <c r="Q2917" s="74"/>
      <c r="R2917" s="74"/>
      <c r="V2917" s="72"/>
    </row>
    <row r="2918" spans="15:22" x14ac:dyDescent="0.25">
      <c r="O2918" s="74"/>
      <c r="P2918" s="74"/>
      <c r="Q2918" s="74"/>
      <c r="R2918" s="74"/>
      <c r="V2918" s="72"/>
    </row>
    <row r="2919" spans="15:22" x14ac:dyDescent="0.25">
      <c r="O2919" s="74"/>
      <c r="P2919" s="74"/>
      <c r="Q2919" s="74"/>
      <c r="R2919" s="74"/>
      <c r="V2919" s="72"/>
    </row>
    <row r="2920" spans="15:22" x14ac:dyDescent="0.25">
      <c r="O2920" s="74"/>
      <c r="P2920" s="74"/>
      <c r="Q2920" s="74"/>
      <c r="R2920" s="74"/>
      <c r="V2920" s="72"/>
    </row>
    <row r="2921" spans="15:22" x14ac:dyDescent="0.25">
      <c r="O2921" s="74"/>
      <c r="P2921" s="74"/>
      <c r="Q2921" s="74"/>
      <c r="R2921" s="74"/>
      <c r="V2921" s="72"/>
    </row>
    <row r="2922" spans="15:22" x14ac:dyDescent="0.25">
      <c r="O2922" s="74"/>
      <c r="P2922" s="74"/>
      <c r="Q2922" s="74"/>
      <c r="R2922" s="74"/>
      <c r="V2922" s="72"/>
    </row>
    <row r="2923" spans="15:22" x14ac:dyDescent="0.25">
      <c r="O2923" s="74"/>
      <c r="P2923" s="74"/>
      <c r="Q2923" s="74"/>
      <c r="R2923" s="74"/>
      <c r="V2923" s="72"/>
    </row>
    <row r="2924" spans="15:22" x14ac:dyDescent="0.25">
      <c r="O2924" s="74"/>
      <c r="P2924" s="74"/>
      <c r="Q2924" s="74"/>
      <c r="R2924" s="74"/>
      <c r="V2924" s="72"/>
    </row>
    <row r="2925" spans="15:22" x14ac:dyDescent="0.25">
      <c r="O2925" s="74"/>
      <c r="P2925" s="74"/>
      <c r="Q2925" s="74"/>
      <c r="R2925" s="74"/>
      <c r="V2925" s="72"/>
    </row>
    <row r="2926" spans="15:22" x14ac:dyDescent="0.25">
      <c r="O2926" s="74"/>
      <c r="P2926" s="74"/>
      <c r="Q2926" s="74"/>
      <c r="R2926" s="74"/>
      <c r="V2926" s="72"/>
    </row>
    <row r="2927" spans="15:22" x14ac:dyDescent="0.25">
      <c r="O2927" s="74"/>
      <c r="P2927" s="74"/>
      <c r="Q2927" s="74"/>
      <c r="R2927" s="74"/>
      <c r="V2927" s="72"/>
    </row>
    <row r="2928" spans="15:22" x14ac:dyDescent="0.25">
      <c r="O2928" s="74"/>
      <c r="P2928" s="74"/>
      <c r="Q2928" s="74"/>
      <c r="R2928" s="74"/>
      <c r="V2928" s="72"/>
    </row>
    <row r="2929" spans="15:22" x14ac:dyDescent="0.25">
      <c r="O2929" s="74"/>
      <c r="P2929" s="74"/>
      <c r="Q2929" s="74"/>
      <c r="R2929" s="74"/>
      <c r="V2929" s="72"/>
    </row>
    <row r="2930" spans="15:22" x14ac:dyDescent="0.25">
      <c r="O2930" s="74"/>
      <c r="P2930" s="74"/>
      <c r="Q2930" s="74"/>
      <c r="R2930" s="74"/>
      <c r="V2930" s="72"/>
    </row>
    <row r="2931" spans="15:22" x14ac:dyDescent="0.25">
      <c r="O2931" s="74"/>
      <c r="P2931" s="74"/>
      <c r="Q2931" s="74"/>
      <c r="R2931" s="74"/>
      <c r="V2931" s="72"/>
    </row>
    <row r="2932" spans="15:22" x14ac:dyDescent="0.25">
      <c r="O2932" s="74"/>
      <c r="P2932" s="74"/>
      <c r="Q2932" s="74"/>
      <c r="R2932" s="74"/>
      <c r="V2932" s="72"/>
    </row>
    <row r="2933" spans="15:22" x14ac:dyDescent="0.25">
      <c r="O2933" s="74"/>
      <c r="P2933" s="74"/>
      <c r="Q2933" s="74"/>
      <c r="R2933" s="74"/>
      <c r="V2933" s="72"/>
    </row>
    <row r="2934" spans="15:22" x14ac:dyDescent="0.25">
      <c r="O2934" s="74"/>
      <c r="P2934" s="74"/>
      <c r="Q2934" s="74"/>
      <c r="R2934" s="74"/>
      <c r="V2934" s="72"/>
    </row>
    <row r="2935" spans="15:22" x14ac:dyDescent="0.25">
      <c r="O2935" s="74"/>
      <c r="P2935" s="74"/>
      <c r="Q2935" s="74"/>
      <c r="R2935" s="74"/>
      <c r="V2935" s="72"/>
    </row>
    <row r="2936" spans="15:22" x14ac:dyDescent="0.25">
      <c r="O2936" s="74"/>
      <c r="P2936" s="74"/>
      <c r="Q2936" s="74"/>
      <c r="R2936" s="74"/>
      <c r="V2936" s="72"/>
    </row>
    <row r="2937" spans="15:22" x14ac:dyDescent="0.25">
      <c r="O2937" s="74"/>
      <c r="P2937" s="74"/>
      <c r="Q2937" s="74"/>
      <c r="R2937" s="74"/>
      <c r="V2937" s="72"/>
    </row>
    <row r="2938" spans="15:22" x14ac:dyDescent="0.25">
      <c r="O2938" s="74"/>
      <c r="P2938" s="74"/>
      <c r="Q2938" s="74"/>
      <c r="R2938" s="74"/>
      <c r="V2938" s="72"/>
    </row>
    <row r="2939" spans="15:22" x14ac:dyDescent="0.25">
      <c r="O2939" s="74"/>
      <c r="P2939" s="74"/>
      <c r="Q2939" s="74"/>
      <c r="R2939" s="74"/>
      <c r="V2939" s="72"/>
    </row>
    <row r="2940" spans="15:22" x14ac:dyDescent="0.25">
      <c r="O2940" s="74"/>
      <c r="P2940" s="74"/>
      <c r="Q2940" s="74"/>
      <c r="R2940" s="74"/>
      <c r="V2940" s="72"/>
    </row>
    <row r="2941" spans="15:22" x14ac:dyDescent="0.25">
      <c r="O2941" s="74"/>
      <c r="P2941" s="74"/>
      <c r="Q2941" s="74"/>
      <c r="R2941" s="74"/>
      <c r="V2941" s="72"/>
    </row>
    <row r="2942" spans="15:22" x14ac:dyDescent="0.25">
      <c r="O2942" s="74"/>
      <c r="P2942" s="74"/>
      <c r="Q2942" s="74"/>
      <c r="R2942" s="74"/>
      <c r="V2942" s="72"/>
    </row>
    <row r="2943" spans="15:22" x14ac:dyDescent="0.25">
      <c r="O2943" s="74"/>
      <c r="P2943" s="74"/>
      <c r="Q2943" s="74"/>
      <c r="R2943" s="74"/>
      <c r="V2943" s="72"/>
    </row>
    <row r="2944" spans="15:22" x14ac:dyDescent="0.25">
      <c r="O2944" s="74"/>
      <c r="P2944" s="74"/>
      <c r="Q2944" s="74"/>
      <c r="R2944" s="74"/>
      <c r="V2944" s="72"/>
    </row>
    <row r="2945" spans="15:22" x14ac:dyDescent="0.25">
      <c r="O2945" s="74"/>
      <c r="P2945" s="74"/>
      <c r="Q2945" s="74"/>
      <c r="R2945" s="74"/>
      <c r="V2945" s="72"/>
    </row>
    <row r="2946" spans="15:22" x14ac:dyDescent="0.25">
      <c r="O2946" s="74"/>
      <c r="P2946" s="74"/>
      <c r="Q2946" s="74"/>
      <c r="R2946" s="74"/>
      <c r="V2946" s="72"/>
    </row>
    <row r="2947" spans="15:22" x14ac:dyDescent="0.25">
      <c r="O2947" s="74"/>
      <c r="P2947" s="74"/>
      <c r="Q2947" s="74"/>
      <c r="R2947" s="74"/>
      <c r="V2947" s="72"/>
    </row>
    <row r="2948" spans="15:22" x14ac:dyDescent="0.25">
      <c r="O2948" s="74"/>
      <c r="P2948" s="74"/>
      <c r="Q2948" s="74"/>
      <c r="R2948" s="74"/>
      <c r="V2948" s="72"/>
    </row>
    <row r="2949" spans="15:22" x14ac:dyDescent="0.25">
      <c r="O2949" s="74"/>
      <c r="P2949" s="74"/>
      <c r="Q2949" s="74"/>
      <c r="R2949" s="74"/>
      <c r="V2949" s="72"/>
    </row>
    <row r="2950" spans="15:22" x14ac:dyDescent="0.25">
      <c r="O2950" s="74"/>
      <c r="P2950" s="74"/>
      <c r="Q2950" s="74"/>
      <c r="R2950" s="74"/>
      <c r="V2950" s="72"/>
    </row>
    <row r="2951" spans="15:22" x14ac:dyDescent="0.25">
      <c r="O2951" s="74"/>
      <c r="P2951" s="74"/>
      <c r="Q2951" s="74"/>
      <c r="R2951" s="74"/>
      <c r="V2951" s="72"/>
    </row>
    <row r="2952" spans="15:22" x14ac:dyDescent="0.25">
      <c r="O2952" s="74"/>
      <c r="P2952" s="74"/>
      <c r="Q2952" s="74"/>
      <c r="R2952" s="74"/>
      <c r="V2952" s="72"/>
    </row>
    <row r="2953" spans="15:22" x14ac:dyDescent="0.25">
      <c r="O2953" s="74"/>
      <c r="P2953" s="74"/>
      <c r="Q2953" s="74"/>
      <c r="R2953" s="74"/>
      <c r="V2953" s="72"/>
    </row>
    <row r="2954" spans="15:22" x14ac:dyDescent="0.25">
      <c r="O2954" s="74"/>
      <c r="P2954" s="74"/>
      <c r="Q2954" s="74"/>
      <c r="R2954" s="74"/>
      <c r="V2954" s="72"/>
    </row>
    <row r="2955" spans="15:22" x14ac:dyDescent="0.25">
      <c r="O2955" s="74"/>
      <c r="P2955" s="74"/>
      <c r="Q2955" s="74"/>
      <c r="R2955" s="74"/>
      <c r="V2955" s="72"/>
    </row>
    <row r="2956" spans="15:22" x14ac:dyDescent="0.25">
      <c r="O2956" s="74"/>
      <c r="P2956" s="74"/>
      <c r="Q2956" s="74"/>
      <c r="R2956" s="74"/>
      <c r="V2956" s="72"/>
    </row>
    <row r="2957" spans="15:22" x14ac:dyDescent="0.25">
      <c r="O2957" s="74"/>
      <c r="P2957" s="74"/>
      <c r="Q2957" s="74"/>
      <c r="R2957" s="74"/>
      <c r="V2957" s="72"/>
    </row>
    <row r="2958" spans="15:22" x14ac:dyDescent="0.25">
      <c r="O2958" s="74"/>
      <c r="P2958" s="74"/>
      <c r="Q2958" s="74"/>
      <c r="R2958" s="74"/>
      <c r="V2958" s="72"/>
    </row>
    <row r="2959" spans="15:22" x14ac:dyDescent="0.25">
      <c r="O2959" s="74"/>
      <c r="P2959" s="74"/>
      <c r="Q2959" s="74"/>
      <c r="R2959" s="74"/>
      <c r="V2959" s="72"/>
    </row>
    <row r="2960" spans="15:22" x14ac:dyDescent="0.25">
      <c r="O2960" s="74"/>
      <c r="P2960" s="74"/>
      <c r="Q2960" s="74"/>
      <c r="R2960" s="74"/>
      <c r="V2960" s="72"/>
    </row>
    <row r="2961" spans="15:22" x14ac:dyDescent="0.25">
      <c r="O2961" s="74"/>
      <c r="P2961" s="74"/>
      <c r="Q2961" s="74"/>
      <c r="R2961" s="74"/>
      <c r="V2961" s="72"/>
    </row>
    <row r="2962" spans="15:22" x14ac:dyDescent="0.25">
      <c r="O2962" s="74"/>
      <c r="P2962" s="74"/>
      <c r="Q2962" s="74"/>
      <c r="R2962" s="74"/>
      <c r="V2962" s="72"/>
    </row>
    <row r="2963" spans="15:22" x14ac:dyDescent="0.25">
      <c r="O2963" s="74"/>
      <c r="P2963" s="74"/>
      <c r="Q2963" s="74"/>
      <c r="R2963" s="74"/>
      <c r="V2963" s="72"/>
    </row>
    <row r="2964" spans="15:22" x14ac:dyDescent="0.25">
      <c r="O2964" s="74"/>
      <c r="P2964" s="74"/>
      <c r="Q2964" s="74"/>
      <c r="R2964" s="74"/>
      <c r="V2964" s="72"/>
    </row>
    <row r="2965" spans="15:22" x14ac:dyDescent="0.25">
      <c r="O2965" s="74"/>
      <c r="P2965" s="74"/>
      <c r="Q2965" s="74"/>
      <c r="R2965" s="74"/>
      <c r="V2965" s="72"/>
    </row>
    <row r="2966" spans="15:22" x14ac:dyDescent="0.25">
      <c r="O2966" s="74"/>
      <c r="P2966" s="74"/>
      <c r="Q2966" s="74"/>
      <c r="R2966" s="74"/>
      <c r="V2966" s="72"/>
    </row>
    <row r="2967" spans="15:22" x14ac:dyDescent="0.25">
      <c r="O2967" s="74"/>
      <c r="P2967" s="74"/>
      <c r="Q2967" s="74"/>
      <c r="R2967" s="74"/>
      <c r="V2967" s="72"/>
    </row>
    <row r="2968" spans="15:22" x14ac:dyDescent="0.25">
      <c r="O2968" s="74"/>
      <c r="P2968" s="74"/>
      <c r="Q2968" s="74"/>
      <c r="R2968" s="74"/>
      <c r="V2968" s="72"/>
    </row>
    <row r="2969" spans="15:22" x14ac:dyDescent="0.25">
      <c r="O2969" s="74"/>
      <c r="P2969" s="74"/>
      <c r="Q2969" s="74"/>
      <c r="R2969" s="74"/>
      <c r="V2969" s="72"/>
    </row>
    <row r="2970" spans="15:22" x14ac:dyDescent="0.25">
      <c r="O2970" s="74"/>
      <c r="P2970" s="74"/>
      <c r="Q2970" s="74"/>
      <c r="R2970" s="74"/>
      <c r="V2970" s="72"/>
    </row>
    <row r="2971" spans="15:22" x14ac:dyDescent="0.25">
      <c r="O2971" s="74"/>
      <c r="P2971" s="74"/>
      <c r="Q2971" s="74"/>
      <c r="R2971" s="74"/>
      <c r="V2971" s="72"/>
    </row>
    <row r="2972" spans="15:22" x14ac:dyDescent="0.25">
      <c r="O2972" s="74"/>
      <c r="P2972" s="74"/>
      <c r="Q2972" s="74"/>
      <c r="R2972" s="74"/>
      <c r="V2972" s="72"/>
    </row>
    <row r="2973" spans="15:22" x14ac:dyDescent="0.25">
      <c r="O2973" s="74"/>
      <c r="P2973" s="74"/>
      <c r="Q2973" s="74"/>
      <c r="R2973" s="74"/>
      <c r="V2973" s="72"/>
    </row>
    <row r="2974" spans="15:22" x14ac:dyDescent="0.25">
      <c r="O2974" s="74"/>
      <c r="P2974" s="74"/>
      <c r="Q2974" s="74"/>
      <c r="R2974" s="74"/>
      <c r="V2974" s="72"/>
    </row>
    <row r="2975" spans="15:22" x14ac:dyDescent="0.25">
      <c r="O2975" s="74"/>
      <c r="P2975" s="74"/>
      <c r="Q2975" s="74"/>
      <c r="R2975" s="74"/>
      <c r="V2975" s="72"/>
    </row>
    <row r="2976" spans="15:22" x14ac:dyDescent="0.25">
      <c r="O2976" s="74"/>
      <c r="P2976" s="74"/>
      <c r="Q2976" s="74"/>
      <c r="R2976" s="74"/>
      <c r="V2976" s="72"/>
    </row>
    <row r="2977" spans="15:22" x14ac:dyDescent="0.25">
      <c r="O2977" s="74"/>
      <c r="P2977" s="74"/>
      <c r="Q2977" s="74"/>
      <c r="R2977" s="74"/>
      <c r="V2977" s="72"/>
    </row>
    <row r="2978" spans="15:22" x14ac:dyDescent="0.25">
      <c r="O2978" s="74"/>
      <c r="P2978" s="74"/>
      <c r="Q2978" s="74"/>
      <c r="R2978" s="74"/>
      <c r="V2978" s="72"/>
    </row>
    <row r="2979" spans="15:22" x14ac:dyDescent="0.25">
      <c r="O2979" s="74"/>
      <c r="P2979" s="74"/>
      <c r="Q2979" s="74"/>
      <c r="R2979" s="74"/>
      <c r="V2979" s="72"/>
    </row>
    <row r="2980" spans="15:22" x14ac:dyDescent="0.25">
      <c r="O2980" s="74"/>
      <c r="P2980" s="74"/>
      <c r="Q2980" s="74"/>
      <c r="R2980" s="74"/>
      <c r="V2980" s="72"/>
    </row>
    <row r="2981" spans="15:22" x14ac:dyDescent="0.25">
      <c r="O2981" s="74"/>
      <c r="P2981" s="74"/>
      <c r="Q2981" s="74"/>
      <c r="R2981" s="74"/>
      <c r="V2981" s="72"/>
    </row>
    <row r="2982" spans="15:22" x14ac:dyDescent="0.25">
      <c r="O2982" s="74"/>
      <c r="P2982" s="74"/>
      <c r="Q2982" s="74"/>
      <c r="R2982" s="74"/>
      <c r="V2982" s="72"/>
    </row>
    <row r="2983" spans="15:22" x14ac:dyDescent="0.25">
      <c r="O2983" s="74"/>
      <c r="P2983" s="74"/>
      <c r="Q2983" s="74"/>
      <c r="R2983" s="74"/>
      <c r="V2983" s="72"/>
    </row>
    <row r="2984" spans="15:22" x14ac:dyDescent="0.25">
      <c r="O2984" s="74"/>
      <c r="P2984" s="74"/>
      <c r="Q2984" s="74"/>
      <c r="R2984" s="74"/>
      <c r="V2984" s="72"/>
    </row>
    <row r="2985" spans="15:22" x14ac:dyDescent="0.25">
      <c r="O2985" s="74"/>
      <c r="P2985" s="74"/>
      <c r="Q2985" s="74"/>
      <c r="R2985" s="74"/>
      <c r="V2985" s="72"/>
    </row>
    <row r="2986" spans="15:22" x14ac:dyDescent="0.25">
      <c r="O2986" s="74"/>
      <c r="P2986" s="74"/>
      <c r="Q2986" s="74"/>
      <c r="R2986" s="74"/>
      <c r="V2986" s="72"/>
    </row>
    <row r="2987" spans="15:22" x14ac:dyDescent="0.25">
      <c r="O2987" s="74"/>
      <c r="P2987" s="74"/>
      <c r="Q2987" s="74"/>
      <c r="R2987" s="74"/>
      <c r="V2987" s="72"/>
    </row>
    <row r="2988" spans="15:22" x14ac:dyDescent="0.25">
      <c r="O2988" s="74"/>
      <c r="P2988" s="74"/>
      <c r="Q2988" s="74"/>
      <c r="R2988" s="74"/>
      <c r="V2988" s="72"/>
    </row>
    <row r="2989" spans="15:22" x14ac:dyDescent="0.25">
      <c r="O2989" s="74"/>
      <c r="P2989" s="74"/>
      <c r="Q2989" s="74"/>
      <c r="R2989" s="74"/>
      <c r="V2989" s="72"/>
    </row>
    <row r="2990" spans="15:22" x14ac:dyDescent="0.25">
      <c r="O2990" s="74"/>
      <c r="P2990" s="74"/>
      <c r="Q2990" s="74"/>
      <c r="R2990" s="74"/>
      <c r="V2990" s="72"/>
    </row>
    <row r="2991" spans="15:22" x14ac:dyDescent="0.25">
      <c r="O2991" s="74"/>
      <c r="P2991" s="74"/>
      <c r="Q2991" s="74"/>
      <c r="R2991" s="74"/>
      <c r="V2991" s="72"/>
    </row>
    <row r="2992" spans="15:22" x14ac:dyDescent="0.25">
      <c r="O2992" s="74"/>
      <c r="P2992" s="74"/>
      <c r="Q2992" s="74"/>
      <c r="R2992" s="74"/>
      <c r="V2992" s="72"/>
    </row>
    <row r="2993" spans="15:22" x14ac:dyDescent="0.25">
      <c r="O2993" s="74"/>
      <c r="P2993" s="74"/>
      <c r="Q2993" s="74"/>
      <c r="R2993" s="74"/>
      <c r="V2993" s="72"/>
    </row>
    <row r="2994" spans="15:22" x14ac:dyDescent="0.25">
      <c r="O2994" s="74"/>
      <c r="P2994" s="74"/>
      <c r="Q2994" s="74"/>
      <c r="R2994" s="74"/>
      <c r="V2994" s="72"/>
    </row>
    <row r="2995" spans="15:22" x14ac:dyDescent="0.25">
      <c r="O2995" s="74"/>
      <c r="P2995" s="74"/>
      <c r="Q2995" s="74"/>
      <c r="R2995" s="74"/>
      <c r="V2995" s="72"/>
    </row>
    <row r="2996" spans="15:22" x14ac:dyDescent="0.25">
      <c r="O2996" s="74"/>
      <c r="P2996" s="74"/>
      <c r="Q2996" s="74"/>
      <c r="R2996" s="74"/>
      <c r="V2996" s="72"/>
    </row>
    <row r="2997" spans="15:22" x14ac:dyDescent="0.25">
      <c r="O2997" s="74"/>
      <c r="P2997" s="74"/>
      <c r="Q2997" s="74"/>
      <c r="R2997" s="74"/>
      <c r="V2997" s="72"/>
    </row>
    <row r="2998" spans="15:22" x14ac:dyDescent="0.25">
      <c r="O2998" s="74"/>
      <c r="P2998" s="74"/>
      <c r="Q2998" s="74"/>
      <c r="R2998" s="74"/>
      <c r="V2998" s="72"/>
    </row>
    <row r="2999" spans="15:22" x14ac:dyDescent="0.25">
      <c r="O2999" s="74"/>
      <c r="P2999" s="74"/>
      <c r="Q2999" s="74"/>
      <c r="R2999" s="74"/>
      <c r="V2999" s="72"/>
    </row>
    <row r="3000" spans="15:22" x14ac:dyDescent="0.25">
      <c r="O3000" s="74"/>
      <c r="P3000" s="74"/>
      <c r="Q3000" s="74"/>
      <c r="R3000" s="74"/>
      <c r="V3000" s="72"/>
    </row>
    <row r="3001" spans="15:22" x14ac:dyDescent="0.25">
      <c r="O3001" s="74"/>
      <c r="P3001" s="74"/>
      <c r="Q3001" s="74"/>
      <c r="R3001" s="74"/>
      <c r="V3001" s="72"/>
    </row>
    <row r="3002" spans="15:22" x14ac:dyDescent="0.25">
      <c r="O3002" s="74"/>
      <c r="P3002" s="74"/>
      <c r="Q3002" s="74"/>
      <c r="R3002" s="74"/>
      <c r="V3002" s="72"/>
    </row>
    <row r="3003" spans="15:22" x14ac:dyDescent="0.25">
      <c r="O3003" s="74"/>
      <c r="P3003" s="74"/>
      <c r="Q3003" s="74"/>
      <c r="R3003" s="74"/>
      <c r="V3003" s="72"/>
    </row>
    <row r="3004" spans="15:22" x14ac:dyDescent="0.25">
      <c r="O3004" s="74"/>
      <c r="P3004" s="74"/>
      <c r="Q3004" s="74"/>
      <c r="R3004" s="74"/>
      <c r="V3004" s="72"/>
    </row>
    <row r="3005" spans="15:22" x14ac:dyDescent="0.25">
      <c r="O3005" s="74"/>
      <c r="P3005" s="74"/>
      <c r="Q3005" s="74"/>
      <c r="R3005" s="74"/>
      <c r="V3005" s="72"/>
    </row>
    <row r="3006" spans="15:22" x14ac:dyDescent="0.25">
      <c r="O3006" s="74"/>
      <c r="P3006" s="74"/>
      <c r="Q3006" s="74"/>
      <c r="R3006" s="74"/>
      <c r="V3006" s="72"/>
    </row>
    <row r="3007" spans="15:22" x14ac:dyDescent="0.25">
      <c r="O3007" s="74"/>
      <c r="P3007" s="74"/>
      <c r="Q3007" s="74"/>
      <c r="R3007" s="74"/>
      <c r="V3007" s="72"/>
    </row>
    <row r="3008" spans="15:22" x14ac:dyDescent="0.25">
      <c r="O3008" s="74"/>
      <c r="P3008" s="74"/>
      <c r="Q3008" s="74"/>
      <c r="R3008" s="74"/>
      <c r="V3008" s="72"/>
    </row>
    <row r="3009" spans="15:22" x14ac:dyDescent="0.25">
      <c r="O3009" s="74"/>
      <c r="P3009" s="74"/>
      <c r="Q3009" s="74"/>
      <c r="R3009" s="74"/>
      <c r="V3009" s="72"/>
    </row>
    <row r="3010" spans="15:22" x14ac:dyDescent="0.25">
      <c r="O3010" s="74"/>
      <c r="P3010" s="74"/>
      <c r="Q3010" s="74"/>
      <c r="R3010" s="74"/>
      <c r="V3010" s="72"/>
    </row>
    <row r="3011" spans="15:22" x14ac:dyDescent="0.25">
      <c r="O3011" s="74"/>
      <c r="P3011" s="74"/>
      <c r="Q3011" s="74"/>
      <c r="R3011" s="74"/>
      <c r="V3011" s="72"/>
    </row>
    <row r="3012" spans="15:22" x14ac:dyDescent="0.25">
      <c r="O3012" s="74"/>
      <c r="P3012" s="74"/>
      <c r="Q3012" s="74"/>
      <c r="R3012" s="74"/>
      <c r="V3012" s="72"/>
    </row>
    <row r="3013" spans="15:22" x14ac:dyDescent="0.25">
      <c r="O3013" s="74"/>
      <c r="P3013" s="74"/>
      <c r="Q3013" s="74"/>
      <c r="R3013" s="74"/>
      <c r="V3013" s="72"/>
    </row>
    <row r="3014" spans="15:22" x14ac:dyDescent="0.25">
      <c r="O3014" s="74"/>
      <c r="P3014" s="74"/>
      <c r="Q3014" s="74"/>
      <c r="R3014" s="74"/>
      <c r="V3014" s="72"/>
    </row>
    <row r="3015" spans="15:22" x14ac:dyDescent="0.25">
      <c r="O3015" s="74"/>
      <c r="P3015" s="74"/>
      <c r="Q3015" s="74"/>
      <c r="R3015" s="74"/>
      <c r="V3015" s="72"/>
    </row>
    <row r="3016" spans="15:22" x14ac:dyDescent="0.25">
      <c r="O3016" s="74"/>
      <c r="P3016" s="74"/>
      <c r="Q3016" s="74"/>
      <c r="R3016" s="74"/>
      <c r="V3016" s="72"/>
    </row>
    <row r="3017" spans="15:22" x14ac:dyDescent="0.25">
      <c r="O3017" s="74"/>
      <c r="P3017" s="74"/>
      <c r="Q3017" s="74"/>
      <c r="R3017" s="74"/>
      <c r="V3017" s="72"/>
    </row>
    <row r="3018" spans="15:22" x14ac:dyDescent="0.25">
      <c r="O3018" s="74"/>
      <c r="P3018" s="74"/>
      <c r="Q3018" s="74"/>
      <c r="R3018" s="74"/>
      <c r="V3018" s="72"/>
    </row>
    <row r="3019" spans="15:22" x14ac:dyDescent="0.25">
      <c r="O3019" s="74"/>
      <c r="P3019" s="74"/>
      <c r="Q3019" s="74"/>
      <c r="R3019" s="74"/>
      <c r="V3019" s="72"/>
    </row>
    <row r="3020" spans="15:22" x14ac:dyDescent="0.25">
      <c r="O3020" s="74"/>
      <c r="P3020" s="74"/>
      <c r="Q3020" s="74"/>
      <c r="R3020" s="74"/>
      <c r="V3020" s="72"/>
    </row>
    <row r="3021" spans="15:22" x14ac:dyDescent="0.25">
      <c r="O3021" s="74"/>
      <c r="P3021" s="74"/>
      <c r="Q3021" s="74"/>
      <c r="R3021" s="74"/>
      <c r="V3021" s="72"/>
    </row>
    <row r="3022" spans="15:22" x14ac:dyDescent="0.25">
      <c r="O3022" s="74"/>
      <c r="P3022" s="74"/>
      <c r="Q3022" s="74"/>
      <c r="R3022" s="74"/>
      <c r="V3022" s="72"/>
    </row>
    <row r="3023" spans="15:22" x14ac:dyDescent="0.25">
      <c r="O3023" s="74"/>
      <c r="P3023" s="74"/>
      <c r="Q3023" s="74"/>
      <c r="R3023" s="74"/>
      <c r="V3023" s="72"/>
    </row>
    <row r="3024" spans="15:22" x14ac:dyDescent="0.25">
      <c r="O3024" s="74"/>
      <c r="P3024" s="74"/>
      <c r="Q3024" s="74"/>
      <c r="R3024" s="74"/>
      <c r="V3024" s="72"/>
    </row>
    <row r="3025" spans="15:22" x14ac:dyDescent="0.25">
      <c r="O3025" s="74"/>
      <c r="P3025" s="74"/>
      <c r="Q3025" s="74"/>
      <c r="R3025" s="74"/>
      <c r="V3025" s="72"/>
    </row>
    <row r="3026" spans="15:22" x14ac:dyDescent="0.25">
      <c r="O3026" s="74"/>
      <c r="P3026" s="74"/>
      <c r="Q3026" s="74"/>
      <c r="R3026" s="74"/>
      <c r="V3026" s="72"/>
    </row>
    <row r="3027" spans="15:22" x14ac:dyDescent="0.25">
      <c r="O3027" s="74"/>
      <c r="P3027" s="74"/>
      <c r="Q3027" s="74"/>
      <c r="R3027" s="74"/>
      <c r="V3027" s="72"/>
    </row>
    <row r="3028" spans="15:22" x14ac:dyDescent="0.25">
      <c r="O3028" s="74"/>
      <c r="P3028" s="74"/>
      <c r="Q3028" s="74"/>
      <c r="R3028" s="74"/>
      <c r="V3028" s="72"/>
    </row>
    <row r="3029" spans="15:22" x14ac:dyDescent="0.25">
      <c r="O3029" s="74"/>
      <c r="P3029" s="74"/>
      <c r="Q3029" s="74"/>
      <c r="R3029" s="74"/>
      <c r="V3029" s="72"/>
    </row>
    <row r="3030" spans="15:22" x14ac:dyDescent="0.25">
      <c r="O3030" s="74"/>
      <c r="P3030" s="74"/>
      <c r="Q3030" s="74"/>
      <c r="R3030" s="74"/>
      <c r="V3030" s="72"/>
    </row>
    <row r="3031" spans="15:22" x14ac:dyDescent="0.25">
      <c r="O3031" s="74"/>
      <c r="P3031" s="74"/>
      <c r="Q3031" s="74"/>
      <c r="R3031" s="74"/>
      <c r="V3031" s="72"/>
    </row>
    <row r="3032" spans="15:22" x14ac:dyDescent="0.25">
      <c r="O3032" s="74"/>
      <c r="P3032" s="74"/>
      <c r="Q3032" s="74"/>
      <c r="R3032" s="74"/>
      <c r="V3032" s="72"/>
    </row>
    <row r="3033" spans="15:22" x14ac:dyDescent="0.25">
      <c r="O3033" s="74"/>
      <c r="P3033" s="74"/>
      <c r="Q3033" s="74"/>
      <c r="R3033" s="74"/>
      <c r="V3033" s="72"/>
    </row>
    <row r="3034" spans="15:22" x14ac:dyDescent="0.25">
      <c r="O3034" s="74"/>
      <c r="P3034" s="74"/>
      <c r="Q3034" s="74"/>
      <c r="R3034" s="74"/>
      <c r="V3034" s="72"/>
    </row>
    <row r="3035" spans="15:22" x14ac:dyDescent="0.25">
      <c r="O3035" s="74"/>
      <c r="P3035" s="74"/>
      <c r="Q3035" s="74"/>
      <c r="R3035" s="74"/>
      <c r="V3035" s="72"/>
    </row>
    <row r="3036" spans="15:22" x14ac:dyDescent="0.25">
      <c r="O3036" s="74"/>
      <c r="P3036" s="74"/>
      <c r="Q3036" s="74"/>
      <c r="R3036" s="74"/>
      <c r="V3036" s="72"/>
    </row>
    <row r="3037" spans="15:22" x14ac:dyDescent="0.25">
      <c r="O3037" s="74"/>
      <c r="P3037" s="74"/>
      <c r="Q3037" s="74"/>
      <c r="R3037" s="74"/>
      <c r="V3037" s="72"/>
    </row>
    <row r="3038" spans="15:22" x14ac:dyDescent="0.25">
      <c r="O3038" s="74"/>
      <c r="P3038" s="74"/>
      <c r="Q3038" s="74"/>
      <c r="R3038" s="74"/>
      <c r="V3038" s="72"/>
    </row>
    <row r="3039" spans="15:22" x14ac:dyDescent="0.25">
      <c r="O3039" s="74"/>
      <c r="P3039" s="74"/>
      <c r="Q3039" s="74"/>
      <c r="R3039" s="74"/>
      <c r="V3039" s="72"/>
    </row>
    <row r="3040" spans="15:22" x14ac:dyDescent="0.25">
      <c r="O3040" s="74"/>
      <c r="P3040" s="74"/>
      <c r="Q3040" s="74"/>
      <c r="R3040" s="74"/>
      <c r="V3040" s="72"/>
    </row>
    <row r="3041" spans="15:22" x14ac:dyDescent="0.25">
      <c r="O3041" s="74"/>
      <c r="P3041" s="74"/>
      <c r="Q3041" s="74"/>
      <c r="R3041" s="74"/>
      <c r="V3041" s="72"/>
    </row>
    <row r="3042" spans="15:22" x14ac:dyDescent="0.25">
      <c r="O3042" s="74"/>
      <c r="P3042" s="74"/>
      <c r="Q3042" s="74"/>
      <c r="R3042" s="74"/>
      <c r="V3042" s="72"/>
    </row>
    <row r="3043" spans="15:22" x14ac:dyDescent="0.25">
      <c r="O3043" s="74"/>
      <c r="P3043" s="74"/>
      <c r="Q3043" s="74"/>
      <c r="R3043" s="74"/>
      <c r="V3043" s="72"/>
    </row>
    <row r="3044" spans="15:22" x14ac:dyDescent="0.25">
      <c r="O3044" s="74"/>
      <c r="P3044" s="74"/>
      <c r="Q3044" s="74"/>
      <c r="R3044" s="74"/>
      <c r="V3044" s="72"/>
    </row>
    <row r="3045" spans="15:22" x14ac:dyDescent="0.25">
      <c r="O3045" s="74"/>
      <c r="P3045" s="74"/>
      <c r="Q3045" s="74"/>
      <c r="R3045" s="74"/>
      <c r="V3045" s="72"/>
    </row>
    <row r="3046" spans="15:22" x14ac:dyDescent="0.25">
      <c r="O3046" s="74"/>
      <c r="P3046" s="74"/>
      <c r="Q3046" s="74"/>
      <c r="R3046" s="74"/>
      <c r="V3046" s="72"/>
    </row>
    <row r="3047" spans="15:22" x14ac:dyDescent="0.25">
      <c r="O3047" s="74"/>
      <c r="P3047" s="74"/>
      <c r="Q3047" s="74"/>
      <c r="R3047" s="74"/>
      <c r="V3047" s="72"/>
    </row>
    <row r="3048" spans="15:22" x14ac:dyDescent="0.25">
      <c r="O3048" s="74"/>
      <c r="P3048" s="74"/>
      <c r="Q3048" s="74"/>
      <c r="R3048" s="74"/>
      <c r="V3048" s="72"/>
    </row>
    <row r="3049" spans="15:22" x14ac:dyDescent="0.25">
      <c r="O3049" s="74"/>
      <c r="P3049" s="74"/>
      <c r="Q3049" s="74"/>
      <c r="R3049" s="74"/>
      <c r="V3049" s="72"/>
    </row>
    <row r="3050" spans="15:22" x14ac:dyDescent="0.25">
      <c r="O3050" s="74"/>
      <c r="P3050" s="74"/>
      <c r="Q3050" s="74"/>
      <c r="R3050" s="74"/>
      <c r="V3050" s="72"/>
    </row>
    <row r="3051" spans="15:22" x14ac:dyDescent="0.25">
      <c r="O3051" s="74"/>
      <c r="P3051" s="74"/>
      <c r="Q3051" s="74"/>
      <c r="R3051" s="74"/>
      <c r="V3051" s="72"/>
    </row>
    <row r="3052" spans="15:22" x14ac:dyDescent="0.25">
      <c r="O3052" s="74"/>
      <c r="P3052" s="74"/>
      <c r="Q3052" s="74"/>
      <c r="R3052" s="74"/>
      <c r="V3052" s="72"/>
    </row>
    <row r="3053" spans="15:22" x14ac:dyDescent="0.25">
      <c r="O3053" s="74"/>
      <c r="P3053" s="74"/>
      <c r="Q3053" s="74"/>
      <c r="R3053" s="74"/>
      <c r="V3053" s="72"/>
    </row>
    <row r="3054" spans="15:22" x14ac:dyDescent="0.25">
      <c r="O3054" s="74"/>
      <c r="P3054" s="74"/>
      <c r="Q3054" s="74"/>
      <c r="R3054" s="74"/>
      <c r="V3054" s="72"/>
    </row>
    <row r="3055" spans="15:22" x14ac:dyDescent="0.25">
      <c r="O3055" s="74"/>
      <c r="P3055" s="74"/>
      <c r="Q3055" s="74"/>
      <c r="R3055" s="74"/>
      <c r="V3055" s="72"/>
    </row>
    <row r="3056" spans="15:22" x14ac:dyDescent="0.25">
      <c r="O3056" s="74"/>
      <c r="P3056" s="74"/>
      <c r="Q3056" s="74"/>
      <c r="R3056" s="74"/>
      <c r="V3056" s="72"/>
    </row>
    <row r="3057" spans="15:22" x14ac:dyDescent="0.25">
      <c r="O3057" s="74"/>
      <c r="P3057" s="74"/>
      <c r="Q3057" s="74"/>
      <c r="R3057" s="74"/>
      <c r="V3057" s="72"/>
    </row>
    <row r="3058" spans="15:22" x14ac:dyDescent="0.25">
      <c r="O3058" s="74"/>
      <c r="P3058" s="74"/>
      <c r="Q3058" s="74"/>
      <c r="R3058" s="74"/>
      <c r="V3058" s="72"/>
    </row>
    <row r="3059" spans="15:22" x14ac:dyDescent="0.25">
      <c r="O3059" s="74"/>
      <c r="P3059" s="74"/>
      <c r="Q3059" s="74"/>
      <c r="R3059" s="74"/>
      <c r="V3059" s="72"/>
    </row>
    <row r="3060" spans="15:22" x14ac:dyDescent="0.25">
      <c r="O3060" s="74"/>
      <c r="P3060" s="74"/>
      <c r="Q3060" s="74"/>
      <c r="R3060" s="74"/>
      <c r="V3060" s="72"/>
    </row>
    <row r="3061" spans="15:22" x14ac:dyDescent="0.25">
      <c r="O3061" s="74"/>
      <c r="P3061" s="74"/>
      <c r="Q3061" s="74"/>
      <c r="R3061" s="74"/>
      <c r="V3061" s="72"/>
    </row>
    <row r="3062" spans="15:22" x14ac:dyDescent="0.25">
      <c r="O3062" s="74"/>
      <c r="P3062" s="74"/>
      <c r="Q3062" s="74"/>
      <c r="R3062" s="74"/>
      <c r="V3062" s="72"/>
    </row>
    <row r="3063" spans="15:22" x14ac:dyDescent="0.25">
      <c r="O3063" s="74"/>
      <c r="P3063" s="74"/>
      <c r="Q3063" s="74"/>
      <c r="R3063" s="74"/>
      <c r="V3063" s="72"/>
    </row>
    <row r="3064" spans="15:22" x14ac:dyDescent="0.25">
      <c r="O3064" s="74"/>
      <c r="P3064" s="74"/>
      <c r="Q3064" s="74"/>
      <c r="R3064" s="74"/>
      <c r="V3064" s="72"/>
    </row>
    <row r="3065" spans="15:22" x14ac:dyDescent="0.25">
      <c r="O3065" s="74"/>
      <c r="P3065" s="74"/>
      <c r="Q3065" s="74"/>
      <c r="R3065" s="74"/>
      <c r="V3065" s="72"/>
    </row>
    <row r="3066" spans="15:22" x14ac:dyDescent="0.25">
      <c r="O3066" s="74"/>
      <c r="P3066" s="74"/>
      <c r="Q3066" s="74"/>
      <c r="R3066" s="74"/>
      <c r="V3066" s="72"/>
    </row>
    <row r="3067" spans="15:22" x14ac:dyDescent="0.25">
      <c r="O3067" s="74"/>
      <c r="P3067" s="74"/>
      <c r="Q3067" s="74"/>
      <c r="R3067" s="74"/>
      <c r="V3067" s="72"/>
    </row>
    <row r="3068" spans="15:22" x14ac:dyDescent="0.25">
      <c r="O3068" s="74"/>
      <c r="P3068" s="74"/>
      <c r="Q3068" s="74"/>
      <c r="R3068" s="74"/>
      <c r="V3068" s="72"/>
    </row>
    <row r="3069" spans="15:22" x14ac:dyDescent="0.25">
      <c r="O3069" s="74"/>
      <c r="P3069" s="74"/>
      <c r="Q3069" s="74"/>
      <c r="R3069" s="74"/>
      <c r="V3069" s="72"/>
    </row>
    <row r="3070" spans="15:22" x14ac:dyDescent="0.25">
      <c r="O3070" s="74"/>
      <c r="P3070" s="74"/>
      <c r="Q3070" s="74"/>
      <c r="R3070" s="74"/>
      <c r="V3070" s="72"/>
    </row>
    <row r="3071" spans="15:22" x14ac:dyDescent="0.25">
      <c r="O3071" s="74"/>
      <c r="P3071" s="74"/>
      <c r="Q3071" s="74"/>
      <c r="R3071" s="74"/>
      <c r="V3071" s="72"/>
    </row>
    <row r="3072" spans="15:22" x14ac:dyDescent="0.25">
      <c r="O3072" s="74"/>
      <c r="P3072" s="74"/>
      <c r="Q3072" s="74"/>
      <c r="R3072" s="74"/>
      <c r="V3072" s="72"/>
    </row>
    <row r="3073" spans="15:22" x14ac:dyDescent="0.25">
      <c r="O3073" s="74"/>
      <c r="P3073" s="74"/>
      <c r="Q3073" s="74"/>
      <c r="R3073" s="74"/>
      <c r="V3073" s="72"/>
    </row>
    <row r="3074" spans="15:22" x14ac:dyDescent="0.25">
      <c r="O3074" s="74"/>
      <c r="P3074" s="74"/>
      <c r="Q3074" s="74"/>
      <c r="R3074" s="74"/>
      <c r="V3074" s="72"/>
    </row>
    <row r="3075" spans="15:22" x14ac:dyDescent="0.25">
      <c r="O3075" s="74"/>
      <c r="P3075" s="74"/>
      <c r="Q3075" s="74"/>
      <c r="R3075" s="74"/>
      <c r="V3075" s="72"/>
    </row>
    <row r="3076" spans="15:22" x14ac:dyDescent="0.25">
      <c r="O3076" s="74"/>
      <c r="P3076" s="74"/>
      <c r="Q3076" s="74"/>
      <c r="R3076" s="74"/>
      <c r="V3076" s="72"/>
    </row>
    <row r="3077" spans="15:22" x14ac:dyDescent="0.25">
      <c r="O3077" s="74"/>
      <c r="P3077" s="74"/>
      <c r="Q3077" s="74"/>
      <c r="R3077" s="74"/>
      <c r="V3077" s="72"/>
    </row>
    <row r="3078" spans="15:22" x14ac:dyDescent="0.25">
      <c r="O3078" s="74"/>
      <c r="P3078" s="74"/>
      <c r="Q3078" s="74"/>
      <c r="R3078" s="74"/>
      <c r="V3078" s="72"/>
    </row>
    <row r="3079" spans="15:22" x14ac:dyDescent="0.25">
      <c r="O3079" s="74"/>
      <c r="P3079" s="74"/>
      <c r="Q3079" s="74"/>
      <c r="R3079" s="74"/>
      <c r="V3079" s="72"/>
    </row>
    <row r="3080" spans="15:22" x14ac:dyDescent="0.25">
      <c r="O3080" s="74"/>
      <c r="P3080" s="74"/>
      <c r="Q3080" s="74"/>
      <c r="R3080" s="74"/>
      <c r="V3080" s="72"/>
    </row>
    <row r="3081" spans="15:22" x14ac:dyDescent="0.25">
      <c r="O3081" s="74"/>
      <c r="P3081" s="74"/>
      <c r="Q3081" s="74"/>
      <c r="R3081" s="74"/>
      <c r="V3081" s="72"/>
    </row>
    <row r="3082" spans="15:22" x14ac:dyDescent="0.25">
      <c r="O3082" s="74"/>
      <c r="P3082" s="74"/>
      <c r="Q3082" s="74"/>
      <c r="R3082" s="74"/>
      <c r="V3082" s="72"/>
    </row>
    <row r="3083" spans="15:22" x14ac:dyDescent="0.25">
      <c r="O3083" s="74"/>
      <c r="P3083" s="74"/>
      <c r="Q3083" s="74"/>
      <c r="R3083" s="74"/>
      <c r="V3083" s="72"/>
    </row>
    <row r="3084" spans="15:22" x14ac:dyDescent="0.25">
      <c r="O3084" s="74"/>
      <c r="P3084" s="74"/>
      <c r="Q3084" s="74"/>
      <c r="R3084" s="74"/>
      <c r="V3084" s="72"/>
    </row>
    <row r="3085" spans="15:22" x14ac:dyDescent="0.25">
      <c r="O3085" s="74"/>
      <c r="P3085" s="74"/>
      <c r="Q3085" s="74"/>
      <c r="R3085" s="74"/>
      <c r="V3085" s="72"/>
    </row>
    <row r="3086" spans="15:22" x14ac:dyDescent="0.25">
      <c r="O3086" s="74"/>
      <c r="P3086" s="74"/>
      <c r="Q3086" s="74"/>
      <c r="R3086" s="74"/>
      <c r="V3086" s="72"/>
    </row>
    <row r="3087" spans="15:22" x14ac:dyDescent="0.25">
      <c r="O3087" s="74"/>
      <c r="P3087" s="74"/>
      <c r="Q3087" s="74"/>
      <c r="R3087" s="74"/>
      <c r="V3087" s="72"/>
    </row>
    <row r="3088" spans="15:22" x14ac:dyDescent="0.25">
      <c r="O3088" s="74"/>
      <c r="P3088" s="74"/>
      <c r="Q3088" s="74"/>
      <c r="R3088" s="74"/>
      <c r="V3088" s="72"/>
    </row>
    <row r="3089" spans="15:22" x14ac:dyDescent="0.25">
      <c r="O3089" s="74"/>
      <c r="P3089" s="74"/>
      <c r="Q3089" s="74"/>
      <c r="R3089" s="74"/>
      <c r="V3089" s="72"/>
    </row>
    <row r="3090" spans="15:22" x14ac:dyDescent="0.25">
      <c r="O3090" s="74"/>
      <c r="P3090" s="74"/>
      <c r="Q3090" s="74"/>
      <c r="R3090" s="74"/>
      <c r="V3090" s="72"/>
    </row>
    <row r="3091" spans="15:22" x14ac:dyDescent="0.25">
      <c r="O3091" s="74"/>
      <c r="P3091" s="74"/>
      <c r="Q3091" s="74"/>
      <c r="R3091" s="74"/>
      <c r="V3091" s="72"/>
    </row>
    <row r="3092" spans="15:22" x14ac:dyDescent="0.25">
      <c r="O3092" s="74"/>
      <c r="P3092" s="74"/>
      <c r="Q3092" s="74"/>
      <c r="R3092" s="74"/>
      <c r="V3092" s="72"/>
    </row>
    <row r="3093" spans="15:22" x14ac:dyDescent="0.25">
      <c r="O3093" s="74"/>
      <c r="P3093" s="74"/>
      <c r="Q3093" s="74"/>
      <c r="R3093" s="74"/>
      <c r="V3093" s="72"/>
    </row>
    <row r="3094" spans="15:22" x14ac:dyDescent="0.25">
      <c r="O3094" s="74"/>
      <c r="P3094" s="74"/>
      <c r="Q3094" s="74"/>
      <c r="R3094" s="74"/>
      <c r="V3094" s="72"/>
    </row>
    <row r="3095" spans="15:22" x14ac:dyDescent="0.25">
      <c r="O3095" s="74"/>
      <c r="P3095" s="74"/>
      <c r="Q3095" s="74"/>
      <c r="R3095" s="74"/>
      <c r="V3095" s="72"/>
    </row>
    <row r="3096" spans="15:22" x14ac:dyDescent="0.25">
      <c r="O3096" s="74"/>
      <c r="P3096" s="74"/>
      <c r="Q3096" s="74"/>
      <c r="R3096" s="74"/>
      <c r="V3096" s="72"/>
    </row>
    <row r="3097" spans="15:22" x14ac:dyDescent="0.25">
      <c r="O3097" s="74"/>
      <c r="P3097" s="74"/>
      <c r="Q3097" s="74"/>
      <c r="R3097" s="74"/>
      <c r="V3097" s="72"/>
    </row>
    <row r="3098" spans="15:22" x14ac:dyDescent="0.25">
      <c r="O3098" s="74"/>
      <c r="P3098" s="74"/>
      <c r="Q3098" s="74"/>
      <c r="R3098" s="74"/>
      <c r="V3098" s="72"/>
    </row>
    <row r="3099" spans="15:22" x14ac:dyDescent="0.25">
      <c r="O3099" s="74"/>
      <c r="P3099" s="74"/>
      <c r="Q3099" s="74"/>
      <c r="R3099" s="74"/>
      <c r="V3099" s="72"/>
    </row>
    <row r="3100" spans="15:22" x14ac:dyDescent="0.25">
      <c r="O3100" s="74"/>
      <c r="P3100" s="74"/>
      <c r="Q3100" s="74"/>
      <c r="R3100" s="74"/>
      <c r="V3100" s="72"/>
    </row>
    <row r="3101" spans="15:22" x14ac:dyDescent="0.25">
      <c r="O3101" s="74"/>
      <c r="P3101" s="74"/>
      <c r="Q3101" s="74"/>
      <c r="R3101" s="74"/>
      <c r="V3101" s="72"/>
    </row>
    <row r="3102" spans="15:22" x14ac:dyDescent="0.25">
      <c r="O3102" s="74"/>
      <c r="P3102" s="74"/>
      <c r="Q3102" s="74"/>
      <c r="R3102" s="74"/>
      <c r="V3102" s="72"/>
    </row>
    <row r="3103" spans="15:22" x14ac:dyDescent="0.25">
      <c r="O3103" s="74"/>
      <c r="P3103" s="74"/>
      <c r="Q3103" s="74"/>
      <c r="R3103" s="74"/>
      <c r="V3103" s="72"/>
    </row>
    <row r="3104" spans="15:22" x14ac:dyDescent="0.25">
      <c r="O3104" s="74"/>
      <c r="P3104" s="74"/>
      <c r="Q3104" s="74"/>
      <c r="R3104" s="74"/>
      <c r="V3104" s="72"/>
    </row>
    <row r="3105" spans="15:22" x14ac:dyDescent="0.25">
      <c r="O3105" s="74"/>
      <c r="P3105" s="74"/>
      <c r="Q3105" s="74"/>
      <c r="R3105" s="74"/>
      <c r="V3105" s="72"/>
    </row>
    <row r="3106" spans="15:22" x14ac:dyDescent="0.25">
      <c r="O3106" s="74"/>
      <c r="P3106" s="74"/>
      <c r="Q3106" s="74"/>
      <c r="R3106" s="74"/>
      <c r="V3106" s="72"/>
    </row>
    <row r="3107" spans="15:22" x14ac:dyDescent="0.25">
      <c r="O3107" s="74"/>
      <c r="P3107" s="74"/>
      <c r="Q3107" s="74"/>
      <c r="R3107" s="74"/>
      <c r="V3107" s="72"/>
    </row>
    <row r="3108" spans="15:22" x14ac:dyDescent="0.25">
      <c r="O3108" s="74"/>
      <c r="P3108" s="74"/>
      <c r="Q3108" s="74"/>
      <c r="R3108" s="74"/>
      <c r="V3108" s="72"/>
    </row>
    <row r="3109" spans="15:22" x14ac:dyDescent="0.25">
      <c r="O3109" s="74"/>
      <c r="P3109" s="74"/>
      <c r="Q3109" s="74"/>
      <c r="R3109" s="74"/>
      <c r="V3109" s="72"/>
    </row>
    <row r="3110" spans="15:22" x14ac:dyDescent="0.25">
      <c r="O3110" s="74"/>
      <c r="P3110" s="74"/>
      <c r="Q3110" s="74"/>
      <c r="R3110" s="74"/>
      <c r="V3110" s="72"/>
    </row>
    <row r="3111" spans="15:22" x14ac:dyDescent="0.25">
      <c r="O3111" s="74"/>
      <c r="P3111" s="74"/>
      <c r="Q3111" s="74"/>
      <c r="R3111" s="74"/>
      <c r="V3111" s="72"/>
    </row>
    <row r="3112" spans="15:22" x14ac:dyDescent="0.25">
      <c r="O3112" s="74"/>
      <c r="P3112" s="74"/>
      <c r="Q3112" s="74"/>
      <c r="R3112" s="74"/>
      <c r="V3112" s="72"/>
    </row>
    <row r="3113" spans="15:22" x14ac:dyDescent="0.25">
      <c r="O3113" s="74"/>
      <c r="P3113" s="74"/>
      <c r="Q3113" s="74"/>
      <c r="R3113" s="74"/>
      <c r="V3113" s="72"/>
    </row>
    <row r="3114" spans="15:22" x14ac:dyDescent="0.25">
      <c r="O3114" s="74"/>
      <c r="P3114" s="74"/>
      <c r="Q3114" s="74"/>
      <c r="R3114" s="74"/>
      <c r="V3114" s="72"/>
    </row>
    <row r="3115" spans="15:22" x14ac:dyDescent="0.25">
      <c r="O3115" s="74"/>
      <c r="P3115" s="74"/>
      <c r="Q3115" s="74"/>
      <c r="R3115" s="74"/>
      <c r="V3115" s="72"/>
    </row>
    <row r="3116" spans="15:22" x14ac:dyDescent="0.25">
      <c r="O3116" s="74"/>
      <c r="P3116" s="74"/>
      <c r="Q3116" s="74"/>
      <c r="R3116" s="74"/>
      <c r="V3116" s="72"/>
    </row>
    <row r="3117" spans="15:22" x14ac:dyDescent="0.25">
      <c r="O3117" s="74"/>
      <c r="P3117" s="74"/>
      <c r="Q3117" s="74"/>
      <c r="R3117" s="74"/>
      <c r="V3117" s="72"/>
    </row>
    <row r="3118" spans="15:22" x14ac:dyDescent="0.25">
      <c r="O3118" s="74"/>
      <c r="P3118" s="74"/>
      <c r="Q3118" s="74"/>
      <c r="R3118" s="74"/>
      <c r="V3118" s="72"/>
    </row>
    <row r="3119" spans="15:22" x14ac:dyDescent="0.25">
      <c r="O3119" s="74"/>
      <c r="P3119" s="74"/>
      <c r="Q3119" s="74"/>
      <c r="R3119" s="74"/>
      <c r="V3119" s="72"/>
    </row>
    <row r="3120" spans="15:22" x14ac:dyDescent="0.25">
      <c r="O3120" s="74"/>
      <c r="P3120" s="74"/>
      <c r="Q3120" s="74"/>
      <c r="R3120" s="74"/>
      <c r="V3120" s="72"/>
    </row>
    <row r="3121" spans="15:22" x14ac:dyDescent="0.25">
      <c r="O3121" s="74"/>
      <c r="P3121" s="74"/>
      <c r="Q3121" s="74"/>
      <c r="R3121" s="74"/>
      <c r="V3121" s="72"/>
    </row>
    <row r="3122" spans="15:22" x14ac:dyDescent="0.25">
      <c r="O3122" s="74"/>
      <c r="P3122" s="74"/>
      <c r="Q3122" s="74"/>
      <c r="R3122" s="74"/>
      <c r="V3122" s="72"/>
    </row>
    <row r="3123" spans="15:22" x14ac:dyDescent="0.25">
      <c r="O3123" s="74"/>
      <c r="P3123" s="74"/>
      <c r="Q3123" s="74"/>
      <c r="R3123" s="74"/>
      <c r="V3123" s="72"/>
    </row>
    <row r="3124" spans="15:22" x14ac:dyDescent="0.25">
      <c r="O3124" s="74"/>
      <c r="P3124" s="74"/>
      <c r="Q3124" s="74"/>
      <c r="R3124" s="74"/>
      <c r="V3124" s="72"/>
    </row>
    <row r="3125" spans="15:22" x14ac:dyDescent="0.25">
      <c r="O3125" s="74"/>
      <c r="P3125" s="74"/>
      <c r="Q3125" s="74"/>
      <c r="R3125" s="74"/>
      <c r="V3125" s="72"/>
    </row>
    <row r="3126" spans="15:22" x14ac:dyDescent="0.25">
      <c r="O3126" s="74"/>
      <c r="P3126" s="74"/>
      <c r="Q3126" s="74"/>
      <c r="R3126" s="74"/>
      <c r="V3126" s="72"/>
    </row>
    <row r="3127" spans="15:22" x14ac:dyDescent="0.25">
      <c r="O3127" s="74"/>
      <c r="P3127" s="74"/>
      <c r="Q3127" s="74"/>
      <c r="R3127" s="74"/>
      <c r="V3127" s="72"/>
    </row>
    <row r="3128" spans="15:22" x14ac:dyDescent="0.25">
      <c r="O3128" s="74"/>
      <c r="P3128" s="74"/>
      <c r="Q3128" s="74"/>
      <c r="R3128" s="74"/>
      <c r="V3128" s="72"/>
    </row>
    <row r="3129" spans="15:22" x14ac:dyDescent="0.25">
      <c r="O3129" s="74"/>
      <c r="P3129" s="74"/>
      <c r="Q3129" s="74"/>
      <c r="R3129" s="74"/>
      <c r="V3129" s="72"/>
    </row>
    <row r="3130" spans="15:22" x14ac:dyDescent="0.25">
      <c r="O3130" s="74"/>
      <c r="P3130" s="74"/>
      <c r="Q3130" s="74"/>
      <c r="R3130" s="74"/>
      <c r="V3130" s="72"/>
    </row>
    <row r="3131" spans="15:22" x14ac:dyDescent="0.25">
      <c r="O3131" s="74"/>
      <c r="P3131" s="74"/>
      <c r="Q3131" s="74"/>
      <c r="R3131" s="74"/>
      <c r="V3131" s="72"/>
    </row>
    <row r="3132" spans="15:22" x14ac:dyDescent="0.25">
      <c r="O3132" s="74"/>
      <c r="P3132" s="74"/>
      <c r="Q3132" s="74"/>
      <c r="R3132" s="74"/>
      <c r="V3132" s="72"/>
    </row>
    <row r="3133" spans="15:22" x14ac:dyDescent="0.25">
      <c r="O3133" s="74"/>
      <c r="P3133" s="74"/>
      <c r="Q3133" s="74"/>
      <c r="R3133" s="74"/>
      <c r="V3133" s="72"/>
    </row>
    <row r="3134" spans="15:22" x14ac:dyDescent="0.25">
      <c r="O3134" s="74"/>
      <c r="P3134" s="74"/>
      <c r="Q3134" s="74"/>
      <c r="R3134" s="74"/>
      <c r="V3134" s="72"/>
    </row>
    <row r="3135" spans="15:22" x14ac:dyDescent="0.25">
      <c r="O3135" s="74"/>
      <c r="P3135" s="74"/>
      <c r="Q3135" s="74"/>
      <c r="R3135" s="74"/>
      <c r="V3135" s="72"/>
    </row>
    <row r="3136" spans="15:22" x14ac:dyDescent="0.25">
      <c r="O3136" s="74"/>
      <c r="P3136" s="74"/>
      <c r="Q3136" s="74"/>
      <c r="R3136" s="74"/>
      <c r="V3136" s="72"/>
    </row>
    <row r="3137" spans="15:22" x14ac:dyDescent="0.25">
      <c r="O3137" s="74"/>
      <c r="P3137" s="74"/>
      <c r="Q3137" s="74"/>
      <c r="R3137" s="74"/>
      <c r="V3137" s="72"/>
    </row>
    <row r="3138" spans="15:22" x14ac:dyDescent="0.25">
      <c r="O3138" s="74"/>
      <c r="P3138" s="74"/>
      <c r="Q3138" s="74"/>
      <c r="R3138" s="74"/>
      <c r="V3138" s="72"/>
    </row>
    <row r="3139" spans="15:22" x14ac:dyDescent="0.25">
      <c r="O3139" s="74"/>
      <c r="P3139" s="74"/>
      <c r="Q3139" s="74"/>
      <c r="R3139" s="74"/>
      <c r="V3139" s="72"/>
    </row>
    <row r="3140" spans="15:22" x14ac:dyDescent="0.25">
      <c r="O3140" s="74"/>
      <c r="P3140" s="74"/>
      <c r="Q3140" s="74"/>
      <c r="R3140" s="74"/>
      <c r="V3140" s="72"/>
    </row>
    <row r="3141" spans="15:22" x14ac:dyDescent="0.25">
      <c r="O3141" s="74"/>
      <c r="P3141" s="74"/>
      <c r="Q3141" s="74"/>
      <c r="R3141" s="74"/>
      <c r="V3141" s="72"/>
    </row>
    <row r="3142" spans="15:22" x14ac:dyDescent="0.25">
      <c r="O3142" s="74"/>
      <c r="P3142" s="74"/>
      <c r="Q3142" s="74"/>
      <c r="R3142" s="74"/>
      <c r="V3142" s="72"/>
    </row>
    <row r="3143" spans="15:22" x14ac:dyDescent="0.25">
      <c r="O3143" s="74"/>
      <c r="P3143" s="74"/>
      <c r="Q3143" s="74"/>
      <c r="R3143" s="74"/>
      <c r="V3143" s="72"/>
    </row>
    <row r="3144" spans="15:22" x14ac:dyDescent="0.25">
      <c r="O3144" s="74"/>
      <c r="P3144" s="74"/>
      <c r="Q3144" s="74"/>
      <c r="R3144" s="74"/>
      <c r="V3144" s="72"/>
    </row>
    <row r="3145" spans="15:22" x14ac:dyDescent="0.25">
      <c r="O3145" s="74"/>
      <c r="P3145" s="74"/>
      <c r="Q3145" s="74"/>
      <c r="R3145" s="74"/>
      <c r="V3145" s="72"/>
    </row>
    <row r="3146" spans="15:22" x14ac:dyDescent="0.25">
      <c r="O3146" s="74"/>
      <c r="P3146" s="74"/>
      <c r="Q3146" s="74"/>
      <c r="R3146" s="74"/>
      <c r="V3146" s="72"/>
    </row>
    <row r="3147" spans="15:22" x14ac:dyDescent="0.25">
      <c r="O3147" s="74"/>
      <c r="P3147" s="74"/>
      <c r="Q3147" s="74"/>
      <c r="R3147" s="74"/>
      <c r="V3147" s="72"/>
    </row>
    <row r="3148" spans="15:22" x14ac:dyDescent="0.25">
      <c r="O3148" s="74"/>
      <c r="P3148" s="74"/>
      <c r="Q3148" s="74"/>
      <c r="R3148" s="74"/>
      <c r="V3148" s="72"/>
    </row>
    <row r="3149" spans="15:22" x14ac:dyDescent="0.25">
      <c r="O3149" s="74"/>
      <c r="P3149" s="74"/>
      <c r="Q3149" s="74"/>
      <c r="R3149" s="74"/>
      <c r="V3149" s="72"/>
    </row>
    <row r="3150" spans="15:22" x14ac:dyDescent="0.25">
      <c r="O3150" s="74"/>
      <c r="P3150" s="74"/>
      <c r="Q3150" s="74"/>
      <c r="R3150" s="74"/>
      <c r="V3150" s="72"/>
    </row>
    <row r="3151" spans="15:22" x14ac:dyDescent="0.25">
      <c r="O3151" s="74"/>
      <c r="P3151" s="74"/>
      <c r="Q3151" s="74"/>
      <c r="R3151" s="74"/>
      <c r="V3151" s="72"/>
    </row>
    <row r="3152" spans="15:22" x14ac:dyDescent="0.25">
      <c r="O3152" s="74"/>
      <c r="P3152" s="74"/>
      <c r="Q3152" s="74"/>
      <c r="R3152" s="74"/>
      <c r="V3152" s="72"/>
    </row>
    <row r="3153" spans="15:22" x14ac:dyDescent="0.25">
      <c r="O3153" s="74"/>
      <c r="P3153" s="74"/>
      <c r="Q3153" s="74"/>
      <c r="R3153" s="74"/>
      <c r="V3153" s="72"/>
    </row>
    <row r="3154" spans="15:22" x14ac:dyDescent="0.25">
      <c r="O3154" s="74"/>
      <c r="P3154" s="74"/>
      <c r="Q3154" s="74"/>
      <c r="R3154" s="74"/>
      <c r="V3154" s="72"/>
    </row>
    <row r="3155" spans="15:22" x14ac:dyDescent="0.25">
      <c r="O3155" s="74"/>
      <c r="P3155" s="74"/>
      <c r="Q3155" s="74"/>
      <c r="R3155" s="74"/>
      <c r="V3155" s="72"/>
    </row>
    <row r="3156" spans="15:22" x14ac:dyDescent="0.25">
      <c r="O3156" s="74"/>
      <c r="P3156" s="74"/>
      <c r="Q3156" s="74"/>
      <c r="R3156" s="74"/>
      <c r="V3156" s="72"/>
    </row>
    <row r="3157" spans="15:22" x14ac:dyDescent="0.25">
      <c r="O3157" s="74"/>
      <c r="P3157" s="74"/>
      <c r="Q3157" s="74"/>
      <c r="R3157" s="74"/>
      <c r="V3157" s="72"/>
    </row>
    <row r="3158" spans="15:22" x14ac:dyDescent="0.25">
      <c r="O3158" s="74"/>
      <c r="P3158" s="74"/>
      <c r="Q3158" s="74"/>
      <c r="R3158" s="74"/>
      <c r="V3158" s="72"/>
    </row>
    <row r="3159" spans="15:22" x14ac:dyDescent="0.25">
      <c r="O3159" s="74"/>
      <c r="P3159" s="74"/>
      <c r="Q3159" s="74"/>
      <c r="R3159" s="74"/>
      <c r="V3159" s="72"/>
    </row>
    <row r="3160" spans="15:22" x14ac:dyDescent="0.25">
      <c r="O3160" s="74"/>
      <c r="P3160" s="74"/>
      <c r="Q3160" s="74"/>
      <c r="R3160" s="74"/>
      <c r="V3160" s="72"/>
    </row>
    <row r="3161" spans="15:22" x14ac:dyDescent="0.25">
      <c r="O3161" s="74"/>
      <c r="P3161" s="74"/>
      <c r="Q3161" s="74"/>
      <c r="R3161" s="74"/>
      <c r="V3161" s="72"/>
    </row>
    <row r="3162" spans="15:22" x14ac:dyDescent="0.25">
      <c r="O3162" s="74"/>
      <c r="P3162" s="74"/>
      <c r="Q3162" s="74"/>
      <c r="R3162" s="74"/>
      <c r="V3162" s="72"/>
    </row>
    <row r="3163" spans="15:22" x14ac:dyDescent="0.25">
      <c r="O3163" s="74"/>
      <c r="P3163" s="74"/>
      <c r="Q3163" s="74"/>
      <c r="R3163" s="74"/>
      <c r="V3163" s="72"/>
    </row>
    <row r="3164" spans="15:22" x14ac:dyDescent="0.25">
      <c r="O3164" s="74"/>
      <c r="P3164" s="74"/>
      <c r="Q3164" s="74"/>
      <c r="R3164" s="74"/>
      <c r="V3164" s="72"/>
    </row>
    <row r="3165" spans="15:22" x14ac:dyDescent="0.25">
      <c r="O3165" s="74"/>
      <c r="P3165" s="74"/>
      <c r="Q3165" s="74"/>
      <c r="R3165" s="74"/>
      <c r="V3165" s="72"/>
    </row>
    <row r="3166" spans="15:22" x14ac:dyDescent="0.25">
      <c r="O3166" s="74"/>
      <c r="P3166" s="74"/>
      <c r="Q3166" s="74"/>
      <c r="R3166" s="74"/>
      <c r="V3166" s="72"/>
    </row>
    <row r="3167" spans="15:22" x14ac:dyDescent="0.25">
      <c r="O3167" s="74"/>
      <c r="P3167" s="74"/>
      <c r="Q3167" s="74"/>
      <c r="R3167" s="74"/>
      <c r="V3167" s="72"/>
    </row>
    <row r="3168" spans="15:22" x14ac:dyDescent="0.25">
      <c r="O3168" s="74"/>
      <c r="P3168" s="74"/>
      <c r="Q3168" s="74"/>
      <c r="R3168" s="74"/>
      <c r="V3168" s="72"/>
    </row>
    <row r="3169" spans="15:22" x14ac:dyDescent="0.25">
      <c r="O3169" s="74"/>
      <c r="P3169" s="74"/>
      <c r="Q3169" s="74"/>
      <c r="R3169" s="74"/>
      <c r="V3169" s="72"/>
    </row>
    <row r="3170" spans="15:22" x14ac:dyDescent="0.25">
      <c r="O3170" s="74"/>
      <c r="P3170" s="74"/>
      <c r="Q3170" s="74"/>
      <c r="R3170" s="74"/>
      <c r="V3170" s="72"/>
    </row>
    <row r="3171" spans="15:22" x14ac:dyDescent="0.25">
      <c r="O3171" s="74"/>
      <c r="P3171" s="74"/>
      <c r="Q3171" s="74"/>
      <c r="R3171" s="74"/>
      <c r="V3171" s="72"/>
    </row>
    <row r="3172" spans="15:22" x14ac:dyDescent="0.25">
      <c r="O3172" s="74"/>
      <c r="P3172" s="74"/>
      <c r="Q3172" s="74"/>
      <c r="R3172" s="74"/>
      <c r="V3172" s="72"/>
    </row>
    <row r="3173" spans="15:22" x14ac:dyDescent="0.25">
      <c r="O3173" s="74"/>
      <c r="P3173" s="74"/>
      <c r="Q3173" s="74"/>
      <c r="R3173" s="74"/>
      <c r="V3173" s="72"/>
    </row>
    <row r="3174" spans="15:22" x14ac:dyDescent="0.25">
      <c r="O3174" s="74"/>
      <c r="P3174" s="74"/>
      <c r="Q3174" s="74"/>
      <c r="R3174" s="74"/>
      <c r="V3174" s="72"/>
    </row>
    <row r="3175" spans="15:22" x14ac:dyDescent="0.25">
      <c r="O3175" s="74"/>
      <c r="P3175" s="74"/>
      <c r="Q3175" s="74"/>
      <c r="R3175" s="74"/>
      <c r="V3175" s="72"/>
    </row>
    <row r="3176" spans="15:22" x14ac:dyDescent="0.25">
      <c r="O3176" s="74"/>
      <c r="P3176" s="74"/>
      <c r="Q3176" s="74"/>
      <c r="R3176" s="74"/>
      <c r="V3176" s="72"/>
    </row>
    <row r="3177" spans="15:22" x14ac:dyDescent="0.25">
      <c r="O3177" s="74"/>
      <c r="P3177" s="74"/>
      <c r="Q3177" s="74"/>
      <c r="R3177" s="74"/>
      <c r="V3177" s="72"/>
    </row>
    <row r="3178" spans="15:22" x14ac:dyDescent="0.25">
      <c r="O3178" s="74"/>
      <c r="P3178" s="74"/>
      <c r="Q3178" s="74"/>
      <c r="R3178" s="74"/>
      <c r="V3178" s="72"/>
    </row>
    <row r="3179" spans="15:22" x14ac:dyDescent="0.25">
      <c r="O3179" s="74"/>
      <c r="P3179" s="74"/>
      <c r="Q3179" s="74"/>
      <c r="R3179" s="74"/>
      <c r="V3179" s="72"/>
    </row>
    <row r="3180" spans="15:22" x14ac:dyDescent="0.25">
      <c r="O3180" s="74"/>
      <c r="P3180" s="74"/>
      <c r="Q3180" s="74"/>
      <c r="R3180" s="74"/>
      <c r="V3180" s="72"/>
    </row>
    <row r="3181" spans="15:22" x14ac:dyDescent="0.25">
      <c r="O3181" s="74"/>
      <c r="P3181" s="74"/>
      <c r="Q3181" s="74"/>
      <c r="R3181" s="74"/>
      <c r="V3181" s="72"/>
    </row>
    <row r="3182" spans="15:22" x14ac:dyDescent="0.25">
      <c r="O3182" s="74"/>
      <c r="P3182" s="74"/>
      <c r="Q3182" s="74"/>
      <c r="R3182" s="74"/>
      <c r="V3182" s="72"/>
    </row>
    <row r="3183" spans="15:22" x14ac:dyDescent="0.25">
      <c r="O3183" s="74"/>
      <c r="P3183" s="74"/>
      <c r="Q3183" s="74"/>
      <c r="R3183" s="74"/>
      <c r="V3183" s="72"/>
    </row>
    <row r="3184" spans="15:22" x14ac:dyDescent="0.25">
      <c r="O3184" s="74"/>
      <c r="P3184" s="74"/>
      <c r="Q3184" s="74"/>
      <c r="R3184" s="74"/>
      <c r="V3184" s="72"/>
    </row>
    <row r="3185" spans="15:22" x14ac:dyDescent="0.25">
      <c r="O3185" s="74"/>
      <c r="P3185" s="74"/>
      <c r="Q3185" s="74"/>
      <c r="R3185" s="74"/>
      <c r="V3185" s="72"/>
    </row>
    <row r="3186" spans="15:22" x14ac:dyDescent="0.25">
      <c r="O3186" s="74"/>
      <c r="P3186" s="74"/>
      <c r="Q3186" s="74"/>
      <c r="R3186" s="74"/>
      <c r="V3186" s="72"/>
    </row>
    <row r="3187" spans="15:22" x14ac:dyDescent="0.25">
      <c r="O3187" s="74"/>
      <c r="P3187" s="74"/>
      <c r="Q3187" s="74"/>
      <c r="R3187" s="74"/>
      <c r="V3187" s="72"/>
    </row>
    <row r="3188" spans="15:22" x14ac:dyDescent="0.25">
      <c r="O3188" s="74"/>
      <c r="P3188" s="74"/>
      <c r="Q3188" s="74"/>
      <c r="R3188" s="74"/>
      <c r="V3188" s="72"/>
    </row>
    <row r="3189" spans="15:22" x14ac:dyDescent="0.25">
      <c r="O3189" s="74"/>
      <c r="P3189" s="74"/>
      <c r="Q3189" s="74"/>
      <c r="R3189" s="74"/>
      <c r="V3189" s="72"/>
    </row>
    <row r="3190" spans="15:22" x14ac:dyDescent="0.25">
      <c r="O3190" s="74"/>
      <c r="P3190" s="74"/>
      <c r="Q3190" s="74"/>
      <c r="R3190" s="74"/>
      <c r="V3190" s="72"/>
    </row>
    <row r="3191" spans="15:22" x14ac:dyDescent="0.25">
      <c r="O3191" s="74"/>
      <c r="P3191" s="74"/>
      <c r="Q3191" s="74"/>
      <c r="R3191" s="74"/>
      <c r="V3191" s="72"/>
    </row>
    <row r="3192" spans="15:22" x14ac:dyDescent="0.25">
      <c r="O3192" s="74"/>
      <c r="P3192" s="74"/>
      <c r="Q3192" s="74"/>
      <c r="R3192" s="74"/>
      <c r="V3192" s="72"/>
    </row>
    <row r="3193" spans="15:22" x14ac:dyDescent="0.25">
      <c r="O3193" s="74"/>
      <c r="P3193" s="74"/>
      <c r="Q3193" s="74"/>
      <c r="R3193" s="74"/>
      <c r="V3193" s="72"/>
    </row>
    <row r="3194" spans="15:22" x14ac:dyDescent="0.25">
      <c r="O3194" s="74"/>
      <c r="P3194" s="74"/>
      <c r="Q3194" s="74"/>
      <c r="R3194" s="74"/>
      <c r="V3194" s="72"/>
    </row>
    <row r="3195" spans="15:22" x14ac:dyDescent="0.25">
      <c r="O3195" s="74"/>
      <c r="P3195" s="74"/>
      <c r="Q3195" s="74"/>
      <c r="R3195" s="74"/>
      <c r="V3195" s="72"/>
    </row>
    <row r="3196" spans="15:22" x14ac:dyDescent="0.25">
      <c r="O3196" s="74"/>
      <c r="P3196" s="74"/>
      <c r="Q3196" s="74"/>
      <c r="R3196" s="74"/>
      <c r="V3196" s="72"/>
    </row>
    <row r="3197" spans="15:22" x14ac:dyDescent="0.25">
      <c r="O3197" s="74"/>
      <c r="P3197" s="74"/>
      <c r="Q3197" s="74"/>
      <c r="R3197" s="74"/>
      <c r="V3197" s="72"/>
    </row>
    <row r="3198" spans="15:22" x14ac:dyDescent="0.25">
      <c r="O3198" s="74"/>
      <c r="P3198" s="74"/>
      <c r="Q3198" s="74"/>
      <c r="R3198" s="74"/>
      <c r="V3198" s="72"/>
    </row>
    <row r="3199" spans="15:22" x14ac:dyDescent="0.25">
      <c r="O3199" s="74"/>
      <c r="P3199" s="74"/>
      <c r="Q3199" s="74"/>
      <c r="R3199" s="74"/>
      <c r="V3199" s="72"/>
    </row>
    <row r="3200" spans="15:22" x14ac:dyDescent="0.25">
      <c r="O3200" s="74"/>
      <c r="P3200" s="74"/>
      <c r="Q3200" s="74"/>
      <c r="R3200" s="74"/>
      <c r="V3200" s="72"/>
    </row>
    <row r="3201" spans="15:22" x14ac:dyDescent="0.25">
      <c r="O3201" s="74"/>
      <c r="P3201" s="74"/>
      <c r="Q3201" s="74"/>
      <c r="R3201" s="74"/>
      <c r="V3201" s="72"/>
    </row>
    <row r="3202" spans="15:22" x14ac:dyDescent="0.25">
      <c r="O3202" s="74"/>
      <c r="P3202" s="74"/>
      <c r="Q3202" s="74"/>
      <c r="R3202" s="74"/>
      <c r="V3202" s="72"/>
    </row>
    <row r="3203" spans="15:22" x14ac:dyDescent="0.25">
      <c r="O3203" s="74"/>
      <c r="P3203" s="74"/>
      <c r="Q3203" s="74"/>
      <c r="R3203" s="74"/>
      <c r="V3203" s="72"/>
    </row>
    <row r="3204" spans="15:22" x14ac:dyDescent="0.25">
      <c r="O3204" s="74"/>
      <c r="P3204" s="74"/>
      <c r="Q3204" s="74"/>
      <c r="R3204" s="74"/>
      <c r="V3204" s="72"/>
    </row>
    <row r="3205" spans="15:22" x14ac:dyDescent="0.25">
      <c r="O3205" s="74"/>
      <c r="P3205" s="74"/>
      <c r="Q3205" s="74"/>
      <c r="R3205" s="74"/>
      <c r="V3205" s="72"/>
    </row>
    <row r="3206" spans="15:22" x14ac:dyDescent="0.25">
      <c r="O3206" s="74"/>
      <c r="P3206" s="74"/>
      <c r="Q3206" s="74"/>
      <c r="R3206" s="74"/>
      <c r="V3206" s="72"/>
    </row>
    <row r="3207" spans="15:22" x14ac:dyDescent="0.25">
      <c r="O3207" s="74"/>
      <c r="P3207" s="74"/>
      <c r="Q3207" s="74"/>
      <c r="R3207" s="74"/>
      <c r="V3207" s="72"/>
    </row>
    <row r="3208" spans="15:22" x14ac:dyDescent="0.25">
      <c r="O3208" s="74"/>
      <c r="P3208" s="74"/>
      <c r="Q3208" s="74"/>
      <c r="R3208" s="74"/>
      <c r="V3208" s="72"/>
    </row>
    <row r="3209" spans="15:22" x14ac:dyDescent="0.25">
      <c r="O3209" s="74"/>
      <c r="P3209" s="74"/>
      <c r="Q3209" s="74"/>
      <c r="R3209" s="74"/>
      <c r="V3209" s="72"/>
    </row>
    <row r="3210" spans="15:22" x14ac:dyDescent="0.25">
      <c r="O3210" s="74"/>
      <c r="P3210" s="74"/>
      <c r="Q3210" s="74"/>
      <c r="R3210" s="74"/>
      <c r="V3210" s="72"/>
    </row>
    <row r="3211" spans="15:22" x14ac:dyDescent="0.25">
      <c r="O3211" s="74"/>
      <c r="P3211" s="74"/>
      <c r="Q3211" s="74"/>
      <c r="R3211" s="74"/>
      <c r="V3211" s="72"/>
    </row>
    <row r="3212" spans="15:22" x14ac:dyDescent="0.25">
      <c r="O3212" s="74"/>
      <c r="P3212" s="74"/>
      <c r="Q3212" s="74"/>
      <c r="R3212" s="74"/>
      <c r="V3212" s="72"/>
    </row>
    <row r="3213" spans="15:22" x14ac:dyDescent="0.25">
      <c r="O3213" s="74"/>
      <c r="P3213" s="74"/>
      <c r="Q3213" s="74"/>
      <c r="R3213" s="74"/>
      <c r="V3213" s="72"/>
    </row>
    <row r="3214" spans="15:22" x14ac:dyDescent="0.25">
      <c r="O3214" s="74"/>
      <c r="P3214" s="74"/>
      <c r="Q3214" s="74"/>
      <c r="R3214" s="74"/>
      <c r="V3214" s="72"/>
    </row>
    <row r="3215" spans="15:22" x14ac:dyDescent="0.25">
      <c r="O3215" s="74"/>
      <c r="P3215" s="74"/>
      <c r="Q3215" s="74"/>
      <c r="R3215" s="74"/>
      <c r="V3215" s="72"/>
    </row>
    <row r="3216" spans="15:22" x14ac:dyDescent="0.25">
      <c r="O3216" s="74"/>
      <c r="P3216" s="74"/>
      <c r="Q3216" s="74"/>
      <c r="R3216" s="74"/>
      <c r="V3216" s="72"/>
    </row>
    <row r="3217" spans="15:22" x14ac:dyDescent="0.25">
      <c r="O3217" s="74"/>
      <c r="P3217" s="74"/>
      <c r="Q3217" s="74"/>
      <c r="R3217" s="74"/>
      <c r="V3217" s="72"/>
    </row>
    <row r="3218" spans="15:22" x14ac:dyDescent="0.25">
      <c r="O3218" s="74"/>
      <c r="P3218" s="74"/>
      <c r="Q3218" s="74"/>
      <c r="R3218" s="74"/>
      <c r="V3218" s="72"/>
    </row>
    <row r="3219" spans="15:22" x14ac:dyDescent="0.25">
      <c r="O3219" s="74"/>
      <c r="P3219" s="74"/>
      <c r="Q3219" s="74"/>
      <c r="R3219" s="74"/>
      <c r="V3219" s="72"/>
    </row>
    <row r="3220" spans="15:22" x14ac:dyDescent="0.25">
      <c r="O3220" s="74"/>
      <c r="P3220" s="74"/>
      <c r="Q3220" s="74"/>
      <c r="R3220" s="74"/>
      <c r="V3220" s="72"/>
    </row>
    <row r="3221" spans="15:22" x14ac:dyDescent="0.25">
      <c r="O3221" s="74"/>
      <c r="P3221" s="74"/>
      <c r="Q3221" s="74"/>
      <c r="R3221" s="74"/>
      <c r="V3221" s="72"/>
    </row>
    <row r="3222" spans="15:22" x14ac:dyDescent="0.25">
      <c r="O3222" s="74"/>
      <c r="P3222" s="74"/>
      <c r="Q3222" s="74"/>
      <c r="R3222" s="74"/>
      <c r="V3222" s="72"/>
    </row>
    <row r="3223" spans="15:22" x14ac:dyDescent="0.25">
      <c r="O3223" s="74"/>
      <c r="P3223" s="74"/>
      <c r="Q3223" s="74"/>
      <c r="R3223" s="74"/>
      <c r="V3223" s="72"/>
    </row>
    <row r="3224" spans="15:22" x14ac:dyDescent="0.25">
      <c r="O3224" s="74"/>
      <c r="P3224" s="74"/>
      <c r="Q3224" s="74"/>
      <c r="R3224" s="74"/>
      <c r="V3224" s="72"/>
    </row>
    <row r="3225" spans="15:22" x14ac:dyDescent="0.25">
      <c r="O3225" s="74"/>
      <c r="P3225" s="74"/>
      <c r="Q3225" s="74"/>
      <c r="R3225" s="74"/>
      <c r="V3225" s="72"/>
    </row>
    <row r="3226" spans="15:22" x14ac:dyDescent="0.25">
      <c r="O3226" s="74"/>
      <c r="P3226" s="74"/>
      <c r="Q3226" s="74"/>
      <c r="R3226" s="74"/>
      <c r="V3226" s="72"/>
    </row>
    <row r="3227" spans="15:22" x14ac:dyDescent="0.25">
      <c r="O3227" s="74"/>
      <c r="P3227" s="74"/>
      <c r="Q3227" s="74"/>
      <c r="R3227" s="74"/>
      <c r="V3227" s="72"/>
    </row>
    <row r="3228" spans="15:22" x14ac:dyDescent="0.25">
      <c r="O3228" s="74"/>
      <c r="P3228" s="74"/>
      <c r="Q3228" s="74"/>
      <c r="R3228" s="74"/>
      <c r="V3228" s="72"/>
    </row>
    <row r="3229" spans="15:22" x14ac:dyDescent="0.25">
      <c r="O3229" s="74"/>
      <c r="P3229" s="74"/>
      <c r="Q3229" s="74"/>
      <c r="R3229" s="74"/>
      <c r="V3229" s="72"/>
    </row>
    <row r="3230" spans="15:22" x14ac:dyDescent="0.25">
      <c r="O3230" s="74"/>
      <c r="P3230" s="74"/>
      <c r="Q3230" s="74"/>
      <c r="R3230" s="74"/>
      <c r="V3230" s="72"/>
    </row>
    <row r="3231" spans="15:22" x14ac:dyDescent="0.25">
      <c r="O3231" s="74"/>
      <c r="P3231" s="74"/>
      <c r="Q3231" s="74"/>
      <c r="R3231" s="74"/>
      <c r="V3231" s="72"/>
    </row>
    <row r="3232" spans="15:22" x14ac:dyDescent="0.25">
      <c r="O3232" s="74"/>
      <c r="P3232" s="74"/>
      <c r="Q3232" s="74"/>
      <c r="R3232" s="74"/>
      <c r="V3232" s="72"/>
    </row>
    <row r="3233" spans="15:22" x14ac:dyDescent="0.25">
      <c r="O3233" s="74"/>
      <c r="P3233" s="74"/>
      <c r="Q3233" s="74"/>
      <c r="R3233" s="74"/>
      <c r="V3233" s="72"/>
    </row>
    <row r="3234" spans="15:22" x14ac:dyDescent="0.25">
      <c r="O3234" s="74"/>
      <c r="P3234" s="74"/>
      <c r="Q3234" s="74"/>
      <c r="R3234" s="74"/>
      <c r="V3234" s="72"/>
    </row>
    <row r="3235" spans="15:22" x14ac:dyDescent="0.25">
      <c r="O3235" s="74"/>
      <c r="P3235" s="74"/>
      <c r="Q3235" s="74"/>
      <c r="R3235" s="74"/>
      <c r="V3235" s="72"/>
    </row>
    <row r="3236" spans="15:22" x14ac:dyDescent="0.25">
      <c r="O3236" s="74"/>
      <c r="P3236" s="74"/>
      <c r="Q3236" s="74"/>
      <c r="R3236" s="74"/>
      <c r="V3236" s="72"/>
    </row>
    <row r="3237" spans="15:22" x14ac:dyDescent="0.25">
      <c r="O3237" s="74"/>
      <c r="P3237" s="74"/>
      <c r="Q3237" s="74"/>
      <c r="R3237" s="74"/>
      <c r="V3237" s="72"/>
    </row>
    <row r="3238" spans="15:22" x14ac:dyDescent="0.25">
      <c r="O3238" s="74"/>
      <c r="P3238" s="74"/>
      <c r="Q3238" s="74"/>
      <c r="R3238" s="74"/>
      <c r="V3238" s="72"/>
    </row>
    <row r="3239" spans="15:22" x14ac:dyDescent="0.25">
      <c r="O3239" s="74"/>
      <c r="P3239" s="74"/>
      <c r="Q3239" s="74"/>
      <c r="R3239" s="74"/>
      <c r="V3239" s="72"/>
    </row>
    <row r="3240" spans="15:22" x14ac:dyDescent="0.25">
      <c r="O3240" s="74"/>
      <c r="P3240" s="74"/>
      <c r="Q3240" s="74"/>
      <c r="R3240" s="74"/>
      <c r="V3240" s="72"/>
    </row>
    <row r="3241" spans="15:22" x14ac:dyDescent="0.25">
      <c r="O3241" s="74"/>
      <c r="P3241" s="74"/>
      <c r="Q3241" s="74"/>
      <c r="R3241" s="74"/>
      <c r="V3241" s="72"/>
    </row>
    <row r="3242" spans="15:22" x14ac:dyDescent="0.25">
      <c r="O3242" s="74"/>
      <c r="P3242" s="74"/>
      <c r="Q3242" s="74"/>
      <c r="R3242" s="74"/>
      <c r="V3242" s="72"/>
    </row>
    <row r="3243" spans="15:22" x14ac:dyDescent="0.25">
      <c r="O3243" s="74"/>
      <c r="P3243" s="74"/>
      <c r="Q3243" s="74"/>
      <c r="R3243" s="74"/>
      <c r="V3243" s="72"/>
    </row>
    <row r="3244" spans="15:22" x14ac:dyDescent="0.25">
      <c r="O3244" s="74"/>
      <c r="P3244" s="74"/>
      <c r="Q3244" s="74"/>
      <c r="R3244" s="74"/>
      <c r="V3244" s="72"/>
    </row>
    <row r="3245" spans="15:22" x14ac:dyDescent="0.25">
      <c r="O3245" s="74"/>
      <c r="P3245" s="74"/>
      <c r="Q3245" s="74"/>
      <c r="R3245" s="74"/>
      <c r="V3245" s="72"/>
    </row>
    <row r="3246" spans="15:22" x14ac:dyDescent="0.25">
      <c r="O3246" s="74"/>
      <c r="P3246" s="74"/>
      <c r="Q3246" s="74"/>
      <c r="R3246" s="74"/>
      <c r="V3246" s="72"/>
    </row>
    <row r="3247" spans="15:22" x14ac:dyDescent="0.25">
      <c r="O3247" s="74"/>
      <c r="P3247" s="74"/>
      <c r="Q3247" s="74"/>
      <c r="R3247" s="74"/>
      <c r="V3247" s="72"/>
    </row>
    <row r="3248" spans="15:22" x14ac:dyDescent="0.25">
      <c r="O3248" s="74"/>
      <c r="P3248" s="74"/>
      <c r="Q3248" s="74"/>
      <c r="R3248" s="74"/>
      <c r="V3248" s="72"/>
    </row>
    <row r="3249" spans="15:22" x14ac:dyDescent="0.25">
      <c r="O3249" s="74"/>
      <c r="P3249" s="74"/>
      <c r="Q3249" s="74"/>
      <c r="R3249" s="74"/>
      <c r="V3249" s="72"/>
    </row>
    <row r="3250" spans="15:22" x14ac:dyDescent="0.25">
      <c r="O3250" s="74"/>
      <c r="P3250" s="74"/>
      <c r="Q3250" s="74"/>
      <c r="R3250" s="74"/>
      <c r="V3250" s="72"/>
    </row>
    <row r="3251" spans="15:22" x14ac:dyDescent="0.25">
      <c r="O3251" s="74"/>
      <c r="P3251" s="74"/>
      <c r="Q3251" s="74"/>
      <c r="R3251" s="74"/>
      <c r="V3251" s="72"/>
    </row>
    <row r="3252" spans="15:22" x14ac:dyDescent="0.25">
      <c r="O3252" s="74"/>
      <c r="P3252" s="74"/>
      <c r="Q3252" s="74"/>
      <c r="R3252" s="74"/>
      <c r="V3252" s="72"/>
    </row>
    <row r="3253" spans="15:22" x14ac:dyDescent="0.25">
      <c r="O3253" s="74"/>
      <c r="P3253" s="74"/>
      <c r="Q3253" s="74"/>
      <c r="R3253" s="74"/>
      <c r="V3253" s="72"/>
    </row>
    <row r="3254" spans="15:22" x14ac:dyDescent="0.25">
      <c r="O3254" s="74"/>
      <c r="P3254" s="74"/>
      <c r="Q3254" s="74"/>
      <c r="R3254" s="74"/>
      <c r="V3254" s="72"/>
    </row>
    <row r="3255" spans="15:22" x14ac:dyDescent="0.25">
      <c r="O3255" s="74"/>
      <c r="P3255" s="74"/>
      <c r="Q3255" s="74"/>
      <c r="R3255" s="74"/>
      <c r="V3255" s="72"/>
    </row>
    <row r="3256" spans="15:22" x14ac:dyDescent="0.25">
      <c r="O3256" s="74"/>
      <c r="P3256" s="74"/>
      <c r="Q3256" s="74"/>
      <c r="R3256" s="74"/>
      <c r="V3256" s="72"/>
    </row>
    <row r="3257" spans="15:22" x14ac:dyDescent="0.25">
      <c r="O3257" s="74"/>
      <c r="P3257" s="74"/>
      <c r="Q3257" s="74"/>
      <c r="R3257" s="74"/>
      <c r="V3257" s="72"/>
    </row>
    <row r="3258" spans="15:22" x14ac:dyDescent="0.25">
      <c r="O3258" s="74"/>
      <c r="P3258" s="74"/>
      <c r="Q3258" s="74"/>
      <c r="R3258" s="74"/>
      <c r="V3258" s="72"/>
    </row>
    <row r="3259" spans="15:22" x14ac:dyDescent="0.25">
      <c r="O3259" s="74"/>
      <c r="P3259" s="74"/>
      <c r="Q3259" s="74"/>
      <c r="R3259" s="74"/>
      <c r="V3259" s="72"/>
    </row>
    <row r="3260" spans="15:22" x14ac:dyDescent="0.25">
      <c r="O3260" s="74"/>
      <c r="P3260" s="74"/>
      <c r="Q3260" s="74"/>
      <c r="R3260" s="74"/>
      <c r="V3260" s="72"/>
    </row>
    <row r="3261" spans="15:22" x14ac:dyDescent="0.25">
      <c r="O3261" s="74"/>
      <c r="P3261" s="74"/>
      <c r="Q3261" s="74"/>
      <c r="R3261" s="74"/>
      <c r="V3261" s="72"/>
    </row>
    <row r="3262" spans="15:22" x14ac:dyDescent="0.25">
      <c r="O3262" s="74"/>
      <c r="P3262" s="74"/>
      <c r="Q3262" s="74"/>
      <c r="R3262" s="74"/>
      <c r="V3262" s="72"/>
    </row>
    <row r="3263" spans="15:22" x14ac:dyDescent="0.25">
      <c r="O3263" s="74"/>
      <c r="P3263" s="74"/>
      <c r="Q3263" s="74"/>
      <c r="R3263" s="74"/>
      <c r="V3263" s="72"/>
    </row>
    <row r="3264" spans="15:22" x14ac:dyDescent="0.25">
      <c r="O3264" s="74"/>
      <c r="P3264" s="74"/>
      <c r="Q3264" s="74"/>
      <c r="R3264" s="74"/>
      <c r="V3264" s="72"/>
    </row>
    <row r="3265" spans="15:22" x14ac:dyDescent="0.25">
      <c r="O3265" s="74"/>
      <c r="P3265" s="74"/>
      <c r="Q3265" s="74"/>
      <c r="R3265" s="74"/>
      <c r="V3265" s="72"/>
    </row>
    <row r="3266" spans="15:22" x14ac:dyDescent="0.25">
      <c r="O3266" s="74"/>
      <c r="P3266" s="74"/>
      <c r="Q3266" s="74"/>
      <c r="R3266" s="74"/>
      <c r="V3266" s="72"/>
    </row>
    <row r="3267" spans="15:22" x14ac:dyDescent="0.25">
      <c r="O3267" s="74"/>
      <c r="P3267" s="74"/>
      <c r="Q3267" s="74"/>
      <c r="R3267" s="74"/>
      <c r="V3267" s="72"/>
    </row>
    <row r="3268" spans="15:22" x14ac:dyDescent="0.25">
      <c r="O3268" s="74"/>
      <c r="P3268" s="74"/>
      <c r="Q3268" s="74"/>
      <c r="R3268" s="74"/>
      <c r="V3268" s="72"/>
    </row>
    <row r="3269" spans="15:22" x14ac:dyDescent="0.25">
      <c r="O3269" s="74"/>
      <c r="P3269" s="74"/>
      <c r="Q3269" s="74"/>
      <c r="R3269" s="74"/>
      <c r="V3269" s="72"/>
    </row>
    <row r="3270" spans="15:22" x14ac:dyDescent="0.25">
      <c r="O3270" s="74"/>
      <c r="P3270" s="74"/>
      <c r="Q3270" s="74"/>
      <c r="R3270" s="74"/>
      <c r="V3270" s="72"/>
    </row>
    <row r="3271" spans="15:22" x14ac:dyDescent="0.25">
      <c r="O3271" s="74"/>
      <c r="P3271" s="74"/>
      <c r="Q3271" s="74"/>
      <c r="R3271" s="74"/>
      <c r="V3271" s="72"/>
    </row>
    <row r="3272" spans="15:22" x14ac:dyDescent="0.25">
      <c r="O3272" s="74"/>
      <c r="P3272" s="74"/>
      <c r="Q3272" s="74"/>
      <c r="R3272" s="74"/>
      <c r="V3272" s="72"/>
    </row>
    <row r="3273" spans="15:22" x14ac:dyDescent="0.25">
      <c r="O3273" s="74"/>
      <c r="P3273" s="74"/>
      <c r="Q3273" s="74"/>
      <c r="R3273" s="74"/>
      <c r="V3273" s="72"/>
    </row>
    <row r="3274" spans="15:22" x14ac:dyDescent="0.25">
      <c r="O3274" s="74"/>
      <c r="P3274" s="74"/>
      <c r="Q3274" s="74"/>
      <c r="R3274" s="74"/>
      <c r="V3274" s="72"/>
    </row>
    <row r="3275" spans="15:22" x14ac:dyDescent="0.25">
      <c r="O3275" s="74"/>
      <c r="P3275" s="74"/>
      <c r="Q3275" s="74"/>
      <c r="R3275" s="74"/>
      <c r="V3275" s="72"/>
    </row>
    <row r="3276" spans="15:22" x14ac:dyDescent="0.25">
      <c r="O3276" s="74"/>
      <c r="P3276" s="74"/>
      <c r="Q3276" s="74"/>
      <c r="R3276" s="74"/>
      <c r="V3276" s="72"/>
    </row>
    <row r="3277" spans="15:22" x14ac:dyDescent="0.25">
      <c r="O3277" s="74"/>
      <c r="P3277" s="74"/>
      <c r="Q3277" s="74"/>
      <c r="R3277" s="74"/>
      <c r="V3277" s="72"/>
    </row>
    <row r="3278" spans="15:22" x14ac:dyDescent="0.25">
      <c r="O3278" s="74"/>
      <c r="P3278" s="74"/>
      <c r="Q3278" s="74"/>
      <c r="R3278" s="74"/>
      <c r="V3278" s="72"/>
    </row>
    <row r="3279" spans="15:22" x14ac:dyDescent="0.25">
      <c r="O3279" s="74"/>
      <c r="P3279" s="74"/>
      <c r="Q3279" s="74"/>
      <c r="R3279" s="74"/>
      <c r="V3279" s="72"/>
    </row>
    <row r="3280" spans="15:22" x14ac:dyDescent="0.25">
      <c r="O3280" s="74"/>
      <c r="P3280" s="74"/>
      <c r="Q3280" s="74"/>
      <c r="R3280" s="74"/>
      <c r="V3280" s="72"/>
    </row>
    <row r="3281" spans="15:22" x14ac:dyDescent="0.25">
      <c r="O3281" s="74"/>
      <c r="P3281" s="74"/>
      <c r="Q3281" s="74"/>
      <c r="R3281" s="74"/>
      <c r="V3281" s="72"/>
    </row>
    <row r="3282" spans="15:22" x14ac:dyDescent="0.25">
      <c r="O3282" s="74"/>
      <c r="P3282" s="74"/>
      <c r="Q3282" s="74"/>
      <c r="R3282" s="74"/>
      <c r="V3282" s="72"/>
    </row>
    <row r="3283" spans="15:22" x14ac:dyDescent="0.25">
      <c r="O3283" s="74"/>
      <c r="P3283" s="74"/>
      <c r="Q3283" s="74"/>
      <c r="R3283" s="74"/>
      <c r="V3283" s="72"/>
    </row>
    <row r="3284" spans="15:22" x14ac:dyDescent="0.25">
      <c r="O3284" s="74"/>
      <c r="P3284" s="74"/>
      <c r="Q3284" s="74"/>
      <c r="R3284" s="74"/>
      <c r="V3284" s="72"/>
    </row>
    <row r="3285" spans="15:22" x14ac:dyDescent="0.25">
      <c r="O3285" s="74"/>
      <c r="P3285" s="74"/>
      <c r="Q3285" s="74"/>
      <c r="R3285" s="74"/>
      <c r="V3285" s="72"/>
    </row>
    <row r="3286" spans="15:22" x14ac:dyDescent="0.25">
      <c r="O3286" s="74"/>
      <c r="P3286" s="74"/>
      <c r="Q3286" s="74"/>
      <c r="R3286" s="74"/>
      <c r="V3286" s="72"/>
    </row>
    <row r="3287" spans="15:22" x14ac:dyDescent="0.25">
      <c r="O3287" s="74"/>
      <c r="P3287" s="74"/>
      <c r="Q3287" s="74"/>
      <c r="R3287" s="74"/>
      <c r="V3287" s="72"/>
    </row>
    <row r="3288" spans="15:22" x14ac:dyDescent="0.25">
      <c r="O3288" s="74"/>
      <c r="P3288" s="74"/>
      <c r="Q3288" s="74"/>
      <c r="R3288" s="74"/>
      <c r="V3288" s="72"/>
    </row>
    <row r="3289" spans="15:22" x14ac:dyDescent="0.25">
      <c r="O3289" s="74"/>
      <c r="P3289" s="74"/>
      <c r="Q3289" s="74"/>
      <c r="R3289" s="74"/>
      <c r="V3289" s="72"/>
    </row>
    <row r="3290" spans="15:22" x14ac:dyDescent="0.25">
      <c r="O3290" s="74"/>
      <c r="P3290" s="74"/>
      <c r="Q3290" s="74"/>
      <c r="R3290" s="74"/>
      <c r="V3290" s="72"/>
    </row>
    <row r="3291" spans="15:22" x14ac:dyDescent="0.25">
      <c r="O3291" s="74"/>
      <c r="P3291" s="74"/>
      <c r="Q3291" s="74"/>
      <c r="R3291" s="74"/>
      <c r="V3291" s="72"/>
    </row>
    <row r="3292" spans="15:22" x14ac:dyDescent="0.25">
      <c r="O3292" s="74"/>
      <c r="P3292" s="74"/>
      <c r="Q3292" s="74"/>
      <c r="R3292" s="74"/>
      <c r="V3292" s="72"/>
    </row>
    <row r="3293" spans="15:22" x14ac:dyDescent="0.25">
      <c r="O3293" s="74"/>
      <c r="P3293" s="74"/>
      <c r="Q3293" s="74"/>
      <c r="R3293" s="74"/>
      <c r="V3293" s="72"/>
    </row>
    <row r="3294" spans="15:22" x14ac:dyDescent="0.25">
      <c r="O3294" s="74"/>
      <c r="P3294" s="74"/>
      <c r="Q3294" s="74"/>
      <c r="R3294" s="74"/>
      <c r="V3294" s="72"/>
    </row>
    <row r="3295" spans="15:22" x14ac:dyDescent="0.25">
      <c r="O3295" s="74"/>
      <c r="P3295" s="74"/>
      <c r="Q3295" s="74"/>
      <c r="R3295" s="74"/>
      <c r="V3295" s="72"/>
    </row>
    <row r="3296" spans="15:22" x14ac:dyDescent="0.25">
      <c r="O3296" s="74"/>
      <c r="P3296" s="74"/>
      <c r="Q3296" s="74"/>
      <c r="R3296" s="74"/>
      <c r="V3296" s="72"/>
    </row>
    <row r="3297" spans="15:22" x14ac:dyDescent="0.25">
      <c r="O3297" s="74"/>
      <c r="P3297" s="74"/>
      <c r="Q3297" s="74"/>
      <c r="R3297" s="74"/>
      <c r="V3297" s="72"/>
    </row>
    <row r="3298" spans="15:22" x14ac:dyDescent="0.25">
      <c r="O3298" s="74"/>
      <c r="P3298" s="74"/>
      <c r="Q3298" s="74"/>
      <c r="R3298" s="74"/>
      <c r="V3298" s="72"/>
    </row>
    <row r="3299" spans="15:22" x14ac:dyDescent="0.25">
      <c r="O3299" s="74"/>
      <c r="P3299" s="74"/>
      <c r="Q3299" s="74"/>
      <c r="R3299" s="74"/>
      <c r="V3299" s="72"/>
    </row>
    <row r="3300" spans="15:22" x14ac:dyDescent="0.25">
      <c r="O3300" s="74"/>
      <c r="P3300" s="74"/>
      <c r="Q3300" s="74"/>
      <c r="R3300" s="74"/>
      <c r="V3300" s="72"/>
    </row>
    <row r="3301" spans="15:22" x14ac:dyDescent="0.25">
      <c r="O3301" s="74"/>
      <c r="P3301" s="74"/>
      <c r="Q3301" s="74"/>
      <c r="R3301" s="74"/>
      <c r="V3301" s="72"/>
    </row>
    <row r="3302" spans="15:22" x14ac:dyDescent="0.25">
      <c r="O3302" s="74"/>
      <c r="P3302" s="74"/>
      <c r="Q3302" s="74"/>
      <c r="R3302" s="74"/>
      <c r="V3302" s="72"/>
    </row>
    <row r="3303" spans="15:22" x14ac:dyDescent="0.25">
      <c r="O3303" s="74"/>
      <c r="P3303" s="74"/>
      <c r="Q3303" s="74"/>
      <c r="R3303" s="74"/>
      <c r="V3303" s="72"/>
    </row>
    <row r="3304" spans="15:22" x14ac:dyDescent="0.25">
      <c r="O3304" s="74"/>
      <c r="P3304" s="74"/>
      <c r="Q3304" s="74"/>
      <c r="R3304" s="74"/>
      <c r="V3304" s="72"/>
    </row>
    <row r="3305" spans="15:22" x14ac:dyDescent="0.25">
      <c r="O3305" s="74"/>
      <c r="P3305" s="74"/>
      <c r="Q3305" s="74"/>
      <c r="R3305" s="74"/>
      <c r="V3305" s="72"/>
    </row>
    <row r="3306" spans="15:22" x14ac:dyDescent="0.25">
      <c r="O3306" s="74"/>
      <c r="P3306" s="74"/>
      <c r="Q3306" s="74"/>
      <c r="R3306" s="74"/>
      <c r="V3306" s="72"/>
    </row>
    <row r="3307" spans="15:22" x14ac:dyDescent="0.25">
      <c r="O3307" s="74"/>
      <c r="P3307" s="74"/>
      <c r="Q3307" s="74"/>
      <c r="R3307" s="74"/>
      <c r="V3307" s="72"/>
    </row>
    <row r="3308" spans="15:22" x14ac:dyDescent="0.25">
      <c r="O3308" s="74"/>
      <c r="P3308" s="74"/>
      <c r="Q3308" s="74"/>
      <c r="R3308" s="74"/>
      <c r="V3308" s="72"/>
    </row>
    <row r="3309" spans="15:22" x14ac:dyDescent="0.25">
      <c r="O3309" s="74"/>
      <c r="P3309" s="74"/>
      <c r="Q3309" s="74"/>
      <c r="R3309" s="74"/>
      <c r="V3309" s="72"/>
    </row>
    <row r="3310" spans="15:22" x14ac:dyDescent="0.25">
      <c r="O3310" s="74"/>
      <c r="P3310" s="74"/>
      <c r="Q3310" s="74"/>
      <c r="R3310" s="74"/>
      <c r="V3310" s="72"/>
    </row>
    <row r="3311" spans="15:22" x14ac:dyDescent="0.25">
      <c r="O3311" s="74"/>
      <c r="P3311" s="74"/>
      <c r="Q3311" s="74"/>
      <c r="R3311" s="74"/>
      <c r="V3311" s="72"/>
    </row>
    <row r="3312" spans="15:22" x14ac:dyDescent="0.25">
      <c r="O3312" s="74"/>
      <c r="P3312" s="74"/>
      <c r="Q3312" s="74"/>
      <c r="R3312" s="74"/>
      <c r="V3312" s="72"/>
    </row>
    <row r="3313" spans="15:22" x14ac:dyDescent="0.25">
      <c r="O3313" s="74"/>
      <c r="P3313" s="74"/>
      <c r="Q3313" s="74"/>
      <c r="R3313" s="74"/>
      <c r="V3313" s="72"/>
    </row>
    <row r="3314" spans="15:22" x14ac:dyDescent="0.25">
      <c r="O3314" s="74"/>
      <c r="P3314" s="74"/>
      <c r="Q3314" s="74"/>
      <c r="R3314" s="74"/>
      <c r="V3314" s="72"/>
    </row>
    <row r="3315" spans="15:22" x14ac:dyDescent="0.25">
      <c r="O3315" s="74"/>
      <c r="P3315" s="74"/>
      <c r="Q3315" s="74"/>
      <c r="R3315" s="74"/>
      <c r="V3315" s="72"/>
    </row>
    <row r="3316" spans="15:22" x14ac:dyDescent="0.25">
      <c r="O3316" s="74"/>
      <c r="P3316" s="74"/>
      <c r="Q3316" s="74"/>
      <c r="R3316" s="74"/>
      <c r="V3316" s="72"/>
    </row>
    <row r="3317" spans="15:22" x14ac:dyDescent="0.25">
      <c r="O3317" s="74"/>
      <c r="P3317" s="74"/>
      <c r="Q3317" s="74"/>
      <c r="R3317" s="74"/>
      <c r="V3317" s="72"/>
    </row>
    <row r="3318" spans="15:22" x14ac:dyDescent="0.25">
      <c r="O3318" s="74"/>
      <c r="P3318" s="74"/>
      <c r="Q3318" s="74"/>
      <c r="R3318" s="74"/>
      <c r="V3318" s="72"/>
    </row>
    <row r="3319" spans="15:22" x14ac:dyDescent="0.25">
      <c r="O3319" s="74"/>
      <c r="P3319" s="74"/>
      <c r="Q3319" s="74"/>
      <c r="R3319" s="74"/>
      <c r="V3319" s="72"/>
    </row>
    <row r="3320" spans="15:22" x14ac:dyDescent="0.25">
      <c r="O3320" s="74"/>
      <c r="P3320" s="74"/>
      <c r="Q3320" s="74"/>
      <c r="R3320" s="74"/>
      <c r="V3320" s="72"/>
    </row>
    <row r="3321" spans="15:22" x14ac:dyDescent="0.25">
      <c r="O3321" s="74"/>
      <c r="P3321" s="74"/>
      <c r="Q3321" s="74"/>
      <c r="R3321" s="74"/>
      <c r="V3321" s="72"/>
    </row>
    <row r="3322" spans="15:22" x14ac:dyDescent="0.25">
      <c r="O3322" s="74"/>
      <c r="P3322" s="74"/>
      <c r="Q3322" s="74"/>
      <c r="R3322" s="74"/>
      <c r="V3322" s="72"/>
    </row>
    <row r="3323" spans="15:22" x14ac:dyDescent="0.25">
      <c r="O3323" s="74"/>
      <c r="P3323" s="74"/>
      <c r="Q3323" s="74"/>
      <c r="R3323" s="74"/>
      <c r="V3323" s="72"/>
    </row>
    <row r="3324" spans="15:22" x14ac:dyDescent="0.25">
      <c r="O3324" s="74"/>
      <c r="P3324" s="74"/>
      <c r="Q3324" s="74"/>
      <c r="R3324" s="74"/>
      <c r="V3324" s="72"/>
    </row>
    <row r="3325" spans="15:22" x14ac:dyDescent="0.25">
      <c r="O3325" s="74"/>
      <c r="P3325" s="74"/>
      <c r="Q3325" s="74"/>
      <c r="R3325" s="74"/>
      <c r="V3325" s="72"/>
    </row>
    <row r="3326" spans="15:22" x14ac:dyDescent="0.25">
      <c r="O3326" s="74"/>
      <c r="P3326" s="74"/>
      <c r="Q3326" s="74"/>
      <c r="R3326" s="74"/>
      <c r="V3326" s="72"/>
    </row>
    <row r="3327" spans="15:22" x14ac:dyDescent="0.25">
      <c r="O3327" s="74"/>
      <c r="P3327" s="74"/>
      <c r="Q3327" s="74"/>
      <c r="R3327" s="74"/>
      <c r="V3327" s="72"/>
    </row>
    <row r="3328" spans="15:22" x14ac:dyDescent="0.25">
      <c r="O3328" s="74"/>
      <c r="P3328" s="74"/>
      <c r="Q3328" s="74"/>
      <c r="R3328" s="74"/>
      <c r="V3328" s="72"/>
    </row>
    <row r="3329" spans="15:22" x14ac:dyDescent="0.25">
      <c r="O3329" s="74"/>
      <c r="P3329" s="74"/>
      <c r="Q3329" s="74"/>
      <c r="R3329" s="74"/>
      <c r="V3329" s="72"/>
    </row>
    <row r="3330" spans="15:22" x14ac:dyDescent="0.25">
      <c r="O3330" s="74"/>
      <c r="P3330" s="74"/>
      <c r="Q3330" s="74"/>
      <c r="R3330" s="74"/>
      <c r="V3330" s="72"/>
    </row>
    <row r="3331" spans="15:22" x14ac:dyDescent="0.25">
      <c r="O3331" s="74"/>
      <c r="P3331" s="74"/>
      <c r="Q3331" s="74"/>
      <c r="R3331" s="74"/>
      <c r="V3331" s="72"/>
    </row>
    <row r="3332" spans="15:22" x14ac:dyDescent="0.25">
      <c r="O3332" s="74"/>
      <c r="P3332" s="74"/>
      <c r="Q3332" s="74"/>
      <c r="R3332" s="74"/>
      <c r="V3332" s="72"/>
    </row>
    <row r="3333" spans="15:22" x14ac:dyDescent="0.25">
      <c r="O3333" s="74"/>
      <c r="P3333" s="74"/>
      <c r="Q3333" s="74"/>
      <c r="R3333" s="74"/>
      <c r="V3333" s="72"/>
    </row>
    <row r="3334" spans="15:22" x14ac:dyDescent="0.25">
      <c r="O3334" s="74"/>
      <c r="P3334" s="74"/>
      <c r="Q3334" s="74"/>
      <c r="R3334" s="74"/>
      <c r="V3334" s="72"/>
    </row>
    <row r="3335" spans="15:22" x14ac:dyDescent="0.25">
      <c r="O3335" s="74"/>
      <c r="P3335" s="74"/>
      <c r="Q3335" s="74"/>
      <c r="R3335" s="74"/>
      <c r="V3335" s="72"/>
    </row>
    <row r="3336" spans="15:22" x14ac:dyDescent="0.25">
      <c r="O3336" s="74"/>
      <c r="P3336" s="74"/>
      <c r="Q3336" s="74"/>
      <c r="R3336" s="74"/>
      <c r="V3336" s="72"/>
    </row>
    <row r="3337" spans="15:22" x14ac:dyDescent="0.25">
      <c r="O3337" s="74"/>
      <c r="P3337" s="74"/>
      <c r="Q3337" s="74"/>
      <c r="R3337" s="74"/>
      <c r="V3337" s="72"/>
    </row>
    <row r="3338" spans="15:22" x14ac:dyDescent="0.25">
      <c r="O3338" s="74"/>
      <c r="P3338" s="74"/>
      <c r="Q3338" s="74"/>
      <c r="R3338" s="74"/>
      <c r="V3338" s="72"/>
    </row>
    <row r="3339" spans="15:22" x14ac:dyDescent="0.25">
      <c r="O3339" s="74"/>
      <c r="P3339" s="74"/>
      <c r="Q3339" s="74"/>
      <c r="R3339" s="74"/>
      <c r="V3339" s="72"/>
    </row>
    <row r="3340" spans="15:22" x14ac:dyDescent="0.25">
      <c r="O3340" s="74"/>
      <c r="P3340" s="74"/>
      <c r="Q3340" s="74"/>
      <c r="R3340" s="74"/>
      <c r="V3340" s="72"/>
    </row>
    <row r="3341" spans="15:22" x14ac:dyDescent="0.25">
      <c r="O3341" s="74"/>
      <c r="P3341" s="74"/>
      <c r="Q3341" s="74"/>
      <c r="R3341" s="74"/>
      <c r="V3341" s="72"/>
    </row>
    <row r="3342" spans="15:22" x14ac:dyDescent="0.25">
      <c r="O3342" s="74"/>
      <c r="P3342" s="74"/>
      <c r="Q3342" s="74"/>
      <c r="R3342" s="74"/>
      <c r="V3342" s="72"/>
    </row>
    <row r="3343" spans="15:22" x14ac:dyDescent="0.25">
      <c r="O3343" s="74"/>
      <c r="P3343" s="74"/>
      <c r="Q3343" s="74"/>
      <c r="R3343" s="74"/>
      <c r="V3343" s="72"/>
    </row>
    <row r="3344" spans="15:22" x14ac:dyDescent="0.25">
      <c r="O3344" s="74"/>
      <c r="P3344" s="74"/>
      <c r="Q3344" s="74"/>
      <c r="R3344" s="74"/>
      <c r="V3344" s="72"/>
    </row>
    <row r="3345" spans="15:22" x14ac:dyDescent="0.25">
      <c r="O3345" s="74"/>
      <c r="P3345" s="74"/>
      <c r="Q3345" s="74"/>
      <c r="R3345" s="74"/>
      <c r="V3345" s="72"/>
    </row>
    <row r="3346" spans="15:22" x14ac:dyDescent="0.25">
      <c r="O3346" s="74"/>
      <c r="P3346" s="74"/>
      <c r="Q3346" s="74"/>
      <c r="R3346" s="74"/>
      <c r="V3346" s="72"/>
    </row>
    <row r="3347" spans="15:22" x14ac:dyDescent="0.25">
      <c r="O3347" s="74"/>
      <c r="P3347" s="74"/>
      <c r="Q3347" s="74"/>
      <c r="R3347" s="74"/>
      <c r="V3347" s="72"/>
    </row>
    <row r="3348" spans="15:22" x14ac:dyDescent="0.25">
      <c r="O3348" s="74"/>
      <c r="P3348" s="74"/>
      <c r="Q3348" s="74"/>
      <c r="R3348" s="74"/>
      <c r="V3348" s="72"/>
    </row>
    <row r="3349" spans="15:22" x14ac:dyDescent="0.25">
      <c r="O3349" s="74"/>
      <c r="P3349" s="74"/>
      <c r="Q3349" s="74"/>
      <c r="R3349" s="74"/>
      <c r="V3349" s="72"/>
    </row>
    <row r="3350" spans="15:22" x14ac:dyDescent="0.25">
      <c r="O3350" s="74"/>
      <c r="P3350" s="74"/>
      <c r="Q3350" s="74"/>
      <c r="R3350" s="74"/>
      <c r="V3350" s="72"/>
    </row>
    <row r="3351" spans="15:22" x14ac:dyDescent="0.25">
      <c r="O3351" s="74"/>
      <c r="P3351" s="74"/>
      <c r="Q3351" s="74"/>
      <c r="R3351" s="74"/>
      <c r="V3351" s="72"/>
    </row>
    <row r="3352" spans="15:22" x14ac:dyDescent="0.25">
      <c r="O3352" s="74"/>
      <c r="P3352" s="74"/>
      <c r="Q3352" s="74"/>
      <c r="R3352" s="74"/>
      <c r="V3352" s="72"/>
    </row>
    <row r="3353" spans="15:22" x14ac:dyDescent="0.25">
      <c r="O3353" s="74"/>
      <c r="P3353" s="74"/>
      <c r="Q3353" s="74"/>
      <c r="R3353" s="74"/>
      <c r="V3353" s="72"/>
    </row>
    <row r="3354" spans="15:22" x14ac:dyDescent="0.25">
      <c r="O3354" s="74"/>
      <c r="P3354" s="74"/>
      <c r="Q3354" s="74"/>
      <c r="R3354" s="74"/>
      <c r="V3354" s="72"/>
    </row>
    <row r="3355" spans="15:22" x14ac:dyDescent="0.25">
      <c r="O3355" s="74"/>
      <c r="P3355" s="74"/>
      <c r="Q3355" s="74"/>
      <c r="R3355" s="74"/>
      <c r="V3355" s="72"/>
    </row>
    <row r="3356" spans="15:22" x14ac:dyDescent="0.25">
      <c r="O3356" s="74"/>
      <c r="P3356" s="74"/>
      <c r="Q3356" s="74"/>
      <c r="R3356" s="74"/>
      <c r="V3356" s="72"/>
    </row>
    <row r="3357" spans="15:22" x14ac:dyDescent="0.25">
      <c r="O3357" s="74"/>
      <c r="P3357" s="74"/>
      <c r="Q3357" s="74"/>
      <c r="R3357" s="74"/>
      <c r="V3357" s="72"/>
    </row>
    <row r="3358" spans="15:22" x14ac:dyDescent="0.25">
      <c r="O3358" s="74"/>
      <c r="P3358" s="74"/>
      <c r="Q3358" s="74"/>
      <c r="R3358" s="74"/>
      <c r="V3358" s="72"/>
    </row>
    <row r="3359" spans="15:22" x14ac:dyDescent="0.25">
      <c r="O3359" s="74"/>
      <c r="P3359" s="74"/>
      <c r="Q3359" s="74"/>
      <c r="R3359" s="74"/>
      <c r="V3359" s="72"/>
    </row>
    <row r="3360" spans="15:22" x14ac:dyDescent="0.25">
      <c r="O3360" s="74"/>
      <c r="P3360" s="74"/>
      <c r="Q3360" s="74"/>
      <c r="R3360" s="74"/>
      <c r="V3360" s="72"/>
    </row>
    <row r="3361" spans="15:22" x14ac:dyDescent="0.25">
      <c r="O3361" s="74"/>
      <c r="P3361" s="74"/>
      <c r="Q3361" s="74"/>
      <c r="R3361" s="74"/>
      <c r="V3361" s="72"/>
    </row>
    <row r="3362" spans="15:22" x14ac:dyDescent="0.25">
      <c r="O3362" s="74"/>
      <c r="P3362" s="74"/>
      <c r="Q3362" s="74"/>
      <c r="R3362" s="74"/>
      <c r="V3362" s="72"/>
    </row>
    <row r="3363" spans="15:22" x14ac:dyDescent="0.25">
      <c r="O3363" s="74"/>
      <c r="P3363" s="74"/>
      <c r="Q3363" s="74"/>
      <c r="R3363" s="74"/>
      <c r="V3363" s="72"/>
    </row>
    <row r="3364" spans="15:22" x14ac:dyDescent="0.25">
      <c r="O3364" s="74"/>
      <c r="P3364" s="74"/>
      <c r="Q3364" s="74"/>
      <c r="R3364" s="74"/>
      <c r="V3364" s="72"/>
    </row>
    <row r="3365" spans="15:22" x14ac:dyDescent="0.25">
      <c r="O3365" s="74"/>
      <c r="P3365" s="74"/>
      <c r="Q3365" s="74"/>
      <c r="R3365" s="74"/>
      <c r="V3365" s="72"/>
    </row>
    <row r="3366" spans="15:22" x14ac:dyDescent="0.25">
      <c r="O3366" s="74"/>
      <c r="P3366" s="74"/>
      <c r="Q3366" s="74"/>
      <c r="R3366" s="74"/>
      <c r="V3366" s="72"/>
    </row>
    <row r="3367" spans="15:22" x14ac:dyDescent="0.25">
      <c r="O3367" s="74"/>
      <c r="P3367" s="74"/>
      <c r="Q3367" s="74"/>
      <c r="R3367" s="74"/>
      <c r="V3367" s="72"/>
    </row>
    <row r="3368" spans="15:22" x14ac:dyDescent="0.25">
      <c r="O3368" s="74"/>
      <c r="P3368" s="74"/>
      <c r="Q3368" s="74"/>
      <c r="R3368" s="74"/>
      <c r="V3368" s="72"/>
    </row>
    <row r="3369" spans="15:22" x14ac:dyDescent="0.25">
      <c r="O3369" s="74"/>
      <c r="P3369" s="74"/>
      <c r="Q3369" s="74"/>
      <c r="R3369" s="74"/>
      <c r="V3369" s="72"/>
    </row>
    <row r="3370" spans="15:22" x14ac:dyDescent="0.25">
      <c r="O3370" s="74"/>
      <c r="P3370" s="74"/>
      <c r="Q3370" s="74"/>
      <c r="R3370" s="74"/>
      <c r="V3370" s="72"/>
    </row>
    <row r="3371" spans="15:22" x14ac:dyDescent="0.25">
      <c r="O3371" s="74"/>
      <c r="P3371" s="74"/>
      <c r="Q3371" s="74"/>
      <c r="R3371" s="74"/>
      <c r="V3371" s="72"/>
    </row>
    <row r="3372" spans="15:22" x14ac:dyDescent="0.25">
      <c r="O3372" s="74"/>
      <c r="P3372" s="74"/>
      <c r="Q3372" s="74"/>
      <c r="R3372" s="74"/>
      <c r="V3372" s="72"/>
    </row>
    <row r="3373" spans="15:22" x14ac:dyDescent="0.25">
      <c r="O3373" s="74"/>
      <c r="P3373" s="74"/>
      <c r="Q3373" s="74"/>
      <c r="R3373" s="74"/>
      <c r="V3373" s="72"/>
    </row>
    <row r="3374" spans="15:22" x14ac:dyDescent="0.25">
      <c r="O3374" s="74"/>
      <c r="P3374" s="74"/>
      <c r="Q3374" s="74"/>
      <c r="R3374" s="74"/>
      <c r="V3374" s="72"/>
    </row>
    <row r="3375" spans="15:22" x14ac:dyDescent="0.25">
      <c r="O3375" s="74"/>
      <c r="P3375" s="74"/>
      <c r="Q3375" s="74"/>
      <c r="R3375" s="74"/>
      <c r="V3375" s="72"/>
    </row>
    <row r="3376" spans="15:22" x14ac:dyDescent="0.25">
      <c r="O3376" s="74"/>
      <c r="P3376" s="74"/>
      <c r="Q3376" s="74"/>
      <c r="R3376" s="74"/>
      <c r="V3376" s="72"/>
    </row>
    <row r="3377" spans="15:22" x14ac:dyDescent="0.25">
      <c r="O3377" s="74"/>
      <c r="P3377" s="74"/>
      <c r="Q3377" s="74"/>
      <c r="R3377" s="74"/>
      <c r="V3377" s="72"/>
    </row>
    <row r="3378" spans="15:22" x14ac:dyDescent="0.25">
      <c r="O3378" s="74"/>
      <c r="P3378" s="74"/>
      <c r="Q3378" s="74"/>
      <c r="R3378" s="74"/>
      <c r="V3378" s="72"/>
    </row>
    <row r="3379" spans="15:22" x14ac:dyDescent="0.25">
      <c r="O3379" s="74"/>
      <c r="P3379" s="74"/>
      <c r="Q3379" s="74"/>
      <c r="R3379" s="74"/>
      <c r="V3379" s="72"/>
    </row>
    <row r="3380" spans="15:22" x14ac:dyDescent="0.25">
      <c r="O3380" s="74"/>
      <c r="P3380" s="74"/>
      <c r="Q3380" s="74"/>
      <c r="R3380" s="74"/>
      <c r="V3380" s="72"/>
    </row>
    <row r="3381" spans="15:22" x14ac:dyDescent="0.25">
      <c r="O3381" s="74"/>
      <c r="P3381" s="74"/>
      <c r="Q3381" s="74"/>
      <c r="R3381" s="74"/>
      <c r="V3381" s="72"/>
    </row>
    <row r="3382" spans="15:22" x14ac:dyDescent="0.25">
      <c r="O3382" s="74"/>
      <c r="P3382" s="74"/>
      <c r="Q3382" s="74"/>
      <c r="R3382" s="74"/>
      <c r="V3382" s="72"/>
    </row>
    <row r="3383" spans="15:22" x14ac:dyDescent="0.25">
      <c r="O3383" s="74"/>
      <c r="P3383" s="74"/>
      <c r="Q3383" s="74"/>
      <c r="R3383" s="74"/>
      <c r="V3383" s="72"/>
    </row>
    <row r="3384" spans="15:22" x14ac:dyDescent="0.25">
      <c r="O3384" s="74"/>
      <c r="P3384" s="74"/>
      <c r="Q3384" s="74"/>
      <c r="R3384" s="74"/>
      <c r="V3384" s="72"/>
    </row>
    <row r="3385" spans="15:22" x14ac:dyDescent="0.25">
      <c r="O3385" s="74"/>
      <c r="P3385" s="74"/>
      <c r="Q3385" s="74"/>
      <c r="R3385" s="74"/>
      <c r="V3385" s="72"/>
    </row>
    <row r="3386" spans="15:22" x14ac:dyDescent="0.25">
      <c r="O3386" s="74"/>
      <c r="P3386" s="74"/>
      <c r="Q3386" s="74"/>
      <c r="R3386" s="74"/>
      <c r="V3386" s="72"/>
    </row>
    <row r="3387" spans="15:22" x14ac:dyDescent="0.25">
      <c r="O3387" s="74"/>
      <c r="P3387" s="74"/>
      <c r="Q3387" s="74"/>
      <c r="R3387" s="74"/>
      <c r="V3387" s="72"/>
    </row>
    <row r="3388" spans="15:22" x14ac:dyDescent="0.25">
      <c r="O3388" s="74"/>
      <c r="P3388" s="74"/>
      <c r="Q3388" s="74"/>
      <c r="R3388" s="74"/>
      <c r="V3388" s="72"/>
    </row>
    <row r="3389" spans="15:22" x14ac:dyDescent="0.25">
      <c r="O3389" s="74"/>
      <c r="P3389" s="74"/>
      <c r="Q3389" s="74"/>
      <c r="R3389" s="74"/>
      <c r="V3389" s="72"/>
    </row>
    <row r="3390" spans="15:22" x14ac:dyDescent="0.25">
      <c r="O3390" s="74"/>
      <c r="P3390" s="74"/>
      <c r="Q3390" s="74"/>
      <c r="R3390" s="74"/>
      <c r="V3390" s="72"/>
    </row>
    <row r="3391" spans="15:22" x14ac:dyDescent="0.25">
      <c r="O3391" s="74"/>
      <c r="P3391" s="74"/>
      <c r="Q3391" s="74"/>
      <c r="R3391" s="74"/>
      <c r="V3391" s="72"/>
    </row>
    <row r="3392" spans="15:22" x14ac:dyDescent="0.25">
      <c r="O3392" s="74"/>
      <c r="P3392" s="74"/>
      <c r="Q3392" s="74"/>
      <c r="R3392" s="74"/>
      <c r="V3392" s="72"/>
    </row>
    <row r="3393" spans="15:22" x14ac:dyDescent="0.25">
      <c r="O3393" s="74"/>
      <c r="P3393" s="74"/>
      <c r="Q3393" s="74"/>
      <c r="R3393" s="74"/>
      <c r="V3393" s="72"/>
    </row>
    <row r="3394" spans="15:22" x14ac:dyDescent="0.25">
      <c r="O3394" s="74"/>
      <c r="P3394" s="74"/>
      <c r="Q3394" s="74"/>
      <c r="R3394" s="74"/>
      <c r="V3394" s="72"/>
    </row>
    <row r="3395" spans="15:22" x14ac:dyDescent="0.25">
      <c r="O3395" s="74"/>
      <c r="P3395" s="74"/>
      <c r="Q3395" s="74"/>
      <c r="R3395" s="74"/>
      <c r="V3395" s="72"/>
    </row>
    <row r="3396" spans="15:22" x14ac:dyDescent="0.25">
      <c r="O3396" s="74"/>
      <c r="P3396" s="74"/>
      <c r="Q3396" s="74"/>
      <c r="R3396" s="74"/>
      <c r="V3396" s="72"/>
    </row>
    <row r="3397" spans="15:22" x14ac:dyDescent="0.25">
      <c r="O3397" s="74"/>
      <c r="P3397" s="74"/>
      <c r="Q3397" s="74"/>
      <c r="R3397" s="74"/>
      <c r="V3397" s="72"/>
    </row>
    <row r="3398" spans="15:22" x14ac:dyDescent="0.25">
      <c r="O3398" s="74"/>
      <c r="P3398" s="74"/>
      <c r="Q3398" s="74"/>
      <c r="R3398" s="74"/>
      <c r="V3398" s="72"/>
    </row>
    <row r="3399" spans="15:22" x14ac:dyDescent="0.25">
      <c r="O3399" s="74"/>
      <c r="P3399" s="74"/>
      <c r="Q3399" s="74"/>
      <c r="R3399" s="74"/>
      <c r="V3399" s="72"/>
    </row>
    <row r="3400" spans="15:22" x14ac:dyDescent="0.25">
      <c r="O3400" s="74"/>
      <c r="P3400" s="74"/>
      <c r="Q3400" s="74"/>
      <c r="R3400" s="74"/>
      <c r="V3400" s="72"/>
    </row>
    <row r="3401" spans="15:22" x14ac:dyDescent="0.25">
      <c r="O3401" s="74"/>
      <c r="P3401" s="74"/>
      <c r="Q3401" s="74"/>
      <c r="R3401" s="74"/>
      <c r="V3401" s="72"/>
    </row>
    <row r="3402" spans="15:22" x14ac:dyDescent="0.25">
      <c r="O3402" s="74"/>
      <c r="P3402" s="74"/>
      <c r="Q3402" s="74"/>
      <c r="R3402" s="74"/>
      <c r="V3402" s="72"/>
    </row>
    <row r="3403" spans="15:22" x14ac:dyDescent="0.25">
      <c r="O3403" s="74"/>
      <c r="P3403" s="74"/>
      <c r="Q3403" s="74"/>
      <c r="R3403" s="74"/>
      <c r="V3403" s="72"/>
    </row>
    <row r="3404" spans="15:22" x14ac:dyDescent="0.25">
      <c r="O3404" s="74"/>
      <c r="P3404" s="74"/>
      <c r="Q3404" s="74"/>
      <c r="R3404" s="74"/>
      <c r="V3404" s="72"/>
    </row>
    <row r="3405" spans="15:22" x14ac:dyDescent="0.25">
      <c r="O3405" s="74"/>
      <c r="P3405" s="74"/>
      <c r="Q3405" s="74"/>
      <c r="R3405" s="74"/>
      <c r="V3405" s="72"/>
    </row>
    <row r="3406" spans="15:22" x14ac:dyDescent="0.25">
      <c r="O3406" s="74"/>
      <c r="P3406" s="74"/>
      <c r="Q3406" s="74"/>
      <c r="R3406" s="74"/>
      <c r="V3406" s="72"/>
    </row>
    <row r="3407" spans="15:22" x14ac:dyDescent="0.25">
      <c r="O3407" s="74"/>
      <c r="P3407" s="74"/>
      <c r="Q3407" s="74"/>
      <c r="R3407" s="74"/>
      <c r="V3407" s="72"/>
    </row>
    <row r="3408" spans="15:22" x14ac:dyDescent="0.25">
      <c r="O3408" s="74"/>
      <c r="P3408" s="74"/>
      <c r="Q3408" s="74"/>
      <c r="R3408" s="74"/>
      <c r="V3408" s="72"/>
    </row>
    <row r="3409" spans="15:22" x14ac:dyDescent="0.25">
      <c r="O3409" s="74"/>
      <c r="P3409" s="74"/>
      <c r="Q3409" s="74"/>
      <c r="R3409" s="74"/>
      <c r="V3409" s="72"/>
    </row>
    <row r="3410" spans="15:22" x14ac:dyDescent="0.25">
      <c r="O3410" s="74"/>
      <c r="P3410" s="74"/>
      <c r="Q3410" s="74"/>
      <c r="R3410" s="74"/>
      <c r="V3410" s="72"/>
    </row>
    <row r="3411" spans="15:22" x14ac:dyDescent="0.25">
      <c r="O3411" s="74"/>
      <c r="P3411" s="74"/>
      <c r="Q3411" s="74"/>
      <c r="R3411" s="74"/>
      <c r="V3411" s="72"/>
    </row>
    <row r="3412" spans="15:22" x14ac:dyDescent="0.25">
      <c r="O3412" s="74"/>
      <c r="P3412" s="74"/>
      <c r="Q3412" s="74"/>
      <c r="R3412" s="74"/>
      <c r="V3412" s="72"/>
    </row>
    <row r="3413" spans="15:22" x14ac:dyDescent="0.25">
      <c r="O3413" s="74"/>
      <c r="P3413" s="74"/>
      <c r="Q3413" s="74"/>
      <c r="R3413" s="74"/>
      <c r="V3413" s="72"/>
    </row>
    <row r="3414" spans="15:22" x14ac:dyDescent="0.25">
      <c r="O3414" s="74"/>
      <c r="P3414" s="74"/>
      <c r="Q3414" s="74"/>
      <c r="R3414" s="74"/>
      <c r="V3414" s="72"/>
    </row>
    <row r="3415" spans="15:22" x14ac:dyDescent="0.25">
      <c r="O3415" s="74"/>
      <c r="P3415" s="74"/>
      <c r="Q3415" s="74"/>
      <c r="R3415" s="74"/>
      <c r="V3415" s="72"/>
    </row>
    <row r="3416" spans="15:22" x14ac:dyDescent="0.25">
      <c r="O3416" s="74"/>
      <c r="P3416" s="74"/>
      <c r="Q3416" s="74"/>
      <c r="R3416" s="74"/>
      <c r="V3416" s="72"/>
    </row>
    <row r="3417" spans="15:22" x14ac:dyDescent="0.25">
      <c r="O3417" s="74"/>
      <c r="P3417" s="74"/>
      <c r="Q3417" s="74"/>
      <c r="R3417" s="74"/>
      <c r="V3417" s="72"/>
    </row>
    <row r="3418" spans="15:22" x14ac:dyDescent="0.25">
      <c r="O3418" s="74"/>
      <c r="P3418" s="74"/>
      <c r="Q3418" s="74"/>
      <c r="R3418" s="74"/>
      <c r="V3418" s="72"/>
    </row>
    <row r="3419" spans="15:22" x14ac:dyDescent="0.25">
      <c r="O3419" s="74"/>
      <c r="P3419" s="74"/>
      <c r="Q3419" s="74"/>
      <c r="R3419" s="74"/>
      <c r="V3419" s="72"/>
    </row>
    <row r="3420" spans="15:22" x14ac:dyDescent="0.25">
      <c r="O3420" s="74"/>
      <c r="P3420" s="74"/>
      <c r="Q3420" s="74"/>
      <c r="R3420" s="74"/>
      <c r="V3420" s="72"/>
    </row>
    <row r="3421" spans="15:22" x14ac:dyDescent="0.25">
      <c r="O3421" s="74"/>
      <c r="P3421" s="74"/>
      <c r="Q3421" s="74"/>
      <c r="R3421" s="74"/>
      <c r="V3421" s="72"/>
    </row>
    <row r="3422" spans="15:22" x14ac:dyDescent="0.25">
      <c r="O3422" s="74"/>
      <c r="P3422" s="74"/>
      <c r="Q3422" s="74"/>
      <c r="R3422" s="74"/>
      <c r="V3422" s="72"/>
    </row>
    <row r="3423" spans="15:22" x14ac:dyDescent="0.25">
      <c r="O3423" s="74"/>
      <c r="P3423" s="74"/>
      <c r="Q3423" s="74"/>
      <c r="R3423" s="74"/>
      <c r="V3423" s="72"/>
    </row>
    <row r="3424" spans="15:22" x14ac:dyDescent="0.25">
      <c r="O3424" s="74"/>
      <c r="P3424" s="74"/>
      <c r="Q3424" s="74"/>
      <c r="R3424" s="74"/>
      <c r="V3424" s="72"/>
    </row>
    <row r="3425" spans="15:22" x14ac:dyDescent="0.25">
      <c r="O3425" s="74"/>
      <c r="P3425" s="74"/>
      <c r="Q3425" s="74"/>
      <c r="R3425" s="74"/>
      <c r="V3425" s="72"/>
    </row>
    <row r="3426" spans="15:22" x14ac:dyDescent="0.25">
      <c r="O3426" s="74"/>
      <c r="P3426" s="74"/>
      <c r="Q3426" s="74"/>
      <c r="R3426" s="74"/>
      <c r="V3426" s="72"/>
    </row>
    <row r="3427" spans="15:22" x14ac:dyDescent="0.25">
      <c r="O3427" s="74"/>
      <c r="P3427" s="74"/>
      <c r="Q3427" s="74"/>
      <c r="R3427" s="74"/>
      <c r="V3427" s="72"/>
    </row>
    <row r="3428" spans="15:22" x14ac:dyDescent="0.25">
      <c r="O3428" s="74"/>
      <c r="P3428" s="74"/>
      <c r="Q3428" s="74"/>
      <c r="R3428" s="74"/>
      <c r="V3428" s="72"/>
    </row>
    <row r="3429" spans="15:22" x14ac:dyDescent="0.25">
      <c r="O3429" s="74"/>
      <c r="P3429" s="74"/>
      <c r="Q3429" s="74"/>
      <c r="R3429" s="74"/>
      <c r="V3429" s="72"/>
    </row>
    <row r="3430" spans="15:22" x14ac:dyDescent="0.25">
      <c r="O3430" s="74"/>
      <c r="P3430" s="74"/>
      <c r="Q3430" s="74"/>
      <c r="R3430" s="74"/>
      <c r="V3430" s="72"/>
    </row>
    <row r="3431" spans="15:22" x14ac:dyDescent="0.25">
      <c r="O3431" s="74"/>
      <c r="P3431" s="74"/>
      <c r="Q3431" s="74"/>
      <c r="R3431" s="74"/>
      <c r="V3431" s="72"/>
    </row>
    <row r="3432" spans="15:22" x14ac:dyDescent="0.25">
      <c r="O3432" s="74"/>
      <c r="P3432" s="74"/>
      <c r="Q3432" s="74"/>
      <c r="R3432" s="74"/>
      <c r="V3432" s="72"/>
    </row>
    <row r="3433" spans="15:22" x14ac:dyDescent="0.25">
      <c r="O3433" s="74"/>
      <c r="P3433" s="74"/>
      <c r="Q3433" s="74"/>
      <c r="R3433" s="74"/>
      <c r="V3433" s="72"/>
    </row>
    <row r="3434" spans="15:22" x14ac:dyDescent="0.25">
      <c r="O3434" s="74"/>
      <c r="P3434" s="74"/>
      <c r="Q3434" s="74"/>
      <c r="R3434" s="74"/>
      <c r="V3434" s="72"/>
    </row>
    <row r="3435" spans="15:22" x14ac:dyDescent="0.25">
      <c r="O3435" s="74"/>
      <c r="P3435" s="74"/>
      <c r="Q3435" s="74"/>
      <c r="R3435" s="74"/>
      <c r="V3435" s="72"/>
    </row>
    <row r="3436" spans="15:22" x14ac:dyDescent="0.25">
      <c r="O3436" s="74"/>
      <c r="P3436" s="74"/>
      <c r="Q3436" s="74"/>
      <c r="R3436" s="74"/>
      <c r="V3436" s="72"/>
    </row>
    <row r="3437" spans="15:22" x14ac:dyDescent="0.25">
      <c r="O3437" s="74"/>
      <c r="P3437" s="74"/>
      <c r="Q3437" s="74"/>
      <c r="R3437" s="74"/>
      <c r="V3437" s="72"/>
    </row>
    <row r="3438" spans="15:22" x14ac:dyDescent="0.25">
      <c r="O3438" s="74"/>
      <c r="P3438" s="74"/>
      <c r="Q3438" s="74"/>
      <c r="R3438" s="74"/>
      <c r="V3438" s="72"/>
    </row>
    <row r="3439" spans="15:22" x14ac:dyDescent="0.25">
      <c r="O3439" s="74"/>
      <c r="P3439" s="74"/>
      <c r="Q3439" s="74"/>
      <c r="R3439" s="74"/>
      <c r="V3439" s="72"/>
    </row>
    <row r="3440" spans="15:22" x14ac:dyDescent="0.25">
      <c r="O3440" s="74"/>
      <c r="P3440" s="74"/>
      <c r="Q3440" s="74"/>
      <c r="R3440" s="74"/>
      <c r="V3440" s="72"/>
    </row>
    <row r="3441" spans="15:22" x14ac:dyDescent="0.25">
      <c r="O3441" s="74"/>
      <c r="P3441" s="74"/>
      <c r="Q3441" s="74"/>
      <c r="R3441" s="74"/>
      <c r="V3441" s="72"/>
    </row>
    <row r="3442" spans="15:22" x14ac:dyDescent="0.25">
      <c r="O3442" s="74"/>
      <c r="P3442" s="74"/>
      <c r="Q3442" s="74"/>
      <c r="R3442" s="74"/>
      <c r="V3442" s="72"/>
    </row>
    <row r="3443" spans="15:22" x14ac:dyDescent="0.25">
      <c r="O3443" s="74"/>
      <c r="P3443" s="74"/>
      <c r="Q3443" s="74"/>
      <c r="R3443" s="74"/>
      <c r="V3443" s="72"/>
    </row>
    <row r="3444" spans="15:22" x14ac:dyDescent="0.25">
      <c r="O3444" s="74"/>
      <c r="P3444" s="74"/>
      <c r="Q3444" s="74"/>
      <c r="R3444" s="74"/>
      <c r="V3444" s="72"/>
    </row>
    <row r="3445" spans="15:22" x14ac:dyDescent="0.25">
      <c r="O3445" s="74"/>
      <c r="P3445" s="74"/>
      <c r="Q3445" s="74"/>
      <c r="R3445" s="74"/>
      <c r="V3445" s="72"/>
    </row>
    <row r="3446" spans="15:22" x14ac:dyDescent="0.25">
      <c r="O3446" s="74"/>
      <c r="P3446" s="74"/>
      <c r="Q3446" s="74"/>
      <c r="R3446" s="74"/>
      <c r="V3446" s="72"/>
    </row>
    <row r="3447" spans="15:22" x14ac:dyDescent="0.25">
      <c r="O3447" s="74"/>
      <c r="P3447" s="74"/>
      <c r="Q3447" s="74"/>
      <c r="R3447" s="74"/>
      <c r="V3447" s="72"/>
    </row>
    <row r="3448" spans="15:22" x14ac:dyDescent="0.25">
      <c r="O3448" s="74"/>
      <c r="P3448" s="74"/>
      <c r="Q3448" s="74"/>
      <c r="R3448" s="74"/>
      <c r="V3448" s="72"/>
    </row>
    <row r="3449" spans="15:22" x14ac:dyDescent="0.25">
      <c r="O3449" s="74"/>
      <c r="P3449" s="74"/>
      <c r="Q3449" s="74"/>
      <c r="R3449" s="74"/>
      <c r="V3449" s="72"/>
    </row>
    <row r="3450" spans="15:22" x14ac:dyDescent="0.25">
      <c r="O3450" s="74"/>
      <c r="P3450" s="74"/>
      <c r="Q3450" s="74"/>
      <c r="R3450" s="74"/>
      <c r="V3450" s="72"/>
    </row>
    <row r="3451" spans="15:22" x14ac:dyDescent="0.25">
      <c r="O3451" s="74"/>
      <c r="P3451" s="74"/>
      <c r="Q3451" s="74"/>
      <c r="R3451" s="74"/>
      <c r="V3451" s="72"/>
    </row>
    <row r="3452" spans="15:22" x14ac:dyDescent="0.25">
      <c r="O3452" s="74"/>
      <c r="P3452" s="74"/>
      <c r="Q3452" s="74"/>
      <c r="R3452" s="74"/>
      <c r="V3452" s="72"/>
    </row>
    <row r="3453" spans="15:22" x14ac:dyDescent="0.25">
      <c r="O3453" s="74"/>
      <c r="P3453" s="74"/>
      <c r="Q3453" s="74"/>
      <c r="R3453" s="74"/>
      <c r="V3453" s="72"/>
    </row>
    <row r="3454" spans="15:22" x14ac:dyDescent="0.25">
      <c r="O3454" s="74"/>
      <c r="P3454" s="74"/>
      <c r="Q3454" s="74"/>
      <c r="R3454" s="74"/>
      <c r="V3454" s="72"/>
    </row>
    <row r="3455" spans="15:22" x14ac:dyDescent="0.25">
      <c r="O3455" s="74"/>
      <c r="P3455" s="74"/>
      <c r="Q3455" s="74"/>
      <c r="R3455" s="74"/>
      <c r="V3455" s="72"/>
    </row>
    <row r="3456" spans="15:22" x14ac:dyDescent="0.25">
      <c r="O3456" s="74"/>
      <c r="P3456" s="74"/>
      <c r="Q3456" s="74"/>
      <c r="R3456" s="74"/>
      <c r="V3456" s="72"/>
    </row>
    <row r="3457" spans="15:22" x14ac:dyDescent="0.25">
      <c r="O3457" s="74"/>
      <c r="P3457" s="74"/>
      <c r="Q3457" s="74"/>
      <c r="R3457" s="74"/>
      <c r="V3457" s="72"/>
    </row>
    <row r="3458" spans="15:22" x14ac:dyDescent="0.25">
      <c r="O3458" s="74"/>
      <c r="P3458" s="74"/>
      <c r="Q3458" s="74"/>
      <c r="R3458" s="74"/>
      <c r="V3458" s="72"/>
    </row>
    <row r="3459" spans="15:22" x14ac:dyDescent="0.25">
      <c r="O3459" s="74"/>
      <c r="P3459" s="74"/>
      <c r="Q3459" s="74"/>
      <c r="R3459" s="74"/>
      <c r="V3459" s="72"/>
    </row>
    <row r="3460" spans="15:22" x14ac:dyDescent="0.25">
      <c r="O3460" s="74"/>
      <c r="P3460" s="74"/>
      <c r="Q3460" s="74"/>
      <c r="R3460" s="74"/>
      <c r="V3460" s="72"/>
    </row>
    <row r="3461" spans="15:22" x14ac:dyDescent="0.25">
      <c r="O3461" s="74"/>
      <c r="P3461" s="74"/>
      <c r="Q3461" s="74"/>
      <c r="R3461" s="74"/>
      <c r="V3461" s="72"/>
    </row>
    <row r="3462" spans="15:22" x14ac:dyDescent="0.25">
      <c r="O3462" s="74"/>
      <c r="P3462" s="74"/>
      <c r="Q3462" s="74"/>
      <c r="R3462" s="74"/>
      <c r="V3462" s="72"/>
    </row>
    <row r="3463" spans="15:22" x14ac:dyDescent="0.25">
      <c r="O3463" s="74"/>
      <c r="P3463" s="74"/>
      <c r="Q3463" s="74"/>
      <c r="R3463" s="74"/>
      <c r="V3463" s="72"/>
    </row>
    <row r="3464" spans="15:22" x14ac:dyDescent="0.25">
      <c r="O3464" s="74"/>
      <c r="P3464" s="74"/>
      <c r="Q3464" s="74"/>
      <c r="R3464" s="74"/>
      <c r="V3464" s="72"/>
    </row>
    <row r="3465" spans="15:22" x14ac:dyDescent="0.25">
      <c r="O3465" s="74"/>
      <c r="P3465" s="74"/>
      <c r="Q3465" s="74"/>
      <c r="R3465" s="74"/>
      <c r="V3465" s="72"/>
    </row>
    <row r="3466" spans="15:22" x14ac:dyDescent="0.25">
      <c r="O3466" s="74"/>
      <c r="P3466" s="74"/>
      <c r="Q3466" s="74"/>
      <c r="R3466" s="74"/>
      <c r="V3466" s="72"/>
    </row>
    <row r="3467" spans="15:22" x14ac:dyDescent="0.25">
      <c r="O3467" s="74"/>
      <c r="P3467" s="74"/>
      <c r="Q3467" s="74"/>
      <c r="R3467" s="74"/>
      <c r="V3467" s="72"/>
    </row>
    <row r="3468" spans="15:22" x14ac:dyDescent="0.25">
      <c r="O3468" s="74"/>
      <c r="P3468" s="74"/>
      <c r="Q3468" s="74"/>
      <c r="R3468" s="74"/>
      <c r="V3468" s="72"/>
    </row>
    <row r="3469" spans="15:22" x14ac:dyDescent="0.25">
      <c r="O3469" s="74"/>
      <c r="P3469" s="74"/>
      <c r="Q3469" s="74"/>
      <c r="R3469" s="74"/>
      <c r="V3469" s="72"/>
    </row>
    <row r="3470" spans="15:22" x14ac:dyDescent="0.25">
      <c r="O3470" s="74"/>
      <c r="P3470" s="74"/>
      <c r="Q3470" s="74"/>
      <c r="R3470" s="74"/>
      <c r="V3470" s="72"/>
    </row>
    <row r="3471" spans="15:22" x14ac:dyDescent="0.25">
      <c r="O3471" s="74"/>
      <c r="P3471" s="74"/>
      <c r="Q3471" s="74"/>
      <c r="R3471" s="74"/>
      <c r="V3471" s="72"/>
    </row>
    <row r="3472" spans="15:22" x14ac:dyDescent="0.25">
      <c r="O3472" s="74"/>
      <c r="P3472" s="74"/>
      <c r="Q3472" s="74"/>
      <c r="R3472" s="74"/>
      <c r="V3472" s="72"/>
    </row>
    <row r="3473" spans="15:22" x14ac:dyDescent="0.25">
      <c r="O3473" s="74"/>
      <c r="P3473" s="74"/>
      <c r="Q3473" s="74"/>
      <c r="R3473" s="74"/>
      <c r="V3473" s="72"/>
    </row>
    <row r="3474" spans="15:22" x14ac:dyDescent="0.25">
      <c r="O3474" s="74"/>
      <c r="P3474" s="74"/>
      <c r="Q3474" s="74"/>
      <c r="R3474" s="74"/>
      <c r="V3474" s="72"/>
    </row>
    <row r="3475" spans="15:22" x14ac:dyDescent="0.25">
      <c r="O3475" s="74"/>
      <c r="P3475" s="74"/>
      <c r="Q3475" s="74"/>
      <c r="R3475" s="74"/>
      <c r="V3475" s="72"/>
    </row>
    <row r="3476" spans="15:22" x14ac:dyDescent="0.25">
      <c r="O3476" s="74"/>
      <c r="P3476" s="74"/>
      <c r="Q3476" s="74"/>
      <c r="R3476" s="74"/>
      <c r="V3476" s="72"/>
    </row>
    <row r="3477" spans="15:22" x14ac:dyDescent="0.25">
      <c r="O3477" s="74"/>
      <c r="P3477" s="74"/>
      <c r="Q3477" s="74"/>
      <c r="R3477" s="74"/>
      <c r="V3477" s="72"/>
    </row>
    <row r="3478" spans="15:22" x14ac:dyDescent="0.25">
      <c r="O3478" s="74"/>
      <c r="P3478" s="74"/>
      <c r="Q3478" s="74"/>
      <c r="R3478" s="74"/>
      <c r="V3478" s="72"/>
    </row>
    <row r="3479" spans="15:22" x14ac:dyDescent="0.25">
      <c r="O3479" s="74"/>
      <c r="P3479" s="74"/>
      <c r="Q3479" s="74"/>
      <c r="R3479" s="74"/>
      <c r="V3479" s="72"/>
    </row>
    <row r="3480" spans="15:22" x14ac:dyDescent="0.25">
      <c r="O3480" s="74"/>
      <c r="P3480" s="74"/>
      <c r="Q3480" s="74"/>
      <c r="R3480" s="74"/>
      <c r="V3480" s="72"/>
    </row>
    <row r="3481" spans="15:22" x14ac:dyDescent="0.25">
      <c r="O3481" s="74"/>
      <c r="P3481" s="74"/>
      <c r="Q3481" s="74"/>
      <c r="R3481" s="74"/>
      <c r="V3481" s="72"/>
    </row>
    <row r="3482" spans="15:22" x14ac:dyDescent="0.25">
      <c r="O3482" s="74"/>
      <c r="P3482" s="74"/>
      <c r="Q3482" s="74"/>
      <c r="R3482" s="74"/>
      <c r="V3482" s="72"/>
    </row>
    <row r="3483" spans="15:22" x14ac:dyDescent="0.25">
      <c r="O3483" s="74"/>
      <c r="P3483" s="74"/>
      <c r="Q3483" s="74"/>
      <c r="R3483" s="74"/>
      <c r="V3483" s="72"/>
    </row>
    <row r="3484" spans="15:22" x14ac:dyDescent="0.25">
      <c r="O3484" s="74"/>
      <c r="P3484" s="74"/>
      <c r="Q3484" s="74"/>
      <c r="R3484" s="74"/>
      <c r="V3484" s="72"/>
    </row>
    <row r="3485" spans="15:22" x14ac:dyDescent="0.25">
      <c r="O3485" s="74"/>
      <c r="P3485" s="74"/>
      <c r="Q3485" s="74"/>
      <c r="R3485" s="74"/>
      <c r="V3485" s="72"/>
    </row>
    <row r="3486" spans="15:22" x14ac:dyDescent="0.25">
      <c r="O3486" s="74"/>
      <c r="P3486" s="74"/>
      <c r="Q3486" s="74"/>
      <c r="R3486" s="74"/>
      <c r="V3486" s="72"/>
    </row>
    <row r="3487" spans="15:22" x14ac:dyDescent="0.25">
      <c r="O3487" s="74"/>
      <c r="P3487" s="74"/>
      <c r="Q3487" s="74"/>
      <c r="R3487" s="74"/>
      <c r="V3487" s="72"/>
    </row>
    <row r="3488" spans="15:22" x14ac:dyDescent="0.25">
      <c r="O3488" s="74"/>
      <c r="P3488" s="74"/>
      <c r="Q3488" s="74"/>
      <c r="R3488" s="74"/>
      <c r="V3488" s="72"/>
    </row>
    <row r="3489" spans="15:22" x14ac:dyDescent="0.25">
      <c r="O3489" s="74"/>
      <c r="P3489" s="74"/>
      <c r="Q3489" s="74"/>
      <c r="R3489" s="74"/>
      <c r="V3489" s="72"/>
    </row>
    <row r="3490" spans="15:22" x14ac:dyDescent="0.25">
      <c r="O3490" s="74"/>
      <c r="P3490" s="74"/>
      <c r="Q3490" s="74"/>
      <c r="R3490" s="74"/>
      <c r="V3490" s="72"/>
    </row>
    <row r="3491" spans="15:22" x14ac:dyDescent="0.25">
      <c r="O3491" s="74"/>
      <c r="P3491" s="74"/>
      <c r="Q3491" s="74"/>
      <c r="R3491" s="74"/>
      <c r="V3491" s="72"/>
    </row>
    <row r="3492" spans="15:22" x14ac:dyDescent="0.25">
      <c r="O3492" s="74"/>
      <c r="P3492" s="74"/>
      <c r="Q3492" s="74"/>
      <c r="R3492" s="74"/>
      <c r="V3492" s="72"/>
    </row>
    <row r="3493" spans="15:22" x14ac:dyDescent="0.25">
      <c r="O3493" s="74"/>
      <c r="P3493" s="74"/>
      <c r="Q3493" s="74"/>
      <c r="R3493" s="74"/>
      <c r="V3493" s="72"/>
    </row>
    <row r="3494" spans="15:22" x14ac:dyDescent="0.25">
      <c r="O3494" s="74"/>
      <c r="P3494" s="74"/>
      <c r="Q3494" s="74"/>
      <c r="R3494" s="74"/>
      <c r="V3494" s="72"/>
    </row>
    <row r="3495" spans="15:22" x14ac:dyDescent="0.25">
      <c r="O3495" s="74"/>
      <c r="P3495" s="74"/>
      <c r="Q3495" s="74"/>
      <c r="R3495" s="74"/>
      <c r="V3495" s="72"/>
    </row>
    <row r="3496" spans="15:22" x14ac:dyDescent="0.25">
      <c r="O3496" s="74"/>
      <c r="P3496" s="74"/>
      <c r="Q3496" s="74"/>
      <c r="R3496" s="74"/>
      <c r="V3496" s="72"/>
    </row>
    <row r="3497" spans="15:22" x14ac:dyDescent="0.25">
      <c r="O3497" s="74"/>
      <c r="P3497" s="74"/>
      <c r="Q3497" s="74"/>
      <c r="R3497" s="74"/>
      <c r="V3497" s="72"/>
    </row>
    <row r="3498" spans="15:22" x14ac:dyDescent="0.25">
      <c r="O3498" s="74"/>
      <c r="P3498" s="74"/>
      <c r="Q3498" s="74"/>
      <c r="R3498" s="74"/>
      <c r="V3498" s="72"/>
    </row>
    <row r="3499" spans="15:22" x14ac:dyDescent="0.25">
      <c r="O3499" s="74"/>
      <c r="P3499" s="74"/>
      <c r="Q3499" s="74"/>
      <c r="R3499" s="74"/>
      <c r="V3499" s="72"/>
    </row>
    <row r="3500" spans="15:22" x14ac:dyDescent="0.25">
      <c r="O3500" s="74"/>
      <c r="P3500" s="74"/>
      <c r="Q3500" s="74"/>
      <c r="R3500" s="74"/>
      <c r="V3500" s="72"/>
    </row>
    <row r="3501" spans="15:22" x14ac:dyDescent="0.25">
      <c r="O3501" s="74"/>
      <c r="P3501" s="74"/>
      <c r="Q3501" s="74"/>
      <c r="R3501" s="74"/>
      <c r="V3501" s="72"/>
    </row>
    <row r="3502" spans="15:22" x14ac:dyDescent="0.25">
      <c r="O3502" s="74"/>
      <c r="P3502" s="74"/>
      <c r="Q3502" s="74"/>
      <c r="R3502" s="74"/>
      <c r="V3502" s="72"/>
    </row>
    <row r="3503" spans="15:22" x14ac:dyDescent="0.25">
      <c r="O3503" s="74"/>
      <c r="P3503" s="74"/>
      <c r="Q3503" s="74"/>
      <c r="R3503" s="74"/>
      <c r="V3503" s="72"/>
    </row>
    <row r="3504" spans="15:22" x14ac:dyDescent="0.25">
      <c r="O3504" s="74"/>
      <c r="P3504" s="74"/>
      <c r="Q3504" s="74"/>
      <c r="R3504" s="74"/>
      <c r="V3504" s="72"/>
    </row>
    <row r="3505" spans="15:22" x14ac:dyDescent="0.25">
      <c r="O3505" s="74"/>
      <c r="P3505" s="74"/>
      <c r="Q3505" s="74"/>
      <c r="R3505" s="74"/>
      <c r="V3505" s="72"/>
    </row>
    <row r="3506" spans="15:22" x14ac:dyDescent="0.25">
      <c r="O3506" s="74"/>
      <c r="P3506" s="74"/>
      <c r="Q3506" s="74"/>
      <c r="R3506" s="74"/>
      <c r="V3506" s="72"/>
    </row>
    <row r="3507" spans="15:22" x14ac:dyDescent="0.25">
      <c r="O3507" s="74"/>
      <c r="P3507" s="74"/>
      <c r="Q3507" s="74"/>
      <c r="R3507" s="74"/>
      <c r="V3507" s="72"/>
    </row>
    <row r="3508" spans="15:22" x14ac:dyDescent="0.25">
      <c r="O3508" s="74"/>
      <c r="P3508" s="74"/>
      <c r="Q3508" s="74"/>
      <c r="R3508" s="74"/>
      <c r="V3508" s="72"/>
    </row>
    <row r="3509" spans="15:22" x14ac:dyDescent="0.25">
      <c r="O3509" s="74"/>
      <c r="P3509" s="74"/>
      <c r="Q3509" s="74"/>
      <c r="R3509" s="74"/>
      <c r="V3509" s="72"/>
    </row>
    <row r="3510" spans="15:22" x14ac:dyDescent="0.25">
      <c r="O3510" s="74"/>
      <c r="P3510" s="74"/>
      <c r="Q3510" s="74"/>
      <c r="R3510" s="74"/>
      <c r="V3510" s="72"/>
    </row>
    <row r="3511" spans="15:22" x14ac:dyDescent="0.25">
      <c r="O3511" s="74"/>
      <c r="P3511" s="74"/>
      <c r="Q3511" s="74"/>
      <c r="R3511" s="74"/>
      <c r="V3511" s="72"/>
    </row>
    <row r="3512" spans="15:22" x14ac:dyDescent="0.25">
      <c r="O3512" s="74"/>
      <c r="P3512" s="74"/>
      <c r="Q3512" s="74"/>
      <c r="R3512" s="74"/>
      <c r="V3512" s="72"/>
    </row>
    <row r="3513" spans="15:22" x14ac:dyDescent="0.25">
      <c r="O3513" s="74"/>
      <c r="P3513" s="74"/>
      <c r="Q3513" s="74"/>
      <c r="R3513" s="74"/>
      <c r="V3513" s="72"/>
    </row>
    <row r="3514" spans="15:22" x14ac:dyDescent="0.25">
      <c r="O3514" s="74"/>
      <c r="P3514" s="74"/>
      <c r="Q3514" s="74"/>
      <c r="R3514" s="74"/>
      <c r="V3514" s="72"/>
    </row>
    <row r="3515" spans="15:22" x14ac:dyDescent="0.25">
      <c r="O3515" s="74"/>
      <c r="P3515" s="74"/>
      <c r="Q3515" s="74"/>
      <c r="R3515" s="74"/>
      <c r="V3515" s="72"/>
    </row>
    <row r="3516" spans="15:22" x14ac:dyDescent="0.25">
      <c r="O3516" s="74"/>
      <c r="P3516" s="74"/>
      <c r="Q3516" s="74"/>
      <c r="R3516" s="74"/>
      <c r="V3516" s="72"/>
    </row>
    <row r="3517" spans="15:22" x14ac:dyDescent="0.25">
      <c r="O3517" s="74"/>
      <c r="P3517" s="74"/>
      <c r="Q3517" s="74"/>
      <c r="R3517" s="74"/>
      <c r="V3517" s="72"/>
    </row>
    <row r="3518" spans="15:22" x14ac:dyDescent="0.25">
      <c r="O3518" s="74"/>
      <c r="P3518" s="74"/>
      <c r="Q3518" s="74"/>
      <c r="R3518" s="74"/>
      <c r="V3518" s="72"/>
    </row>
    <row r="3519" spans="15:22" x14ac:dyDescent="0.25">
      <c r="O3519" s="74"/>
      <c r="P3519" s="74"/>
      <c r="Q3519" s="74"/>
      <c r="R3519" s="74"/>
      <c r="V3519" s="72"/>
    </row>
    <row r="3520" spans="15:22" x14ac:dyDescent="0.25">
      <c r="O3520" s="74"/>
      <c r="P3520" s="74"/>
      <c r="Q3520" s="74"/>
      <c r="R3520" s="74"/>
      <c r="V3520" s="72"/>
    </row>
    <row r="3521" spans="15:22" x14ac:dyDescent="0.25">
      <c r="O3521" s="74"/>
      <c r="P3521" s="74"/>
      <c r="Q3521" s="74"/>
      <c r="R3521" s="74"/>
      <c r="V3521" s="72"/>
    </row>
    <row r="3522" spans="15:22" x14ac:dyDescent="0.25">
      <c r="O3522" s="74"/>
      <c r="P3522" s="74"/>
      <c r="Q3522" s="74"/>
      <c r="R3522" s="74"/>
      <c r="V3522" s="72"/>
    </row>
    <row r="3523" spans="15:22" x14ac:dyDescent="0.25">
      <c r="O3523" s="74"/>
      <c r="P3523" s="74"/>
      <c r="Q3523" s="74"/>
      <c r="R3523" s="74"/>
      <c r="V3523" s="72"/>
    </row>
    <row r="3524" spans="15:22" x14ac:dyDescent="0.25">
      <c r="O3524" s="74"/>
      <c r="P3524" s="74"/>
      <c r="Q3524" s="74"/>
      <c r="R3524" s="74"/>
      <c r="V3524" s="72"/>
    </row>
    <row r="3525" spans="15:22" x14ac:dyDescent="0.25">
      <c r="O3525" s="74"/>
      <c r="P3525" s="74"/>
      <c r="Q3525" s="74"/>
      <c r="R3525" s="74"/>
      <c r="V3525" s="72"/>
    </row>
    <row r="3526" spans="15:22" x14ac:dyDescent="0.25">
      <c r="O3526" s="74"/>
      <c r="P3526" s="74"/>
      <c r="Q3526" s="74"/>
      <c r="R3526" s="74"/>
      <c r="V3526" s="72"/>
    </row>
    <row r="3527" spans="15:22" x14ac:dyDescent="0.25">
      <c r="O3527" s="74"/>
      <c r="P3527" s="74"/>
      <c r="Q3527" s="74"/>
      <c r="R3527" s="74"/>
      <c r="V3527" s="72"/>
    </row>
    <row r="3528" spans="15:22" x14ac:dyDescent="0.25">
      <c r="O3528" s="74"/>
      <c r="P3528" s="74"/>
      <c r="Q3528" s="74"/>
      <c r="R3528" s="74"/>
      <c r="V3528" s="72"/>
    </row>
    <row r="3529" spans="15:22" x14ac:dyDescent="0.25">
      <c r="O3529" s="74"/>
      <c r="P3529" s="74"/>
      <c r="Q3529" s="74"/>
      <c r="R3529" s="74"/>
      <c r="V3529" s="72"/>
    </row>
    <row r="3530" spans="15:22" x14ac:dyDescent="0.25">
      <c r="O3530" s="74"/>
      <c r="P3530" s="74"/>
      <c r="Q3530" s="74"/>
      <c r="R3530" s="74"/>
      <c r="V3530" s="72"/>
    </row>
    <row r="3531" spans="15:22" x14ac:dyDescent="0.25">
      <c r="O3531" s="74"/>
      <c r="P3531" s="74"/>
      <c r="Q3531" s="74"/>
      <c r="R3531" s="74"/>
      <c r="V3531" s="72"/>
    </row>
    <row r="3532" spans="15:22" x14ac:dyDescent="0.25">
      <c r="O3532" s="74"/>
      <c r="P3532" s="74"/>
      <c r="Q3532" s="74"/>
      <c r="R3532" s="74"/>
      <c r="V3532" s="72"/>
    </row>
    <row r="3533" spans="15:22" x14ac:dyDescent="0.25">
      <c r="O3533" s="74"/>
      <c r="P3533" s="74"/>
      <c r="Q3533" s="74"/>
      <c r="R3533" s="74"/>
      <c r="V3533" s="72"/>
    </row>
    <row r="3534" spans="15:22" x14ac:dyDescent="0.25">
      <c r="O3534" s="74"/>
      <c r="P3534" s="74"/>
      <c r="Q3534" s="74"/>
      <c r="R3534" s="74"/>
      <c r="V3534" s="72"/>
    </row>
    <row r="3535" spans="15:22" x14ac:dyDescent="0.25">
      <c r="O3535" s="74"/>
      <c r="P3535" s="74"/>
      <c r="Q3535" s="74"/>
      <c r="R3535" s="74"/>
      <c r="V3535" s="72"/>
    </row>
    <row r="3536" spans="15:22" x14ac:dyDescent="0.25">
      <c r="O3536" s="74"/>
      <c r="P3536" s="74"/>
      <c r="Q3536" s="74"/>
      <c r="R3536" s="74"/>
      <c r="V3536" s="72"/>
    </row>
    <row r="3537" spans="15:22" x14ac:dyDescent="0.25">
      <c r="O3537" s="74"/>
      <c r="P3537" s="74"/>
      <c r="Q3537" s="74"/>
      <c r="R3537" s="74"/>
      <c r="V3537" s="72"/>
    </row>
    <row r="3538" spans="15:22" x14ac:dyDescent="0.25">
      <c r="O3538" s="74"/>
      <c r="P3538" s="74"/>
      <c r="Q3538" s="74"/>
      <c r="R3538" s="74"/>
      <c r="V3538" s="72"/>
    </row>
    <row r="3539" spans="15:22" x14ac:dyDescent="0.25">
      <c r="O3539" s="74"/>
      <c r="P3539" s="74"/>
      <c r="Q3539" s="74"/>
      <c r="R3539" s="74"/>
      <c r="V3539" s="72"/>
    </row>
    <row r="3540" spans="15:22" x14ac:dyDescent="0.25">
      <c r="O3540" s="74"/>
      <c r="P3540" s="74"/>
      <c r="Q3540" s="74"/>
      <c r="R3540" s="74"/>
      <c r="V3540" s="72"/>
    </row>
    <row r="3541" spans="15:22" x14ac:dyDescent="0.25">
      <c r="O3541" s="74"/>
      <c r="P3541" s="74"/>
      <c r="Q3541" s="74"/>
      <c r="R3541" s="74"/>
      <c r="V3541" s="72"/>
    </row>
    <row r="3542" spans="15:22" x14ac:dyDescent="0.25">
      <c r="O3542" s="74"/>
      <c r="P3542" s="74"/>
      <c r="Q3542" s="74"/>
      <c r="R3542" s="74"/>
      <c r="V3542" s="72"/>
    </row>
    <row r="3543" spans="15:22" x14ac:dyDescent="0.25">
      <c r="O3543" s="74"/>
      <c r="P3543" s="74"/>
      <c r="Q3543" s="74"/>
      <c r="R3543" s="74"/>
      <c r="V3543" s="72"/>
    </row>
    <row r="3544" spans="15:22" x14ac:dyDescent="0.25">
      <c r="O3544" s="74"/>
      <c r="P3544" s="74"/>
      <c r="Q3544" s="74"/>
      <c r="R3544" s="74"/>
      <c r="V3544" s="72"/>
    </row>
    <row r="3545" spans="15:22" x14ac:dyDescent="0.25">
      <c r="O3545" s="74"/>
      <c r="P3545" s="74"/>
      <c r="Q3545" s="74"/>
      <c r="R3545" s="74"/>
      <c r="V3545" s="72"/>
    </row>
    <row r="3546" spans="15:22" x14ac:dyDescent="0.25">
      <c r="O3546" s="74"/>
      <c r="P3546" s="74"/>
      <c r="Q3546" s="74"/>
      <c r="R3546" s="74"/>
      <c r="V3546" s="72"/>
    </row>
    <row r="3547" spans="15:22" x14ac:dyDescent="0.25">
      <c r="O3547" s="74"/>
      <c r="P3547" s="74"/>
      <c r="Q3547" s="74"/>
      <c r="R3547" s="74"/>
      <c r="V3547" s="72"/>
    </row>
    <row r="3548" spans="15:22" x14ac:dyDescent="0.25">
      <c r="O3548" s="74"/>
      <c r="P3548" s="74"/>
      <c r="Q3548" s="74"/>
      <c r="R3548" s="74"/>
      <c r="V3548" s="72"/>
    </row>
    <row r="3549" spans="15:22" x14ac:dyDescent="0.25">
      <c r="O3549" s="74"/>
      <c r="P3549" s="74"/>
      <c r="Q3549" s="74"/>
      <c r="R3549" s="74"/>
      <c r="V3549" s="72"/>
    </row>
    <row r="3550" spans="15:22" x14ac:dyDescent="0.25">
      <c r="O3550" s="74"/>
      <c r="P3550" s="74"/>
      <c r="Q3550" s="74"/>
      <c r="R3550" s="74"/>
      <c r="V3550" s="72"/>
    </row>
    <row r="3551" spans="15:22" x14ac:dyDescent="0.25">
      <c r="O3551" s="74"/>
      <c r="P3551" s="74"/>
      <c r="Q3551" s="74"/>
      <c r="R3551" s="74"/>
      <c r="V3551" s="72"/>
    </row>
    <row r="3552" spans="15:22" x14ac:dyDescent="0.25">
      <c r="O3552" s="74"/>
      <c r="P3552" s="74"/>
      <c r="Q3552" s="74"/>
      <c r="R3552" s="74"/>
      <c r="V3552" s="72"/>
    </row>
    <row r="3553" spans="15:22" x14ac:dyDescent="0.25">
      <c r="O3553" s="74"/>
      <c r="P3553" s="74"/>
      <c r="Q3553" s="74"/>
      <c r="R3553" s="74"/>
      <c r="V3553" s="72"/>
    </row>
    <row r="3554" spans="15:22" x14ac:dyDescent="0.25">
      <c r="O3554" s="74"/>
      <c r="P3554" s="74"/>
      <c r="Q3554" s="74"/>
      <c r="R3554" s="74"/>
      <c r="V3554" s="72"/>
    </row>
    <row r="3555" spans="15:22" x14ac:dyDescent="0.25">
      <c r="O3555" s="74"/>
      <c r="P3555" s="74"/>
      <c r="Q3555" s="74"/>
      <c r="R3555" s="74"/>
      <c r="V3555" s="72"/>
    </row>
    <row r="3556" spans="15:22" x14ac:dyDescent="0.25">
      <c r="O3556" s="74"/>
      <c r="P3556" s="74"/>
      <c r="Q3556" s="74"/>
      <c r="R3556" s="74"/>
      <c r="V3556" s="72"/>
    </row>
    <row r="3557" spans="15:22" x14ac:dyDescent="0.25">
      <c r="O3557" s="74"/>
      <c r="P3557" s="74"/>
      <c r="Q3557" s="74"/>
      <c r="R3557" s="74"/>
      <c r="V3557" s="72"/>
    </row>
    <row r="3558" spans="15:22" x14ac:dyDescent="0.25">
      <c r="O3558" s="74"/>
      <c r="P3558" s="74"/>
      <c r="Q3558" s="74"/>
      <c r="R3558" s="74"/>
      <c r="V3558" s="72"/>
    </row>
    <row r="3559" spans="15:22" x14ac:dyDescent="0.25">
      <c r="O3559" s="74"/>
      <c r="P3559" s="74"/>
      <c r="Q3559" s="74"/>
      <c r="R3559" s="74"/>
      <c r="V3559" s="72"/>
    </row>
    <row r="3560" spans="15:22" x14ac:dyDescent="0.25">
      <c r="O3560" s="74"/>
      <c r="P3560" s="74"/>
      <c r="Q3560" s="74"/>
      <c r="R3560" s="74"/>
      <c r="V3560" s="72"/>
    </row>
    <row r="3561" spans="15:22" x14ac:dyDescent="0.25">
      <c r="O3561" s="74"/>
      <c r="P3561" s="74"/>
      <c r="Q3561" s="74"/>
      <c r="R3561" s="74"/>
      <c r="V3561" s="72"/>
    </row>
    <row r="3562" spans="15:22" x14ac:dyDescent="0.25">
      <c r="O3562" s="74"/>
      <c r="P3562" s="74"/>
      <c r="Q3562" s="74"/>
      <c r="R3562" s="74"/>
      <c r="V3562" s="72"/>
    </row>
    <row r="3563" spans="15:22" x14ac:dyDescent="0.25">
      <c r="O3563" s="74"/>
      <c r="P3563" s="74"/>
      <c r="Q3563" s="74"/>
      <c r="R3563" s="74"/>
      <c r="V3563" s="72"/>
    </row>
    <row r="3564" spans="15:22" x14ac:dyDescent="0.25">
      <c r="O3564" s="74"/>
      <c r="P3564" s="74"/>
      <c r="Q3564" s="74"/>
      <c r="R3564" s="74"/>
      <c r="V3564" s="72"/>
    </row>
    <row r="3565" spans="15:22" x14ac:dyDescent="0.25">
      <c r="O3565" s="74"/>
      <c r="P3565" s="74"/>
      <c r="Q3565" s="74"/>
      <c r="R3565" s="74"/>
      <c r="V3565" s="72"/>
    </row>
    <row r="3566" spans="15:22" x14ac:dyDescent="0.25">
      <c r="O3566" s="74"/>
      <c r="P3566" s="74"/>
      <c r="Q3566" s="74"/>
      <c r="R3566" s="74"/>
      <c r="V3566" s="72"/>
    </row>
    <row r="3567" spans="15:22" x14ac:dyDescent="0.25">
      <c r="O3567" s="74"/>
      <c r="P3567" s="74"/>
      <c r="Q3567" s="74"/>
      <c r="R3567" s="74"/>
      <c r="V3567" s="72"/>
    </row>
    <row r="3568" spans="15:22" x14ac:dyDescent="0.25">
      <c r="O3568" s="74"/>
      <c r="P3568" s="74"/>
      <c r="Q3568" s="74"/>
      <c r="R3568" s="74"/>
      <c r="V3568" s="72"/>
    </row>
    <row r="3569" spans="15:22" x14ac:dyDescent="0.25">
      <c r="O3569" s="74"/>
      <c r="P3569" s="74"/>
      <c r="Q3569" s="74"/>
      <c r="R3569" s="74"/>
      <c r="V3569" s="72"/>
    </row>
    <row r="3570" spans="15:22" x14ac:dyDescent="0.25">
      <c r="O3570" s="74"/>
      <c r="P3570" s="74"/>
      <c r="Q3570" s="74"/>
      <c r="R3570" s="74"/>
      <c r="V3570" s="72"/>
    </row>
    <row r="3571" spans="15:22" x14ac:dyDescent="0.25">
      <c r="O3571" s="74"/>
      <c r="P3571" s="74"/>
      <c r="Q3571" s="74"/>
      <c r="R3571" s="74"/>
      <c r="V3571" s="72"/>
    </row>
    <row r="3572" spans="15:22" x14ac:dyDescent="0.25">
      <c r="O3572" s="74"/>
      <c r="P3572" s="74"/>
      <c r="Q3572" s="74"/>
      <c r="R3572" s="74"/>
      <c r="V3572" s="72"/>
    </row>
    <row r="3573" spans="15:22" x14ac:dyDescent="0.25">
      <c r="O3573" s="74"/>
      <c r="P3573" s="74"/>
      <c r="Q3573" s="74"/>
      <c r="R3573" s="74"/>
      <c r="V3573" s="72"/>
    </row>
    <row r="3574" spans="15:22" x14ac:dyDescent="0.25">
      <c r="O3574" s="74"/>
      <c r="P3574" s="74"/>
      <c r="Q3574" s="74"/>
      <c r="R3574" s="74"/>
      <c r="V3574" s="72"/>
    </row>
    <row r="3575" spans="15:22" x14ac:dyDescent="0.25">
      <c r="O3575" s="74"/>
      <c r="P3575" s="74"/>
      <c r="Q3575" s="74"/>
      <c r="R3575" s="74"/>
      <c r="V3575" s="72"/>
    </row>
    <row r="3576" spans="15:22" x14ac:dyDescent="0.25">
      <c r="O3576" s="74"/>
      <c r="P3576" s="74"/>
      <c r="Q3576" s="74"/>
      <c r="R3576" s="74"/>
      <c r="V3576" s="72"/>
    </row>
    <row r="3577" spans="15:22" x14ac:dyDescent="0.25">
      <c r="O3577" s="74"/>
      <c r="P3577" s="74"/>
      <c r="Q3577" s="74"/>
      <c r="R3577" s="74"/>
      <c r="V3577" s="72"/>
    </row>
    <row r="3578" spans="15:22" x14ac:dyDescent="0.25">
      <c r="O3578" s="74"/>
      <c r="P3578" s="74"/>
      <c r="Q3578" s="74"/>
      <c r="R3578" s="74"/>
      <c r="V3578" s="72"/>
    </row>
    <row r="3579" spans="15:22" x14ac:dyDescent="0.25">
      <c r="O3579" s="74"/>
      <c r="P3579" s="74"/>
      <c r="Q3579" s="74"/>
      <c r="R3579" s="74"/>
      <c r="V3579" s="72"/>
    </row>
    <row r="3580" spans="15:22" x14ac:dyDescent="0.25">
      <c r="O3580" s="74"/>
      <c r="P3580" s="74"/>
      <c r="Q3580" s="74"/>
      <c r="R3580" s="74"/>
      <c r="V3580" s="72"/>
    </row>
    <row r="3581" spans="15:22" x14ac:dyDescent="0.25">
      <c r="O3581" s="74"/>
      <c r="P3581" s="74"/>
      <c r="Q3581" s="74"/>
      <c r="R3581" s="74"/>
      <c r="V3581" s="72"/>
    </row>
    <row r="3582" spans="15:22" x14ac:dyDescent="0.25">
      <c r="O3582" s="74"/>
      <c r="P3582" s="74"/>
      <c r="Q3582" s="74"/>
      <c r="R3582" s="74"/>
      <c r="V3582" s="72"/>
    </row>
    <row r="3583" spans="15:22" x14ac:dyDescent="0.25">
      <c r="O3583" s="74"/>
      <c r="P3583" s="74"/>
      <c r="Q3583" s="74"/>
      <c r="R3583" s="74"/>
      <c r="V3583" s="72"/>
    </row>
    <row r="3584" spans="15:22" x14ac:dyDescent="0.25">
      <c r="O3584" s="74"/>
      <c r="P3584" s="74"/>
      <c r="Q3584" s="74"/>
      <c r="R3584" s="74"/>
      <c r="V3584" s="72"/>
    </row>
    <row r="3585" spans="15:22" x14ac:dyDescent="0.25">
      <c r="O3585" s="74"/>
      <c r="P3585" s="74"/>
      <c r="Q3585" s="74"/>
      <c r="R3585" s="74"/>
      <c r="V3585" s="72"/>
    </row>
    <row r="3586" spans="15:22" x14ac:dyDescent="0.25">
      <c r="O3586" s="74"/>
      <c r="P3586" s="74"/>
      <c r="Q3586" s="74"/>
      <c r="R3586" s="74"/>
      <c r="V3586" s="72"/>
    </row>
    <row r="3587" spans="15:22" x14ac:dyDescent="0.25">
      <c r="O3587" s="74"/>
      <c r="P3587" s="74"/>
      <c r="Q3587" s="74"/>
      <c r="R3587" s="74"/>
      <c r="V3587" s="72"/>
    </row>
    <row r="3588" spans="15:22" x14ac:dyDescent="0.25">
      <c r="O3588" s="74"/>
      <c r="P3588" s="74"/>
      <c r="Q3588" s="74"/>
      <c r="R3588" s="74"/>
      <c r="V3588" s="72"/>
    </row>
    <row r="3589" spans="15:22" x14ac:dyDescent="0.25">
      <c r="O3589" s="74"/>
      <c r="P3589" s="74"/>
      <c r="Q3589" s="74"/>
      <c r="R3589" s="74"/>
      <c r="V3589" s="72"/>
    </row>
    <row r="3590" spans="15:22" x14ac:dyDescent="0.25">
      <c r="O3590" s="74"/>
      <c r="P3590" s="74"/>
      <c r="Q3590" s="74"/>
      <c r="R3590" s="74"/>
      <c r="V3590" s="72"/>
    </row>
    <row r="3591" spans="15:22" x14ac:dyDescent="0.25">
      <c r="O3591" s="74"/>
      <c r="P3591" s="74"/>
      <c r="Q3591" s="74"/>
      <c r="R3591" s="74"/>
      <c r="V3591" s="72"/>
    </row>
    <row r="3592" spans="15:22" x14ac:dyDescent="0.25">
      <c r="O3592" s="74"/>
      <c r="P3592" s="74"/>
      <c r="Q3592" s="74"/>
      <c r="R3592" s="74"/>
      <c r="V3592" s="72"/>
    </row>
    <row r="3593" spans="15:22" x14ac:dyDescent="0.25">
      <c r="O3593" s="74"/>
      <c r="P3593" s="74"/>
      <c r="Q3593" s="74"/>
      <c r="R3593" s="74"/>
      <c r="V3593" s="72"/>
    </row>
    <row r="3594" spans="15:22" x14ac:dyDescent="0.25">
      <c r="O3594" s="74"/>
      <c r="P3594" s="74"/>
      <c r="Q3594" s="74"/>
      <c r="R3594" s="74"/>
      <c r="V3594" s="72"/>
    </row>
    <row r="3595" spans="15:22" x14ac:dyDescent="0.25">
      <c r="O3595" s="74"/>
      <c r="P3595" s="74"/>
      <c r="Q3595" s="74"/>
      <c r="R3595" s="74"/>
      <c r="V3595" s="72"/>
    </row>
    <row r="3596" spans="15:22" x14ac:dyDescent="0.25">
      <c r="O3596" s="74"/>
      <c r="P3596" s="74"/>
      <c r="Q3596" s="74"/>
      <c r="R3596" s="74"/>
      <c r="V3596" s="72"/>
    </row>
    <row r="3597" spans="15:22" x14ac:dyDescent="0.25">
      <c r="O3597" s="74"/>
      <c r="P3597" s="74"/>
      <c r="Q3597" s="74"/>
      <c r="R3597" s="74"/>
      <c r="V3597" s="72"/>
    </row>
    <row r="3598" spans="15:22" x14ac:dyDescent="0.25">
      <c r="O3598" s="74"/>
      <c r="P3598" s="74"/>
      <c r="Q3598" s="74"/>
      <c r="R3598" s="74"/>
      <c r="V3598" s="72"/>
    </row>
    <row r="3599" spans="15:22" x14ac:dyDescent="0.25">
      <c r="O3599" s="74"/>
      <c r="P3599" s="74"/>
      <c r="Q3599" s="74"/>
      <c r="R3599" s="74"/>
      <c r="V3599" s="72"/>
    </row>
    <row r="3600" spans="15:22" x14ac:dyDescent="0.25">
      <c r="O3600" s="74"/>
      <c r="P3600" s="74"/>
      <c r="Q3600" s="74"/>
      <c r="R3600" s="74"/>
      <c r="V3600" s="72"/>
    </row>
    <row r="3601" spans="15:22" x14ac:dyDescent="0.25">
      <c r="O3601" s="74"/>
      <c r="P3601" s="74"/>
      <c r="Q3601" s="74"/>
      <c r="R3601" s="74"/>
      <c r="V3601" s="72"/>
    </row>
    <row r="3602" spans="15:22" x14ac:dyDescent="0.25">
      <c r="O3602" s="74"/>
      <c r="P3602" s="74"/>
      <c r="Q3602" s="74"/>
      <c r="R3602" s="74"/>
      <c r="V3602" s="72"/>
    </row>
    <row r="3603" spans="15:22" x14ac:dyDescent="0.25">
      <c r="O3603" s="74"/>
      <c r="P3603" s="74"/>
      <c r="Q3603" s="74"/>
      <c r="R3603" s="74"/>
      <c r="V3603" s="72"/>
    </row>
    <row r="3604" spans="15:22" x14ac:dyDescent="0.25">
      <c r="O3604" s="74"/>
      <c r="P3604" s="74"/>
      <c r="Q3604" s="74"/>
      <c r="R3604" s="74"/>
      <c r="V3604" s="72"/>
    </row>
    <row r="3605" spans="15:22" x14ac:dyDescent="0.25">
      <c r="O3605" s="74"/>
      <c r="P3605" s="74"/>
      <c r="Q3605" s="74"/>
      <c r="R3605" s="74"/>
      <c r="V3605" s="72"/>
    </row>
    <row r="3606" spans="15:22" x14ac:dyDescent="0.25">
      <c r="O3606" s="74"/>
      <c r="P3606" s="74"/>
      <c r="Q3606" s="74"/>
      <c r="R3606" s="74"/>
      <c r="V3606" s="72"/>
    </row>
    <row r="3607" spans="15:22" x14ac:dyDescent="0.25">
      <c r="O3607" s="74"/>
      <c r="P3607" s="74"/>
      <c r="Q3607" s="74"/>
      <c r="R3607" s="74"/>
      <c r="V3607" s="72"/>
    </row>
    <row r="3608" spans="15:22" x14ac:dyDescent="0.25">
      <c r="O3608" s="74"/>
      <c r="P3608" s="74"/>
      <c r="Q3608" s="74"/>
      <c r="R3608" s="74"/>
      <c r="V3608" s="72"/>
    </row>
    <row r="3609" spans="15:22" x14ac:dyDescent="0.25">
      <c r="O3609" s="74"/>
      <c r="P3609" s="74"/>
      <c r="Q3609" s="74"/>
      <c r="R3609" s="74"/>
      <c r="V3609" s="72"/>
    </row>
    <row r="3610" spans="15:22" x14ac:dyDescent="0.25">
      <c r="O3610" s="74"/>
      <c r="P3610" s="74"/>
      <c r="Q3610" s="74"/>
      <c r="R3610" s="74"/>
      <c r="V3610" s="72"/>
    </row>
    <row r="3611" spans="15:22" x14ac:dyDescent="0.25">
      <c r="O3611" s="74"/>
      <c r="P3611" s="74"/>
      <c r="Q3611" s="74"/>
      <c r="R3611" s="74"/>
      <c r="V3611" s="72"/>
    </row>
    <row r="3612" spans="15:22" x14ac:dyDescent="0.25">
      <c r="O3612" s="74"/>
      <c r="P3612" s="74"/>
      <c r="Q3612" s="74"/>
      <c r="R3612" s="74"/>
      <c r="V3612" s="72"/>
    </row>
    <row r="3613" spans="15:22" x14ac:dyDescent="0.25">
      <c r="O3613" s="74"/>
      <c r="P3613" s="74"/>
      <c r="Q3613" s="74"/>
      <c r="R3613" s="74"/>
      <c r="V3613" s="72"/>
    </row>
    <row r="3614" spans="15:22" x14ac:dyDescent="0.25">
      <c r="O3614" s="74"/>
      <c r="P3614" s="74"/>
      <c r="Q3614" s="74"/>
      <c r="R3614" s="74"/>
      <c r="V3614" s="72"/>
    </row>
    <row r="3615" spans="15:22" x14ac:dyDescent="0.25">
      <c r="O3615" s="74"/>
      <c r="P3615" s="74"/>
      <c r="Q3615" s="74"/>
      <c r="R3615" s="74"/>
      <c r="V3615" s="72"/>
    </row>
    <row r="3616" spans="15:22" x14ac:dyDescent="0.25">
      <c r="O3616" s="74"/>
      <c r="P3616" s="74"/>
      <c r="Q3616" s="74"/>
      <c r="R3616" s="74"/>
      <c r="V3616" s="72"/>
    </row>
    <row r="3617" spans="15:22" x14ac:dyDescent="0.25">
      <c r="O3617" s="74"/>
      <c r="P3617" s="74"/>
      <c r="Q3617" s="74"/>
      <c r="R3617" s="74"/>
      <c r="V3617" s="72"/>
    </row>
    <row r="3618" spans="15:22" x14ac:dyDescent="0.25">
      <c r="O3618" s="74"/>
      <c r="P3618" s="74"/>
      <c r="Q3618" s="74"/>
      <c r="R3618" s="74"/>
      <c r="V3618" s="72"/>
    </row>
    <row r="3619" spans="15:22" x14ac:dyDescent="0.25">
      <c r="O3619" s="74"/>
      <c r="P3619" s="74"/>
      <c r="Q3619" s="74"/>
      <c r="R3619" s="74"/>
      <c r="V3619" s="72"/>
    </row>
    <row r="3620" spans="15:22" x14ac:dyDescent="0.25">
      <c r="O3620" s="74"/>
      <c r="P3620" s="74"/>
      <c r="Q3620" s="74"/>
      <c r="R3620" s="74"/>
      <c r="V3620" s="72"/>
    </row>
    <row r="3621" spans="15:22" x14ac:dyDescent="0.25">
      <c r="O3621" s="74"/>
      <c r="P3621" s="74"/>
      <c r="Q3621" s="74"/>
      <c r="R3621" s="74"/>
      <c r="V3621" s="72"/>
    </row>
    <row r="3622" spans="15:22" x14ac:dyDescent="0.25">
      <c r="O3622" s="74"/>
      <c r="P3622" s="74"/>
      <c r="Q3622" s="74"/>
      <c r="R3622" s="74"/>
      <c r="V3622" s="72"/>
    </row>
    <row r="3623" spans="15:22" x14ac:dyDescent="0.25">
      <c r="O3623" s="74"/>
      <c r="P3623" s="74"/>
      <c r="Q3623" s="74"/>
      <c r="R3623" s="74"/>
      <c r="V3623" s="72"/>
    </row>
    <row r="3624" spans="15:22" x14ac:dyDescent="0.25">
      <c r="O3624" s="74"/>
      <c r="P3624" s="74"/>
      <c r="Q3624" s="74"/>
      <c r="R3624" s="74"/>
      <c r="V3624" s="72"/>
    </row>
    <row r="3625" spans="15:22" x14ac:dyDescent="0.25">
      <c r="O3625" s="74"/>
      <c r="P3625" s="74"/>
      <c r="Q3625" s="74"/>
      <c r="R3625" s="74"/>
      <c r="V3625" s="72"/>
    </row>
    <row r="3626" spans="15:22" x14ac:dyDescent="0.25">
      <c r="O3626" s="74"/>
      <c r="P3626" s="74"/>
      <c r="Q3626" s="74"/>
      <c r="R3626" s="74"/>
      <c r="V3626" s="72"/>
    </row>
    <row r="3627" spans="15:22" x14ac:dyDescent="0.25">
      <c r="O3627" s="74"/>
      <c r="P3627" s="74"/>
      <c r="Q3627" s="74"/>
      <c r="R3627" s="74"/>
      <c r="V3627" s="72"/>
    </row>
    <row r="3628" spans="15:22" x14ac:dyDescent="0.25">
      <c r="O3628" s="74"/>
      <c r="P3628" s="74"/>
      <c r="Q3628" s="74"/>
      <c r="R3628" s="74"/>
      <c r="V3628" s="72"/>
    </row>
    <row r="3629" spans="15:22" x14ac:dyDescent="0.25">
      <c r="O3629" s="74"/>
      <c r="P3629" s="74"/>
      <c r="Q3629" s="74"/>
      <c r="R3629" s="74"/>
      <c r="V3629" s="72"/>
    </row>
    <row r="3630" spans="15:22" x14ac:dyDescent="0.25">
      <c r="O3630" s="74"/>
      <c r="P3630" s="74"/>
      <c r="Q3630" s="74"/>
      <c r="R3630" s="74"/>
      <c r="V3630" s="72"/>
    </row>
    <row r="3631" spans="15:22" x14ac:dyDescent="0.25">
      <c r="O3631" s="74"/>
      <c r="P3631" s="74"/>
      <c r="Q3631" s="74"/>
      <c r="R3631" s="74"/>
      <c r="V3631" s="72"/>
    </row>
    <row r="3632" spans="15:22" x14ac:dyDescent="0.25">
      <c r="O3632" s="74"/>
      <c r="P3632" s="74"/>
      <c r="Q3632" s="74"/>
      <c r="R3632" s="74"/>
      <c r="V3632" s="72"/>
    </row>
    <row r="3633" spans="15:22" x14ac:dyDescent="0.25">
      <c r="O3633" s="74"/>
      <c r="P3633" s="74"/>
      <c r="Q3633" s="74"/>
      <c r="R3633" s="74"/>
      <c r="V3633" s="72"/>
    </row>
    <row r="3634" spans="15:22" x14ac:dyDescent="0.25">
      <c r="O3634" s="74"/>
      <c r="P3634" s="74"/>
      <c r="Q3634" s="74"/>
      <c r="R3634" s="74"/>
      <c r="V3634" s="72"/>
    </row>
    <row r="3635" spans="15:22" x14ac:dyDescent="0.25">
      <c r="O3635" s="74"/>
      <c r="P3635" s="74"/>
      <c r="Q3635" s="74"/>
      <c r="R3635" s="74"/>
      <c r="V3635" s="72"/>
    </row>
    <row r="3636" spans="15:22" x14ac:dyDescent="0.25">
      <c r="O3636" s="74"/>
      <c r="P3636" s="74"/>
      <c r="Q3636" s="74"/>
      <c r="R3636" s="74"/>
      <c r="V3636" s="72"/>
    </row>
    <row r="3637" spans="15:22" x14ac:dyDescent="0.25">
      <c r="O3637" s="74"/>
      <c r="P3637" s="74"/>
      <c r="Q3637" s="74"/>
      <c r="R3637" s="74"/>
      <c r="V3637" s="72"/>
    </row>
    <row r="3638" spans="15:22" x14ac:dyDescent="0.25">
      <c r="O3638" s="74"/>
      <c r="P3638" s="74"/>
      <c r="Q3638" s="74"/>
      <c r="R3638" s="74"/>
      <c r="V3638" s="72"/>
    </row>
    <row r="3639" spans="15:22" x14ac:dyDescent="0.25">
      <c r="O3639" s="74"/>
      <c r="P3639" s="74"/>
      <c r="Q3639" s="74"/>
      <c r="R3639" s="74"/>
      <c r="V3639" s="72"/>
    </row>
    <row r="3640" spans="15:22" x14ac:dyDescent="0.25">
      <c r="O3640" s="74"/>
      <c r="P3640" s="74"/>
      <c r="Q3640" s="74"/>
      <c r="R3640" s="74"/>
      <c r="V3640" s="72"/>
    </row>
    <row r="3641" spans="15:22" x14ac:dyDescent="0.25">
      <c r="O3641" s="74"/>
      <c r="P3641" s="74"/>
      <c r="Q3641" s="74"/>
      <c r="R3641" s="74"/>
      <c r="V3641" s="72"/>
    </row>
    <row r="3642" spans="15:22" x14ac:dyDescent="0.25">
      <c r="O3642" s="74"/>
      <c r="P3642" s="74"/>
      <c r="Q3642" s="74"/>
      <c r="R3642" s="74"/>
      <c r="V3642" s="72"/>
    </row>
    <row r="3643" spans="15:22" x14ac:dyDescent="0.25">
      <c r="O3643" s="74"/>
      <c r="P3643" s="74"/>
      <c r="Q3643" s="74"/>
      <c r="R3643" s="74"/>
      <c r="V3643" s="72"/>
    </row>
    <row r="3644" spans="15:22" x14ac:dyDescent="0.25">
      <c r="O3644" s="74"/>
      <c r="P3644" s="74"/>
      <c r="Q3644" s="74"/>
      <c r="R3644" s="74"/>
      <c r="V3644" s="72"/>
    </row>
    <row r="3645" spans="15:22" x14ac:dyDescent="0.25">
      <c r="O3645" s="74"/>
      <c r="P3645" s="74"/>
      <c r="Q3645" s="74"/>
      <c r="R3645" s="74"/>
      <c r="V3645" s="72"/>
    </row>
    <row r="3646" spans="15:22" x14ac:dyDescent="0.25">
      <c r="O3646" s="74"/>
      <c r="P3646" s="74"/>
      <c r="Q3646" s="74"/>
      <c r="R3646" s="74"/>
      <c r="V3646" s="72"/>
    </row>
    <row r="3647" spans="15:22" x14ac:dyDescent="0.25">
      <c r="O3647" s="74"/>
      <c r="P3647" s="74"/>
      <c r="Q3647" s="74"/>
      <c r="R3647" s="74"/>
      <c r="V3647" s="72"/>
    </row>
    <row r="3648" spans="15:22" x14ac:dyDescent="0.25">
      <c r="O3648" s="74"/>
      <c r="P3648" s="74"/>
      <c r="Q3648" s="74"/>
      <c r="R3648" s="74"/>
      <c r="V3648" s="72"/>
    </row>
    <row r="3649" spans="15:22" x14ac:dyDescent="0.25">
      <c r="O3649" s="74"/>
      <c r="P3649" s="74"/>
      <c r="Q3649" s="74"/>
      <c r="R3649" s="74"/>
      <c r="V3649" s="72"/>
    </row>
    <row r="3650" spans="15:22" x14ac:dyDescent="0.25">
      <c r="O3650" s="74"/>
      <c r="P3650" s="74"/>
      <c r="Q3650" s="74"/>
      <c r="R3650" s="74"/>
      <c r="V3650" s="72"/>
    </row>
    <row r="3651" spans="15:22" x14ac:dyDescent="0.25">
      <c r="O3651" s="74"/>
      <c r="P3651" s="74"/>
      <c r="Q3651" s="74"/>
      <c r="R3651" s="74"/>
      <c r="V3651" s="72"/>
    </row>
    <row r="3652" spans="15:22" x14ac:dyDescent="0.25">
      <c r="O3652" s="74"/>
      <c r="P3652" s="74"/>
      <c r="Q3652" s="74"/>
      <c r="R3652" s="74"/>
      <c r="V3652" s="72"/>
    </row>
    <row r="3653" spans="15:22" x14ac:dyDescent="0.25">
      <c r="O3653" s="74"/>
      <c r="P3653" s="74"/>
      <c r="Q3653" s="74"/>
      <c r="R3653" s="74"/>
      <c r="V3653" s="72"/>
    </row>
    <row r="3654" spans="15:22" x14ac:dyDescent="0.25">
      <c r="O3654" s="74"/>
      <c r="P3654" s="74"/>
      <c r="Q3654" s="74"/>
      <c r="R3654" s="74"/>
      <c r="V3654" s="72"/>
    </row>
    <row r="3655" spans="15:22" x14ac:dyDescent="0.25">
      <c r="O3655" s="74"/>
      <c r="P3655" s="74"/>
      <c r="Q3655" s="74"/>
      <c r="R3655" s="74"/>
      <c r="V3655" s="72"/>
    </row>
    <row r="3656" spans="15:22" x14ac:dyDescent="0.25">
      <c r="O3656" s="74"/>
      <c r="P3656" s="74"/>
      <c r="Q3656" s="74"/>
      <c r="R3656" s="74"/>
      <c r="V3656" s="72"/>
    </row>
    <row r="3657" spans="15:22" x14ac:dyDescent="0.25">
      <c r="O3657" s="74"/>
      <c r="P3657" s="74"/>
      <c r="Q3657" s="74"/>
      <c r="R3657" s="74"/>
      <c r="V3657" s="72"/>
    </row>
    <row r="3658" spans="15:22" x14ac:dyDescent="0.25">
      <c r="O3658" s="74"/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895"/>
  <sheetViews>
    <sheetView tabSelected="1" workbookViewId="0">
      <selection activeCell="M20" sqref="M20"/>
    </sheetView>
  </sheetViews>
  <sheetFormatPr defaultRowHeight="15" x14ac:dyDescent="0.25"/>
  <cols>
    <col min="1" max="1" width="17.140625" style="53" customWidth="1"/>
    <col min="2" max="2" width="6.7109375" style="53" customWidth="1"/>
    <col min="3" max="3" width="7" style="53" customWidth="1"/>
    <col min="4" max="4" width="7.140625" style="53" customWidth="1"/>
    <col min="5" max="5" width="12" style="53" customWidth="1"/>
    <col min="6" max="9" width="9.140625" style="53"/>
    <col min="17" max="17" width="10.85546875" customWidth="1"/>
  </cols>
  <sheetData>
    <row r="1" spans="1:28" s="54" customFormat="1" ht="37.5" customHeight="1" x14ac:dyDescent="0.25">
      <c r="A1" s="72" t="s">
        <v>92</v>
      </c>
      <c r="B1" s="82" t="s">
        <v>93</v>
      </c>
      <c r="C1" s="75" t="s">
        <v>74</v>
      </c>
      <c r="D1" s="75" t="s">
        <v>94</v>
      </c>
      <c r="E1" s="94" t="s">
        <v>95</v>
      </c>
      <c r="F1" s="55" t="s">
        <v>96</v>
      </c>
      <c r="G1" s="55" t="s">
        <v>97</v>
      </c>
      <c r="H1" s="55" t="s">
        <v>98</v>
      </c>
      <c r="I1" s="55" t="s">
        <v>99</v>
      </c>
      <c r="J1" s="55"/>
      <c r="O1" s="60" t="s">
        <v>100</v>
      </c>
      <c r="P1" s="60"/>
      <c r="V1" t="s">
        <v>144</v>
      </c>
      <c r="W1"/>
      <c r="X1"/>
      <c r="Y1"/>
      <c r="Z1" t="s">
        <v>14</v>
      </c>
      <c r="AA1">
        <v>0.81</v>
      </c>
      <c r="AB1" t="s">
        <v>146</v>
      </c>
    </row>
    <row r="2" spans="1:28" x14ac:dyDescent="0.25">
      <c r="A2" s="93">
        <v>39934</v>
      </c>
      <c r="B2" s="35">
        <f>C2+(D2-2009)*12</f>
        <v>5</v>
      </c>
      <c r="C2" s="76">
        <v>5</v>
      </c>
      <c r="D2" s="76">
        <v>2009</v>
      </c>
      <c r="E2" s="56">
        <v>0.73333333333333339</v>
      </c>
      <c r="F2" s="53">
        <f>IF(E2&gt;0,1,0)</f>
        <v>1</v>
      </c>
      <c r="G2" s="53">
        <f>SUM(F2:F2)</f>
        <v>1</v>
      </c>
      <c r="H2" s="53">
        <f>IF(G2=1,IF(F1=1,1,-1),G2)</f>
        <v>-1</v>
      </c>
      <c r="I2" s="53" t="str">
        <f>VLOOKUP(H2,codes,2,)</f>
        <v>dw</v>
      </c>
      <c r="J2" s="53"/>
      <c r="K2">
        <f>COUNTA(E2:E2434)</f>
        <v>1925</v>
      </c>
      <c r="L2" t="s">
        <v>101</v>
      </c>
      <c r="O2" s="61">
        <v>-1</v>
      </c>
      <c r="P2" s="61" t="s">
        <v>102</v>
      </c>
      <c r="Z2" t="s">
        <v>15</v>
      </c>
      <c r="AA2">
        <v>0.36</v>
      </c>
    </row>
    <row r="3" spans="1:28" x14ac:dyDescent="0.25">
      <c r="A3" s="93">
        <v>39935</v>
      </c>
      <c r="B3" s="35">
        <f>C3+(D3-2009)*12</f>
        <v>5</v>
      </c>
      <c r="C3" s="76">
        <v>5</v>
      </c>
      <c r="D3" s="76">
        <v>2009</v>
      </c>
      <c r="E3" s="56">
        <v>2.9333333333333336</v>
      </c>
      <c r="F3" s="53">
        <f>IF(E3&gt;0,1,0)</f>
        <v>1</v>
      </c>
      <c r="G3" s="53">
        <f>SUM(F2:F3)</f>
        <v>2</v>
      </c>
      <c r="H3" s="53">
        <f>IF(G3=1,IF(F2=1,1,-1),G3)</f>
        <v>2</v>
      </c>
      <c r="I3" s="53" t="str">
        <f>VLOOKUP(H3,codes,2,)</f>
        <v>ww</v>
      </c>
      <c r="J3" s="53"/>
      <c r="K3">
        <f>COUNTIF(E2:E2434,"&gt;0")</f>
        <v>1178</v>
      </c>
      <c r="L3" t="s">
        <v>103</v>
      </c>
      <c r="O3" s="61">
        <v>0</v>
      </c>
      <c r="P3" s="61" t="s">
        <v>104</v>
      </c>
    </row>
    <row r="4" spans="1:28" x14ac:dyDescent="0.25">
      <c r="A4" s="93">
        <v>39936</v>
      </c>
      <c r="B4" s="35">
        <f>C4+(D4-2009)*12</f>
        <v>5</v>
      </c>
      <c r="C4" s="76">
        <v>5</v>
      </c>
      <c r="D4" s="76">
        <v>2009</v>
      </c>
      <c r="E4" s="56">
        <v>2.3666666666666667</v>
      </c>
      <c r="F4" s="53">
        <f>IF(E4&gt;0,1,0)</f>
        <v>1</v>
      </c>
      <c r="G4" s="53">
        <f>SUM(F3:F4)</f>
        <v>2</v>
      </c>
      <c r="H4" s="53">
        <f>IF(G4=1,IF(F3=1,1,-1),G4)</f>
        <v>2</v>
      </c>
      <c r="I4" s="53" t="str">
        <f>VLOOKUP(H4,codes,2,)</f>
        <v>ww</v>
      </c>
      <c r="J4" s="53"/>
      <c r="K4">
        <f>COUNTIF(E2:E2434,"=0")</f>
        <v>747</v>
      </c>
      <c r="L4" t="s">
        <v>105</v>
      </c>
      <c r="O4" s="61">
        <v>1</v>
      </c>
      <c r="P4" s="61" t="s">
        <v>106</v>
      </c>
      <c r="V4" t="s">
        <v>143</v>
      </c>
      <c r="Z4" t="s">
        <v>14</v>
      </c>
      <c r="AA4">
        <v>0.73</v>
      </c>
      <c r="AB4" t="s">
        <v>146</v>
      </c>
    </row>
    <row r="5" spans="1:28" x14ac:dyDescent="0.25">
      <c r="A5" s="93">
        <v>39937</v>
      </c>
      <c r="B5" s="35">
        <f>C5+(D5-2009)*12</f>
        <v>5</v>
      </c>
      <c r="C5" s="76">
        <v>5</v>
      </c>
      <c r="D5" s="76">
        <v>2009</v>
      </c>
      <c r="E5" s="56">
        <v>0.70000000000000007</v>
      </c>
      <c r="F5" s="53">
        <f>IF(E5&gt;0,1,0)</f>
        <v>1</v>
      </c>
      <c r="G5" s="53">
        <f>SUM(F4:F5)</f>
        <v>2</v>
      </c>
      <c r="H5" s="53">
        <f>IF(G5=1,IF(F4=1,1,-1),G5)</f>
        <v>2</v>
      </c>
      <c r="I5" s="53" t="str">
        <f>VLOOKUP(H5,codes,2,)</f>
        <v>ww</v>
      </c>
      <c r="J5" s="53"/>
      <c r="K5" s="4">
        <f>K3/K2</f>
        <v>0.61194805194805191</v>
      </c>
      <c r="L5" t="s">
        <v>107</v>
      </c>
      <c r="O5" s="61">
        <v>2</v>
      </c>
      <c r="P5" s="61" t="s">
        <v>108</v>
      </c>
      <c r="Z5" t="s">
        <v>15</v>
      </c>
      <c r="AA5">
        <v>0.61</v>
      </c>
    </row>
    <row r="6" spans="1:28" x14ac:dyDescent="0.25">
      <c r="A6" s="93">
        <v>39938</v>
      </c>
      <c r="B6" s="35">
        <f>C6+(D6-2009)*12</f>
        <v>5</v>
      </c>
      <c r="C6" s="76">
        <v>5</v>
      </c>
      <c r="D6" s="76">
        <v>2009</v>
      </c>
      <c r="E6" s="56">
        <v>0.26666666666666666</v>
      </c>
      <c r="F6" s="53">
        <f>IF(E6&gt;0,1,0)</f>
        <v>1</v>
      </c>
      <c r="G6" s="53">
        <f>SUM(F5:F6)</f>
        <v>2</v>
      </c>
      <c r="H6" s="53">
        <f>IF(G6=1,IF(F5=1,1,-1),G6)</f>
        <v>2</v>
      </c>
      <c r="I6" s="53" t="str">
        <f>VLOOKUP(H6,codes,2,)</f>
        <v>ww</v>
      </c>
      <c r="J6" s="53"/>
      <c r="K6" s="4">
        <f>1-K5</f>
        <v>0.38805194805194809</v>
      </c>
      <c r="L6" t="s">
        <v>109</v>
      </c>
    </row>
    <row r="7" spans="1:28" x14ac:dyDescent="0.25">
      <c r="A7" s="93">
        <v>39939</v>
      </c>
      <c r="B7" s="35">
        <f>C7+(D7-2009)*12</f>
        <v>5</v>
      </c>
      <c r="C7" s="76">
        <v>5</v>
      </c>
      <c r="D7" s="76">
        <v>2009</v>
      </c>
      <c r="E7" s="56">
        <v>1</v>
      </c>
      <c r="F7" s="53">
        <f>IF(E7&gt;0,1,0)</f>
        <v>1</v>
      </c>
      <c r="G7" s="53">
        <f>SUM(F6:F7)</f>
        <v>2</v>
      </c>
      <c r="H7" s="53">
        <f>IF(G7=1,IF(F6=1,1,-1),G7)</f>
        <v>2</v>
      </c>
      <c r="I7" s="53" t="str">
        <f>VLOOKUP(H7,codes,2,)</f>
        <v>ww</v>
      </c>
      <c r="J7" s="53"/>
      <c r="K7" s="4"/>
      <c r="L7" s="57" t="s">
        <v>110</v>
      </c>
      <c r="M7" s="57"/>
      <c r="N7" s="57"/>
      <c r="O7" s="57"/>
      <c r="P7" s="57"/>
      <c r="Q7" s="57"/>
      <c r="R7" s="57"/>
      <c r="V7" t="s">
        <v>145</v>
      </c>
      <c r="Z7" t="s">
        <v>14</v>
      </c>
      <c r="AA7">
        <v>0.77</v>
      </c>
      <c r="AB7" t="s">
        <v>147</v>
      </c>
    </row>
    <row r="8" spans="1:28" x14ac:dyDescent="0.25">
      <c r="A8" s="93">
        <v>39940</v>
      </c>
      <c r="B8" s="35">
        <f>C8+(D8-2009)*12</f>
        <v>5</v>
      </c>
      <c r="C8" s="76">
        <v>5</v>
      </c>
      <c r="D8" s="76">
        <v>2009</v>
      </c>
      <c r="E8" s="56">
        <v>0.40000000000000008</v>
      </c>
      <c r="F8" s="53">
        <f>IF(E8&gt;0,1,0)</f>
        <v>1</v>
      </c>
      <c r="G8" s="53">
        <f>SUM(F7:F8)</f>
        <v>2</v>
      </c>
      <c r="H8" s="53">
        <f>IF(G8=1,IF(F7=1,1,-1),G8)</f>
        <v>2</v>
      </c>
      <c r="I8" s="53" t="str">
        <f>VLOOKUP(H8,codes,2,)</f>
        <v>ww</v>
      </c>
      <c r="J8" s="53"/>
      <c r="Z8" t="s">
        <v>15</v>
      </c>
      <c r="AA8">
        <v>0.65</v>
      </c>
    </row>
    <row r="9" spans="1:28" x14ac:dyDescent="0.25">
      <c r="A9" s="93">
        <v>39941</v>
      </c>
      <c r="B9" s="35">
        <f>C9+(D9-2009)*12</f>
        <v>5</v>
      </c>
      <c r="C9" s="76">
        <v>5</v>
      </c>
      <c r="D9" s="76">
        <v>2009</v>
      </c>
      <c r="E9" s="56">
        <v>0.33333333333333331</v>
      </c>
      <c r="F9" s="53">
        <f>IF(E9&gt;0,1,0)</f>
        <v>1</v>
      </c>
      <c r="G9" s="53">
        <f>SUM(F8:F9)</f>
        <v>2</v>
      </c>
      <c r="H9" s="53">
        <f>IF(G9=1,IF(F8=1,1,-1),G9)</f>
        <v>2</v>
      </c>
      <c r="I9" s="53" t="str">
        <f>VLOOKUP(H9,codes,2,)</f>
        <v>ww</v>
      </c>
      <c r="J9" s="53"/>
      <c r="K9" s="4">
        <f>COUNTIF(I$2:I$2434,"=ww")/K3</f>
        <v>0.75466893039049232</v>
      </c>
      <c r="L9" t="s">
        <v>14</v>
      </c>
      <c r="M9" t="s">
        <v>43</v>
      </c>
      <c r="O9" s="51">
        <v>0.71578445398187884</v>
      </c>
      <c r="P9" t="s">
        <v>14</v>
      </c>
    </row>
    <row r="10" spans="1:28" x14ac:dyDescent="0.25">
      <c r="A10" s="93">
        <v>39942</v>
      </c>
      <c r="B10" s="35">
        <f>C10+(D10-2009)*12</f>
        <v>5</v>
      </c>
      <c r="C10" s="76">
        <v>5</v>
      </c>
      <c r="D10" s="76">
        <v>2009</v>
      </c>
      <c r="E10" s="56">
        <v>0.20000000000000004</v>
      </c>
      <c r="F10" s="53">
        <f>IF(E10&gt;0,1,0)</f>
        <v>1</v>
      </c>
      <c r="G10" s="53">
        <f>SUM(F9:F10)</f>
        <v>2</v>
      </c>
      <c r="H10" s="53">
        <f>IF(G10=1,IF(F9=1,1,-1),G10)</f>
        <v>2</v>
      </c>
      <c r="I10" s="53" t="str">
        <f>VLOOKUP(H10,codes,2,)</f>
        <v>ww</v>
      </c>
      <c r="J10" s="53"/>
      <c r="K10" s="4">
        <f>COUNTIF(I$2:I$2433,"=dd")/(1925-K3)</f>
        <v>0.61445783132530118</v>
      </c>
      <c r="L10" t="s">
        <v>15</v>
      </c>
      <c r="O10" s="51">
        <v>0.6180064308681672</v>
      </c>
      <c r="P10" t="s">
        <v>15</v>
      </c>
    </row>
    <row r="11" spans="1:28" x14ac:dyDescent="0.25">
      <c r="A11" s="93">
        <v>39943</v>
      </c>
      <c r="B11" s="35">
        <f>C11+(D11-2009)*12</f>
        <v>5</v>
      </c>
      <c r="C11" s="76">
        <v>5</v>
      </c>
      <c r="D11" s="76">
        <v>2009</v>
      </c>
      <c r="E11" s="56">
        <v>0.53333333333333333</v>
      </c>
      <c r="F11" s="53">
        <f>IF(E11&gt;0,1,0)</f>
        <v>1</v>
      </c>
      <c r="G11" s="53">
        <f>SUM(F10:F11)</f>
        <v>2</v>
      </c>
      <c r="H11" s="53">
        <f>IF(G11=1,IF(F10=1,1,-1),G11)</f>
        <v>2</v>
      </c>
      <c r="I11" s="53" t="str">
        <f>VLOOKUP(H11,codes,2,)</f>
        <v>ww</v>
      </c>
      <c r="J11" s="53"/>
      <c r="K11" s="4">
        <f>COUNTIF(I$2:I$2434,"=wd")/K3</f>
        <v>0.24448217317487267</v>
      </c>
      <c r="L11" t="s">
        <v>111</v>
      </c>
      <c r="O11" s="51">
        <v>0.28421554601812116</v>
      </c>
      <c r="P11" t="s">
        <v>111</v>
      </c>
    </row>
    <row r="12" spans="1:28" x14ac:dyDescent="0.25">
      <c r="A12" s="93">
        <v>39944</v>
      </c>
      <c r="B12" s="35">
        <f>C12+(D12-2009)*12</f>
        <v>5</v>
      </c>
      <c r="C12" s="76">
        <v>5</v>
      </c>
      <c r="D12" s="76">
        <v>2009</v>
      </c>
      <c r="E12" s="56">
        <v>0.26666666666666666</v>
      </c>
      <c r="F12" s="53">
        <f>IF(E12&gt;0,1,0)</f>
        <v>1</v>
      </c>
      <c r="G12" s="53">
        <f>SUM(F11:F12)</f>
        <v>2</v>
      </c>
      <c r="H12" s="53">
        <f>IF(G12=1,IF(F11=1,1,-1),G12)</f>
        <v>2</v>
      </c>
      <c r="I12" s="53" t="str">
        <f>VLOOKUP(H12,codes,2,)</f>
        <v>ww</v>
      </c>
      <c r="J12" s="53"/>
      <c r="K12" s="4">
        <f>COUNTIF(I$2:I$2434,"=dw")/(1925-K3)</f>
        <v>0.38688085676037481</v>
      </c>
      <c r="L12" t="s">
        <v>45</v>
      </c>
      <c r="O12" s="51">
        <v>0.3819935691318328</v>
      </c>
      <c r="P12" t="s">
        <v>45</v>
      </c>
    </row>
    <row r="13" spans="1:28" x14ac:dyDescent="0.25">
      <c r="A13" s="93">
        <v>39945</v>
      </c>
      <c r="B13" s="35">
        <f>C13+(D13-2009)*12</f>
        <v>5</v>
      </c>
      <c r="C13" s="76">
        <v>5</v>
      </c>
      <c r="D13" s="76">
        <v>2009</v>
      </c>
      <c r="E13" s="56">
        <v>0</v>
      </c>
      <c r="F13" s="53">
        <f>IF(E13&gt;0,1,0)</f>
        <v>0</v>
      </c>
      <c r="G13" s="53">
        <f>SUM(F12:F13)</f>
        <v>1</v>
      </c>
      <c r="H13" s="53">
        <f>IF(G13=1,IF(F12=1,1,-1),G13)</f>
        <v>1</v>
      </c>
      <c r="I13" s="53" t="str">
        <f>VLOOKUP(H13,codes,2,)</f>
        <v>wd</v>
      </c>
      <c r="J13" s="53"/>
    </row>
    <row r="14" spans="1:28" x14ac:dyDescent="0.25">
      <c r="A14" s="93">
        <v>39946</v>
      </c>
      <c r="B14" s="35">
        <f>C14+(D14-2009)*12</f>
        <v>5</v>
      </c>
      <c r="C14" s="76">
        <v>5</v>
      </c>
      <c r="D14" s="76">
        <v>2009</v>
      </c>
      <c r="E14" s="56">
        <v>0</v>
      </c>
      <c r="F14" s="53">
        <f>IF(E14&gt;0,1,0)</f>
        <v>0</v>
      </c>
      <c r="G14" s="53">
        <f>SUM(F13:F14)</f>
        <v>0</v>
      </c>
      <c r="H14" s="53">
        <f>IF(G14=1,IF(F13=1,1,-1),G14)</f>
        <v>0</v>
      </c>
      <c r="I14" s="53" t="str">
        <f>VLOOKUP(H14,codes,2,)</f>
        <v>dd</v>
      </c>
      <c r="J14" s="53"/>
    </row>
    <row r="15" spans="1:28" x14ac:dyDescent="0.25">
      <c r="A15" s="93">
        <v>39947</v>
      </c>
      <c r="B15" s="35">
        <f>C15+(D15-2009)*12</f>
        <v>5</v>
      </c>
      <c r="C15" s="76">
        <v>5</v>
      </c>
      <c r="D15" s="76">
        <v>2009</v>
      </c>
      <c r="E15" s="56">
        <v>0</v>
      </c>
      <c r="F15" s="53">
        <f>IF(E15&gt;0,1,0)</f>
        <v>0</v>
      </c>
      <c r="G15" s="53">
        <f>SUM(F14:F15)</f>
        <v>0</v>
      </c>
      <c r="H15" s="53">
        <f>IF(G15=1,IF(F14=1,1,-1),G15)</f>
        <v>0</v>
      </c>
      <c r="I15" s="53" t="str">
        <f>VLOOKUP(H15,codes,2,)</f>
        <v>dd</v>
      </c>
      <c r="J15" s="53"/>
      <c r="K15">
        <f>COUNTIF(obsdata,"&lt;0.5")</f>
        <v>150</v>
      </c>
      <c r="L15" t="s">
        <v>112</v>
      </c>
      <c r="O15" s="4">
        <f>K15/K$2</f>
        <v>7.792207792207792E-2</v>
      </c>
      <c r="P15" t="s">
        <v>113</v>
      </c>
    </row>
    <row r="16" spans="1:28" x14ac:dyDescent="0.25">
      <c r="A16" s="93">
        <v>39948</v>
      </c>
      <c r="B16" s="35">
        <f>C16+(D16-2009)*12</f>
        <v>5</v>
      </c>
      <c r="C16" s="76">
        <v>5</v>
      </c>
      <c r="D16" s="76">
        <v>2009</v>
      </c>
      <c r="E16" s="56">
        <v>3.1333333333333333</v>
      </c>
      <c r="F16" s="53">
        <f>IF(E16&gt;0,1,0)</f>
        <v>1</v>
      </c>
      <c r="G16" s="53">
        <f>SUM(F15:F16)</f>
        <v>1</v>
      </c>
      <c r="H16" s="53">
        <f>IF(G16=1,IF(F15=1,1,-1),G16)</f>
        <v>-1</v>
      </c>
      <c r="I16" s="53" t="str">
        <f>VLOOKUP(H16,codes,2,)</f>
        <v>dw</v>
      </c>
      <c r="J16" s="53"/>
      <c r="K16">
        <f>COUNTIF(obsdata,"&lt;1.0")</f>
        <v>164</v>
      </c>
      <c r="L16" t="s">
        <v>114</v>
      </c>
      <c r="O16" s="4">
        <f t="shared" ref="O16:O18" si="0">K16/K$2</f>
        <v>8.5194805194805198E-2</v>
      </c>
      <c r="P16" t="s">
        <v>115</v>
      </c>
    </row>
    <row r="17" spans="1:20" x14ac:dyDescent="0.25">
      <c r="A17" s="93">
        <v>39949</v>
      </c>
      <c r="B17" s="35">
        <f>C17+(D17-2009)*12</f>
        <v>5</v>
      </c>
      <c r="C17" s="76">
        <v>5</v>
      </c>
      <c r="D17" s="76">
        <v>2009</v>
      </c>
      <c r="E17" s="56">
        <v>8.4</v>
      </c>
      <c r="F17" s="53">
        <f>IF(E17&gt;0,1,0)</f>
        <v>1</v>
      </c>
      <c r="G17" s="53">
        <f>SUM(F16:F17)</f>
        <v>2</v>
      </c>
      <c r="H17" s="53">
        <f>IF(G17=1,IF(F16=1,1,-1),G17)</f>
        <v>2</v>
      </c>
      <c r="I17" s="53" t="str">
        <f>VLOOKUP(H17,codes,2,)</f>
        <v>ww</v>
      </c>
      <c r="J17" s="53"/>
      <c r="K17">
        <f>COUNTIF(obsdata,"&lt;2.0")</f>
        <v>188</v>
      </c>
      <c r="L17" t="s">
        <v>116</v>
      </c>
      <c r="O17" s="4">
        <f t="shared" si="0"/>
        <v>9.7662337662337659E-2</v>
      </c>
      <c r="P17" t="s">
        <v>117</v>
      </c>
    </row>
    <row r="18" spans="1:20" x14ac:dyDescent="0.25">
      <c r="A18" s="93">
        <v>39950</v>
      </c>
      <c r="B18" s="35">
        <f>C18+(D18-2009)*12</f>
        <v>5</v>
      </c>
      <c r="C18" s="76">
        <v>5</v>
      </c>
      <c r="D18" s="76">
        <v>2009</v>
      </c>
      <c r="E18" s="56">
        <v>3.3333333333333335</v>
      </c>
      <c r="F18" s="53">
        <f>IF(E18&gt;0,1,0)</f>
        <v>1</v>
      </c>
      <c r="G18" s="53">
        <f>SUM(F17:F18)</f>
        <v>2</v>
      </c>
      <c r="H18" s="53">
        <f>IF(G18=1,IF(F17=1,1,-1),G18)</f>
        <v>2</v>
      </c>
      <c r="I18" s="53" t="str">
        <f>VLOOKUP(H18,codes,2,)</f>
        <v>ww</v>
      </c>
      <c r="J18" s="53"/>
      <c r="K18">
        <f>COUNTIF(obsdata,"&lt;5.0")</f>
        <v>221</v>
      </c>
      <c r="L18" t="s">
        <v>118</v>
      </c>
      <c r="O18" s="4">
        <f t="shared" si="0"/>
        <v>0.1148051948051948</v>
      </c>
      <c r="P18" t="s">
        <v>119</v>
      </c>
    </row>
    <row r="19" spans="1:20" x14ac:dyDescent="0.25">
      <c r="A19" s="93">
        <v>39951</v>
      </c>
      <c r="B19" s="35">
        <f>C19+(D19-2009)*12</f>
        <v>5</v>
      </c>
      <c r="C19" s="76">
        <v>5</v>
      </c>
      <c r="D19" s="76">
        <v>2009</v>
      </c>
      <c r="E19" s="56">
        <v>1.4666666666666668</v>
      </c>
      <c r="F19" s="53">
        <f>IF(E19&gt;0,1,0)</f>
        <v>1</v>
      </c>
      <c r="G19" s="53">
        <f>SUM(F18:F19)</f>
        <v>2</v>
      </c>
      <c r="H19" s="53">
        <f>IF(G19=1,IF(F18=1,1,-1),G19)</f>
        <v>2</v>
      </c>
      <c r="I19" s="53" t="str">
        <f>VLOOKUP(H19,codes,2,)</f>
        <v>ww</v>
      </c>
      <c r="J19" s="53"/>
    </row>
    <row r="20" spans="1:20" x14ac:dyDescent="0.25">
      <c r="A20" s="93">
        <v>39952</v>
      </c>
      <c r="B20" s="35">
        <f>C20+(D20-2009)*12</f>
        <v>5</v>
      </c>
      <c r="C20" s="76">
        <v>5</v>
      </c>
      <c r="D20" s="76">
        <v>2009</v>
      </c>
      <c r="E20" s="56">
        <v>0.26666666666666666</v>
      </c>
      <c r="F20" s="53">
        <f>IF(E20&gt;0,1,0)</f>
        <v>1</v>
      </c>
      <c r="G20" s="53">
        <f>SUM(F19:F20)</f>
        <v>2</v>
      </c>
      <c r="H20" s="53">
        <f>IF(G20=1,IF(F19=1,1,-1),G20)</f>
        <v>2</v>
      </c>
      <c r="I20" s="53" t="str">
        <f>VLOOKUP(H20,codes,2,)</f>
        <v>ww</v>
      </c>
      <c r="J20" s="53"/>
      <c r="K20" s="59" t="s">
        <v>60</v>
      </c>
      <c r="L20" s="59"/>
      <c r="M20" s="63">
        <f>SUM(E2:E2434)/15</f>
        <v>184.75666666666658</v>
      </c>
      <c r="N20" s="59" t="s">
        <v>61</v>
      </c>
      <c r="O20" s="59" t="s">
        <v>120</v>
      </c>
      <c r="P20" s="59"/>
      <c r="Q20" s="59"/>
      <c r="R20" s="59"/>
      <c r="S20" s="59"/>
      <c r="T20" s="59"/>
    </row>
    <row r="21" spans="1:20" x14ac:dyDescent="0.25">
      <c r="A21" s="93">
        <v>39953</v>
      </c>
      <c r="B21" s="35">
        <f>C21+(D21-2009)*12</f>
        <v>5</v>
      </c>
      <c r="C21" s="76">
        <v>5</v>
      </c>
      <c r="D21" s="76">
        <v>2009</v>
      </c>
      <c r="E21" s="56">
        <v>2.2333333333333329</v>
      </c>
      <c r="F21" s="53">
        <f>IF(E21&gt;0,1,0)</f>
        <v>1</v>
      </c>
      <c r="G21" s="53">
        <f>SUM(F20:F21)</f>
        <v>2</v>
      </c>
      <c r="H21" s="53">
        <f>IF(G21=1,IF(F20=1,1,-1),G21)</f>
        <v>2</v>
      </c>
      <c r="I21" s="53" t="str">
        <f>VLOOKUP(H21,codes,2,)</f>
        <v>ww</v>
      </c>
      <c r="J21" s="53"/>
      <c r="K21" s="59"/>
      <c r="L21" s="59"/>
      <c r="M21" s="63"/>
      <c r="N21" s="59"/>
      <c r="O21" s="59" t="s">
        <v>121</v>
      </c>
      <c r="P21" s="59" t="s">
        <v>122</v>
      </c>
      <c r="Q21" s="59" t="s">
        <v>123</v>
      </c>
      <c r="R21" s="59" t="s">
        <v>124</v>
      </c>
      <c r="S21" s="59" t="s">
        <v>125</v>
      </c>
      <c r="T21" s="59" t="s">
        <v>126</v>
      </c>
    </row>
    <row r="22" spans="1:20" x14ac:dyDescent="0.25">
      <c r="A22" s="93">
        <v>39954</v>
      </c>
      <c r="B22" s="35">
        <f>C22+(D22-2009)*12</f>
        <v>5</v>
      </c>
      <c r="C22" s="76">
        <v>5</v>
      </c>
      <c r="D22" s="76">
        <v>2009</v>
      </c>
      <c r="E22" s="56">
        <v>2.7333333333333329</v>
      </c>
      <c r="F22" s="53">
        <f>IF(E22&gt;0,1,0)</f>
        <v>1</v>
      </c>
      <c r="G22" s="53">
        <f>SUM(F21:F22)</f>
        <v>2</v>
      </c>
      <c r="H22" s="53">
        <f>IF(G22=1,IF(F21=1,1,-1),G22)</f>
        <v>2</v>
      </c>
      <c r="I22" s="53" t="str">
        <f>VLOOKUP(H22,codes,2,)</f>
        <v>ww</v>
      </c>
      <c r="J22" s="53"/>
      <c r="K22" s="59"/>
      <c r="L22" s="59"/>
      <c r="M22" s="63"/>
      <c r="N22" s="59"/>
      <c r="O22" s="59">
        <v>687.45999999999447</v>
      </c>
      <c r="P22" s="59">
        <v>914.69999999999322</v>
      </c>
      <c r="Q22" s="59">
        <v>873.61999999999603</v>
      </c>
      <c r="R22" s="59">
        <v>772.3999999999935</v>
      </c>
      <c r="S22" s="59">
        <v>812.04500000000121</v>
      </c>
      <c r="T22" s="59">
        <v>824.2920415224919</v>
      </c>
    </row>
    <row r="23" spans="1:20" x14ac:dyDescent="0.25">
      <c r="A23" s="93">
        <v>39955</v>
      </c>
      <c r="B23" s="35">
        <f>C23+(D23-2009)*12</f>
        <v>5</v>
      </c>
      <c r="C23" s="76">
        <v>5</v>
      </c>
      <c r="D23" s="76">
        <v>2009</v>
      </c>
      <c r="E23" s="56">
        <v>0.73333333333333339</v>
      </c>
      <c r="F23" s="53">
        <f>IF(E23&gt;0,1,0)</f>
        <v>1</v>
      </c>
      <c r="G23" s="53">
        <f>SUM(F22:F23)</f>
        <v>2</v>
      </c>
      <c r="H23" s="53">
        <f>IF(G23=1,IF(F22=1,1,-1),G23)</f>
        <v>2</v>
      </c>
      <c r="I23" s="53" t="str">
        <f>VLOOKUP(H23,codes,2,)</f>
        <v>ww</v>
      </c>
      <c r="J23" s="53"/>
      <c r="K23" s="61" t="s">
        <v>127</v>
      </c>
      <c r="L23" s="61"/>
      <c r="M23" s="62">
        <f>SUM(E2:E2434)/1178</f>
        <v>2.3525891341256355</v>
      </c>
      <c r="N23" s="61" t="s">
        <v>61</v>
      </c>
    </row>
    <row r="24" spans="1:20" x14ac:dyDescent="0.25">
      <c r="A24" s="93">
        <v>39956</v>
      </c>
      <c r="B24" s="35">
        <f>C24+(D24-2009)*12</f>
        <v>5</v>
      </c>
      <c r="C24" s="76">
        <v>5</v>
      </c>
      <c r="D24" s="76">
        <v>2009</v>
      </c>
      <c r="E24" s="56">
        <v>6.6666666666666666E-2</v>
      </c>
      <c r="F24" s="53">
        <f>IF(E24&gt;0,1,0)</f>
        <v>1</v>
      </c>
      <c r="G24" s="53">
        <f>SUM(F23:F24)</f>
        <v>2</v>
      </c>
      <c r="H24" s="53">
        <f>IF(G24=1,IF(F23=1,1,-1),G24)</f>
        <v>2</v>
      </c>
      <c r="I24" s="53" t="str">
        <f>VLOOKUP(H24,codes,2,)</f>
        <v>ww</v>
      </c>
      <c r="J24" s="53"/>
      <c r="K24" s="61" t="s">
        <v>128</v>
      </c>
      <c r="L24" s="61"/>
      <c r="M24" s="61"/>
      <c r="N24" s="61"/>
    </row>
    <row r="25" spans="1:20" x14ac:dyDescent="0.25">
      <c r="A25" s="93">
        <v>39957</v>
      </c>
      <c r="B25" s="35">
        <f>C25+(D25-2009)*12</f>
        <v>5</v>
      </c>
      <c r="C25" s="76">
        <v>5</v>
      </c>
      <c r="D25" s="76">
        <v>2009</v>
      </c>
      <c r="E25" s="56">
        <v>0</v>
      </c>
      <c r="F25" s="53">
        <f>IF(E25&gt;0,1,0)</f>
        <v>0</v>
      </c>
      <c r="G25" s="53">
        <f>SUM(F24:F25)</f>
        <v>1</v>
      </c>
      <c r="H25" s="53">
        <f>IF(G25=1,IF(F24=1,1,-1),G25)</f>
        <v>1</v>
      </c>
      <c r="I25" s="53" t="str">
        <f>VLOOKUP(H25,codes,2,)</f>
        <v>wd</v>
      </c>
      <c r="J25" s="53"/>
    </row>
    <row r="26" spans="1:20" x14ac:dyDescent="0.25">
      <c r="A26" s="93">
        <v>39958</v>
      </c>
      <c r="B26" s="35">
        <f>C26+(D26-2009)*12</f>
        <v>5</v>
      </c>
      <c r="C26" s="76">
        <v>5</v>
      </c>
      <c r="D26" s="76">
        <v>2009</v>
      </c>
      <c r="E26" s="56">
        <v>0.33333333333333331</v>
      </c>
      <c r="F26" s="53">
        <f>IF(E26&gt;0,1,0)</f>
        <v>1</v>
      </c>
      <c r="G26" s="53">
        <f>SUM(F25:F26)</f>
        <v>1</v>
      </c>
      <c r="H26" s="53">
        <f>IF(G26=1,IF(F25=1,1,-1),G26)</f>
        <v>-1</v>
      </c>
      <c r="I26" s="53" t="str">
        <f>VLOOKUP(H26,codes,2,)</f>
        <v>dw</v>
      </c>
      <c r="J26" s="53"/>
    </row>
    <row r="27" spans="1:20" x14ac:dyDescent="0.25">
      <c r="A27" s="93">
        <v>39959</v>
      </c>
      <c r="B27" s="35">
        <f>C27+(D27-2009)*12</f>
        <v>5</v>
      </c>
      <c r="C27" s="76">
        <v>5</v>
      </c>
      <c r="D27" s="76">
        <v>2009</v>
      </c>
      <c r="E27" s="56">
        <v>0.40000000000000008</v>
      </c>
      <c r="F27" s="53">
        <f>IF(E27&gt;0,1,0)</f>
        <v>1</v>
      </c>
      <c r="G27" s="53">
        <f>SUM(F26:F27)</f>
        <v>2</v>
      </c>
      <c r="H27" s="53">
        <f>IF(G27=1,IF(F26=1,1,-1),G27)</f>
        <v>2</v>
      </c>
      <c r="I27" s="53" t="str">
        <f>VLOOKUP(H27,codes,2,)</f>
        <v>ww</v>
      </c>
      <c r="J27" s="53"/>
    </row>
    <row r="28" spans="1:20" x14ac:dyDescent="0.25">
      <c r="A28" s="93">
        <v>39960</v>
      </c>
      <c r="B28" s="35">
        <f>C28+(D28-2009)*12</f>
        <v>5</v>
      </c>
      <c r="C28" s="76">
        <v>5</v>
      </c>
      <c r="D28" s="76">
        <v>2009</v>
      </c>
      <c r="E28" s="56">
        <v>0.20000000000000004</v>
      </c>
      <c r="F28" s="53">
        <f>IF(E28&gt;0,1,0)</f>
        <v>1</v>
      </c>
      <c r="G28" s="53">
        <f>SUM(F27:F28)</f>
        <v>2</v>
      </c>
      <c r="H28" s="53">
        <f>IF(G28=1,IF(F27=1,1,-1),G28)</f>
        <v>2</v>
      </c>
      <c r="I28" s="53" t="str">
        <f>VLOOKUP(H28,codes,2,)</f>
        <v>ww</v>
      </c>
      <c r="J28" s="53"/>
    </row>
    <row r="29" spans="1:20" x14ac:dyDescent="0.25">
      <c r="A29" s="93">
        <v>39961</v>
      </c>
      <c r="B29" s="35">
        <f>C29+(D29-2009)*12</f>
        <v>5</v>
      </c>
      <c r="C29" s="76">
        <v>5</v>
      </c>
      <c r="D29" s="76">
        <v>2009</v>
      </c>
      <c r="E29" s="56">
        <v>0</v>
      </c>
      <c r="F29" s="53">
        <f>IF(E29&gt;0,1,0)</f>
        <v>0</v>
      </c>
      <c r="G29" s="53">
        <f>SUM(F28:F29)</f>
        <v>1</v>
      </c>
      <c r="H29" s="53">
        <f>IF(G29=1,IF(F28=1,1,-1),G29)</f>
        <v>1</v>
      </c>
      <c r="I29" s="53" t="str">
        <f>VLOOKUP(H29,codes,2,)</f>
        <v>wd</v>
      </c>
      <c r="J29" s="53"/>
    </row>
    <row r="30" spans="1:20" x14ac:dyDescent="0.25">
      <c r="A30" s="93">
        <v>39962</v>
      </c>
      <c r="B30" s="35">
        <f>C30+(D30-2009)*12</f>
        <v>5</v>
      </c>
      <c r="C30" s="76">
        <v>5</v>
      </c>
      <c r="D30" s="76">
        <v>2009</v>
      </c>
      <c r="E30" s="56">
        <v>0</v>
      </c>
      <c r="F30" s="53">
        <f>IF(E30&gt;0,1,0)</f>
        <v>0</v>
      </c>
      <c r="G30" s="53">
        <f>SUM(F29:F30)</f>
        <v>0</v>
      </c>
      <c r="H30" s="53">
        <f>IF(G30=1,IF(F29=1,1,-1),G30)</f>
        <v>0</v>
      </c>
      <c r="I30" s="53" t="str">
        <f>VLOOKUP(H30,codes,2,)</f>
        <v>dd</v>
      </c>
      <c r="J30" s="53"/>
    </row>
    <row r="31" spans="1:20" x14ac:dyDescent="0.25">
      <c r="A31" s="93">
        <v>39963</v>
      </c>
      <c r="B31" s="35">
        <f>C31+(D31-2009)*12</f>
        <v>5</v>
      </c>
      <c r="C31" s="76">
        <v>5</v>
      </c>
      <c r="D31" s="76">
        <v>2009</v>
      </c>
      <c r="E31" s="56">
        <v>0</v>
      </c>
      <c r="F31" s="53">
        <f>IF(E31&gt;0,1,0)</f>
        <v>0</v>
      </c>
      <c r="G31" s="53">
        <f>SUM(F30:F31)</f>
        <v>0</v>
      </c>
      <c r="H31" s="53">
        <f>IF(G31=1,IF(F30=1,1,-1),G31)</f>
        <v>0</v>
      </c>
      <c r="I31" s="53" t="str">
        <f>VLOOKUP(H31,codes,2,)</f>
        <v>dd</v>
      </c>
      <c r="J31" s="53"/>
    </row>
    <row r="32" spans="1:20" x14ac:dyDescent="0.25">
      <c r="A32" s="93">
        <v>39964</v>
      </c>
      <c r="B32" s="35">
        <f>C32+(D32-2009)*12</f>
        <v>5</v>
      </c>
      <c r="C32" s="76">
        <v>5</v>
      </c>
      <c r="D32" s="76">
        <v>2009</v>
      </c>
      <c r="E32" s="56">
        <v>0</v>
      </c>
      <c r="F32" s="53">
        <f>IF(E32&gt;0,1,0)</f>
        <v>0</v>
      </c>
      <c r="G32" s="53">
        <f>SUM(F31:F32)</f>
        <v>0</v>
      </c>
      <c r="H32" s="53">
        <f>IF(G32=1,IF(F31=1,1,-1),G32)</f>
        <v>0</v>
      </c>
      <c r="I32" s="53" t="str">
        <f>VLOOKUP(H32,codes,2,)</f>
        <v>dd</v>
      </c>
      <c r="J32" s="53"/>
    </row>
    <row r="33" spans="1:10" x14ac:dyDescent="0.25">
      <c r="A33" s="93">
        <v>40300</v>
      </c>
      <c r="B33" s="35">
        <f>C33+(D33-2009)*12</f>
        <v>17</v>
      </c>
      <c r="C33" s="76">
        <v>5</v>
      </c>
      <c r="D33" s="76">
        <v>2010</v>
      </c>
      <c r="E33" s="56">
        <v>0</v>
      </c>
      <c r="F33" s="53">
        <f>IF(E33&gt;0,1,0)</f>
        <v>0</v>
      </c>
      <c r="G33" s="53">
        <f>SUM(F32:F33)</f>
        <v>0</v>
      </c>
      <c r="H33" s="53">
        <f>IF(G33=1,IF(F32=1,1,-1),G33)</f>
        <v>0</v>
      </c>
      <c r="I33" s="53" t="str">
        <f>VLOOKUP(H33,codes,2,)</f>
        <v>dd</v>
      </c>
      <c r="J33" s="53"/>
    </row>
    <row r="34" spans="1:10" x14ac:dyDescent="0.25">
      <c r="A34" s="93">
        <v>40301</v>
      </c>
      <c r="B34" s="35">
        <f>C34+(D34-2009)*12</f>
        <v>17</v>
      </c>
      <c r="C34" s="76">
        <v>5</v>
      </c>
      <c r="D34" s="76">
        <v>2010</v>
      </c>
      <c r="E34" s="56">
        <v>0.53333333333333333</v>
      </c>
      <c r="F34" s="53">
        <f>IF(E34&gt;0,1,0)</f>
        <v>1</v>
      </c>
      <c r="G34" s="53">
        <f>SUM(F33:F34)</f>
        <v>1</v>
      </c>
      <c r="H34" s="53">
        <f>IF(G34=1,IF(F33=1,1,-1),G34)</f>
        <v>-1</v>
      </c>
      <c r="I34" s="53" t="str">
        <f>VLOOKUP(H34,codes,2,)</f>
        <v>dw</v>
      </c>
      <c r="J34" s="53"/>
    </row>
    <row r="35" spans="1:10" x14ac:dyDescent="0.25">
      <c r="A35" s="93">
        <v>40302</v>
      </c>
      <c r="B35" s="35">
        <f>C35+(D35-2009)*12</f>
        <v>17</v>
      </c>
      <c r="C35" s="76">
        <v>5</v>
      </c>
      <c r="D35" s="76">
        <v>2010</v>
      </c>
      <c r="E35" s="56">
        <v>0</v>
      </c>
      <c r="F35" s="53">
        <f>IF(E35&gt;0,1,0)</f>
        <v>0</v>
      </c>
      <c r="G35" s="53">
        <f>SUM(F34:F35)</f>
        <v>1</v>
      </c>
      <c r="H35" s="53">
        <f>IF(G35=1,IF(F34=1,1,-1),G35)</f>
        <v>1</v>
      </c>
      <c r="I35" s="53" t="str">
        <f>VLOOKUP(H35,codes,2,)</f>
        <v>wd</v>
      </c>
      <c r="J35" s="53"/>
    </row>
    <row r="36" spans="1:10" x14ac:dyDescent="0.25">
      <c r="A36" s="93">
        <v>40303</v>
      </c>
      <c r="B36" s="35">
        <f>C36+(D36-2009)*12</f>
        <v>17</v>
      </c>
      <c r="C36" s="76">
        <v>5</v>
      </c>
      <c r="D36" s="76">
        <v>2010</v>
      </c>
      <c r="E36" s="56">
        <v>0.20000000000000004</v>
      </c>
      <c r="F36" s="53">
        <f>IF(E36&gt;0,1,0)</f>
        <v>1</v>
      </c>
      <c r="G36" s="53">
        <f>SUM(F35:F36)</f>
        <v>1</v>
      </c>
      <c r="H36" s="53">
        <f>IF(G36=1,IF(F35=1,1,-1),G36)</f>
        <v>-1</v>
      </c>
      <c r="I36" s="53" t="str">
        <f>VLOOKUP(H36,codes,2,)</f>
        <v>dw</v>
      </c>
      <c r="J36" s="53"/>
    </row>
    <row r="37" spans="1:10" x14ac:dyDescent="0.25">
      <c r="A37" s="93">
        <v>40304</v>
      </c>
      <c r="B37" s="35">
        <f>C37+(D37-2009)*12</f>
        <v>17</v>
      </c>
      <c r="C37" s="76">
        <v>5</v>
      </c>
      <c r="D37" s="76">
        <v>2010</v>
      </c>
      <c r="E37" s="56">
        <v>5.333333333333333</v>
      </c>
      <c r="F37" s="53">
        <f>IF(E37&gt;0,1,0)</f>
        <v>1</v>
      </c>
      <c r="G37" s="53">
        <f>SUM(F36:F37)</f>
        <v>2</v>
      </c>
      <c r="H37" s="53">
        <f>IF(G37=1,IF(F36=1,1,-1),G37)</f>
        <v>2</v>
      </c>
      <c r="I37" s="53" t="str">
        <f>VLOOKUP(H37,codes,2,)</f>
        <v>ww</v>
      </c>
      <c r="J37" s="53"/>
    </row>
    <row r="38" spans="1:10" x14ac:dyDescent="0.25">
      <c r="A38" s="93">
        <v>40305</v>
      </c>
      <c r="B38" s="35">
        <f>C38+(D38-2009)*12</f>
        <v>17</v>
      </c>
      <c r="C38" s="76">
        <v>5</v>
      </c>
      <c r="D38" s="76">
        <v>2010</v>
      </c>
      <c r="E38" s="56">
        <v>2.8666666666666667</v>
      </c>
      <c r="F38" s="53">
        <f>IF(E38&gt;0,1,0)</f>
        <v>1</v>
      </c>
      <c r="G38" s="53">
        <f>SUM(F37:F38)</f>
        <v>2</v>
      </c>
      <c r="H38" s="53">
        <f>IF(G38=1,IF(F37=1,1,-1),G38)</f>
        <v>2</v>
      </c>
      <c r="I38" s="53" t="str">
        <f>VLOOKUP(H38,codes,2,)</f>
        <v>ww</v>
      </c>
      <c r="J38" s="53"/>
    </row>
    <row r="39" spans="1:10" x14ac:dyDescent="0.25">
      <c r="A39" s="93">
        <v>40306</v>
      </c>
      <c r="B39" s="35">
        <f>C39+(D39-2009)*12</f>
        <v>17</v>
      </c>
      <c r="C39" s="76">
        <v>5</v>
      </c>
      <c r="D39" s="76">
        <v>2010</v>
      </c>
      <c r="E39" s="56">
        <v>0</v>
      </c>
      <c r="F39" s="53">
        <f>IF(E39&gt;0,1,0)</f>
        <v>0</v>
      </c>
      <c r="G39" s="53">
        <f>SUM(F38:F39)</f>
        <v>1</v>
      </c>
      <c r="H39" s="53">
        <f>IF(G39=1,IF(F38=1,1,-1),G39)</f>
        <v>1</v>
      </c>
      <c r="I39" s="53" t="str">
        <f>VLOOKUP(H39,codes,2,)</f>
        <v>wd</v>
      </c>
      <c r="J39" s="53"/>
    </row>
    <row r="40" spans="1:10" x14ac:dyDescent="0.25">
      <c r="A40" s="93">
        <v>40307</v>
      </c>
      <c r="B40" s="35">
        <f>C40+(D40-2009)*12</f>
        <v>17</v>
      </c>
      <c r="C40" s="76">
        <v>5</v>
      </c>
      <c r="D40" s="76">
        <v>2010</v>
      </c>
      <c r="E40" s="56">
        <v>0.53333333333333333</v>
      </c>
      <c r="F40" s="53">
        <f>IF(E40&gt;0,1,0)</f>
        <v>1</v>
      </c>
      <c r="G40" s="53">
        <f>SUM(F39:F40)</f>
        <v>1</v>
      </c>
      <c r="H40" s="53">
        <f>IF(G40=1,IF(F39=1,1,-1),G40)</f>
        <v>-1</v>
      </c>
      <c r="I40" s="53" t="str">
        <f>VLOOKUP(H40,codes,2,)</f>
        <v>dw</v>
      </c>
      <c r="J40" s="53"/>
    </row>
    <row r="41" spans="1:10" x14ac:dyDescent="0.25">
      <c r="A41" s="93">
        <v>40308</v>
      </c>
      <c r="B41" s="35">
        <f>C41+(D41-2009)*12</f>
        <v>17</v>
      </c>
      <c r="C41" s="76">
        <v>5</v>
      </c>
      <c r="D41" s="76">
        <v>2010</v>
      </c>
      <c r="E41" s="56">
        <v>1.0666666666666667</v>
      </c>
      <c r="F41" s="53">
        <f>IF(E41&gt;0,1,0)</f>
        <v>1</v>
      </c>
      <c r="G41" s="53">
        <f>SUM(F40:F41)</f>
        <v>2</v>
      </c>
      <c r="H41" s="53">
        <f>IF(G41=1,IF(F40=1,1,-1),G41)</f>
        <v>2</v>
      </c>
      <c r="I41" s="53" t="str">
        <f>VLOOKUP(H41,codes,2,)</f>
        <v>ww</v>
      </c>
      <c r="J41" s="53"/>
    </row>
    <row r="42" spans="1:10" x14ac:dyDescent="0.25">
      <c r="A42" s="93">
        <v>40309</v>
      </c>
      <c r="B42" s="35">
        <f>C42+(D42-2009)*12</f>
        <v>17</v>
      </c>
      <c r="C42" s="76">
        <v>5</v>
      </c>
      <c r="D42" s="76">
        <v>2010</v>
      </c>
      <c r="E42" s="56">
        <v>6.6666666666666666E-2</v>
      </c>
      <c r="F42" s="53">
        <f>IF(E42&gt;0,1,0)</f>
        <v>1</v>
      </c>
      <c r="G42" s="53">
        <f>SUM(F41:F42)</f>
        <v>2</v>
      </c>
      <c r="H42" s="53">
        <f>IF(G42=1,IF(F41=1,1,-1),G42)</f>
        <v>2</v>
      </c>
      <c r="I42" s="53" t="str">
        <f>VLOOKUP(H42,codes,2,)</f>
        <v>ww</v>
      </c>
      <c r="J42" s="53"/>
    </row>
    <row r="43" spans="1:10" x14ac:dyDescent="0.25">
      <c r="A43" s="93">
        <v>40310</v>
      </c>
      <c r="B43" s="35">
        <f>C43+(D43-2009)*12</f>
        <v>17</v>
      </c>
      <c r="C43" s="76">
        <v>5</v>
      </c>
      <c r="D43" s="76">
        <v>2010</v>
      </c>
      <c r="E43" s="56">
        <v>0.33333333333333331</v>
      </c>
      <c r="F43" s="53">
        <f>IF(E43&gt;0,1,0)</f>
        <v>1</v>
      </c>
      <c r="G43" s="53">
        <f>SUM(F42:F43)</f>
        <v>2</v>
      </c>
      <c r="H43" s="53">
        <f>IF(G43=1,IF(F42=1,1,-1),G43)</f>
        <v>2</v>
      </c>
      <c r="I43" s="53" t="str">
        <f>VLOOKUP(H43,codes,2,)</f>
        <v>ww</v>
      </c>
      <c r="J43" s="53"/>
    </row>
    <row r="44" spans="1:10" x14ac:dyDescent="0.25">
      <c r="A44" s="93">
        <v>40311</v>
      </c>
      <c r="B44" s="35">
        <f>C44+(D44-2009)*12</f>
        <v>17</v>
      </c>
      <c r="C44" s="76">
        <v>5</v>
      </c>
      <c r="D44" s="76">
        <v>2010</v>
      </c>
      <c r="E44" s="56">
        <v>0.19999999999999998</v>
      </c>
      <c r="F44" s="53">
        <f>IF(E44&gt;0,1,0)</f>
        <v>1</v>
      </c>
      <c r="G44" s="53">
        <f>SUM(F43:F44)</f>
        <v>2</v>
      </c>
      <c r="H44" s="53">
        <f>IF(G44=1,IF(F43=1,1,-1),G44)</f>
        <v>2</v>
      </c>
      <c r="I44" s="53" t="str">
        <f>VLOOKUP(H44,codes,2,)</f>
        <v>ww</v>
      </c>
      <c r="J44" s="53"/>
    </row>
    <row r="45" spans="1:10" x14ac:dyDescent="0.25">
      <c r="A45" s="93">
        <v>40312</v>
      </c>
      <c r="B45" s="35">
        <f>C45+(D45-2009)*12</f>
        <v>17</v>
      </c>
      <c r="C45" s="76">
        <v>5</v>
      </c>
      <c r="D45" s="76">
        <v>2010</v>
      </c>
      <c r="E45" s="56">
        <v>0</v>
      </c>
      <c r="F45" s="53">
        <f>IF(E45&gt;0,1,0)</f>
        <v>0</v>
      </c>
      <c r="G45" s="53">
        <f>SUM(F44:F45)</f>
        <v>1</v>
      </c>
      <c r="H45" s="53">
        <f>IF(G45=1,IF(F44=1,1,-1),G45)</f>
        <v>1</v>
      </c>
      <c r="I45" s="53" t="str">
        <f>VLOOKUP(H45,codes,2,)</f>
        <v>wd</v>
      </c>
      <c r="J45" s="53"/>
    </row>
    <row r="46" spans="1:10" x14ac:dyDescent="0.25">
      <c r="A46" s="93">
        <v>40313</v>
      </c>
      <c r="B46" s="35">
        <f>C46+(D46-2009)*12</f>
        <v>17</v>
      </c>
      <c r="C46" s="76">
        <v>5</v>
      </c>
      <c r="D46" s="76">
        <v>2010</v>
      </c>
      <c r="E46" s="56">
        <v>0.46666666666666662</v>
      </c>
      <c r="F46" s="53">
        <f>IF(E46&gt;0,1,0)</f>
        <v>1</v>
      </c>
      <c r="G46" s="53">
        <f>SUM(F45:F46)</f>
        <v>1</v>
      </c>
      <c r="H46" s="53">
        <f>IF(G46=1,IF(F45=1,1,-1),G46)</f>
        <v>-1</v>
      </c>
      <c r="I46" s="53" t="str">
        <f>VLOOKUP(H46,codes,2,)</f>
        <v>dw</v>
      </c>
      <c r="J46" s="53"/>
    </row>
    <row r="47" spans="1:10" x14ac:dyDescent="0.25">
      <c r="A47" s="93">
        <v>40314</v>
      </c>
      <c r="B47" s="35">
        <f>C47+(D47-2009)*12</f>
        <v>17</v>
      </c>
      <c r="C47" s="76">
        <v>5</v>
      </c>
      <c r="D47" s="76">
        <v>2010</v>
      </c>
      <c r="E47" s="56">
        <v>0.26666666666666666</v>
      </c>
      <c r="F47" s="53">
        <f>IF(E47&gt;0,1,0)</f>
        <v>1</v>
      </c>
      <c r="G47" s="53">
        <f>SUM(F46:F47)</f>
        <v>2</v>
      </c>
      <c r="H47" s="53">
        <f>IF(G47=1,IF(F46=1,1,-1),G47)</f>
        <v>2</v>
      </c>
      <c r="I47" s="53" t="str">
        <f>VLOOKUP(H47,codes,2,)</f>
        <v>ww</v>
      </c>
      <c r="J47" s="53"/>
    </row>
    <row r="48" spans="1:10" x14ac:dyDescent="0.25">
      <c r="A48" s="93">
        <v>40315</v>
      </c>
      <c r="B48" s="35">
        <f>C48+(D48-2009)*12</f>
        <v>17</v>
      </c>
      <c r="C48" s="76">
        <v>5</v>
      </c>
      <c r="D48" s="76">
        <v>2010</v>
      </c>
      <c r="E48" s="56">
        <v>5.333333333333333</v>
      </c>
      <c r="F48" s="53">
        <f>IF(E48&gt;0,1,0)</f>
        <v>1</v>
      </c>
      <c r="G48" s="53">
        <f>SUM(F47:F48)</f>
        <v>2</v>
      </c>
      <c r="H48" s="53">
        <f>IF(G48=1,IF(F47=1,1,-1),G48)</f>
        <v>2</v>
      </c>
      <c r="I48" s="53" t="str">
        <f>VLOOKUP(H48,codes,2,)</f>
        <v>ww</v>
      </c>
      <c r="J48" s="53"/>
    </row>
    <row r="49" spans="1:10" x14ac:dyDescent="0.25">
      <c r="A49" s="93">
        <v>40316</v>
      </c>
      <c r="B49" s="35">
        <f>C49+(D49-2009)*12</f>
        <v>17</v>
      </c>
      <c r="C49" s="76">
        <v>5</v>
      </c>
      <c r="D49" s="76">
        <v>2010</v>
      </c>
      <c r="E49" s="56">
        <v>0.53333333333333333</v>
      </c>
      <c r="F49" s="53">
        <f>IF(E49&gt;0,1,0)</f>
        <v>1</v>
      </c>
      <c r="G49" s="53">
        <f>SUM(F48:F49)</f>
        <v>2</v>
      </c>
      <c r="H49" s="53">
        <f>IF(G49=1,IF(F48=1,1,-1),G49)</f>
        <v>2</v>
      </c>
      <c r="I49" s="53" t="str">
        <f>VLOOKUP(H49,codes,2,)</f>
        <v>ww</v>
      </c>
      <c r="J49" s="53"/>
    </row>
    <row r="50" spans="1:10" x14ac:dyDescent="0.25">
      <c r="A50" s="93">
        <v>40317</v>
      </c>
      <c r="B50" s="35">
        <f>C50+(D50-2009)*12</f>
        <v>17</v>
      </c>
      <c r="C50" s="76">
        <v>5</v>
      </c>
      <c r="D50" s="76">
        <v>2010</v>
      </c>
      <c r="E50" s="56">
        <v>0</v>
      </c>
      <c r="F50" s="53">
        <f>IF(E50&gt;0,1,0)</f>
        <v>0</v>
      </c>
      <c r="G50" s="53">
        <f>SUM(F49:F50)</f>
        <v>1</v>
      </c>
      <c r="H50" s="53">
        <f>IF(G50=1,IF(F49=1,1,-1),G50)</f>
        <v>1</v>
      </c>
      <c r="I50" s="53" t="str">
        <f>VLOOKUP(H50,codes,2,)</f>
        <v>wd</v>
      </c>
      <c r="J50" s="53"/>
    </row>
    <row r="51" spans="1:10" x14ac:dyDescent="0.25">
      <c r="A51" s="93">
        <v>40318</v>
      </c>
      <c r="B51" s="35">
        <f>C51+(D51-2009)*12</f>
        <v>17</v>
      </c>
      <c r="C51" s="76">
        <v>5</v>
      </c>
      <c r="D51" s="76">
        <v>2010</v>
      </c>
      <c r="E51" s="56">
        <v>0</v>
      </c>
      <c r="F51" s="53">
        <f>IF(E51&gt;0,1,0)</f>
        <v>0</v>
      </c>
      <c r="G51" s="53">
        <f>SUM(F50:F51)</f>
        <v>0</v>
      </c>
      <c r="H51" s="53">
        <f>IF(G51=1,IF(F50=1,1,-1),G51)</f>
        <v>0</v>
      </c>
      <c r="I51" s="53" t="str">
        <f>VLOOKUP(H51,codes,2,)</f>
        <v>dd</v>
      </c>
      <c r="J51" s="53"/>
    </row>
    <row r="52" spans="1:10" x14ac:dyDescent="0.25">
      <c r="A52" s="93">
        <v>40319</v>
      </c>
      <c r="B52" s="35">
        <f>C52+(D52-2009)*12</f>
        <v>17</v>
      </c>
      <c r="C52" s="76">
        <v>5</v>
      </c>
      <c r="D52" s="76">
        <v>2010</v>
      </c>
      <c r="E52" s="56">
        <v>0</v>
      </c>
      <c r="F52" s="53">
        <f>IF(E52&gt;0,1,0)</f>
        <v>0</v>
      </c>
      <c r="G52" s="53">
        <f>SUM(F51:F52)</f>
        <v>0</v>
      </c>
      <c r="H52" s="53">
        <f>IF(G52=1,IF(F51=1,1,-1),G52)</f>
        <v>0</v>
      </c>
      <c r="I52" s="53" t="str">
        <f>VLOOKUP(H52,codes,2,)</f>
        <v>dd</v>
      </c>
      <c r="J52" s="53"/>
    </row>
    <row r="53" spans="1:10" x14ac:dyDescent="0.25">
      <c r="A53" s="93">
        <v>40320</v>
      </c>
      <c r="B53" s="35">
        <f>C53+(D53-2009)*12</f>
        <v>17</v>
      </c>
      <c r="C53" s="76">
        <v>5</v>
      </c>
      <c r="D53" s="76">
        <v>2010</v>
      </c>
      <c r="E53" s="56">
        <v>0</v>
      </c>
      <c r="F53" s="53">
        <f>IF(E53&gt;0,1,0)</f>
        <v>0</v>
      </c>
      <c r="G53" s="53">
        <f>SUM(F52:F53)</f>
        <v>0</v>
      </c>
      <c r="H53" s="53">
        <f>IF(G53=1,IF(F52=1,1,-1),G53)</f>
        <v>0</v>
      </c>
      <c r="I53" s="53" t="str">
        <f>VLOOKUP(H53,codes,2,)</f>
        <v>dd</v>
      </c>
      <c r="J53" s="53"/>
    </row>
    <row r="54" spans="1:10" x14ac:dyDescent="0.25">
      <c r="A54" s="93">
        <v>40321</v>
      </c>
      <c r="B54" s="35">
        <f>C54+(D54-2009)*12</f>
        <v>17</v>
      </c>
      <c r="C54" s="76">
        <v>5</v>
      </c>
      <c r="D54" s="76">
        <v>2010</v>
      </c>
      <c r="E54" s="56">
        <v>0</v>
      </c>
      <c r="F54" s="53">
        <f>IF(E54&gt;0,1,0)</f>
        <v>0</v>
      </c>
      <c r="G54" s="53">
        <f>SUM(F53:F54)</f>
        <v>0</v>
      </c>
      <c r="H54" s="53">
        <f>IF(G54=1,IF(F53=1,1,-1),G54)</f>
        <v>0</v>
      </c>
      <c r="I54" s="53" t="str">
        <f>VLOOKUP(H54,codes,2,)</f>
        <v>dd</v>
      </c>
      <c r="J54" s="53"/>
    </row>
    <row r="55" spans="1:10" x14ac:dyDescent="0.25">
      <c r="A55" s="93">
        <v>40322</v>
      </c>
      <c r="B55" s="35">
        <f>C55+(D55-2009)*12</f>
        <v>17</v>
      </c>
      <c r="C55" s="76">
        <v>5</v>
      </c>
      <c r="D55" s="76">
        <v>2010</v>
      </c>
      <c r="E55" s="56">
        <v>0</v>
      </c>
      <c r="F55" s="53">
        <f>IF(E55&gt;0,1,0)</f>
        <v>0</v>
      </c>
      <c r="G55" s="53">
        <f>SUM(F54:F55)</f>
        <v>0</v>
      </c>
      <c r="H55" s="53">
        <f>IF(G55=1,IF(F54=1,1,-1),G55)</f>
        <v>0</v>
      </c>
      <c r="I55" s="53" t="str">
        <f>VLOOKUP(H55,codes,2,)</f>
        <v>dd</v>
      </c>
      <c r="J55" s="53"/>
    </row>
    <row r="56" spans="1:10" x14ac:dyDescent="0.25">
      <c r="A56" s="93">
        <v>40323</v>
      </c>
      <c r="B56" s="35">
        <f>C56+(D56-2009)*12</f>
        <v>17</v>
      </c>
      <c r="C56" s="76">
        <v>5</v>
      </c>
      <c r="D56" s="76">
        <v>2010</v>
      </c>
      <c r="E56" s="56">
        <v>0.6</v>
      </c>
      <c r="F56" s="53">
        <f>IF(E56&gt;0,1,0)</f>
        <v>1</v>
      </c>
      <c r="G56" s="53">
        <f>SUM(F55:F56)</f>
        <v>1</v>
      </c>
      <c r="H56" s="53">
        <f>IF(G56=1,IF(F55=1,1,-1),G56)</f>
        <v>-1</v>
      </c>
      <c r="I56" s="53" t="str">
        <f>VLOOKUP(H56,codes,2,)</f>
        <v>dw</v>
      </c>
      <c r="J56" s="53"/>
    </row>
    <row r="57" spans="1:10" x14ac:dyDescent="0.25">
      <c r="A57" s="93">
        <v>40324</v>
      </c>
      <c r="B57" s="35">
        <f>C57+(D57-2009)*12</f>
        <v>17</v>
      </c>
      <c r="C57" s="76">
        <v>5</v>
      </c>
      <c r="D57" s="76">
        <v>2010</v>
      </c>
      <c r="E57" s="56">
        <v>0</v>
      </c>
      <c r="F57" s="53">
        <f>IF(E57&gt;0,1,0)</f>
        <v>0</v>
      </c>
      <c r="G57" s="53">
        <f>SUM(F56:F57)</f>
        <v>1</v>
      </c>
      <c r="H57" s="53">
        <f>IF(G57=1,IF(F56=1,1,-1),G57)</f>
        <v>1</v>
      </c>
      <c r="I57" s="53" t="str">
        <f>VLOOKUP(H57,codes,2,)</f>
        <v>wd</v>
      </c>
      <c r="J57" s="53"/>
    </row>
    <row r="58" spans="1:10" x14ac:dyDescent="0.25">
      <c r="A58" s="93">
        <v>40325</v>
      </c>
      <c r="B58" s="35">
        <f>C58+(D58-2009)*12</f>
        <v>17</v>
      </c>
      <c r="C58" s="76">
        <v>5</v>
      </c>
      <c r="D58" s="76">
        <v>2010</v>
      </c>
      <c r="E58" s="56">
        <v>3</v>
      </c>
      <c r="F58" s="53">
        <f>IF(E58&gt;0,1,0)</f>
        <v>1</v>
      </c>
      <c r="G58" s="53">
        <f>SUM(F57:F58)</f>
        <v>1</v>
      </c>
      <c r="H58" s="53">
        <f>IF(G58=1,IF(F57=1,1,-1),G58)</f>
        <v>-1</v>
      </c>
      <c r="I58" s="53" t="str">
        <f>VLOOKUP(H58,codes,2,)</f>
        <v>dw</v>
      </c>
      <c r="J58" s="53"/>
    </row>
    <row r="59" spans="1:10" x14ac:dyDescent="0.25">
      <c r="A59" s="93">
        <v>40326</v>
      </c>
      <c r="B59" s="35">
        <f>C59+(D59-2009)*12</f>
        <v>17</v>
      </c>
      <c r="C59" s="76">
        <v>5</v>
      </c>
      <c r="D59" s="76">
        <v>2010</v>
      </c>
      <c r="E59" s="56">
        <v>1.2666666666666666</v>
      </c>
      <c r="F59" s="53">
        <f>IF(E59&gt;0,1,0)</f>
        <v>1</v>
      </c>
      <c r="G59" s="53">
        <f>SUM(F58:F59)</f>
        <v>2</v>
      </c>
      <c r="H59" s="53">
        <f>IF(G59=1,IF(F58=1,1,-1),G59)</f>
        <v>2</v>
      </c>
      <c r="I59" s="53" t="str">
        <f>VLOOKUP(H59,codes,2,)</f>
        <v>ww</v>
      </c>
      <c r="J59" s="53"/>
    </row>
    <row r="60" spans="1:10" x14ac:dyDescent="0.25">
      <c r="A60" s="93">
        <v>40327</v>
      </c>
      <c r="B60" s="35">
        <f>C60+(D60-2009)*12</f>
        <v>17</v>
      </c>
      <c r="C60" s="76">
        <v>5</v>
      </c>
      <c r="D60" s="76">
        <v>2010</v>
      </c>
      <c r="E60" s="56">
        <v>0</v>
      </c>
      <c r="F60" s="53">
        <f>IF(E60&gt;0,1,0)</f>
        <v>0</v>
      </c>
      <c r="G60" s="53">
        <f>SUM(F59:F60)</f>
        <v>1</v>
      </c>
      <c r="H60" s="53">
        <f>IF(G60=1,IF(F59=1,1,-1),G60)</f>
        <v>1</v>
      </c>
      <c r="I60" s="53" t="str">
        <f>VLOOKUP(H60,codes,2,)</f>
        <v>wd</v>
      </c>
      <c r="J60" s="53"/>
    </row>
    <row r="61" spans="1:10" x14ac:dyDescent="0.25">
      <c r="A61" s="93">
        <v>40328</v>
      </c>
      <c r="B61" s="35">
        <f>C61+(D61-2009)*12</f>
        <v>17</v>
      </c>
      <c r="C61" s="76">
        <v>5</v>
      </c>
      <c r="D61" s="76">
        <v>2010</v>
      </c>
      <c r="E61" s="56">
        <v>2.4666666666666668</v>
      </c>
      <c r="F61" s="53">
        <f>IF(E61&gt;0,1,0)</f>
        <v>1</v>
      </c>
      <c r="G61" s="53">
        <f>SUM(F60:F61)</f>
        <v>1</v>
      </c>
      <c r="H61" s="53">
        <f>IF(G61=1,IF(F60=1,1,-1),G61)</f>
        <v>-1</v>
      </c>
      <c r="I61" s="53" t="str">
        <f>VLOOKUP(H61,codes,2,)</f>
        <v>dw</v>
      </c>
      <c r="J61" s="53"/>
    </row>
    <row r="62" spans="1:10" x14ac:dyDescent="0.25">
      <c r="A62" s="93">
        <v>40329</v>
      </c>
      <c r="B62" s="35">
        <f>C62+(D62-2009)*12</f>
        <v>17</v>
      </c>
      <c r="C62" s="76">
        <v>5</v>
      </c>
      <c r="D62" s="76">
        <v>2010</v>
      </c>
      <c r="E62" s="56">
        <v>6.6666666666666666E-2</v>
      </c>
      <c r="F62" s="53">
        <f>IF(E62&gt;0,1,0)</f>
        <v>1</v>
      </c>
      <c r="G62" s="53">
        <f>SUM(F61:F62)</f>
        <v>2</v>
      </c>
      <c r="H62" s="53">
        <f>IF(G62=1,IF(F61=1,1,-1),G62)</f>
        <v>2</v>
      </c>
      <c r="I62" s="53" t="str">
        <f>VLOOKUP(H62,codes,2,)</f>
        <v>ww</v>
      </c>
      <c r="J62" s="53"/>
    </row>
    <row r="63" spans="1:10" x14ac:dyDescent="0.25">
      <c r="A63" s="93">
        <v>40330</v>
      </c>
      <c r="B63" s="35">
        <f>C63+(D63-2009)*12</f>
        <v>17</v>
      </c>
      <c r="C63" s="76">
        <v>5</v>
      </c>
      <c r="D63" s="76">
        <v>2010</v>
      </c>
      <c r="E63" s="56">
        <v>0.20000000000000004</v>
      </c>
      <c r="F63" s="53">
        <f>IF(E63&gt;0,1,0)</f>
        <v>1</v>
      </c>
      <c r="G63" s="53">
        <f>SUM(F62:F63)</f>
        <v>2</v>
      </c>
      <c r="H63" s="53">
        <f>IF(G63=1,IF(F62=1,1,-1),G63)</f>
        <v>2</v>
      </c>
      <c r="I63" s="53" t="str">
        <f>VLOOKUP(H63,codes,2,)</f>
        <v>ww</v>
      </c>
      <c r="J63" s="53"/>
    </row>
    <row r="64" spans="1:10" x14ac:dyDescent="0.25">
      <c r="A64" s="93">
        <v>40665</v>
      </c>
      <c r="B64" s="35">
        <f>C64+(D64-2009)*12</f>
        <v>29</v>
      </c>
      <c r="C64" s="76">
        <v>5</v>
      </c>
      <c r="D64" s="76">
        <v>2011</v>
      </c>
      <c r="E64" s="56">
        <v>0</v>
      </c>
      <c r="F64" s="53">
        <f>IF(E64&gt;0,1,0)</f>
        <v>0</v>
      </c>
      <c r="G64" s="53">
        <f>SUM(F63:F64)</f>
        <v>1</v>
      </c>
      <c r="H64" s="53">
        <f>IF(G64=1,IF(F63=1,1,-1),G64)</f>
        <v>1</v>
      </c>
      <c r="I64" s="53" t="str">
        <f>VLOOKUP(H64,codes,2,)</f>
        <v>wd</v>
      </c>
      <c r="J64" s="53"/>
    </row>
    <row r="65" spans="1:10" x14ac:dyDescent="0.25">
      <c r="A65" s="93">
        <v>40666</v>
      </c>
      <c r="B65" s="35">
        <f>C65+(D65-2009)*12</f>
        <v>29</v>
      </c>
      <c r="C65" s="76">
        <v>5</v>
      </c>
      <c r="D65" s="76">
        <v>2011</v>
      </c>
      <c r="E65" s="56">
        <v>0</v>
      </c>
      <c r="F65" s="53">
        <f>IF(E65&gt;0,1,0)</f>
        <v>0</v>
      </c>
      <c r="G65" s="53">
        <f>SUM(F64:F65)</f>
        <v>0</v>
      </c>
      <c r="H65" s="53">
        <f>IF(G65=1,IF(F64=1,1,-1),G65)</f>
        <v>0</v>
      </c>
      <c r="I65" s="53" t="str">
        <f>VLOOKUP(H65,codes,2,)</f>
        <v>dd</v>
      </c>
      <c r="J65" s="53"/>
    </row>
    <row r="66" spans="1:10" x14ac:dyDescent="0.25">
      <c r="A66" s="93">
        <v>40667</v>
      </c>
      <c r="B66" s="35">
        <f>C66+(D66-2009)*12</f>
        <v>29</v>
      </c>
      <c r="C66" s="76">
        <v>5</v>
      </c>
      <c r="D66" s="76">
        <v>2011</v>
      </c>
      <c r="E66" s="56">
        <v>0</v>
      </c>
      <c r="F66" s="53">
        <f>IF(E66&gt;0,1,0)</f>
        <v>0</v>
      </c>
      <c r="G66" s="53">
        <f>SUM(F65:F66)</f>
        <v>0</v>
      </c>
      <c r="H66" s="53">
        <f>IF(G66=1,IF(F65=1,1,-1),G66)</f>
        <v>0</v>
      </c>
      <c r="I66" s="53" t="str">
        <f>VLOOKUP(H66,codes,2,)</f>
        <v>dd</v>
      </c>
      <c r="J66" s="53"/>
    </row>
    <row r="67" spans="1:10" x14ac:dyDescent="0.25">
      <c r="A67" s="93">
        <v>40668</v>
      </c>
      <c r="B67" s="35">
        <f>C67+(D67-2009)*12</f>
        <v>29</v>
      </c>
      <c r="C67" s="76">
        <v>5</v>
      </c>
      <c r="D67" s="76">
        <v>2011</v>
      </c>
      <c r="E67" s="56">
        <v>0</v>
      </c>
      <c r="F67" s="53">
        <f>IF(E67&gt;0,1,0)</f>
        <v>0</v>
      </c>
      <c r="G67" s="53">
        <f>SUM(F66:F67)</f>
        <v>0</v>
      </c>
      <c r="H67" s="53">
        <f>IF(G67=1,IF(F66=1,1,-1),G67)</f>
        <v>0</v>
      </c>
      <c r="I67" s="53" t="str">
        <f>VLOOKUP(H67,codes,2,)</f>
        <v>dd</v>
      </c>
      <c r="J67" s="53"/>
    </row>
    <row r="68" spans="1:10" x14ac:dyDescent="0.25">
      <c r="A68" s="93">
        <v>40669</v>
      </c>
      <c r="B68" s="35">
        <f>C68+(D68-2009)*12</f>
        <v>29</v>
      </c>
      <c r="C68" s="76">
        <v>5</v>
      </c>
      <c r="D68" s="76">
        <v>2011</v>
      </c>
      <c r="E68" s="56">
        <v>0.26666666666666666</v>
      </c>
      <c r="F68" s="53">
        <f>IF(E68&gt;0,1,0)</f>
        <v>1</v>
      </c>
      <c r="G68" s="53">
        <f>SUM(F67:F68)</f>
        <v>1</v>
      </c>
      <c r="H68" s="53">
        <f>IF(G68=1,IF(F67=1,1,-1),G68)</f>
        <v>-1</v>
      </c>
      <c r="I68" s="53" t="str">
        <f>VLOOKUP(H68,codes,2,)</f>
        <v>dw</v>
      </c>
      <c r="J68" s="53"/>
    </row>
    <row r="69" spans="1:10" x14ac:dyDescent="0.25">
      <c r="A69" s="93">
        <v>40670</v>
      </c>
      <c r="B69" s="35">
        <f>C69+(D69-2009)*12</f>
        <v>29</v>
      </c>
      <c r="C69" s="76">
        <v>5</v>
      </c>
      <c r="D69" s="76">
        <v>2011</v>
      </c>
      <c r="E69" s="56">
        <v>0</v>
      </c>
      <c r="F69" s="53">
        <f>IF(E69&gt;0,1,0)</f>
        <v>0</v>
      </c>
      <c r="G69" s="53">
        <f>SUM(F68:F69)</f>
        <v>1</v>
      </c>
      <c r="H69" s="53">
        <f>IF(G69=1,IF(F68=1,1,-1),G69)</f>
        <v>1</v>
      </c>
      <c r="I69" s="53" t="str">
        <f>VLOOKUP(H69,codes,2,)</f>
        <v>wd</v>
      </c>
      <c r="J69" s="53"/>
    </row>
    <row r="70" spans="1:10" x14ac:dyDescent="0.25">
      <c r="A70" s="93">
        <v>40671</v>
      </c>
      <c r="B70" s="35">
        <f>C70+(D70-2009)*12</f>
        <v>29</v>
      </c>
      <c r="C70" s="76">
        <v>5</v>
      </c>
      <c r="D70" s="76">
        <v>2011</v>
      </c>
      <c r="E70" s="56">
        <v>15.533333333333331</v>
      </c>
      <c r="F70" s="53">
        <f>IF(E70&gt;0,1,0)</f>
        <v>1</v>
      </c>
      <c r="G70" s="53">
        <f>SUM(F69:F70)</f>
        <v>1</v>
      </c>
      <c r="H70" s="53">
        <f>IF(G70=1,IF(F69=1,1,-1),G70)</f>
        <v>-1</v>
      </c>
      <c r="I70" s="53" t="str">
        <f>VLOOKUP(H70,codes,2,)</f>
        <v>dw</v>
      </c>
      <c r="J70" s="53"/>
    </row>
    <row r="71" spans="1:10" x14ac:dyDescent="0.25">
      <c r="A71" s="93">
        <v>40672</v>
      </c>
      <c r="B71" s="35">
        <f>C71+(D71-2009)*12</f>
        <v>29</v>
      </c>
      <c r="C71" s="76">
        <v>5</v>
      </c>
      <c r="D71" s="76">
        <v>2011</v>
      </c>
      <c r="E71" s="56">
        <v>1.5999999999999999</v>
      </c>
      <c r="F71" s="53">
        <f>IF(E71&gt;0,1,0)</f>
        <v>1</v>
      </c>
      <c r="G71" s="53">
        <f>SUM(F70:F71)</f>
        <v>2</v>
      </c>
      <c r="H71" s="53">
        <f>IF(G71=1,IF(F70=1,1,-1),G71)</f>
        <v>2</v>
      </c>
      <c r="I71" s="53" t="str">
        <f>VLOOKUP(H71,codes,2,)</f>
        <v>ww</v>
      </c>
      <c r="J71" s="53"/>
    </row>
    <row r="72" spans="1:10" x14ac:dyDescent="0.25">
      <c r="A72" s="93">
        <v>40673</v>
      </c>
      <c r="B72" s="35">
        <f>C72+(D72-2009)*12</f>
        <v>29</v>
      </c>
      <c r="C72" s="76">
        <v>5</v>
      </c>
      <c r="D72" s="76">
        <v>2011</v>
      </c>
      <c r="E72" s="56">
        <v>1.4666666666666668</v>
      </c>
      <c r="F72" s="53">
        <f>IF(E72&gt;0,1,0)</f>
        <v>1</v>
      </c>
      <c r="G72" s="53">
        <f>SUM(F71:F72)</f>
        <v>2</v>
      </c>
      <c r="H72" s="53">
        <f>IF(G72=1,IF(F71=1,1,-1),G72)</f>
        <v>2</v>
      </c>
      <c r="I72" s="53" t="str">
        <f>VLOOKUP(H72,codes,2,)</f>
        <v>ww</v>
      </c>
      <c r="J72" s="53"/>
    </row>
    <row r="73" spans="1:10" x14ac:dyDescent="0.25">
      <c r="A73" s="93">
        <v>40674</v>
      </c>
      <c r="B73" s="35">
        <f>C73+(D73-2009)*12</f>
        <v>29</v>
      </c>
      <c r="C73" s="76">
        <v>5</v>
      </c>
      <c r="D73" s="76">
        <v>2011</v>
      </c>
      <c r="E73" s="56">
        <v>0.13333333333333333</v>
      </c>
      <c r="F73" s="53">
        <f>IF(E73&gt;0,1,0)</f>
        <v>1</v>
      </c>
      <c r="G73" s="53">
        <f>SUM(F72:F73)</f>
        <v>2</v>
      </c>
      <c r="H73" s="53">
        <f>IF(G73=1,IF(F72=1,1,-1),G73)</f>
        <v>2</v>
      </c>
      <c r="I73" s="53" t="str">
        <f>VLOOKUP(H73,codes,2,)</f>
        <v>ww</v>
      </c>
      <c r="J73" s="53"/>
    </row>
    <row r="74" spans="1:10" x14ac:dyDescent="0.25">
      <c r="A74" s="93">
        <v>40675</v>
      </c>
      <c r="B74" s="35">
        <f>C74+(D74-2009)*12</f>
        <v>29</v>
      </c>
      <c r="C74" s="76">
        <v>5</v>
      </c>
      <c r="D74" s="76">
        <v>2011</v>
      </c>
      <c r="E74" s="56">
        <v>0.13333333333333333</v>
      </c>
      <c r="F74" s="53">
        <f>IF(E74&gt;0,1,0)</f>
        <v>1</v>
      </c>
      <c r="G74" s="53">
        <f>SUM(F73:F74)</f>
        <v>2</v>
      </c>
      <c r="H74" s="53">
        <f>IF(G74=1,IF(F73=1,1,-1),G74)</f>
        <v>2</v>
      </c>
      <c r="I74" s="53" t="str">
        <f>VLOOKUP(H74,codes,2,)</f>
        <v>ww</v>
      </c>
      <c r="J74" s="53"/>
    </row>
    <row r="75" spans="1:10" x14ac:dyDescent="0.25">
      <c r="A75" s="93">
        <v>40676</v>
      </c>
      <c r="B75" s="35">
        <f>C75+(D75-2009)*12</f>
        <v>29</v>
      </c>
      <c r="C75" s="76">
        <v>5</v>
      </c>
      <c r="D75" s="76">
        <v>2011</v>
      </c>
      <c r="E75" s="56">
        <v>0.20000000000000004</v>
      </c>
      <c r="F75" s="53">
        <f>IF(E75&gt;0,1,0)</f>
        <v>1</v>
      </c>
      <c r="G75" s="53">
        <f>SUM(F74:F75)</f>
        <v>2</v>
      </c>
      <c r="H75" s="53">
        <f>IF(G75=1,IF(F74=1,1,-1),G75)</f>
        <v>2</v>
      </c>
      <c r="I75" s="53" t="str">
        <f>VLOOKUP(H75,codes,2,)</f>
        <v>ww</v>
      </c>
      <c r="J75" s="53"/>
    </row>
    <row r="76" spans="1:10" x14ac:dyDescent="0.25">
      <c r="A76" s="93">
        <v>40677</v>
      </c>
      <c r="B76" s="35">
        <f>C76+(D76-2009)*12</f>
        <v>29</v>
      </c>
      <c r="C76" s="76">
        <v>5</v>
      </c>
      <c r="D76" s="76">
        <v>2011</v>
      </c>
      <c r="E76" s="56">
        <v>1.1333333333333333</v>
      </c>
      <c r="F76" s="53">
        <f>IF(E76&gt;0,1,0)</f>
        <v>1</v>
      </c>
      <c r="G76" s="53">
        <f>SUM(F75:F76)</f>
        <v>2</v>
      </c>
      <c r="H76" s="53">
        <f>IF(G76=1,IF(F75=1,1,-1),G76)</f>
        <v>2</v>
      </c>
      <c r="I76" s="53" t="str">
        <f>VLOOKUP(H76,codes,2,)</f>
        <v>ww</v>
      </c>
      <c r="J76" s="53"/>
    </row>
    <row r="77" spans="1:10" x14ac:dyDescent="0.25">
      <c r="A77" s="93">
        <v>40678</v>
      </c>
      <c r="B77" s="35">
        <f>C77+(D77-2009)*12</f>
        <v>29</v>
      </c>
      <c r="C77" s="76">
        <v>5</v>
      </c>
      <c r="D77" s="76">
        <v>2011</v>
      </c>
      <c r="E77" s="56">
        <v>0.33333333333333331</v>
      </c>
      <c r="F77" s="53">
        <f>IF(E77&gt;0,1,0)</f>
        <v>1</v>
      </c>
      <c r="G77" s="53">
        <f>SUM(F76:F77)</f>
        <v>2</v>
      </c>
      <c r="H77" s="53">
        <f>IF(G77=1,IF(F76=1,1,-1),G77)</f>
        <v>2</v>
      </c>
      <c r="I77" s="53" t="str">
        <f>VLOOKUP(H77,codes,2,)</f>
        <v>ww</v>
      </c>
      <c r="J77" s="53"/>
    </row>
    <row r="78" spans="1:10" x14ac:dyDescent="0.25">
      <c r="A78" s="93">
        <v>40679</v>
      </c>
      <c r="B78" s="35">
        <f>C78+(D78-2009)*12</f>
        <v>29</v>
      </c>
      <c r="C78" s="76">
        <v>5</v>
      </c>
      <c r="D78" s="76">
        <v>2011</v>
      </c>
      <c r="E78" s="56">
        <v>0</v>
      </c>
      <c r="F78" s="53">
        <f>IF(E78&gt;0,1,0)</f>
        <v>0</v>
      </c>
      <c r="G78" s="53">
        <f>SUM(F77:F78)</f>
        <v>1</v>
      </c>
      <c r="H78" s="53">
        <f>IF(G78=1,IF(F77=1,1,-1),G78)</f>
        <v>1</v>
      </c>
      <c r="I78" s="53" t="str">
        <f>VLOOKUP(H78,codes,2,)</f>
        <v>wd</v>
      </c>
      <c r="J78" s="53"/>
    </row>
    <row r="79" spans="1:10" x14ac:dyDescent="0.25">
      <c r="A79" s="93">
        <v>40680</v>
      </c>
      <c r="B79" s="35">
        <f>C79+(D79-2009)*12</f>
        <v>29</v>
      </c>
      <c r="C79" s="76">
        <v>5</v>
      </c>
      <c r="D79" s="76">
        <v>2011</v>
      </c>
      <c r="E79" s="56">
        <v>6.6666666666666666E-2</v>
      </c>
      <c r="F79" s="53">
        <f>IF(E79&gt;0,1,0)</f>
        <v>1</v>
      </c>
      <c r="G79" s="53">
        <f>SUM(F78:F79)</f>
        <v>1</v>
      </c>
      <c r="H79" s="53">
        <f>IF(G79=1,IF(F78=1,1,-1),G79)</f>
        <v>-1</v>
      </c>
      <c r="I79" s="53" t="str">
        <f>VLOOKUP(H79,codes,2,)</f>
        <v>dw</v>
      </c>
      <c r="J79" s="53"/>
    </row>
    <row r="80" spans="1:10" x14ac:dyDescent="0.25">
      <c r="A80" s="93">
        <v>40681</v>
      </c>
      <c r="B80" s="35">
        <f>C80+(D80-2009)*12</f>
        <v>29</v>
      </c>
      <c r="C80" s="76">
        <v>5</v>
      </c>
      <c r="D80" s="76">
        <v>2011</v>
      </c>
      <c r="E80" s="56">
        <v>0.39999999999999997</v>
      </c>
      <c r="F80" s="53">
        <f>IF(E80&gt;0,1,0)</f>
        <v>1</v>
      </c>
      <c r="G80" s="53">
        <f>SUM(F79:F80)</f>
        <v>2</v>
      </c>
      <c r="H80" s="53">
        <f>IF(G80=1,IF(F79=1,1,-1),G80)</f>
        <v>2</v>
      </c>
      <c r="I80" s="53" t="str">
        <f>VLOOKUP(H80,codes,2,)</f>
        <v>ww</v>
      </c>
      <c r="J80" s="53"/>
    </row>
    <row r="81" spans="1:10" x14ac:dyDescent="0.25">
      <c r="A81" s="93">
        <v>40682</v>
      </c>
      <c r="B81" s="35">
        <f>C81+(D81-2009)*12</f>
        <v>29</v>
      </c>
      <c r="C81" s="76">
        <v>5</v>
      </c>
      <c r="D81" s="76">
        <v>2011</v>
      </c>
      <c r="E81" s="56">
        <v>0</v>
      </c>
      <c r="F81" s="53">
        <f>IF(E81&gt;0,1,0)</f>
        <v>0</v>
      </c>
      <c r="G81" s="53">
        <f>SUM(F80:F81)</f>
        <v>1</v>
      </c>
      <c r="H81" s="53">
        <f>IF(G81=1,IF(F80=1,1,-1),G81)</f>
        <v>1</v>
      </c>
      <c r="I81" s="53" t="str">
        <f>VLOOKUP(H81,codes,2,)</f>
        <v>wd</v>
      </c>
      <c r="J81" s="53"/>
    </row>
    <row r="82" spans="1:10" x14ac:dyDescent="0.25">
      <c r="A82" s="93">
        <v>40683</v>
      </c>
      <c r="B82" s="35">
        <f>C82+(D82-2009)*12</f>
        <v>29</v>
      </c>
      <c r="C82" s="76">
        <v>5</v>
      </c>
      <c r="D82" s="76">
        <v>2011</v>
      </c>
      <c r="E82" s="56">
        <v>0</v>
      </c>
      <c r="F82" s="53">
        <f>IF(E82&gt;0,1,0)</f>
        <v>0</v>
      </c>
      <c r="G82" s="53">
        <f>SUM(F81:F82)</f>
        <v>0</v>
      </c>
      <c r="H82" s="53">
        <f>IF(G82=1,IF(F81=1,1,-1),G82)</f>
        <v>0</v>
      </c>
      <c r="I82" s="53" t="str">
        <f>VLOOKUP(H82,codes,2,)</f>
        <v>dd</v>
      </c>
      <c r="J82" s="53"/>
    </row>
    <row r="83" spans="1:10" x14ac:dyDescent="0.25">
      <c r="A83" s="93">
        <v>40684</v>
      </c>
      <c r="B83" s="35">
        <f>C83+(D83-2009)*12</f>
        <v>29</v>
      </c>
      <c r="C83" s="76">
        <v>5</v>
      </c>
      <c r="D83" s="76">
        <v>2011</v>
      </c>
      <c r="E83" s="56">
        <v>0</v>
      </c>
      <c r="F83" s="53">
        <f>IF(E83&gt;0,1,0)</f>
        <v>0</v>
      </c>
      <c r="G83" s="53">
        <f>SUM(F82:F83)</f>
        <v>0</v>
      </c>
      <c r="H83" s="53">
        <f>IF(G83=1,IF(F82=1,1,-1),G83)</f>
        <v>0</v>
      </c>
      <c r="I83" s="53" t="str">
        <f>VLOOKUP(H83,codes,2,)</f>
        <v>dd</v>
      </c>
      <c r="J83" s="53"/>
    </row>
    <row r="84" spans="1:10" x14ac:dyDescent="0.25">
      <c r="A84" s="93">
        <v>40685</v>
      </c>
      <c r="B84" s="35">
        <f>C84+(D84-2009)*12</f>
        <v>29</v>
      </c>
      <c r="C84" s="76">
        <v>5</v>
      </c>
      <c r="D84" s="76">
        <v>2011</v>
      </c>
      <c r="E84" s="56">
        <v>1.9333333333333333</v>
      </c>
      <c r="F84" s="53">
        <f>IF(E84&gt;0,1,0)</f>
        <v>1</v>
      </c>
      <c r="G84" s="53">
        <f>SUM(F83:F84)</f>
        <v>1</v>
      </c>
      <c r="H84" s="53">
        <f>IF(G84=1,IF(F83=1,1,-1),G84)</f>
        <v>-1</v>
      </c>
      <c r="I84" s="53" t="str">
        <f>VLOOKUP(H84,codes,2,)</f>
        <v>dw</v>
      </c>
      <c r="J84" s="53"/>
    </row>
    <row r="85" spans="1:10" x14ac:dyDescent="0.25">
      <c r="A85" s="93">
        <v>40686</v>
      </c>
      <c r="B85" s="35">
        <f>C85+(D85-2009)*12</f>
        <v>29</v>
      </c>
      <c r="C85" s="76">
        <v>5</v>
      </c>
      <c r="D85" s="76">
        <v>2011</v>
      </c>
      <c r="E85" s="56">
        <v>6.6666666666666666E-2</v>
      </c>
      <c r="F85" s="53">
        <f>IF(E85&gt;0,1,0)</f>
        <v>1</v>
      </c>
      <c r="G85" s="53">
        <f>SUM(F84:F85)</f>
        <v>2</v>
      </c>
      <c r="H85" s="53">
        <f>IF(G85=1,IF(F84=1,1,-1),G85)</f>
        <v>2</v>
      </c>
      <c r="I85" s="53" t="str">
        <f>VLOOKUP(H85,codes,2,)</f>
        <v>ww</v>
      </c>
      <c r="J85" s="53"/>
    </row>
    <row r="86" spans="1:10" x14ac:dyDescent="0.25">
      <c r="A86" s="93">
        <v>40687</v>
      </c>
      <c r="B86" s="35">
        <f>C86+(D86-2009)*12</f>
        <v>29</v>
      </c>
      <c r="C86" s="76">
        <v>5</v>
      </c>
      <c r="D86" s="76">
        <v>2011</v>
      </c>
      <c r="E86" s="56">
        <v>1.6666666666666667</v>
      </c>
      <c r="F86" s="53">
        <f>IF(E86&gt;0,1,0)</f>
        <v>1</v>
      </c>
      <c r="G86" s="53">
        <f>SUM(F85:F86)</f>
        <v>2</v>
      </c>
      <c r="H86" s="53">
        <f>IF(G86=1,IF(F85=1,1,-1),G86)</f>
        <v>2</v>
      </c>
      <c r="I86" s="53" t="str">
        <f>VLOOKUP(H86,codes,2,)</f>
        <v>ww</v>
      </c>
      <c r="J86" s="53"/>
    </row>
    <row r="87" spans="1:10" x14ac:dyDescent="0.25">
      <c r="A87" s="93">
        <v>40688</v>
      </c>
      <c r="B87" s="35">
        <f>C87+(D87-2009)*12</f>
        <v>29</v>
      </c>
      <c r="C87" s="76">
        <v>5</v>
      </c>
      <c r="D87" s="76">
        <v>2011</v>
      </c>
      <c r="E87" s="56">
        <v>1.7333333333333334</v>
      </c>
      <c r="F87" s="53">
        <f>IF(E87&gt;0,1,0)</f>
        <v>1</v>
      </c>
      <c r="G87" s="53">
        <f>SUM(F86:F87)</f>
        <v>2</v>
      </c>
      <c r="H87" s="53">
        <f>IF(G87=1,IF(F86=1,1,-1),G87)</f>
        <v>2</v>
      </c>
      <c r="I87" s="53" t="str">
        <f>VLOOKUP(H87,codes,2,)</f>
        <v>ww</v>
      </c>
      <c r="J87" s="53"/>
    </row>
    <row r="88" spans="1:10" x14ac:dyDescent="0.25">
      <c r="A88" s="93">
        <v>40689</v>
      </c>
      <c r="B88" s="35">
        <f>C88+(D88-2009)*12</f>
        <v>29</v>
      </c>
      <c r="C88" s="76">
        <v>5</v>
      </c>
      <c r="D88" s="76">
        <v>2011</v>
      </c>
      <c r="E88" s="56">
        <v>0</v>
      </c>
      <c r="F88" s="53">
        <f>IF(E88&gt;0,1,0)</f>
        <v>0</v>
      </c>
      <c r="G88" s="53">
        <f>SUM(F87:F88)</f>
        <v>1</v>
      </c>
      <c r="H88" s="53">
        <f>IF(G88=1,IF(F87=1,1,-1),G88)</f>
        <v>1</v>
      </c>
      <c r="I88" s="53" t="str">
        <f>VLOOKUP(H88,codes,2,)</f>
        <v>wd</v>
      </c>
      <c r="J88" s="53"/>
    </row>
    <row r="89" spans="1:10" x14ac:dyDescent="0.25">
      <c r="A89" s="93">
        <v>40690</v>
      </c>
      <c r="B89" s="35">
        <f>C89+(D89-2009)*12</f>
        <v>29</v>
      </c>
      <c r="C89" s="76">
        <v>5</v>
      </c>
      <c r="D89" s="76">
        <v>2011</v>
      </c>
      <c r="E89" s="56">
        <v>2.7333333333333338</v>
      </c>
      <c r="F89" s="53">
        <f>IF(E89&gt;0,1,0)</f>
        <v>1</v>
      </c>
      <c r="G89" s="53">
        <f>SUM(F88:F89)</f>
        <v>1</v>
      </c>
      <c r="H89" s="53">
        <f>IF(G89=1,IF(F88=1,1,-1),G89)</f>
        <v>-1</v>
      </c>
      <c r="I89" s="53" t="str">
        <f>VLOOKUP(H89,codes,2,)</f>
        <v>dw</v>
      </c>
      <c r="J89" s="53"/>
    </row>
    <row r="90" spans="1:10" x14ac:dyDescent="0.25">
      <c r="A90" s="93">
        <v>40691</v>
      </c>
      <c r="B90" s="35">
        <f>C90+(D90-2009)*12</f>
        <v>29</v>
      </c>
      <c r="C90" s="76">
        <v>5</v>
      </c>
      <c r="D90" s="76">
        <v>2011</v>
      </c>
      <c r="E90" s="56">
        <v>0.26666666666666666</v>
      </c>
      <c r="F90" s="53">
        <f>IF(E90&gt;0,1,0)</f>
        <v>1</v>
      </c>
      <c r="G90" s="53">
        <f>SUM(F89:F90)</f>
        <v>2</v>
      </c>
      <c r="H90" s="53">
        <f>IF(G90=1,IF(F89=1,1,-1),G90)</f>
        <v>2</v>
      </c>
      <c r="I90" s="53" t="str">
        <f>VLOOKUP(H90,codes,2,)</f>
        <v>ww</v>
      </c>
      <c r="J90" s="53"/>
    </row>
    <row r="91" spans="1:10" x14ac:dyDescent="0.25">
      <c r="A91" s="93">
        <v>40692</v>
      </c>
      <c r="B91" s="35">
        <f>C91+(D91-2009)*12</f>
        <v>29</v>
      </c>
      <c r="C91" s="76">
        <v>5</v>
      </c>
      <c r="D91" s="76">
        <v>2011</v>
      </c>
      <c r="E91" s="56">
        <v>0</v>
      </c>
      <c r="F91" s="53">
        <f>IF(E91&gt;0,1,0)</f>
        <v>0</v>
      </c>
      <c r="G91" s="53">
        <f>SUM(F90:F91)</f>
        <v>1</v>
      </c>
      <c r="H91" s="53">
        <f>IF(G91=1,IF(F90=1,1,-1),G91)</f>
        <v>1</v>
      </c>
      <c r="I91" s="53" t="str">
        <f>VLOOKUP(H91,codes,2,)</f>
        <v>wd</v>
      </c>
      <c r="J91" s="53"/>
    </row>
    <row r="92" spans="1:10" x14ac:dyDescent="0.25">
      <c r="A92" s="93">
        <v>40693</v>
      </c>
      <c r="B92" s="35">
        <f>C92+(D92-2009)*12</f>
        <v>29</v>
      </c>
      <c r="C92" s="76">
        <v>5</v>
      </c>
      <c r="D92" s="76">
        <v>2011</v>
      </c>
      <c r="E92" s="56">
        <v>0.20000000000000004</v>
      </c>
      <c r="F92" s="53">
        <f>IF(E92&gt;0,1,0)</f>
        <v>1</v>
      </c>
      <c r="G92" s="53">
        <f>SUM(F91:F92)</f>
        <v>1</v>
      </c>
      <c r="H92" s="53">
        <f>IF(G92=1,IF(F91=1,1,-1),G92)</f>
        <v>-1</v>
      </c>
      <c r="I92" s="53" t="str">
        <f>VLOOKUP(H92,codes,2,)</f>
        <v>dw</v>
      </c>
      <c r="J92" s="53"/>
    </row>
    <row r="93" spans="1:10" x14ac:dyDescent="0.25">
      <c r="A93" s="93">
        <v>40694</v>
      </c>
      <c r="B93" s="35">
        <f>C93+(D93-2009)*12</f>
        <v>29</v>
      </c>
      <c r="C93" s="76">
        <v>5</v>
      </c>
      <c r="D93" s="76">
        <v>2011</v>
      </c>
      <c r="E93" s="56">
        <v>0.33333333333333331</v>
      </c>
      <c r="F93" s="53">
        <f>IF(E93&gt;0,1,0)</f>
        <v>1</v>
      </c>
      <c r="G93" s="53">
        <f>SUM(F92:F93)</f>
        <v>2</v>
      </c>
      <c r="H93" s="53">
        <f>IF(G93=1,IF(F92=1,1,-1),G93)</f>
        <v>2</v>
      </c>
      <c r="I93" s="53" t="str">
        <f>VLOOKUP(H93,codes,2,)</f>
        <v>ww</v>
      </c>
      <c r="J93" s="53"/>
    </row>
    <row r="94" spans="1:10" x14ac:dyDescent="0.25">
      <c r="A94" s="93">
        <v>40695</v>
      </c>
      <c r="B94" s="35">
        <f>C94+(D94-2009)*12</f>
        <v>29</v>
      </c>
      <c r="C94" s="76">
        <v>5</v>
      </c>
      <c r="D94" s="76">
        <v>2011</v>
      </c>
      <c r="E94" s="56">
        <v>0</v>
      </c>
      <c r="F94" s="53">
        <f>IF(E94&gt;0,1,0)</f>
        <v>0</v>
      </c>
      <c r="G94" s="53">
        <f>SUM(F93:F94)</f>
        <v>1</v>
      </c>
      <c r="H94" s="53">
        <f>IF(G94=1,IF(F93=1,1,-1),G94)</f>
        <v>1</v>
      </c>
      <c r="I94" s="53" t="str">
        <f>VLOOKUP(H94,codes,2,)</f>
        <v>wd</v>
      </c>
      <c r="J94" s="53"/>
    </row>
    <row r="95" spans="1:10" x14ac:dyDescent="0.25">
      <c r="A95" s="93">
        <v>41031</v>
      </c>
      <c r="B95" s="35">
        <f>C95+(D95-2009)*12</f>
        <v>41</v>
      </c>
      <c r="C95" s="76">
        <v>5</v>
      </c>
      <c r="D95" s="76">
        <v>2012</v>
      </c>
      <c r="E95" s="56">
        <v>0.33333333333333331</v>
      </c>
      <c r="F95" s="53">
        <f>IF(E95&gt;0,1,0)</f>
        <v>1</v>
      </c>
      <c r="G95" s="53">
        <f>SUM(F94:F95)</f>
        <v>1</v>
      </c>
      <c r="H95" s="53">
        <f>IF(G95=1,IF(F94=1,1,-1),G95)</f>
        <v>-1</v>
      </c>
      <c r="I95" s="53" t="str">
        <f>VLOOKUP(H95,codes,2,)</f>
        <v>dw</v>
      </c>
      <c r="J95" s="53"/>
    </row>
    <row r="96" spans="1:10" x14ac:dyDescent="0.25">
      <c r="A96" s="93">
        <v>41032</v>
      </c>
      <c r="B96" s="35">
        <f>C96+(D96-2009)*12</f>
        <v>41</v>
      </c>
      <c r="C96" s="76">
        <v>5</v>
      </c>
      <c r="D96" s="76">
        <v>2012</v>
      </c>
      <c r="E96" s="56">
        <v>0</v>
      </c>
      <c r="F96" s="53">
        <f>IF(E96&gt;0,1,0)</f>
        <v>0</v>
      </c>
      <c r="G96" s="53">
        <f>SUM(F95:F96)</f>
        <v>1</v>
      </c>
      <c r="H96" s="53">
        <f>IF(G96=1,IF(F95=1,1,-1),G96)</f>
        <v>1</v>
      </c>
      <c r="I96" s="53" t="str">
        <f>VLOOKUP(H96,codes,2,)</f>
        <v>wd</v>
      </c>
      <c r="J96" s="53"/>
    </row>
    <row r="97" spans="1:10" x14ac:dyDescent="0.25">
      <c r="A97" s="93">
        <v>41033</v>
      </c>
      <c r="B97" s="35">
        <f>C97+(D97-2009)*12</f>
        <v>41</v>
      </c>
      <c r="C97" s="76">
        <v>5</v>
      </c>
      <c r="D97" s="76">
        <v>2012</v>
      </c>
      <c r="E97" s="56">
        <v>0.26666666666666666</v>
      </c>
      <c r="F97" s="53">
        <f>IF(E97&gt;0,1,0)</f>
        <v>1</v>
      </c>
      <c r="G97" s="53">
        <f>SUM(F96:F97)</f>
        <v>1</v>
      </c>
      <c r="H97" s="53">
        <f>IF(G97=1,IF(F96=1,1,-1),G97)</f>
        <v>-1</v>
      </c>
      <c r="I97" s="53" t="str">
        <f>VLOOKUP(H97,codes,2,)</f>
        <v>dw</v>
      </c>
      <c r="J97" s="53"/>
    </row>
    <row r="98" spans="1:10" x14ac:dyDescent="0.25">
      <c r="A98" s="93">
        <v>41034</v>
      </c>
      <c r="B98" s="35">
        <f>C98+(D98-2009)*12</f>
        <v>41</v>
      </c>
      <c r="C98" s="76">
        <v>5</v>
      </c>
      <c r="D98" s="76">
        <v>2012</v>
      </c>
      <c r="E98" s="56">
        <v>0.33333333333333331</v>
      </c>
      <c r="F98" s="53">
        <f>IF(E98&gt;0,1,0)</f>
        <v>1</v>
      </c>
      <c r="G98" s="53">
        <f>SUM(F97:F98)</f>
        <v>2</v>
      </c>
      <c r="H98" s="53">
        <f>IF(G98=1,IF(F97=1,1,-1),G98)</f>
        <v>2</v>
      </c>
      <c r="I98" s="53" t="str">
        <f>VLOOKUP(H98,codes,2,)</f>
        <v>ww</v>
      </c>
      <c r="J98" s="53"/>
    </row>
    <row r="99" spans="1:10" x14ac:dyDescent="0.25">
      <c r="A99" s="93">
        <v>41035</v>
      </c>
      <c r="B99" s="35">
        <f>C99+(D99-2009)*12</f>
        <v>41</v>
      </c>
      <c r="C99" s="76">
        <v>5</v>
      </c>
      <c r="D99" s="76">
        <v>2012</v>
      </c>
      <c r="E99" s="56">
        <v>0</v>
      </c>
      <c r="F99" s="53">
        <f>IF(E99&gt;0,1,0)</f>
        <v>0</v>
      </c>
      <c r="G99" s="53">
        <f>SUM(F98:F99)</f>
        <v>1</v>
      </c>
      <c r="H99" s="53">
        <f>IF(G99=1,IF(F98=1,1,-1),G99)</f>
        <v>1</v>
      </c>
      <c r="I99" s="53" t="str">
        <f>VLOOKUP(H99,codes,2,)</f>
        <v>wd</v>
      </c>
      <c r="J99" s="53"/>
    </row>
    <row r="100" spans="1:10" x14ac:dyDescent="0.25">
      <c r="A100" s="93">
        <v>41036</v>
      </c>
      <c r="B100" s="35">
        <f>C100+(D100-2009)*12</f>
        <v>41</v>
      </c>
      <c r="C100" s="76">
        <v>5</v>
      </c>
      <c r="D100" s="76">
        <v>2012</v>
      </c>
      <c r="E100" s="56">
        <v>0</v>
      </c>
      <c r="F100" s="53">
        <f>IF(E100&gt;0,1,0)</f>
        <v>0</v>
      </c>
      <c r="G100" s="53">
        <f>SUM(F99:F100)</f>
        <v>0</v>
      </c>
      <c r="H100" s="53">
        <f>IF(G100=1,IF(F99=1,1,-1),G100)</f>
        <v>0</v>
      </c>
      <c r="I100" s="53" t="str">
        <f>VLOOKUP(H100,codes,2,)</f>
        <v>dd</v>
      </c>
      <c r="J100" s="53"/>
    </row>
    <row r="101" spans="1:10" x14ac:dyDescent="0.25">
      <c r="A101" s="93">
        <v>41037</v>
      </c>
      <c r="B101" s="35">
        <f>C101+(D101-2009)*12</f>
        <v>41</v>
      </c>
      <c r="C101" s="76">
        <v>5</v>
      </c>
      <c r="D101" s="76">
        <v>2012</v>
      </c>
      <c r="E101" s="56">
        <v>4.8666666666666671</v>
      </c>
      <c r="F101" s="53">
        <f>IF(E101&gt;0,1,0)</f>
        <v>1</v>
      </c>
      <c r="G101" s="53">
        <f>SUM(F100:F101)</f>
        <v>1</v>
      </c>
      <c r="H101" s="53">
        <f>IF(G101=1,IF(F100=1,1,-1),G101)</f>
        <v>-1</v>
      </c>
      <c r="I101" s="53" t="str">
        <f>VLOOKUP(H101,codes,2,)</f>
        <v>dw</v>
      </c>
      <c r="J101" s="53"/>
    </row>
    <row r="102" spans="1:10" x14ac:dyDescent="0.25">
      <c r="A102" s="93">
        <v>41038</v>
      </c>
      <c r="B102" s="35">
        <f>C102+(D102-2009)*12</f>
        <v>41</v>
      </c>
      <c r="C102" s="76">
        <v>5</v>
      </c>
      <c r="D102" s="76">
        <v>2012</v>
      </c>
      <c r="E102" s="56">
        <v>0.66666666666666663</v>
      </c>
      <c r="F102" s="53">
        <f>IF(E102&gt;0,1,0)</f>
        <v>1</v>
      </c>
      <c r="G102" s="53">
        <f>SUM(F101:F102)</f>
        <v>2</v>
      </c>
      <c r="H102" s="53">
        <f>IF(G102=1,IF(F101=1,1,-1),G102)</f>
        <v>2</v>
      </c>
      <c r="I102" s="53" t="str">
        <f>VLOOKUP(H102,codes,2,)</f>
        <v>ww</v>
      </c>
      <c r="J102" s="53"/>
    </row>
    <row r="103" spans="1:10" x14ac:dyDescent="0.25">
      <c r="A103" s="93">
        <v>41039</v>
      </c>
      <c r="B103" s="35">
        <f>C103+(D103-2009)*12</f>
        <v>41</v>
      </c>
      <c r="C103" s="76">
        <v>5</v>
      </c>
      <c r="D103" s="76">
        <v>2012</v>
      </c>
      <c r="E103" s="56">
        <v>14.266666666666666</v>
      </c>
      <c r="F103" s="53">
        <f>IF(E103&gt;0,1,0)</f>
        <v>1</v>
      </c>
      <c r="G103" s="53">
        <f>SUM(F102:F103)</f>
        <v>2</v>
      </c>
      <c r="H103" s="53">
        <f>IF(G103=1,IF(F102=1,1,-1),G103)</f>
        <v>2</v>
      </c>
      <c r="I103" s="53" t="str">
        <f>VLOOKUP(H103,codes,2,)</f>
        <v>ww</v>
      </c>
      <c r="J103" s="53"/>
    </row>
    <row r="104" spans="1:10" x14ac:dyDescent="0.25">
      <c r="A104" s="93">
        <v>41040</v>
      </c>
      <c r="B104" s="35">
        <f>C104+(D104-2009)*12</f>
        <v>41</v>
      </c>
      <c r="C104" s="76">
        <v>5</v>
      </c>
      <c r="D104" s="76">
        <v>2012</v>
      </c>
      <c r="E104" s="56">
        <v>10.933333333333332</v>
      </c>
      <c r="F104" s="53">
        <f>IF(E104&gt;0,1,0)</f>
        <v>1</v>
      </c>
      <c r="G104" s="53">
        <f>SUM(F103:F104)</f>
        <v>2</v>
      </c>
      <c r="H104" s="53">
        <f>IF(G104=1,IF(F103=1,1,-1),G104)</f>
        <v>2</v>
      </c>
      <c r="I104" s="53" t="str">
        <f>VLOOKUP(H104,codes,2,)</f>
        <v>ww</v>
      </c>
      <c r="J104" s="53"/>
    </row>
    <row r="105" spans="1:10" x14ac:dyDescent="0.25">
      <c r="A105" s="93">
        <v>41041</v>
      </c>
      <c r="B105" s="35">
        <f>C105+(D105-2009)*12</f>
        <v>41</v>
      </c>
      <c r="C105" s="76">
        <v>5</v>
      </c>
      <c r="D105" s="76">
        <v>2012</v>
      </c>
      <c r="E105" s="56">
        <v>4.1333333333333337</v>
      </c>
      <c r="F105" s="53">
        <f>IF(E105&gt;0,1,0)</f>
        <v>1</v>
      </c>
      <c r="G105" s="53">
        <f>SUM(F104:F105)</f>
        <v>2</v>
      </c>
      <c r="H105" s="53">
        <f>IF(G105=1,IF(F104=1,1,-1),G105)</f>
        <v>2</v>
      </c>
      <c r="I105" s="53" t="str">
        <f>VLOOKUP(H105,codes,2,)</f>
        <v>ww</v>
      </c>
      <c r="J105" s="53"/>
    </row>
    <row r="106" spans="1:10" x14ac:dyDescent="0.25">
      <c r="A106" s="93">
        <v>41042</v>
      </c>
      <c r="B106" s="35">
        <f>C106+(D106-2009)*12</f>
        <v>41</v>
      </c>
      <c r="C106" s="76">
        <v>5</v>
      </c>
      <c r="D106" s="76">
        <v>2012</v>
      </c>
      <c r="E106" s="56">
        <v>6.6666666666666666E-2</v>
      </c>
      <c r="F106" s="53">
        <f>IF(E106&gt;0,1,0)</f>
        <v>1</v>
      </c>
      <c r="G106" s="53">
        <f>SUM(F105:F106)</f>
        <v>2</v>
      </c>
      <c r="H106" s="53">
        <f>IF(G106=1,IF(F105=1,1,-1),G106)</f>
        <v>2</v>
      </c>
      <c r="I106" s="53" t="str">
        <f>VLOOKUP(H106,codes,2,)</f>
        <v>ww</v>
      </c>
      <c r="J106" s="53"/>
    </row>
    <row r="107" spans="1:10" x14ac:dyDescent="0.25">
      <c r="A107" s="93">
        <v>41043</v>
      </c>
      <c r="B107" s="35">
        <f>C107+(D107-2009)*12</f>
        <v>41</v>
      </c>
      <c r="C107" s="76">
        <v>5</v>
      </c>
      <c r="D107" s="76">
        <v>2012</v>
      </c>
      <c r="E107" s="56">
        <v>0.20000000000000004</v>
      </c>
      <c r="F107" s="53">
        <f>IF(E107&gt;0,1,0)</f>
        <v>1</v>
      </c>
      <c r="G107" s="53">
        <f>SUM(F106:F107)</f>
        <v>2</v>
      </c>
      <c r="H107" s="53">
        <f>IF(G107=1,IF(F106=1,1,-1),G107)</f>
        <v>2</v>
      </c>
      <c r="I107" s="53" t="str">
        <f>VLOOKUP(H107,codes,2,)</f>
        <v>ww</v>
      </c>
      <c r="J107" s="53"/>
    </row>
    <row r="108" spans="1:10" x14ac:dyDescent="0.25">
      <c r="A108" s="93">
        <v>41044</v>
      </c>
      <c r="B108" s="35">
        <f>C108+(D108-2009)*12</f>
        <v>41</v>
      </c>
      <c r="C108" s="76">
        <v>5</v>
      </c>
      <c r="D108" s="76">
        <v>2012</v>
      </c>
      <c r="E108" s="56">
        <v>4.1333333333333337</v>
      </c>
      <c r="F108" s="53">
        <f>IF(E108&gt;0,1,0)</f>
        <v>1</v>
      </c>
      <c r="G108" s="53">
        <f>SUM(F107:F108)</f>
        <v>2</v>
      </c>
      <c r="H108" s="53">
        <f>IF(G108=1,IF(F107=1,1,-1),G108)</f>
        <v>2</v>
      </c>
      <c r="I108" s="53" t="str">
        <f>VLOOKUP(H108,codes,2,)</f>
        <v>ww</v>
      </c>
      <c r="J108" s="53"/>
    </row>
    <row r="109" spans="1:10" x14ac:dyDescent="0.25">
      <c r="A109" s="93">
        <v>41045</v>
      </c>
      <c r="B109" s="35">
        <f>C109+(D109-2009)*12</f>
        <v>41</v>
      </c>
      <c r="C109" s="76">
        <v>5</v>
      </c>
      <c r="D109" s="76">
        <v>2012</v>
      </c>
      <c r="E109" s="56">
        <v>0</v>
      </c>
      <c r="F109" s="53">
        <f>IF(E109&gt;0,1,0)</f>
        <v>0</v>
      </c>
      <c r="G109" s="53">
        <f>SUM(F108:F109)</f>
        <v>1</v>
      </c>
      <c r="H109" s="53">
        <f>IF(G109=1,IF(F108=1,1,-1),G109)</f>
        <v>1</v>
      </c>
      <c r="I109" s="53" t="str">
        <f>VLOOKUP(H109,codes,2,)</f>
        <v>wd</v>
      </c>
      <c r="J109" s="53"/>
    </row>
    <row r="110" spans="1:10" x14ac:dyDescent="0.25">
      <c r="A110" s="93">
        <v>41046</v>
      </c>
      <c r="B110" s="35">
        <f>C110+(D110-2009)*12</f>
        <v>41</v>
      </c>
      <c r="C110" s="76">
        <v>5</v>
      </c>
      <c r="D110" s="76">
        <v>2012</v>
      </c>
      <c r="E110" s="56">
        <v>6.6666666666666666E-2</v>
      </c>
      <c r="F110" s="53">
        <f>IF(E110&gt;0,1,0)</f>
        <v>1</v>
      </c>
      <c r="G110" s="53">
        <f>SUM(F109:F110)</f>
        <v>1</v>
      </c>
      <c r="H110" s="53">
        <f>IF(G110=1,IF(F109=1,1,-1),G110)</f>
        <v>-1</v>
      </c>
      <c r="I110" s="53" t="str">
        <f>VLOOKUP(H110,codes,2,)</f>
        <v>dw</v>
      </c>
      <c r="J110" s="53"/>
    </row>
    <row r="111" spans="1:10" x14ac:dyDescent="0.25">
      <c r="A111" s="93">
        <v>41047</v>
      </c>
      <c r="B111" s="35">
        <f>C111+(D111-2009)*12</f>
        <v>41</v>
      </c>
      <c r="C111" s="76">
        <v>5</v>
      </c>
      <c r="D111" s="76">
        <v>2012</v>
      </c>
      <c r="E111" s="56">
        <v>1.4000000000000001</v>
      </c>
      <c r="F111" s="53">
        <f>IF(E111&gt;0,1,0)</f>
        <v>1</v>
      </c>
      <c r="G111" s="53">
        <f>SUM(F110:F111)</f>
        <v>2</v>
      </c>
      <c r="H111" s="53">
        <f>IF(G111=1,IF(F110=1,1,-1),G111)</f>
        <v>2</v>
      </c>
      <c r="I111" s="53" t="str">
        <f>VLOOKUP(H111,codes,2,)</f>
        <v>ww</v>
      </c>
      <c r="J111" s="53"/>
    </row>
    <row r="112" spans="1:10" x14ac:dyDescent="0.25">
      <c r="A112" s="93">
        <v>41048</v>
      </c>
      <c r="B112" s="35">
        <f>C112+(D112-2009)*12</f>
        <v>41</v>
      </c>
      <c r="C112" s="76">
        <v>5</v>
      </c>
      <c r="D112" s="76">
        <v>2012</v>
      </c>
      <c r="E112" s="56">
        <v>0.33333333333333331</v>
      </c>
      <c r="F112" s="53">
        <f>IF(E112&gt;0,1,0)</f>
        <v>1</v>
      </c>
      <c r="G112" s="53">
        <f>SUM(F111:F112)</f>
        <v>2</v>
      </c>
      <c r="H112" s="53">
        <f>IF(G112=1,IF(F111=1,1,-1),G112)</f>
        <v>2</v>
      </c>
      <c r="I112" s="53" t="str">
        <f>VLOOKUP(H112,codes,2,)</f>
        <v>ww</v>
      </c>
      <c r="J112" s="53"/>
    </row>
    <row r="113" spans="1:10" x14ac:dyDescent="0.25">
      <c r="A113" s="93">
        <v>41049</v>
      </c>
      <c r="B113" s="35">
        <f>C113+(D113-2009)*12</f>
        <v>41</v>
      </c>
      <c r="C113" s="76">
        <v>5</v>
      </c>
      <c r="D113" s="76">
        <v>2012</v>
      </c>
      <c r="E113" s="56">
        <v>6.6666666666666666E-2</v>
      </c>
      <c r="F113" s="53">
        <f>IF(E113&gt;0,1,0)</f>
        <v>1</v>
      </c>
      <c r="G113" s="53">
        <f>SUM(F112:F113)</f>
        <v>2</v>
      </c>
      <c r="H113" s="53">
        <f>IF(G113=1,IF(F112=1,1,-1),G113)</f>
        <v>2</v>
      </c>
      <c r="I113" s="53" t="str">
        <f>VLOOKUP(H113,codes,2,)</f>
        <v>ww</v>
      </c>
      <c r="J113" s="53"/>
    </row>
    <row r="114" spans="1:10" x14ac:dyDescent="0.25">
      <c r="A114" s="93">
        <v>41050</v>
      </c>
      <c r="B114" s="35">
        <f>C114+(D114-2009)*12</f>
        <v>41</v>
      </c>
      <c r="C114" s="76">
        <v>5</v>
      </c>
      <c r="D114" s="76">
        <v>2012</v>
      </c>
      <c r="E114" s="56">
        <v>0</v>
      </c>
      <c r="F114" s="53">
        <f>IF(E114&gt;0,1,0)</f>
        <v>0</v>
      </c>
      <c r="G114" s="53">
        <f>SUM(F113:F114)</f>
        <v>1</v>
      </c>
      <c r="H114" s="53">
        <f>IF(G114=1,IF(F113=1,1,-1),G114)</f>
        <v>1</v>
      </c>
      <c r="I114" s="53" t="str">
        <f>VLOOKUP(H114,codes,2,)</f>
        <v>wd</v>
      </c>
      <c r="J114" s="53"/>
    </row>
    <row r="115" spans="1:10" x14ac:dyDescent="0.25">
      <c r="A115" s="93">
        <v>41051</v>
      </c>
      <c r="B115" s="35">
        <f>C115+(D115-2009)*12</f>
        <v>41</v>
      </c>
      <c r="C115" s="76">
        <v>5</v>
      </c>
      <c r="D115" s="76">
        <v>2012</v>
      </c>
      <c r="E115" s="56">
        <v>0</v>
      </c>
      <c r="F115" s="53">
        <f>IF(E115&gt;0,1,0)</f>
        <v>0</v>
      </c>
      <c r="G115" s="53">
        <f>SUM(F114:F115)</f>
        <v>0</v>
      </c>
      <c r="H115" s="53">
        <f>IF(G115=1,IF(F114=1,1,-1),G115)</f>
        <v>0</v>
      </c>
      <c r="I115" s="53" t="str">
        <f>VLOOKUP(H115,codes,2,)</f>
        <v>dd</v>
      </c>
      <c r="J115" s="53"/>
    </row>
    <row r="116" spans="1:10" x14ac:dyDescent="0.25">
      <c r="A116" s="93">
        <v>41052</v>
      </c>
      <c r="B116" s="35">
        <f>C116+(D116-2009)*12</f>
        <v>41</v>
      </c>
      <c r="C116" s="76">
        <v>5</v>
      </c>
      <c r="D116" s="76">
        <v>2012</v>
      </c>
      <c r="E116" s="56">
        <v>0</v>
      </c>
      <c r="F116" s="53">
        <f>IF(E116&gt;0,1,0)</f>
        <v>0</v>
      </c>
      <c r="G116" s="53">
        <f>SUM(F115:F116)</f>
        <v>0</v>
      </c>
      <c r="H116" s="53">
        <f>IF(G116=1,IF(F115=1,1,-1),G116)</f>
        <v>0</v>
      </c>
      <c r="I116" s="53" t="str">
        <f>VLOOKUP(H116,codes,2,)</f>
        <v>dd</v>
      </c>
      <c r="J116" s="53"/>
    </row>
    <row r="117" spans="1:10" x14ac:dyDescent="0.25">
      <c r="A117" s="93">
        <v>41053</v>
      </c>
      <c r="B117" s="35">
        <f>C117+(D117-2009)*12</f>
        <v>41</v>
      </c>
      <c r="C117" s="76">
        <v>5</v>
      </c>
      <c r="D117" s="76">
        <v>2012</v>
      </c>
      <c r="E117" s="56">
        <v>0</v>
      </c>
      <c r="F117" s="53">
        <f>IF(E117&gt;0,1,0)</f>
        <v>0</v>
      </c>
      <c r="G117" s="53">
        <f>SUM(F116:F117)</f>
        <v>0</v>
      </c>
      <c r="H117" s="53">
        <f>IF(G117=1,IF(F116=1,1,-1),G117)</f>
        <v>0</v>
      </c>
      <c r="I117" s="53" t="str">
        <f>VLOOKUP(H117,codes,2,)</f>
        <v>dd</v>
      </c>
      <c r="J117" s="53"/>
    </row>
    <row r="118" spans="1:10" x14ac:dyDescent="0.25">
      <c r="A118" s="93">
        <v>41054</v>
      </c>
      <c r="B118" s="35">
        <f>C118+(D118-2009)*12</f>
        <v>41</v>
      </c>
      <c r="C118" s="76">
        <v>5</v>
      </c>
      <c r="D118" s="76">
        <v>2012</v>
      </c>
      <c r="E118" s="56">
        <v>0</v>
      </c>
      <c r="F118" s="53">
        <f>IF(E118&gt;0,1,0)</f>
        <v>0</v>
      </c>
      <c r="G118" s="53">
        <f>SUM(F117:F118)</f>
        <v>0</v>
      </c>
      <c r="H118" s="53">
        <f>IF(G118=1,IF(F117=1,1,-1),G118)</f>
        <v>0</v>
      </c>
      <c r="I118" s="53" t="str">
        <f>VLOOKUP(H118,codes,2,)</f>
        <v>dd</v>
      </c>
      <c r="J118" s="53"/>
    </row>
    <row r="119" spans="1:10" x14ac:dyDescent="0.25">
      <c r="A119" s="93">
        <v>41055</v>
      </c>
      <c r="B119" s="35">
        <f>C119+(D119-2009)*12</f>
        <v>41</v>
      </c>
      <c r="C119" s="76">
        <v>5</v>
      </c>
      <c r="D119" s="76">
        <v>2012</v>
      </c>
      <c r="E119" s="56">
        <v>0</v>
      </c>
      <c r="F119" s="53">
        <f>IF(E119&gt;0,1,0)</f>
        <v>0</v>
      </c>
      <c r="G119" s="53">
        <f>SUM(F118:F119)</f>
        <v>0</v>
      </c>
      <c r="H119" s="53">
        <f>IF(G119=1,IF(F118=1,1,-1),G119)</f>
        <v>0</v>
      </c>
      <c r="I119" s="53" t="str">
        <f>VLOOKUP(H119,codes,2,)</f>
        <v>dd</v>
      </c>
      <c r="J119" s="53"/>
    </row>
    <row r="120" spans="1:10" x14ac:dyDescent="0.25">
      <c r="A120" s="93">
        <v>41056</v>
      </c>
      <c r="B120" s="35">
        <f>C120+(D120-2009)*12</f>
        <v>41</v>
      </c>
      <c r="C120" s="76">
        <v>5</v>
      </c>
      <c r="D120" s="76">
        <v>2012</v>
      </c>
      <c r="E120" s="56">
        <v>0</v>
      </c>
      <c r="F120" s="53">
        <f>IF(E120&gt;0,1,0)</f>
        <v>0</v>
      </c>
      <c r="G120" s="53">
        <f>SUM(F119:F120)</f>
        <v>0</v>
      </c>
      <c r="H120" s="53">
        <f>IF(G120=1,IF(F119=1,1,-1),G120)</f>
        <v>0</v>
      </c>
      <c r="I120" s="53" t="str">
        <f>VLOOKUP(H120,codes,2,)</f>
        <v>dd</v>
      </c>
      <c r="J120" s="53"/>
    </row>
    <row r="121" spans="1:10" x14ac:dyDescent="0.25">
      <c r="A121" s="93">
        <v>41057</v>
      </c>
      <c r="B121" s="35">
        <f>C121+(D121-2009)*12</f>
        <v>41</v>
      </c>
      <c r="C121" s="76">
        <v>5</v>
      </c>
      <c r="D121" s="76">
        <v>2012</v>
      </c>
      <c r="E121" s="56">
        <v>6.6666666666666666E-2</v>
      </c>
      <c r="F121" s="53">
        <f>IF(E121&gt;0,1,0)</f>
        <v>1</v>
      </c>
      <c r="G121" s="53">
        <f>SUM(F120:F121)</f>
        <v>1</v>
      </c>
      <c r="H121" s="53">
        <f>IF(G121=1,IF(F120=1,1,-1),G121)</f>
        <v>-1</v>
      </c>
      <c r="I121" s="53" t="str">
        <f>VLOOKUP(H121,codes,2,)</f>
        <v>dw</v>
      </c>
      <c r="J121" s="53"/>
    </row>
    <row r="122" spans="1:10" x14ac:dyDescent="0.25">
      <c r="A122" s="93">
        <v>41058</v>
      </c>
      <c r="B122" s="35">
        <f>C122+(D122-2009)*12</f>
        <v>41</v>
      </c>
      <c r="C122" s="76">
        <v>5</v>
      </c>
      <c r="D122" s="76">
        <v>2012</v>
      </c>
      <c r="E122" s="56">
        <v>6.6666666666666666E-2</v>
      </c>
      <c r="F122" s="53">
        <f>IF(E122&gt;0,1,0)</f>
        <v>1</v>
      </c>
      <c r="G122" s="53">
        <f>SUM(F121:F122)</f>
        <v>2</v>
      </c>
      <c r="H122" s="53">
        <f>IF(G122=1,IF(F121=1,1,-1),G122)</f>
        <v>2</v>
      </c>
      <c r="I122" s="53" t="str">
        <f>VLOOKUP(H122,codes,2,)</f>
        <v>ww</v>
      </c>
      <c r="J122" s="53"/>
    </row>
    <row r="123" spans="1:10" x14ac:dyDescent="0.25">
      <c r="A123" s="93">
        <v>41059</v>
      </c>
      <c r="B123" s="35">
        <f>C123+(D123-2009)*12</f>
        <v>41</v>
      </c>
      <c r="C123" s="76">
        <v>5</v>
      </c>
      <c r="D123" s="76">
        <v>2012</v>
      </c>
      <c r="E123" s="56">
        <v>0</v>
      </c>
      <c r="F123" s="53">
        <f>IF(E123&gt;0,1,0)</f>
        <v>0</v>
      </c>
      <c r="G123" s="53">
        <f>SUM(F122:F123)</f>
        <v>1</v>
      </c>
      <c r="H123" s="53">
        <f>IF(G123=1,IF(F122=1,1,-1),G123)</f>
        <v>1</v>
      </c>
      <c r="I123" s="53" t="str">
        <f>VLOOKUP(H123,codes,2,)</f>
        <v>wd</v>
      </c>
      <c r="J123" s="53"/>
    </row>
    <row r="124" spans="1:10" x14ac:dyDescent="0.25">
      <c r="A124" s="93">
        <v>41060</v>
      </c>
      <c r="B124" s="35">
        <f>C124+(D124-2009)*12</f>
        <v>41</v>
      </c>
      <c r="C124" s="76">
        <v>5</v>
      </c>
      <c r="D124" s="76">
        <v>2012</v>
      </c>
      <c r="E124" s="56">
        <v>1.7333333333333332</v>
      </c>
      <c r="F124" s="53">
        <f>IF(E124&gt;0,1,0)</f>
        <v>1</v>
      </c>
      <c r="G124" s="53">
        <f>SUM(F123:F124)</f>
        <v>1</v>
      </c>
      <c r="H124" s="53">
        <f>IF(G124=1,IF(F123=1,1,-1),G124)</f>
        <v>-1</v>
      </c>
      <c r="I124" s="53" t="str">
        <f>VLOOKUP(H124,codes,2,)</f>
        <v>dw</v>
      </c>
      <c r="J124" s="53"/>
    </row>
    <row r="125" spans="1:10" x14ac:dyDescent="0.25">
      <c r="A125" s="93">
        <v>41061</v>
      </c>
      <c r="B125" s="35">
        <f>C125+(D125-2009)*12</f>
        <v>41</v>
      </c>
      <c r="C125" s="76">
        <v>5</v>
      </c>
      <c r="D125" s="76">
        <v>2012</v>
      </c>
      <c r="E125" s="56">
        <v>9.3333333333333339</v>
      </c>
      <c r="F125" s="53">
        <f>IF(E125&gt;0,1,0)</f>
        <v>1</v>
      </c>
      <c r="G125" s="53">
        <f>SUM(F124:F125)</f>
        <v>2</v>
      </c>
      <c r="H125" s="53">
        <f>IF(G125=1,IF(F124=1,1,-1),G125)</f>
        <v>2</v>
      </c>
      <c r="I125" s="53" t="str">
        <f>VLOOKUP(H125,codes,2,)</f>
        <v>ww</v>
      </c>
      <c r="J125" s="53"/>
    </row>
    <row r="126" spans="1:10" x14ac:dyDescent="0.25">
      <c r="A126" s="93">
        <v>41396</v>
      </c>
      <c r="B126" s="35">
        <f>C126+(D126-2009)*12</f>
        <v>53</v>
      </c>
      <c r="C126" s="76">
        <v>5</v>
      </c>
      <c r="D126" s="76">
        <v>2013</v>
      </c>
      <c r="E126" s="56">
        <v>0</v>
      </c>
      <c r="F126" s="53">
        <f>IF(E126&gt;0,1,0)</f>
        <v>0</v>
      </c>
      <c r="G126" s="53">
        <f>SUM(F125:F126)</f>
        <v>1</v>
      </c>
      <c r="H126" s="53">
        <f>IF(G126=1,IF(F125=1,1,-1),G126)</f>
        <v>1</v>
      </c>
      <c r="I126" s="53" t="str">
        <f>VLOOKUP(H126,codes,2,)</f>
        <v>wd</v>
      </c>
      <c r="J126" s="53"/>
    </row>
    <row r="127" spans="1:10" x14ac:dyDescent="0.25">
      <c r="A127" s="93">
        <v>41397</v>
      </c>
      <c r="B127" s="35">
        <f>C127+(D127-2009)*12</f>
        <v>53</v>
      </c>
      <c r="C127" s="76">
        <v>5</v>
      </c>
      <c r="D127" s="76">
        <v>2013</v>
      </c>
      <c r="E127" s="56">
        <v>0.13333333333333333</v>
      </c>
      <c r="F127" s="53">
        <f>IF(E127&gt;0,1,0)</f>
        <v>1</v>
      </c>
      <c r="G127" s="53">
        <f>SUM(F126:F127)</f>
        <v>1</v>
      </c>
      <c r="H127" s="53">
        <f>IF(G127=1,IF(F126=1,1,-1),G127)</f>
        <v>-1</v>
      </c>
      <c r="I127" s="53" t="str">
        <f>VLOOKUP(H127,codes,2,)</f>
        <v>dw</v>
      </c>
      <c r="J127" s="53"/>
    </row>
    <row r="128" spans="1:10" x14ac:dyDescent="0.25">
      <c r="A128" s="93">
        <v>41398</v>
      </c>
      <c r="B128" s="35">
        <f>C128+(D128-2009)*12</f>
        <v>53</v>
      </c>
      <c r="C128" s="76">
        <v>5</v>
      </c>
      <c r="D128" s="76">
        <v>2013</v>
      </c>
      <c r="E128" s="56">
        <v>0.26666666666666666</v>
      </c>
      <c r="F128" s="53">
        <f>IF(E128&gt;0,1,0)</f>
        <v>1</v>
      </c>
      <c r="G128" s="53">
        <f>SUM(F127:F128)</f>
        <v>2</v>
      </c>
      <c r="H128" s="53">
        <f>IF(G128=1,IF(F127=1,1,-1),G128)</f>
        <v>2</v>
      </c>
      <c r="I128" s="53" t="str">
        <f>VLOOKUP(H128,codes,2,)</f>
        <v>ww</v>
      </c>
      <c r="J128" s="53"/>
    </row>
    <row r="129" spans="1:10" x14ac:dyDescent="0.25">
      <c r="A129" s="93">
        <v>41399</v>
      </c>
      <c r="B129" s="35">
        <f>C129+(D129-2009)*12</f>
        <v>53</v>
      </c>
      <c r="C129" s="76">
        <v>5</v>
      </c>
      <c r="D129" s="76">
        <v>2013</v>
      </c>
      <c r="E129" s="56">
        <v>0</v>
      </c>
      <c r="F129" s="53">
        <f>IF(E129&gt;0,1,0)</f>
        <v>0</v>
      </c>
      <c r="G129" s="53">
        <f>SUM(F128:F129)</f>
        <v>1</v>
      </c>
      <c r="H129" s="53">
        <f>IF(G129=1,IF(F128=1,1,-1),G129)</f>
        <v>1</v>
      </c>
      <c r="I129" s="53" t="str">
        <f>VLOOKUP(H129,codes,2,)</f>
        <v>wd</v>
      </c>
      <c r="J129" s="53"/>
    </row>
    <row r="130" spans="1:10" x14ac:dyDescent="0.25">
      <c r="A130" s="93">
        <v>41400</v>
      </c>
      <c r="B130" s="35">
        <f>C130+(D130-2009)*12</f>
        <v>53</v>
      </c>
      <c r="C130" s="76">
        <v>5</v>
      </c>
      <c r="D130" s="76">
        <v>2013</v>
      </c>
      <c r="E130" s="56">
        <v>0</v>
      </c>
      <c r="F130" s="53">
        <f>IF(E130&gt;0,1,0)</f>
        <v>0</v>
      </c>
      <c r="G130" s="53">
        <f>SUM(F129:F130)</f>
        <v>0</v>
      </c>
      <c r="H130" s="53">
        <f>IF(G130=1,IF(F129=1,1,-1),G130)</f>
        <v>0</v>
      </c>
      <c r="I130" s="53" t="str">
        <f>VLOOKUP(H130,codes,2,)</f>
        <v>dd</v>
      </c>
      <c r="J130" s="53"/>
    </row>
    <row r="131" spans="1:10" x14ac:dyDescent="0.25">
      <c r="A131" s="93">
        <v>41401</v>
      </c>
      <c r="B131" s="35">
        <f>C131+(D131-2009)*12</f>
        <v>53</v>
      </c>
      <c r="C131" s="76">
        <v>5</v>
      </c>
      <c r="D131" s="76">
        <v>2013</v>
      </c>
      <c r="E131" s="56">
        <v>0</v>
      </c>
      <c r="F131" s="53">
        <f>IF(E131&gt;0,1,0)</f>
        <v>0</v>
      </c>
      <c r="G131" s="53">
        <f>SUM(F130:F131)</f>
        <v>0</v>
      </c>
      <c r="H131" s="53">
        <f>IF(G131=1,IF(F130=1,1,-1),G131)</f>
        <v>0</v>
      </c>
      <c r="I131" s="53" t="str">
        <f>VLOOKUP(H131,codes,2,)</f>
        <v>dd</v>
      </c>
      <c r="J131" s="53"/>
    </row>
    <row r="132" spans="1:10" x14ac:dyDescent="0.25">
      <c r="A132" s="93">
        <v>41402</v>
      </c>
      <c r="B132" s="35">
        <f>C132+(D132-2009)*12</f>
        <v>53</v>
      </c>
      <c r="C132" s="76">
        <v>5</v>
      </c>
      <c r="D132" s="76">
        <v>2013</v>
      </c>
      <c r="E132" s="56">
        <v>6.6666666666666666E-2</v>
      </c>
      <c r="F132" s="53">
        <f>IF(E132&gt;0,1,0)</f>
        <v>1</v>
      </c>
      <c r="G132" s="53">
        <f>SUM(F131:F132)</f>
        <v>1</v>
      </c>
      <c r="H132" s="53">
        <f>IF(G132=1,IF(F131=1,1,-1),G132)</f>
        <v>-1</v>
      </c>
      <c r="I132" s="53" t="str">
        <f>VLOOKUP(H132,codes,2,)</f>
        <v>dw</v>
      </c>
      <c r="J132" s="53"/>
    </row>
    <row r="133" spans="1:10" x14ac:dyDescent="0.25">
      <c r="A133" s="93">
        <v>41403</v>
      </c>
      <c r="B133" s="35">
        <f>C133+(D133-2009)*12</f>
        <v>53</v>
      </c>
      <c r="C133" s="76">
        <v>5</v>
      </c>
      <c r="D133" s="76">
        <v>2013</v>
      </c>
      <c r="E133" s="56">
        <v>1.5333333333333332</v>
      </c>
      <c r="F133" s="53">
        <f>IF(E133&gt;0,1,0)</f>
        <v>1</v>
      </c>
      <c r="G133" s="53">
        <f>SUM(F132:F133)</f>
        <v>2</v>
      </c>
      <c r="H133" s="53">
        <f>IF(G133=1,IF(F132=1,1,-1),G133)</f>
        <v>2</v>
      </c>
      <c r="I133" s="53" t="str">
        <f>VLOOKUP(H133,codes,2,)</f>
        <v>ww</v>
      </c>
      <c r="J133" s="53"/>
    </row>
    <row r="134" spans="1:10" x14ac:dyDescent="0.25">
      <c r="A134" s="93">
        <v>41404</v>
      </c>
      <c r="B134" s="35">
        <f>C134+(D134-2009)*12</f>
        <v>53</v>
      </c>
      <c r="C134" s="76">
        <v>5</v>
      </c>
      <c r="D134" s="76">
        <v>2013</v>
      </c>
      <c r="E134" s="56">
        <v>1.2666666666666666</v>
      </c>
      <c r="F134" s="53">
        <f>IF(E134&gt;0,1,0)</f>
        <v>1</v>
      </c>
      <c r="G134" s="53">
        <f>SUM(F133:F134)</f>
        <v>2</v>
      </c>
      <c r="H134" s="53">
        <f>IF(G134=1,IF(F133=1,1,-1),G134)</f>
        <v>2</v>
      </c>
      <c r="I134" s="53" t="str">
        <f>VLOOKUP(H134,codes,2,)</f>
        <v>ww</v>
      </c>
      <c r="J134" s="53"/>
    </row>
    <row r="135" spans="1:10" x14ac:dyDescent="0.25">
      <c r="A135" s="93">
        <v>41405</v>
      </c>
      <c r="B135" s="35">
        <f>C135+(D135-2009)*12</f>
        <v>53</v>
      </c>
      <c r="C135" s="76">
        <v>5</v>
      </c>
      <c r="D135" s="76">
        <v>2013</v>
      </c>
      <c r="E135" s="56">
        <v>0</v>
      </c>
      <c r="F135" s="53">
        <f>IF(E135&gt;0,1,0)</f>
        <v>0</v>
      </c>
      <c r="G135" s="53">
        <f>SUM(F134:F135)</f>
        <v>1</v>
      </c>
      <c r="H135" s="53">
        <f>IF(G135=1,IF(F134=1,1,-1),G135)</f>
        <v>1</v>
      </c>
      <c r="I135" s="53" t="str">
        <f>VLOOKUP(H135,codes,2,)</f>
        <v>wd</v>
      </c>
      <c r="J135" s="53"/>
    </row>
    <row r="136" spans="1:10" x14ac:dyDescent="0.25">
      <c r="A136" s="93">
        <v>41406</v>
      </c>
      <c r="B136" s="35">
        <f>C136+(D136-2009)*12</f>
        <v>53</v>
      </c>
      <c r="C136" s="76">
        <v>5</v>
      </c>
      <c r="D136" s="76">
        <v>2013</v>
      </c>
      <c r="E136" s="56">
        <v>0.13333333333333333</v>
      </c>
      <c r="F136" s="53">
        <f>IF(E136&gt;0,1,0)</f>
        <v>1</v>
      </c>
      <c r="G136" s="53">
        <f>SUM(F135:F136)</f>
        <v>1</v>
      </c>
      <c r="H136" s="53">
        <f>IF(G136=1,IF(F135=1,1,-1),G136)</f>
        <v>-1</v>
      </c>
      <c r="I136" s="53" t="str">
        <f>VLOOKUP(H136,codes,2,)</f>
        <v>dw</v>
      </c>
      <c r="J136" s="53"/>
    </row>
    <row r="137" spans="1:10" x14ac:dyDescent="0.25">
      <c r="A137" s="93">
        <v>41407</v>
      </c>
      <c r="B137" s="35">
        <f>C137+(D137-2009)*12</f>
        <v>53</v>
      </c>
      <c r="C137" s="76">
        <v>5</v>
      </c>
      <c r="D137" s="76">
        <v>2013</v>
      </c>
      <c r="E137" s="56">
        <v>1.8666666666666665</v>
      </c>
      <c r="F137" s="53">
        <f>IF(E137&gt;0,1,0)</f>
        <v>1</v>
      </c>
      <c r="G137" s="53">
        <f>SUM(F136:F137)</f>
        <v>2</v>
      </c>
      <c r="H137" s="53">
        <f>IF(G137=1,IF(F136=1,1,-1),G137)</f>
        <v>2</v>
      </c>
      <c r="I137" s="53" t="str">
        <f>VLOOKUP(H137,codes,2,)</f>
        <v>ww</v>
      </c>
      <c r="J137" s="53"/>
    </row>
    <row r="138" spans="1:10" x14ac:dyDescent="0.25">
      <c r="A138" s="93">
        <v>41408</v>
      </c>
      <c r="B138" s="35">
        <f>C138+(D138-2009)*12</f>
        <v>53</v>
      </c>
      <c r="C138" s="76">
        <v>5</v>
      </c>
      <c r="D138" s="76">
        <v>2013</v>
      </c>
      <c r="E138" s="56">
        <v>6.6666666666666666E-2</v>
      </c>
      <c r="F138" s="53">
        <f>IF(E138&gt;0,1,0)</f>
        <v>1</v>
      </c>
      <c r="G138" s="53">
        <f>SUM(F137:F138)</f>
        <v>2</v>
      </c>
      <c r="H138" s="53">
        <f>IF(G138=1,IF(F137=1,1,-1),G138)</f>
        <v>2</v>
      </c>
      <c r="I138" s="53" t="str">
        <f>VLOOKUP(H138,codes,2,)</f>
        <v>ww</v>
      </c>
      <c r="J138" s="53"/>
    </row>
    <row r="139" spans="1:10" x14ac:dyDescent="0.25">
      <c r="A139" s="93">
        <v>41409</v>
      </c>
      <c r="B139" s="35">
        <f>C139+(D139-2009)*12</f>
        <v>53</v>
      </c>
      <c r="C139" s="76">
        <v>5</v>
      </c>
      <c r="D139" s="76">
        <v>2013</v>
      </c>
      <c r="E139" s="56">
        <v>10.733333333333334</v>
      </c>
      <c r="F139" s="53">
        <f>IF(E139&gt;0,1,0)</f>
        <v>1</v>
      </c>
      <c r="G139" s="53">
        <f>SUM(F138:F139)</f>
        <v>2</v>
      </c>
      <c r="H139" s="53">
        <f>IF(G139=1,IF(F138=1,1,-1),G139)</f>
        <v>2</v>
      </c>
      <c r="I139" s="53" t="str">
        <f>VLOOKUP(H139,codes,2,)</f>
        <v>ww</v>
      </c>
      <c r="J139" s="53"/>
    </row>
    <row r="140" spans="1:10" x14ac:dyDescent="0.25">
      <c r="A140" s="93">
        <v>41410</v>
      </c>
      <c r="B140" s="35">
        <f>C140+(D140-2009)*12</f>
        <v>53</v>
      </c>
      <c r="C140" s="76">
        <v>5</v>
      </c>
      <c r="D140" s="76">
        <v>2013</v>
      </c>
      <c r="E140" s="56">
        <v>2.1999999999999997</v>
      </c>
      <c r="F140" s="53">
        <f>IF(E140&gt;0,1,0)</f>
        <v>1</v>
      </c>
      <c r="G140" s="53">
        <f>SUM(F139:F140)</f>
        <v>2</v>
      </c>
      <c r="H140" s="53">
        <f>IF(G140=1,IF(F139=1,1,-1),G140)</f>
        <v>2</v>
      </c>
      <c r="I140" s="53" t="str">
        <f>VLOOKUP(H140,codes,2,)</f>
        <v>ww</v>
      </c>
      <c r="J140" s="53"/>
    </row>
    <row r="141" spans="1:10" x14ac:dyDescent="0.25">
      <c r="A141" s="93">
        <v>41411</v>
      </c>
      <c r="B141" s="35">
        <f>C141+(D141-2009)*12</f>
        <v>53</v>
      </c>
      <c r="C141" s="76">
        <v>5</v>
      </c>
      <c r="D141" s="76">
        <v>2013</v>
      </c>
      <c r="E141" s="56">
        <v>0</v>
      </c>
      <c r="F141" s="53">
        <f>IF(E141&gt;0,1,0)</f>
        <v>0</v>
      </c>
      <c r="G141" s="53">
        <f>SUM(F140:F141)</f>
        <v>1</v>
      </c>
      <c r="H141" s="53">
        <f>IF(G141=1,IF(F140=1,1,-1),G141)</f>
        <v>1</v>
      </c>
      <c r="I141" s="53" t="str">
        <f>VLOOKUP(H141,codes,2,)</f>
        <v>wd</v>
      </c>
      <c r="J141" s="53"/>
    </row>
    <row r="142" spans="1:10" x14ac:dyDescent="0.25">
      <c r="A142" s="93">
        <v>41412</v>
      </c>
      <c r="B142" s="35">
        <f>C142+(D142-2009)*12</f>
        <v>53</v>
      </c>
      <c r="C142" s="76">
        <v>5</v>
      </c>
      <c r="D142" s="76">
        <v>2013</v>
      </c>
      <c r="E142" s="56">
        <v>26.666666666666668</v>
      </c>
      <c r="F142" s="53">
        <f>IF(E142&gt;0,1,0)</f>
        <v>1</v>
      </c>
      <c r="G142" s="53">
        <f>SUM(F141:F142)</f>
        <v>1</v>
      </c>
      <c r="H142" s="53">
        <f>IF(G142=1,IF(F141=1,1,-1),G142)</f>
        <v>-1</v>
      </c>
      <c r="I142" s="53" t="str">
        <f>VLOOKUP(H142,codes,2,)</f>
        <v>dw</v>
      </c>
      <c r="J142" s="53"/>
    </row>
    <row r="143" spans="1:10" x14ac:dyDescent="0.25">
      <c r="A143" s="93">
        <v>41413</v>
      </c>
      <c r="B143" s="35">
        <f>C143+(D143-2009)*12</f>
        <v>53</v>
      </c>
      <c r="C143" s="76">
        <v>5</v>
      </c>
      <c r="D143" s="76">
        <v>2013</v>
      </c>
      <c r="E143" s="56">
        <v>9.3333333333333321</v>
      </c>
      <c r="F143" s="53">
        <f>IF(E143&gt;0,1,0)</f>
        <v>1</v>
      </c>
      <c r="G143" s="53">
        <f>SUM(F142:F143)</f>
        <v>2</v>
      </c>
      <c r="H143" s="53">
        <f>IF(G143=1,IF(F142=1,1,-1),G143)</f>
        <v>2</v>
      </c>
      <c r="I143" s="53" t="str">
        <f>VLOOKUP(H143,codes,2,)</f>
        <v>ww</v>
      </c>
      <c r="J143" s="53"/>
    </row>
    <row r="144" spans="1:10" x14ac:dyDescent="0.25">
      <c r="A144" s="93">
        <v>41414</v>
      </c>
      <c r="B144" s="35">
        <f>C144+(D144-2009)*12</f>
        <v>53</v>
      </c>
      <c r="C144" s="76">
        <v>5</v>
      </c>
      <c r="D144" s="76">
        <v>2013</v>
      </c>
      <c r="E144" s="56">
        <v>0.26666666666666666</v>
      </c>
      <c r="F144" s="53">
        <f>IF(E144&gt;0,1,0)</f>
        <v>1</v>
      </c>
      <c r="G144" s="53">
        <f>SUM(F143:F144)</f>
        <v>2</v>
      </c>
      <c r="H144" s="53">
        <f>IF(G144=1,IF(F143=1,1,-1),G144)</f>
        <v>2</v>
      </c>
      <c r="I144" s="53" t="str">
        <f>VLOOKUP(H144,codes,2,)</f>
        <v>ww</v>
      </c>
      <c r="J144" s="53"/>
    </row>
    <row r="145" spans="1:10" x14ac:dyDescent="0.25">
      <c r="A145" s="93">
        <v>41415</v>
      </c>
      <c r="B145" s="35">
        <f>C145+(D145-2009)*12</f>
        <v>53</v>
      </c>
      <c r="C145" s="76">
        <v>5</v>
      </c>
      <c r="D145" s="76">
        <v>2013</v>
      </c>
      <c r="E145" s="56">
        <v>5.0666666666666664</v>
      </c>
      <c r="F145" s="53">
        <f>IF(E145&gt;0,1,0)</f>
        <v>1</v>
      </c>
      <c r="G145" s="53">
        <f>SUM(F144:F145)</f>
        <v>2</v>
      </c>
      <c r="H145" s="53">
        <f>IF(G145=1,IF(F144=1,1,-1),G145)</f>
        <v>2</v>
      </c>
      <c r="I145" s="53" t="str">
        <f>VLOOKUP(H145,codes,2,)</f>
        <v>ww</v>
      </c>
      <c r="J145" s="53"/>
    </row>
    <row r="146" spans="1:10" x14ac:dyDescent="0.25">
      <c r="A146" s="93">
        <v>41416</v>
      </c>
      <c r="B146" s="35">
        <f>C146+(D146-2009)*12</f>
        <v>53</v>
      </c>
      <c r="C146" s="76">
        <v>5</v>
      </c>
      <c r="D146" s="76">
        <v>2013</v>
      </c>
      <c r="E146" s="56">
        <v>0</v>
      </c>
      <c r="F146" s="53">
        <f>IF(E146&gt;0,1,0)</f>
        <v>0</v>
      </c>
      <c r="G146" s="53">
        <f>SUM(F145:F146)</f>
        <v>1</v>
      </c>
      <c r="H146" s="53">
        <f>IF(G146=1,IF(F145=1,1,-1),G146)</f>
        <v>1</v>
      </c>
      <c r="I146" s="53" t="str">
        <f>VLOOKUP(H146,codes,2,)</f>
        <v>wd</v>
      </c>
      <c r="J146" s="53"/>
    </row>
    <row r="147" spans="1:10" x14ac:dyDescent="0.25">
      <c r="A147" s="93">
        <v>41417</v>
      </c>
      <c r="B147" s="35">
        <f>C147+(D147-2009)*12</f>
        <v>53</v>
      </c>
      <c r="C147" s="76">
        <v>5</v>
      </c>
      <c r="D147" s="76">
        <v>2013</v>
      </c>
      <c r="E147" s="56">
        <v>2.8666666666666671</v>
      </c>
      <c r="F147" s="53">
        <f>IF(E147&gt;0,1,0)</f>
        <v>1</v>
      </c>
      <c r="G147" s="53">
        <f>SUM(F146:F147)</f>
        <v>1</v>
      </c>
      <c r="H147" s="53">
        <f>IF(G147=1,IF(F146=1,1,-1),G147)</f>
        <v>-1</v>
      </c>
      <c r="I147" s="53" t="str">
        <f>VLOOKUP(H147,codes,2,)</f>
        <v>dw</v>
      </c>
      <c r="J147" s="53"/>
    </row>
    <row r="148" spans="1:10" x14ac:dyDescent="0.25">
      <c r="A148" s="93">
        <v>41418</v>
      </c>
      <c r="B148" s="35">
        <f>C148+(D148-2009)*12</f>
        <v>53</v>
      </c>
      <c r="C148" s="76">
        <v>5</v>
      </c>
      <c r="D148" s="76">
        <v>2013</v>
      </c>
      <c r="E148" s="56">
        <v>4.2</v>
      </c>
      <c r="F148" s="53">
        <f>IF(E148&gt;0,1,0)</f>
        <v>1</v>
      </c>
      <c r="G148" s="53">
        <f>SUM(F147:F148)</f>
        <v>2</v>
      </c>
      <c r="H148" s="53">
        <f>IF(G148=1,IF(F147=1,1,-1),G148)</f>
        <v>2</v>
      </c>
      <c r="I148" s="53" t="str">
        <f>VLOOKUP(H148,codes,2,)</f>
        <v>ww</v>
      </c>
      <c r="J148" s="53"/>
    </row>
    <row r="149" spans="1:10" x14ac:dyDescent="0.25">
      <c r="A149" s="93">
        <v>41419</v>
      </c>
      <c r="B149" s="35">
        <f>C149+(D149-2009)*12</f>
        <v>53</v>
      </c>
      <c r="C149" s="76">
        <v>5</v>
      </c>
      <c r="D149" s="76">
        <v>2013</v>
      </c>
      <c r="E149" s="56">
        <v>0.46666666666666662</v>
      </c>
      <c r="F149" s="53">
        <f>IF(E149&gt;0,1,0)</f>
        <v>1</v>
      </c>
      <c r="G149" s="53">
        <f>SUM(F148:F149)</f>
        <v>2</v>
      </c>
      <c r="H149" s="53">
        <f>IF(G149=1,IF(F148=1,1,-1),G149)</f>
        <v>2</v>
      </c>
      <c r="I149" s="53" t="str">
        <f>VLOOKUP(H149,codes,2,)</f>
        <v>ww</v>
      </c>
      <c r="J149" s="53"/>
    </row>
    <row r="150" spans="1:10" x14ac:dyDescent="0.25">
      <c r="A150" s="93">
        <v>41420</v>
      </c>
      <c r="B150" s="35">
        <f>C150+(D150-2009)*12</f>
        <v>53</v>
      </c>
      <c r="C150" s="76">
        <v>5</v>
      </c>
      <c r="D150" s="76">
        <v>2013</v>
      </c>
      <c r="E150" s="56">
        <v>0</v>
      </c>
      <c r="F150" s="53">
        <f>IF(E150&gt;0,1,0)</f>
        <v>0</v>
      </c>
      <c r="G150" s="53">
        <f>SUM(F149:F150)</f>
        <v>1</v>
      </c>
      <c r="H150" s="53">
        <f>IF(G150=1,IF(F149=1,1,-1),G150)</f>
        <v>1</v>
      </c>
      <c r="I150" s="53" t="str">
        <f>VLOOKUP(H150,codes,2,)</f>
        <v>wd</v>
      </c>
      <c r="J150" s="53"/>
    </row>
    <row r="151" spans="1:10" x14ac:dyDescent="0.25">
      <c r="A151" s="93">
        <v>41421</v>
      </c>
      <c r="B151" s="35">
        <f>C151+(D151-2009)*12</f>
        <v>53</v>
      </c>
      <c r="C151" s="76">
        <v>5</v>
      </c>
      <c r="D151" s="76">
        <v>2013</v>
      </c>
      <c r="E151" s="56">
        <v>0</v>
      </c>
      <c r="F151" s="53">
        <f>IF(E151&gt;0,1,0)</f>
        <v>0</v>
      </c>
      <c r="G151" s="53">
        <f>SUM(F150:F151)</f>
        <v>0</v>
      </c>
      <c r="H151" s="53">
        <f>IF(G151=1,IF(F150=1,1,-1),G151)</f>
        <v>0</v>
      </c>
      <c r="I151" s="53" t="str">
        <f>VLOOKUP(H151,codes,2,)</f>
        <v>dd</v>
      </c>
      <c r="J151" s="53"/>
    </row>
    <row r="152" spans="1:10" x14ac:dyDescent="0.25">
      <c r="A152" s="93">
        <v>41422</v>
      </c>
      <c r="B152" s="35">
        <f>C152+(D152-2009)*12</f>
        <v>53</v>
      </c>
      <c r="C152" s="76">
        <v>5</v>
      </c>
      <c r="D152" s="76">
        <v>2013</v>
      </c>
      <c r="E152" s="56">
        <v>0</v>
      </c>
      <c r="F152" s="53">
        <f>IF(E152&gt;0,1,0)</f>
        <v>0</v>
      </c>
      <c r="G152" s="53">
        <f>SUM(F151:F152)</f>
        <v>0</v>
      </c>
      <c r="H152" s="53">
        <f>IF(G152=1,IF(F151=1,1,-1),G152)</f>
        <v>0</v>
      </c>
      <c r="I152" s="53" t="str">
        <f>VLOOKUP(H152,codes,2,)</f>
        <v>dd</v>
      </c>
      <c r="J152" s="53"/>
    </row>
    <row r="153" spans="1:10" x14ac:dyDescent="0.25">
      <c r="A153" s="93">
        <v>41423</v>
      </c>
      <c r="B153" s="35">
        <f>C153+(D153-2009)*12</f>
        <v>53</v>
      </c>
      <c r="C153" s="76">
        <v>5</v>
      </c>
      <c r="D153" s="76">
        <v>2013</v>
      </c>
      <c r="E153" s="56">
        <v>0.46666666666666662</v>
      </c>
      <c r="F153" s="53">
        <f>IF(E153&gt;0,1,0)</f>
        <v>1</v>
      </c>
      <c r="G153" s="53">
        <f>SUM(F152:F153)</f>
        <v>1</v>
      </c>
      <c r="H153" s="53">
        <f>IF(G153=1,IF(F152=1,1,-1),G153)</f>
        <v>-1</v>
      </c>
      <c r="I153" s="53" t="str">
        <f>VLOOKUP(H153,codes,2,)</f>
        <v>dw</v>
      </c>
      <c r="J153" s="53"/>
    </row>
    <row r="154" spans="1:10" x14ac:dyDescent="0.25">
      <c r="A154" s="93">
        <v>41424</v>
      </c>
      <c r="B154" s="35">
        <f>C154+(D154-2009)*12</f>
        <v>53</v>
      </c>
      <c r="C154" s="76">
        <v>5</v>
      </c>
      <c r="D154" s="76">
        <v>2013</v>
      </c>
      <c r="E154" s="56">
        <v>4.9333333333333327</v>
      </c>
      <c r="F154" s="53">
        <f>IF(E154&gt;0,1,0)</f>
        <v>1</v>
      </c>
      <c r="G154" s="53">
        <f>SUM(F153:F154)</f>
        <v>2</v>
      </c>
      <c r="H154" s="53">
        <f>IF(G154=1,IF(F153=1,1,-1),G154)</f>
        <v>2</v>
      </c>
      <c r="I154" s="53" t="str">
        <f>VLOOKUP(H154,codes,2,)</f>
        <v>ww</v>
      </c>
      <c r="J154" s="53"/>
    </row>
    <row r="155" spans="1:10" x14ac:dyDescent="0.25">
      <c r="A155" s="93">
        <v>41425</v>
      </c>
      <c r="B155" s="35">
        <f>C155+(D155-2009)*12</f>
        <v>53</v>
      </c>
      <c r="C155" s="76">
        <v>5</v>
      </c>
      <c r="D155" s="76">
        <v>2013</v>
      </c>
      <c r="E155" s="56">
        <v>0.20000000000000004</v>
      </c>
      <c r="F155" s="53">
        <f>IF(E155&gt;0,1,0)</f>
        <v>1</v>
      </c>
      <c r="G155" s="53">
        <f>SUM(F154:F155)</f>
        <v>2</v>
      </c>
      <c r="H155" s="53">
        <f>IF(G155=1,IF(F154=1,1,-1),G155)</f>
        <v>2</v>
      </c>
      <c r="I155" s="53" t="str">
        <f>VLOOKUP(H155,codes,2,)</f>
        <v>ww</v>
      </c>
      <c r="J155" s="53"/>
    </row>
    <row r="156" spans="1:10" x14ac:dyDescent="0.25">
      <c r="A156" s="93">
        <v>41426</v>
      </c>
      <c r="B156" s="35">
        <f>C156+(D156-2009)*12</f>
        <v>53</v>
      </c>
      <c r="C156" s="76">
        <v>5</v>
      </c>
      <c r="D156" s="76">
        <v>2013</v>
      </c>
      <c r="E156" s="56">
        <v>1.5999999999999999</v>
      </c>
      <c r="F156" s="53">
        <f>IF(E156&gt;0,1,0)</f>
        <v>1</v>
      </c>
      <c r="G156" s="53">
        <f>SUM(F155:F156)</f>
        <v>2</v>
      </c>
      <c r="H156" s="53">
        <f>IF(G156=1,IF(F155=1,1,-1),G156)</f>
        <v>2</v>
      </c>
      <c r="I156" s="53" t="str">
        <f>VLOOKUP(H156,codes,2,)</f>
        <v>ww</v>
      </c>
      <c r="J156" s="53"/>
    </row>
    <row r="157" spans="1:10" x14ac:dyDescent="0.25">
      <c r="A157" s="93">
        <v>41762</v>
      </c>
      <c r="B157" s="35">
        <f>C157+(D157-2009)*12</f>
        <v>65</v>
      </c>
      <c r="C157" s="76">
        <v>5</v>
      </c>
      <c r="D157" s="76">
        <v>2014</v>
      </c>
      <c r="E157" s="56">
        <v>6.6666666666666666E-2</v>
      </c>
      <c r="F157" s="53">
        <f>IF(E157&gt;0,1,0)</f>
        <v>1</v>
      </c>
      <c r="G157" s="53">
        <f>SUM(F156:F157)</f>
        <v>2</v>
      </c>
      <c r="H157" s="53">
        <f>IF(G157=1,IF(F156=1,1,-1),G157)</f>
        <v>2</v>
      </c>
      <c r="I157" s="53" t="str">
        <f>VLOOKUP(H157,codes,2,)</f>
        <v>ww</v>
      </c>
      <c r="J157" s="53"/>
    </row>
    <row r="158" spans="1:10" x14ac:dyDescent="0.25">
      <c r="A158" s="93">
        <v>41763</v>
      </c>
      <c r="B158" s="35">
        <f>C158+(D158-2009)*12</f>
        <v>65</v>
      </c>
      <c r="C158" s="76">
        <v>5</v>
      </c>
      <c r="D158" s="76">
        <v>2014</v>
      </c>
      <c r="E158" s="56">
        <v>1.3333333333333333</v>
      </c>
      <c r="F158" s="53">
        <f>IF(E158&gt;0,1,0)</f>
        <v>1</v>
      </c>
      <c r="G158" s="53">
        <f>SUM(F157:F158)</f>
        <v>2</v>
      </c>
      <c r="H158" s="53">
        <f>IF(G158=1,IF(F157=1,1,-1),G158)</f>
        <v>2</v>
      </c>
      <c r="I158" s="53" t="str">
        <f>VLOOKUP(H158,codes,2,)</f>
        <v>ww</v>
      </c>
      <c r="J158" s="53"/>
    </row>
    <row r="159" spans="1:10" x14ac:dyDescent="0.25">
      <c r="A159" s="93">
        <v>41764</v>
      </c>
      <c r="B159" s="35">
        <f>C159+(D159-2009)*12</f>
        <v>65</v>
      </c>
      <c r="C159" s="76">
        <v>5</v>
      </c>
      <c r="D159" s="76">
        <v>2014</v>
      </c>
      <c r="E159" s="56">
        <v>6.6666666666666666E-2</v>
      </c>
      <c r="F159" s="53">
        <f>IF(E159&gt;0,1,0)</f>
        <v>1</v>
      </c>
      <c r="G159" s="53">
        <f>SUM(F158:F159)</f>
        <v>2</v>
      </c>
      <c r="H159" s="53">
        <f>IF(G159=1,IF(F158=1,1,-1),G159)</f>
        <v>2</v>
      </c>
      <c r="I159" s="53" t="str">
        <f>VLOOKUP(H159,codes,2,)</f>
        <v>ww</v>
      </c>
      <c r="J159" s="53"/>
    </row>
    <row r="160" spans="1:10" x14ac:dyDescent="0.25">
      <c r="A160" s="93">
        <v>41765</v>
      </c>
      <c r="B160" s="35">
        <f>C160+(D160-2009)*12</f>
        <v>65</v>
      </c>
      <c r="C160" s="76">
        <v>5</v>
      </c>
      <c r="D160" s="76">
        <v>2014</v>
      </c>
      <c r="E160" s="56">
        <v>4.6000000000000005</v>
      </c>
      <c r="F160" s="53">
        <f>IF(E160&gt;0,1,0)</f>
        <v>1</v>
      </c>
      <c r="G160" s="53">
        <f>SUM(F159:F160)</f>
        <v>2</v>
      </c>
      <c r="H160" s="53">
        <f>IF(G160=1,IF(F159=1,1,-1),G160)</f>
        <v>2</v>
      </c>
      <c r="I160" s="53" t="str">
        <f>VLOOKUP(H160,codes,2,)</f>
        <v>ww</v>
      </c>
      <c r="J160" s="53"/>
    </row>
    <row r="161" spans="1:10" x14ac:dyDescent="0.25">
      <c r="A161" s="93">
        <v>41766</v>
      </c>
      <c r="B161" s="35">
        <f>C161+(D161-2009)*12</f>
        <v>65</v>
      </c>
      <c r="C161" s="76">
        <v>5</v>
      </c>
      <c r="D161" s="76">
        <v>2014</v>
      </c>
      <c r="E161" s="56">
        <v>0.39999999999999997</v>
      </c>
      <c r="F161" s="53">
        <f>IF(E161&gt;0,1,0)</f>
        <v>1</v>
      </c>
      <c r="G161" s="53">
        <f>SUM(F160:F161)</f>
        <v>2</v>
      </c>
      <c r="H161" s="53">
        <f>IF(G161=1,IF(F160=1,1,-1),G161)</f>
        <v>2</v>
      </c>
      <c r="I161" s="53" t="str">
        <f>VLOOKUP(H161,codes,2,)</f>
        <v>ww</v>
      </c>
      <c r="J161" s="53"/>
    </row>
    <row r="162" spans="1:10" x14ac:dyDescent="0.25">
      <c r="A162" s="93">
        <v>41767</v>
      </c>
      <c r="B162" s="35">
        <f>C162+(D162-2009)*12</f>
        <v>65</v>
      </c>
      <c r="C162" s="76">
        <v>5</v>
      </c>
      <c r="D162" s="76">
        <v>2014</v>
      </c>
      <c r="E162" s="56">
        <v>3.4666666666666663</v>
      </c>
      <c r="F162" s="53">
        <f>IF(E162&gt;0,1,0)</f>
        <v>1</v>
      </c>
      <c r="G162" s="53">
        <f>SUM(F161:F162)</f>
        <v>2</v>
      </c>
      <c r="H162" s="53">
        <f>IF(G162=1,IF(F161=1,1,-1),G162)</f>
        <v>2</v>
      </c>
      <c r="I162" s="53" t="str">
        <f>VLOOKUP(H162,codes,2,)</f>
        <v>ww</v>
      </c>
      <c r="J162" s="53"/>
    </row>
    <row r="163" spans="1:10" x14ac:dyDescent="0.25">
      <c r="A163" s="93">
        <v>41768</v>
      </c>
      <c r="B163" s="35">
        <f>C163+(D163-2009)*12</f>
        <v>65</v>
      </c>
      <c r="C163" s="76">
        <v>5</v>
      </c>
      <c r="D163" s="76">
        <v>2014</v>
      </c>
      <c r="E163" s="56">
        <v>2.6666666666666665</v>
      </c>
      <c r="F163" s="53">
        <f>IF(E163&gt;0,1,0)</f>
        <v>1</v>
      </c>
      <c r="G163" s="53">
        <f>SUM(F162:F163)</f>
        <v>2</v>
      </c>
      <c r="H163" s="53">
        <f>IF(G163=1,IF(F162=1,1,-1),G163)</f>
        <v>2</v>
      </c>
      <c r="I163" s="53" t="str">
        <f>VLOOKUP(H163,codes,2,)</f>
        <v>ww</v>
      </c>
      <c r="J163" s="53"/>
    </row>
    <row r="164" spans="1:10" x14ac:dyDescent="0.25">
      <c r="A164" s="93">
        <v>41769</v>
      </c>
      <c r="B164" s="35">
        <f>C164+(D164-2009)*12</f>
        <v>65</v>
      </c>
      <c r="C164" s="76">
        <v>5</v>
      </c>
      <c r="D164" s="76">
        <v>2014</v>
      </c>
      <c r="E164" s="56">
        <v>7.3999999999999995</v>
      </c>
      <c r="F164" s="53">
        <f>IF(E164&gt;0,1,0)</f>
        <v>1</v>
      </c>
      <c r="G164" s="53">
        <f>SUM(F163:F164)</f>
        <v>2</v>
      </c>
      <c r="H164" s="53">
        <f>IF(G164=1,IF(F163=1,1,-1),G164)</f>
        <v>2</v>
      </c>
      <c r="I164" s="53" t="str">
        <f>VLOOKUP(H164,codes,2,)</f>
        <v>ww</v>
      </c>
      <c r="J164" s="53"/>
    </row>
    <row r="165" spans="1:10" x14ac:dyDescent="0.25">
      <c r="A165" s="93">
        <v>41770</v>
      </c>
      <c r="B165" s="35">
        <f>C165+(D165-2009)*12</f>
        <v>65</v>
      </c>
      <c r="C165" s="76">
        <v>5</v>
      </c>
      <c r="D165" s="76">
        <v>2014</v>
      </c>
      <c r="E165" s="56">
        <v>3.1333333333333333</v>
      </c>
      <c r="F165" s="53">
        <f>IF(E165&gt;0,1,0)</f>
        <v>1</v>
      </c>
      <c r="G165" s="53">
        <f>SUM(F164:F165)</f>
        <v>2</v>
      </c>
      <c r="H165" s="53">
        <f>IF(G165=1,IF(F164=1,1,-1),G165)</f>
        <v>2</v>
      </c>
      <c r="I165" s="53" t="str">
        <f>VLOOKUP(H165,codes,2,)</f>
        <v>ww</v>
      </c>
      <c r="J165" s="53"/>
    </row>
    <row r="166" spans="1:10" x14ac:dyDescent="0.25">
      <c r="A166" s="93">
        <v>41771</v>
      </c>
      <c r="B166" s="35">
        <f>C166+(D166-2009)*12</f>
        <v>65</v>
      </c>
      <c r="C166" s="76">
        <v>5</v>
      </c>
      <c r="D166" s="76">
        <v>2014</v>
      </c>
      <c r="E166" s="56">
        <v>3.2666666666666662</v>
      </c>
      <c r="F166" s="53">
        <f>IF(E166&gt;0,1,0)</f>
        <v>1</v>
      </c>
      <c r="G166" s="53">
        <f>SUM(F165:F166)</f>
        <v>2</v>
      </c>
      <c r="H166" s="53">
        <f>IF(G166=1,IF(F165=1,1,-1),G166)</f>
        <v>2</v>
      </c>
      <c r="I166" s="53" t="str">
        <f>VLOOKUP(H166,codes,2,)</f>
        <v>ww</v>
      </c>
      <c r="J166" s="53"/>
    </row>
    <row r="167" spans="1:10" x14ac:dyDescent="0.25">
      <c r="A167" s="93">
        <v>41772</v>
      </c>
      <c r="B167" s="35">
        <f>C167+(D167-2009)*12</f>
        <v>65</v>
      </c>
      <c r="C167" s="76">
        <v>5</v>
      </c>
      <c r="D167" s="76">
        <v>2014</v>
      </c>
      <c r="E167" s="56">
        <v>0</v>
      </c>
      <c r="F167" s="53">
        <f>IF(E167&gt;0,1,0)</f>
        <v>0</v>
      </c>
      <c r="G167" s="53">
        <f>SUM(F166:F167)</f>
        <v>1</v>
      </c>
      <c r="H167" s="53">
        <f>IF(G167=1,IF(F166=1,1,-1),G167)</f>
        <v>1</v>
      </c>
      <c r="I167" s="53" t="str">
        <f>VLOOKUP(H167,codes,2,)</f>
        <v>wd</v>
      </c>
      <c r="J167" s="53"/>
    </row>
    <row r="168" spans="1:10" x14ac:dyDescent="0.25">
      <c r="A168" s="93">
        <v>41773</v>
      </c>
      <c r="B168" s="35">
        <f>C168+(D168-2009)*12</f>
        <v>65</v>
      </c>
      <c r="C168" s="76">
        <v>5</v>
      </c>
      <c r="D168" s="76">
        <v>2014</v>
      </c>
      <c r="E168" s="56">
        <v>3.8666666666666671</v>
      </c>
      <c r="F168" s="53">
        <f>IF(E168&gt;0,1,0)</f>
        <v>1</v>
      </c>
      <c r="G168" s="53">
        <f>SUM(F167:F168)</f>
        <v>1</v>
      </c>
      <c r="H168" s="53">
        <f>IF(G168=1,IF(F167=1,1,-1),G168)</f>
        <v>-1</v>
      </c>
      <c r="I168" s="53" t="str">
        <f>VLOOKUP(H168,codes,2,)</f>
        <v>dw</v>
      </c>
      <c r="J168" s="53"/>
    </row>
    <row r="169" spans="1:10" x14ac:dyDescent="0.25">
      <c r="A169" s="93">
        <v>41774</v>
      </c>
      <c r="B169" s="35">
        <f>C169+(D169-2009)*12</f>
        <v>65</v>
      </c>
      <c r="C169" s="76">
        <v>5</v>
      </c>
      <c r="D169" s="76">
        <v>2014</v>
      </c>
      <c r="E169" s="56">
        <v>0.33333333333333331</v>
      </c>
      <c r="F169" s="53">
        <f>IF(E169&gt;0,1,0)</f>
        <v>1</v>
      </c>
      <c r="G169" s="53">
        <f>SUM(F168:F169)</f>
        <v>2</v>
      </c>
      <c r="H169" s="53">
        <f>IF(G169=1,IF(F168=1,1,-1),G169)</f>
        <v>2</v>
      </c>
      <c r="I169" s="53" t="str">
        <f>VLOOKUP(H169,codes,2,)</f>
        <v>ww</v>
      </c>
      <c r="J169" s="53"/>
    </row>
    <row r="170" spans="1:10" x14ac:dyDescent="0.25">
      <c r="A170" s="93">
        <v>41775</v>
      </c>
      <c r="B170" s="35">
        <f>C170+(D170-2009)*12</f>
        <v>65</v>
      </c>
      <c r="C170" s="76">
        <v>5</v>
      </c>
      <c r="D170" s="76">
        <v>2014</v>
      </c>
      <c r="E170" s="56">
        <v>0</v>
      </c>
      <c r="F170" s="53">
        <f>IF(E170&gt;0,1,0)</f>
        <v>0</v>
      </c>
      <c r="G170" s="53">
        <f>SUM(F169:F170)</f>
        <v>1</v>
      </c>
      <c r="H170" s="53">
        <f>IF(G170=1,IF(F169=1,1,-1),G170)</f>
        <v>1</v>
      </c>
      <c r="I170" s="53" t="str">
        <f>VLOOKUP(H170,codes,2,)</f>
        <v>wd</v>
      </c>
      <c r="J170" s="53"/>
    </row>
    <row r="171" spans="1:10" x14ac:dyDescent="0.25">
      <c r="A171" s="93">
        <v>41776</v>
      </c>
      <c r="B171" s="35">
        <f>C171+(D171-2009)*12</f>
        <v>65</v>
      </c>
      <c r="C171" s="76">
        <v>5</v>
      </c>
      <c r="D171" s="76">
        <v>2014</v>
      </c>
      <c r="E171" s="56">
        <v>0</v>
      </c>
      <c r="F171" s="53">
        <f>IF(E171&gt;0,1,0)</f>
        <v>0</v>
      </c>
      <c r="G171" s="53">
        <f>SUM(F170:F171)</f>
        <v>0</v>
      </c>
      <c r="H171" s="53">
        <f>IF(G171=1,IF(F170=1,1,-1),G171)</f>
        <v>0</v>
      </c>
      <c r="I171" s="53" t="str">
        <f>VLOOKUP(H171,codes,2,)</f>
        <v>dd</v>
      </c>
      <c r="J171" s="53"/>
    </row>
    <row r="172" spans="1:10" x14ac:dyDescent="0.25">
      <c r="A172" s="93">
        <v>41777</v>
      </c>
      <c r="B172" s="35">
        <f>C172+(D172-2009)*12</f>
        <v>65</v>
      </c>
      <c r="C172" s="76">
        <v>5</v>
      </c>
      <c r="D172" s="76">
        <v>2014</v>
      </c>
      <c r="E172" s="56">
        <v>0</v>
      </c>
      <c r="F172" s="53">
        <f>IF(E172&gt;0,1,0)</f>
        <v>0</v>
      </c>
      <c r="G172" s="53">
        <f>SUM(F171:F172)</f>
        <v>0</v>
      </c>
      <c r="H172" s="53">
        <f>IF(G172=1,IF(F171=1,1,-1),G172)</f>
        <v>0</v>
      </c>
      <c r="I172" s="53" t="str">
        <f>VLOOKUP(H172,codes,2,)</f>
        <v>dd</v>
      </c>
      <c r="J172" s="53"/>
    </row>
    <row r="173" spans="1:10" x14ac:dyDescent="0.25">
      <c r="A173" s="93">
        <v>41778</v>
      </c>
      <c r="B173" s="35">
        <f>C173+(D173-2009)*12</f>
        <v>65</v>
      </c>
      <c r="C173" s="76">
        <v>5</v>
      </c>
      <c r="D173" s="76">
        <v>2014</v>
      </c>
      <c r="E173" s="56">
        <v>0</v>
      </c>
      <c r="F173" s="53">
        <f>IF(E173&gt;0,1,0)</f>
        <v>0</v>
      </c>
      <c r="G173" s="53">
        <f>SUM(F172:F173)</f>
        <v>0</v>
      </c>
      <c r="H173" s="53">
        <f>IF(G173=1,IF(F172=1,1,-1),G173)</f>
        <v>0</v>
      </c>
      <c r="I173" s="53" t="str">
        <f>VLOOKUP(H173,codes,2,)</f>
        <v>dd</v>
      </c>
      <c r="J173" s="53"/>
    </row>
    <row r="174" spans="1:10" x14ac:dyDescent="0.25">
      <c r="A174" s="93">
        <v>41779</v>
      </c>
      <c r="B174" s="35">
        <f>C174+(D174-2009)*12</f>
        <v>65</v>
      </c>
      <c r="C174" s="76">
        <v>5</v>
      </c>
      <c r="D174" s="76">
        <v>2014</v>
      </c>
      <c r="E174" s="56">
        <v>0</v>
      </c>
      <c r="F174" s="53">
        <f>IF(E174&gt;0,1,0)</f>
        <v>0</v>
      </c>
      <c r="G174" s="53">
        <f>SUM(F173:F174)</f>
        <v>0</v>
      </c>
      <c r="H174" s="53">
        <f>IF(G174=1,IF(F173=1,1,-1),G174)</f>
        <v>0</v>
      </c>
      <c r="I174" s="53" t="str">
        <f>VLOOKUP(H174,codes,2,)</f>
        <v>dd</v>
      </c>
      <c r="J174" s="53"/>
    </row>
    <row r="175" spans="1:10" x14ac:dyDescent="0.25">
      <c r="A175" s="93">
        <v>41780</v>
      </c>
      <c r="B175" s="35">
        <f>C175+(D175-2009)*12</f>
        <v>65</v>
      </c>
      <c r="C175" s="76">
        <v>5</v>
      </c>
      <c r="D175" s="76">
        <v>2014</v>
      </c>
      <c r="E175" s="56">
        <v>0</v>
      </c>
      <c r="F175" s="53">
        <f>IF(E175&gt;0,1,0)</f>
        <v>0</v>
      </c>
      <c r="G175" s="53">
        <f>SUM(F174:F175)</f>
        <v>0</v>
      </c>
      <c r="H175" s="53">
        <f>IF(G175=1,IF(F174=1,1,-1),G175)</f>
        <v>0</v>
      </c>
      <c r="I175" s="53" t="str">
        <f>VLOOKUP(H175,codes,2,)</f>
        <v>dd</v>
      </c>
      <c r="J175" s="53"/>
    </row>
    <row r="176" spans="1:10" x14ac:dyDescent="0.25">
      <c r="A176" s="93">
        <v>41781</v>
      </c>
      <c r="B176" s="35">
        <f>C176+(D176-2009)*12</f>
        <v>65</v>
      </c>
      <c r="C176" s="76">
        <v>5</v>
      </c>
      <c r="D176" s="76">
        <v>2014</v>
      </c>
      <c r="E176" s="56">
        <v>8.6666666666666661</v>
      </c>
      <c r="F176" s="53">
        <f>IF(E176&gt;0,1,0)</f>
        <v>1</v>
      </c>
      <c r="G176" s="53">
        <f>SUM(F175:F176)</f>
        <v>1</v>
      </c>
      <c r="H176" s="53">
        <f>IF(G176=1,IF(F175=1,1,-1),G176)</f>
        <v>-1</v>
      </c>
      <c r="I176" s="53" t="str">
        <f>VLOOKUP(H176,codes,2,)</f>
        <v>dw</v>
      </c>
      <c r="J176" s="53"/>
    </row>
    <row r="177" spans="1:10" x14ac:dyDescent="0.25">
      <c r="A177" s="93">
        <v>41782</v>
      </c>
      <c r="B177" s="35">
        <f>C177+(D177-2009)*12</f>
        <v>65</v>
      </c>
      <c r="C177" s="76">
        <v>5</v>
      </c>
      <c r="D177" s="76">
        <v>2014</v>
      </c>
      <c r="E177" s="56">
        <v>5.2666666666666666</v>
      </c>
      <c r="F177" s="53">
        <f>IF(E177&gt;0,1,0)</f>
        <v>1</v>
      </c>
      <c r="G177" s="53">
        <f>SUM(F176:F177)</f>
        <v>2</v>
      </c>
      <c r="H177" s="53">
        <f>IF(G177=1,IF(F176=1,1,-1),G177)</f>
        <v>2</v>
      </c>
      <c r="I177" s="53" t="str">
        <f>VLOOKUP(H177,codes,2,)</f>
        <v>ww</v>
      </c>
      <c r="J177" s="53"/>
    </row>
    <row r="178" spans="1:10" x14ac:dyDescent="0.25">
      <c r="A178" s="93">
        <v>41783</v>
      </c>
      <c r="B178" s="35">
        <f>C178+(D178-2009)*12</f>
        <v>65</v>
      </c>
      <c r="C178" s="76">
        <v>5</v>
      </c>
      <c r="D178" s="76">
        <v>2014</v>
      </c>
      <c r="E178" s="56">
        <v>4.5333333333333341</v>
      </c>
      <c r="F178" s="53">
        <f>IF(E178&gt;0,1,0)</f>
        <v>1</v>
      </c>
      <c r="G178" s="53">
        <f>SUM(F177:F178)</f>
        <v>2</v>
      </c>
      <c r="H178" s="53">
        <f>IF(G178=1,IF(F177=1,1,-1),G178)</f>
        <v>2</v>
      </c>
      <c r="I178" s="53" t="str">
        <f>VLOOKUP(H178,codes,2,)</f>
        <v>ww</v>
      </c>
      <c r="J178" s="53"/>
    </row>
    <row r="179" spans="1:10" x14ac:dyDescent="0.25">
      <c r="A179" s="93">
        <v>41784</v>
      </c>
      <c r="B179" s="35">
        <f>C179+(D179-2009)*12</f>
        <v>65</v>
      </c>
      <c r="C179" s="76">
        <v>5</v>
      </c>
      <c r="D179" s="76">
        <v>2014</v>
      </c>
      <c r="E179" s="56">
        <v>9.6</v>
      </c>
      <c r="F179" s="53">
        <f>IF(E179&gt;0,1,0)</f>
        <v>1</v>
      </c>
      <c r="G179" s="53">
        <f>SUM(F178:F179)</f>
        <v>2</v>
      </c>
      <c r="H179" s="53">
        <f>IF(G179=1,IF(F178=1,1,-1),G179)</f>
        <v>2</v>
      </c>
      <c r="I179" s="53" t="str">
        <f>VLOOKUP(H179,codes,2,)</f>
        <v>ww</v>
      </c>
      <c r="J179" s="53"/>
    </row>
    <row r="180" spans="1:10" x14ac:dyDescent="0.25">
      <c r="A180" s="93">
        <v>41785</v>
      </c>
      <c r="B180" s="35">
        <f>C180+(D180-2009)*12</f>
        <v>65</v>
      </c>
      <c r="C180" s="76">
        <v>5</v>
      </c>
      <c r="D180" s="76">
        <v>2014</v>
      </c>
      <c r="E180" s="56">
        <v>0</v>
      </c>
      <c r="F180" s="53">
        <f>IF(E180&gt;0,1,0)</f>
        <v>0</v>
      </c>
      <c r="G180" s="53">
        <f>SUM(F179:F180)</f>
        <v>1</v>
      </c>
      <c r="H180" s="53">
        <f>IF(G180=1,IF(F179=1,1,-1),G180)</f>
        <v>1</v>
      </c>
      <c r="I180" s="53" t="str">
        <f>VLOOKUP(H180,codes,2,)</f>
        <v>wd</v>
      </c>
      <c r="J180" s="53"/>
    </row>
    <row r="181" spans="1:10" x14ac:dyDescent="0.25">
      <c r="A181" s="93">
        <v>41786</v>
      </c>
      <c r="B181" s="35">
        <f>C181+(D181-2009)*12</f>
        <v>65</v>
      </c>
      <c r="C181" s="76">
        <v>5</v>
      </c>
      <c r="D181" s="76">
        <v>2014</v>
      </c>
      <c r="E181" s="56">
        <v>0.6</v>
      </c>
      <c r="F181" s="53">
        <f>IF(E181&gt;0,1,0)</f>
        <v>1</v>
      </c>
      <c r="G181" s="53">
        <f>SUM(F180:F181)</f>
        <v>1</v>
      </c>
      <c r="H181" s="53">
        <f>IF(G181=1,IF(F180=1,1,-1),G181)</f>
        <v>-1</v>
      </c>
      <c r="I181" s="53" t="str">
        <f>VLOOKUP(H181,codes,2,)</f>
        <v>dw</v>
      </c>
      <c r="J181" s="53"/>
    </row>
    <row r="182" spans="1:10" x14ac:dyDescent="0.25">
      <c r="A182" s="93">
        <v>41787</v>
      </c>
      <c r="B182" s="35">
        <f>C182+(D182-2009)*12</f>
        <v>65</v>
      </c>
      <c r="C182" s="76">
        <v>5</v>
      </c>
      <c r="D182" s="76">
        <v>2014</v>
      </c>
      <c r="E182" s="56">
        <v>3.5333333333333332</v>
      </c>
      <c r="F182" s="53">
        <f>IF(E182&gt;0,1,0)</f>
        <v>1</v>
      </c>
      <c r="G182" s="53">
        <f>SUM(F181:F182)</f>
        <v>2</v>
      </c>
      <c r="H182" s="53">
        <f>IF(G182=1,IF(F181=1,1,-1),G182)</f>
        <v>2</v>
      </c>
      <c r="I182" s="53" t="str">
        <f>VLOOKUP(H182,codes,2,)</f>
        <v>ww</v>
      </c>
      <c r="J182" s="53"/>
    </row>
    <row r="183" spans="1:10" x14ac:dyDescent="0.25">
      <c r="A183" s="93">
        <v>41788</v>
      </c>
      <c r="B183" s="35">
        <f>C183+(D183-2009)*12</f>
        <v>65</v>
      </c>
      <c r="C183" s="76">
        <v>5</v>
      </c>
      <c r="D183" s="76">
        <v>2014</v>
      </c>
      <c r="E183" s="56">
        <v>6.8</v>
      </c>
      <c r="F183" s="53">
        <f>IF(E183&gt;0,1,0)</f>
        <v>1</v>
      </c>
      <c r="G183" s="53">
        <f>SUM(F182:F183)</f>
        <v>2</v>
      </c>
      <c r="H183" s="53">
        <f>IF(G183=1,IF(F182=1,1,-1),G183)</f>
        <v>2</v>
      </c>
      <c r="I183" s="53" t="str">
        <f>VLOOKUP(H183,codes,2,)</f>
        <v>ww</v>
      </c>
      <c r="J183" s="53"/>
    </row>
    <row r="184" spans="1:10" x14ac:dyDescent="0.25">
      <c r="A184" s="93">
        <v>41789</v>
      </c>
      <c r="B184" s="35">
        <f>C184+(D184-2009)*12</f>
        <v>65</v>
      </c>
      <c r="C184" s="76">
        <v>5</v>
      </c>
      <c r="D184" s="76">
        <v>2014</v>
      </c>
      <c r="E184" s="56">
        <v>0.53333333333333333</v>
      </c>
      <c r="F184" s="53">
        <f>IF(E184&gt;0,1,0)</f>
        <v>1</v>
      </c>
      <c r="G184" s="53">
        <f>SUM(F183:F184)</f>
        <v>2</v>
      </c>
      <c r="H184" s="53">
        <f>IF(G184=1,IF(F183=1,1,-1),G184)</f>
        <v>2</v>
      </c>
      <c r="I184" s="53" t="str">
        <f>VLOOKUP(H184,codes,2,)</f>
        <v>ww</v>
      </c>
      <c r="J184" s="53"/>
    </row>
    <row r="185" spans="1:10" x14ac:dyDescent="0.25">
      <c r="A185" s="93">
        <v>41790</v>
      </c>
      <c r="B185" s="35">
        <f>C185+(D185-2009)*12</f>
        <v>65</v>
      </c>
      <c r="C185" s="76">
        <v>5</v>
      </c>
      <c r="D185" s="76">
        <v>2014</v>
      </c>
      <c r="E185" s="56">
        <v>0</v>
      </c>
      <c r="F185" s="53">
        <f>IF(E185&gt;0,1,0)</f>
        <v>0</v>
      </c>
      <c r="G185" s="53">
        <f>SUM(F184:F185)</f>
        <v>1</v>
      </c>
      <c r="H185" s="53">
        <f>IF(G185=1,IF(F184=1,1,-1),G185)</f>
        <v>1</v>
      </c>
      <c r="I185" s="53" t="str">
        <f>VLOOKUP(H185,codes,2,)</f>
        <v>wd</v>
      </c>
      <c r="J185" s="53"/>
    </row>
    <row r="186" spans="1:10" x14ac:dyDescent="0.25">
      <c r="A186" s="93">
        <v>41791</v>
      </c>
      <c r="B186" s="35">
        <f>C186+(D186-2009)*12</f>
        <v>65</v>
      </c>
      <c r="C186" s="76">
        <v>5</v>
      </c>
      <c r="D186" s="76">
        <v>2014</v>
      </c>
      <c r="E186" s="56">
        <v>0</v>
      </c>
      <c r="F186" s="53">
        <f>IF(E186&gt;0,1,0)</f>
        <v>0</v>
      </c>
      <c r="G186" s="53">
        <f>SUM(F185:F186)</f>
        <v>0</v>
      </c>
      <c r="H186" s="53">
        <f>IF(G186=1,IF(F185=1,1,-1),G186)</f>
        <v>0</v>
      </c>
      <c r="I186" s="53" t="str">
        <f>VLOOKUP(H186,codes,2,)</f>
        <v>dd</v>
      </c>
      <c r="J186" s="53"/>
    </row>
    <row r="187" spans="1:10" x14ac:dyDescent="0.25">
      <c r="A187" s="93">
        <v>41792</v>
      </c>
      <c r="B187" s="35">
        <f>C187+(D187-2009)*12</f>
        <v>65</v>
      </c>
      <c r="C187" s="76">
        <v>5</v>
      </c>
      <c r="D187" s="76">
        <v>2014</v>
      </c>
      <c r="E187" s="56">
        <v>0.13333333333333333</v>
      </c>
      <c r="F187" s="53">
        <f>IF(E187&gt;0,1,0)</f>
        <v>1</v>
      </c>
      <c r="G187" s="53">
        <f>SUM(F186:F187)</f>
        <v>1</v>
      </c>
      <c r="H187" s="53">
        <f>IF(G187=1,IF(F186=1,1,-1),G187)</f>
        <v>-1</v>
      </c>
      <c r="I187" s="53" t="str">
        <f>VLOOKUP(H187,codes,2,)</f>
        <v>dw</v>
      </c>
      <c r="J187" s="53"/>
    </row>
    <row r="188" spans="1:10" x14ac:dyDescent="0.25">
      <c r="A188" s="93">
        <v>42127</v>
      </c>
      <c r="B188" s="35">
        <f>C188+(D188-2009)*12</f>
        <v>77</v>
      </c>
      <c r="C188" s="76">
        <v>5</v>
      </c>
      <c r="D188" s="76">
        <v>2015</v>
      </c>
      <c r="E188" s="56">
        <v>6.9333333333333327</v>
      </c>
      <c r="F188" s="53">
        <f>IF(E188&gt;0,1,0)</f>
        <v>1</v>
      </c>
      <c r="G188" s="53">
        <f>SUM(F187:F188)</f>
        <v>2</v>
      </c>
      <c r="H188" s="53">
        <f>IF(G188=1,IF(F187=1,1,-1),G188)</f>
        <v>2</v>
      </c>
      <c r="I188" s="53" t="str">
        <f>VLOOKUP(H188,codes,2,)</f>
        <v>ww</v>
      </c>
      <c r="J188" s="53"/>
    </row>
    <row r="189" spans="1:10" x14ac:dyDescent="0.25">
      <c r="A189" s="93">
        <v>42128</v>
      </c>
      <c r="B189" s="35">
        <f>C189+(D189-2009)*12</f>
        <v>77</v>
      </c>
      <c r="C189" s="76">
        <v>5</v>
      </c>
      <c r="D189" s="76">
        <v>2015</v>
      </c>
      <c r="E189" s="56">
        <v>5.333333333333333</v>
      </c>
      <c r="F189" s="53">
        <f>IF(E189&gt;0,1,0)</f>
        <v>1</v>
      </c>
      <c r="G189" s="53">
        <f>SUM(F188:F189)</f>
        <v>2</v>
      </c>
      <c r="H189" s="53">
        <f>IF(G189=1,IF(F188=1,1,-1),G189)</f>
        <v>2</v>
      </c>
      <c r="I189" s="53" t="str">
        <f>VLOOKUP(H189,codes,2,)</f>
        <v>ww</v>
      </c>
      <c r="J189" s="53"/>
    </row>
    <row r="190" spans="1:10" x14ac:dyDescent="0.25">
      <c r="A190" s="93">
        <v>42129</v>
      </c>
      <c r="B190" s="35">
        <f>C190+(D190-2009)*12</f>
        <v>77</v>
      </c>
      <c r="C190" s="76">
        <v>5</v>
      </c>
      <c r="D190" s="76">
        <v>2015</v>
      </c>
      <c r="E190" s="56">
        <v>13.066666666666668</v>
      </c>
      <c r="F190" s="53">
        <f>IF(E190&gt;0,1,0)</f>
        <v>1</v>
      </c>
      <c r="G190" s="53">
        <f>SUM(F189:F190)</f>
        <v>2</v>
      </c>
      <c r="H190" s="53">
        <f>IF(G190=1,IF(F189=1,1,-1),G190)</f>
        <v>2</v>
      </c>
      <c r="I190" s="53" t="str">
        <f>VLOOKUP(H190,codes,2,)</f>
        <v>ww</v>
      </c>
      <c r="J190" s="53"/>
    </row>
    <row r="191" spans="1:10" x14ac:dyDescent="0.25">
      <c r="A191" s="93">
        <v>42130</v>
      </c>
      <c r="B191" s="35">
        <f>C191+(D191-2009)*12</f>
        <v>77</v>
      </c>
      <c r="C191" s="76">
        <v>5</v>
      </c>
      <c r="D191" s="76">
        <v>2015</v>
      </c>
      <c r="E191" s="56">
        <v>2.4666666666666668</v>
      </c>
      <c r="F191" s="53">
        <f>IF(E191&gt;0,1,0)</f>
        <v>1</v>
      </c>
      <c r="G191" s="53">
        <f>SUM(F190:F191)</f>
        <v>2</v>
      </c>
      <c r="H191" s="53">
        <f>IF(G191=1,IF(F190=1,1,-1),G191)</f>
        <v>2</v>
      </c>
      <c r="I191" s="53" t="str">
        <f>VLOOKUP(H191,codes,2,)</f>
        <v>ww</v>
      </c>
      <c r="J191" s="53"/>
    </row>
    <row r="192" spans="1:10" x14ac:dyDescent="0.25">
      <c r="A192" s="93">
        <v>42131</v>
      </c>
      <c r="B192" s="35">
        <f>C192+(D192-2009)*12</f>
        <v>77</v>
      </c>
      <c r="C192" s="76">
        <v>5</v>
      </c>
      <c r="D192" s="76">
        <v>2015</v>
      </c>
      <c r="E192" s="56">
        <v>3.1333333333333333</v>
      </c>
      <c r="F192" s="53">
        <f>IF(E192&gt;0,1,0)</f>
        <v>1</v>
      </c>
      <c r="G192" s="53">
        <f>SUM(F191:F192)</f>
        <v>2</v>
      </c>
      <c r="H192" s="53">
        <f>IF(G192=1,IF(F191=1,1,-1),G192)</f>
        <v>2</v>
      </c>
      <c r="I192" s="53" t="str">
        <f>VLOOKUP(H192,codes,2,)</f>
        <v>ww</v>
      </c>
      <c r="J192" s="53"/>
    </row>
    <row r="193" spans="1:10" x14ac:dyDescent="0.25">
      <c r="A193" s="93">
        <v>42132</v>
      </c>
      <c r="B193" s="35">
        <f>C193+(D193-2009)*12</f>
        <v>77</v>
      </c>
      <c r="C193" s="76">
        <v>5</v>
      </c>
      <c r="D193" s="76">
        <v>2015</v>
      </c>
      <c r="E193" s="56">
        <v>0</v>
      </c>
      <c r="F193" s="53">
        <f>IF(E193&gt;0,1,0)</f>
        <v>0</v>
      </c>
      <c r="G193" s="53">
        <f>SUM(F192:F193)</f>
        <v>1</v>
      </c>
      <c r="H193" s="53">
        <f>IF(G193=1,IF(F192=1,1,-1),G193)</f>
        <v>1</v>
      </c>
      <c r="I193" s="53" t="str">
        <f>VLOOKUP(H193,codes,2,)</f>
        <v>wd</v>
      </c>
      <c r="J193" s="53"/>
    </row>
    <row r="194" spans="1:10" x14ac:dyDescent="0.25">
      <c r="A194" s="93">
        <v>42133</v>
      </c>
      <c r="B194" s="35">
        <f>C194+(D194-2009)*12</f>
        <v>77</v>
      </c>
      <c r="C194" s="76">
        <v>5</v>
      </c>
      <c r="D194" s="76">
        <v>2015</v>
      </c>
      <c r="E194" s="56">
        <v>12.133333333333335</v>
      </c>
      <c r="F194" s="53">
        <f>IF(E194&gt;0,1,0)</f>
        <v>1</v>
      </c>
      <c r="G194" s="53">
        <f>SUM(F193:F194)</f>
        <v>1</v>
      </c>
      <c r="H194" s="53">
        <f>IF(G194=1,IF(F193=1,1,-1),G194)</f>
        <v>-1</v>
      </c>
      <c r="I194" s="53" t="str">
        <f>VLOOKUP(H194,codes,2,)</f>
        <v>dw</v>
      </c>
      <c r="J194" s="53"/>
    </row>
    <row r="195" spans="1:10" x14ac:dyDescent="0.25">
      <c r="A195" s="93">
        <v>42134</v>
      </c>
      <c r="B195" s="35">
        <f>C195+(D195-2009)*12</f>
        <v>77</v>
      </c>
      <c r="C195" s="76">
        <v>5</v>
      </c>
      <c r="D195" s="76">
        <v>2015</v>
      </c>
      <c r="E195" s="56">
        <v>0.73333333333333339</v>
      </c>
      <c r="F195" s="53">
        <f>IF(E195&gt;0,1,0)</f>
        <v>1</v>
      </c>
      <c r="G195" s="53">
        <f>SUM(F194:F195)</f>
        <v>2</v>
      </c>
      <c r="H195" s="53">
        <f>IF(G195=1,IF(F194=1,1,-1),G195)</f>
        <v>2</v>
      </c>
      <c r="I195" s="53" t="str">
        <f>VLOOKUP(H195,codes,2,)</f>
        <v>ww</v>
      </c>
      <c r="J195" s="53"/>
    </row>
    <row r="196" spans="1:10" x14ac:dyDescent="0.25">
      <c r="A196" s="93">
        <v>42135</v>
      </c>
      <c r="B196" s="35">
        <f>C196+(D196-2009)*12</f>
        <v>77</v>
      </c>
      <c r="C196" s="76">
        <v>5</v>
      </c>
      <c r="D196" s="76">
        <v>2015</v>
      </c>
      <c r="E196" s="56">
        <v>1.8666666666666665</v>
      </c>
      <c r="F196" s="53">
        <f>IF(E196&gt;0,1,0)</f>
        <v>1</v>
      </c>
      <c r="G196" s="53">
        <f>SUM(F195:F196)</f>
        <v>2</v>
      </c>
      <c r="H196" s="53">
        <f>IF(G196=1,IF(F195=1,1,-1),G196)</f>
        <v>2</v>
      </c>
      <c r="I196" s="53" t="str">
        <f>VLOOKUP(H196,codes,2,)</f>
        <v>ww</v>
      </c>
      <c r="J196" s="53"/>
    </row>
    <row r="197" spans="1:10" x14ac:dyDescent="0.25">
      <c r="A197" s="93">
        <v>42136</v>
      </c>
      <c r="B197" s="35">
        <f>C197+(D197-2009)*12</f>
        <v>77</v>
      </c>
      <c r="C197" s="76">
        <v>5</v>
      </c>
      <c r="D197" s="76">
        <v>2015</v>
      </c>
      <c r="E197" s="56">
        <v>6.6666666666666666E-2</v>
      </c>
      <c r="F197" s="53">
        <f>IF(E197&gt;0,1,0)</f>
        <v>1</v>
      </c>
      <c r="G197" s="53">
        <f>SUM(F196:F197)</f>
        <v>2</v>
      </c>
      <c r="H197" s="53">
        <f>IF(G197=1,IF(F196=1,1,-1),G197)</f>
        <v>2</v>
      </c>
      <c r="I197" s="53" t="str">
        <f>VLOOKUP(H197,codes,2,)</f>
        <v>ww</v>
      </c>
      <c r="J197" s="53"/>
    </row>
    <row r="198" spans="1:10" x14ac:dyDescent="0.25">
      <c r="A198" s="93">
        <v>42137</v>
      </c>
      <c r="B198" s="35">
        <f>C198+(D198-2009)*12</f>
        <v>77</v>
      </c>
      <c r="C198" s="76">
        <v>5</v>
      </c>
      <c r="D198" s="76">
        <v>2015</v>
      </c>
      <c r="E198" s="56">
        <v>6.6666666666666666E-2</v>
      </c>
      <c r="F198" s="53">
        <f>IF(E198&gt;0,1,0)</f>
        <v>1</v>
      </c>
      <c r="G198" s="53">
        <f>SUM(F197:F198)</f>
        <v>2</v>
      </c>
      <c r="H198" s="53">
        <f>IF(G198=1,IF(F197=1,1,-1),G198)</f>
        <v>2</v>
      </c>
      <c r="I198" s="53" t="str">
        <f>VLOOKUP(H198,codes,2,)</f>
        <v>ww</v>
      </c>
      <c r="J198" s="53"/>
    </row>
    <row r="199" spans="1:10" x14ac:dyDescent="0.25">
      <c r="A199" s="93">
        <v>42138</v>
      </c>
      <c r="B199" s="35">
        <f>C199+(D199-2009)*12</f>
        <v>77</v>
      </c>
      <c r="C199" s="76">
        <v>5</v>
      </c>
      <c r="D199" s="76">
        <v>2015</v>
      </c>
      <c r="E199" s="56">
        <v>0</v>
      </c>
      <c r="F199" s="53">
        <f>IF(E199&gt;0,1,0)</f>
        <v>0</v>
      </c>
      <c r="G199" s="53">
        <f>SUM(F198:F199)</f>
        <v>1</v>
      </c>
      <c r="H199" s="53">
        <f>IF(G199=1,IF(F198=1,1,-1),G199)</f>
        <v>1</v>
      </c>
      <c r="I199" s="53" t="str">
        <f>VLOOKUP(H199,codes,2,)</f>
        <v>wd</v>
      </c>
      <c r="J199" s="53"/>
    </row>
    <row r="200" spans="1:10" x14ac:dyDescent="0.25">
      <c r="A200" s="93">
        <v>42139</v>
      </c>
      <c r="B200" s="35">
        <f>C200+(D200-2009)*12</f>
        <v>77</v>
      </c>
      <c r="C200" s="76">
        <v>5</v>
      </c>
      <c r="D200" s="76">
        <v>2015</v>
      </c>
      <c r="E200" s="56">
        <v>0</v>
      </c>
      <c r="F200" s="53">
        <f>IF(E200&gt;0,1,0)</f>
        <v>0</v>
      </c>
      <c r="G200" s="53">
        <f>SUM(F199:F200)</f>
        <v>0</v>
      </c>
      <c r="H200" s="53">
        <f>IF(G200=1,IF(F199=1,1,-1),G200)</f>
        <v>0</v>
      </c>
      <c r="I200" s="53" t="str">
        <f>VLOOKUP(H200,codes,2,)</f>
        <v>dd</v>
      </c>
      <c r="J200" s="53"/>
    </row>
    <row r="201" spans="1:10" x14ac:dyDescent="0.25">
      <c r="A201" s="93">
        <v>42140</v>
      </c>
      <c r="B201" s="35">
        <f>C201+(D201-2009)*12</f>
        <v>77</v>
      </c>
      <c r="C201" s="76">
        <v>5</v>
      </c>
      <c r="D201" s="76">
        <v>2015</v>
      </c>
      <c r="E201" s="56">
        <v>1.0666666666666667</v>
      </c>
      <c r="F201" s="53">
        <f>IF(E201&gt;0,1,0)</f>
        <v>1</v>
      </c>
      <c r="G201" s="53">
        <f>SUM(F200:F201)</f>
        <v>1</v>
      </c>
      <c r="H201" s="53">
        <f>IF(G201=1,IF(F200=1,1,-1),G201)</f>
        <v>-1</v>
      </c>
      <c r="I201" s="53" t="str">
        <f>VLOOKUP(H201,codes,2,)</f>
        <v>dw</v>
      </c>
      <c r="J201" s="53"/>
    </row>
    <row r="202" spans="1:10" x14ac:dyDescent="0.25">
      <c r="A202" s="93">
        <v>42141</v>
      </c>
      <c r="B202" s="35">
        <f>C202+(D202-2009)*12</f>
        <v>77</v>
      </c>
      <c r="C202" s="76">
        <v>5</v>
      </c>
      <c r="D202" s="76">
        <v>2015</v>
      </c>
      <c r="E202" s="56">
        <v>0.13333333333333333</v>
      </c>
      <c r="F202" s="53">
        <f>IF(E202&gt;0,1,0)</f>
        <v>1</v>
      </c>
      <c r="G202" s="53">
        <f>SUM(F201:F202)</f>
        <v>2</v>
      </c>
      <c r="H202" s="53">
        <f>IF(G202=1,IF(F201=1,1,-1),G202)</f>
        <v>2</v>
      </c>
      <c r="I202" s="53" t="str">
        <f>VLOOKUP(H202,codes,2,)</f>
        <v>ww</v>
      </c>
      <c r="J202" s="53"/>
    </row>
    <row r="203" spans="1:10" x14ac:dyDescent="0.25">
      <c r="A203" s="93">
        <v>42142</v>
      </c>
      <c r="B203" s="35">
        <f>C203+(D203-2009)*12</f>
        <v>77</v>
      </c>
      <c r="C203" s="76">
        <v>5</v>
      </c>
      <c r="D203" s="76">
        <v>2015</v>
      </c>
      <c r="E203" s="56">
        <v>1.4000000000000001</v>
      </c>
      <c r="F203" s="53">
        <f>IF(E203&gt;0,1,0)</f>
        <v>1</v>
      </c>
      <c r="G203" s="53">
        <f>SUM(F202:F203)</f>
        <v>2</v>
      </c>
      <c r="H203" s="53">
        <f>IF(G203=1,IF(F202=1,1,-1),G203)</f>
        <v>2</v>
      </c>
      <c r="I203" s="53" t="str">
        <f>VLOOKUP(H203,codes,2,)</f>
        <v>ww</v>
      </c>
      <c r="J203" s="53"/>
    </row>
    <row r="204" spans="1:10" x14ac:dyDescent="0.25">
      <c r="A204" s="93">
        <v>42143</v>
      </c>
      <c r="B204" s="35">
        <f>C204+(D204-2009)*12</f>
        <v>77</v>
      </c>
      <c r="C204" s="76">
        <v>5</v>
      </c>
      <c r="D204" s="76">
        <v>2015</v>
      </c>
      <c r="E204" s="56">
        <v>1.7333333333333334</v>
      </c>
      <c r="F204" s="53">
        <f>IF(E204&gt;0,1,0)</f>
        <v>1</v>
      </c>
      <c r="G204" s="53">
        <f>SUM(F203:F204)</f>
        <v>2</v>
      </c>
      <c r="H204" s="53">
        <f>IF(G204=1,IF(F203=1,1,-1),G204)</f>
        <v>2</v>
      </c>
      <c r="I204" s="53" t="str">
        <f>VLOOKUP(H204,codes,2,)</f>
        <v>ww</v>
      </c>
      <c r="J204" s="53"/>
    </row>
    <row r="205" spans="1:10" x14ac:dyDescent="0.25">
      <c r="A205" s="93">
        <v>42144</v>
      </c>
      <c r="B205" s="35">
        <f>C205+(D205-2009)*12</f>
        <v>77</v>
      </c>
      <c r="C205" s="76">
        <v>5</v>
      </c>
      <c r="D205" s="76">
        <v>2015</v>
      </c>
      <c r="E205" s="56">
        <v>5.333333333333333</v>
      </c>
      <c r="F205" s="53">
        <f>IF(E205&gt;0,1,0)</f>
        <v>1</v>
      </c>
      <c r="G205" s="53">
        <f>SUM(F204:F205)</f>
        <v>2</v>
      </c>
      <c r="H205" s="53">
        <f>IF(G205=1,IF(F204=1,1,-1),G205)</f>
        <v>2</v>
      </c>
      <c r="I205" s="53" t="str">
        <f>VLOOKUP(H205,codes,2,)</f>
        <v>ww</v>
      </c>
      <c r="J205" s="53"/>
    </row>
    <row r="206" spans="1:10" x14ac:dyDescent="0.25">
      <c r="A206" s="93">
        <v>42145</v>
      </c>
      <c r="B206" s="35">
        <f>C206+(D206-2009)*12</f>
        <v>77</v>
      </c>
      <c r="C206" s="76">
        <v>5</v>
      </c>
      <c r="D206" s="76">
        <v>2015</v>
      </c>
      <c r="E206" s="56">
        <v>0.46666666666666662</v>
      </c>
      <c r="F206" s="53">
        <f>IF(E206&gt;0,1,0)</f>
        <v>1</v>
      </c>
      <c r="G206" s="53">
        <f>SUM(F205:F206)</f>
        <v>2</v>
      </c>
      <c r="H206" s="53">
        <f>IF(G206=1,IF(F205=1,1,-1),G206)</f>
        <v>2</v>
      </c>
      <c r="I206" s="53" t="str">
        <f>VLOOKUP(H206,codes,2,)</f>
        <v>ww</v>
      </c>
      <c r="J206" s="53"/>
    </row>
    <row r="207" spans="1:10" x14ac:dyDescent="0.25">
      <c r="A207" s="93">
        <v>42146</v>
      </c>
      <c r="B207" s="35">
        <f>C207+(D207-2009)*12</f>
        <v>77</v>
      </c>
      <c r="C207" s="76">
        <v>5</v>
      </c>
      <c r="D207" s="76">
        <v>2015</v>
      </c>
      <c r="E207" s="56">
        <v>0.33333333333333331</v>
      </c>
      <c r="F207" s="53">
        <f>IF(E207&gt;0,1,0)</f>
        <v>1</v>
      </c>
      <c r="G207" s="53">
        <f>SUM(F206:F207)</f>
        <v>2</v>
      </c>
      <c r="H207" s="53">
        <f>IF(G207=1,IF(F206=1,1,-1),G207)</f>
        <v>2</v>
      </c>
      <c r="I207" s="53" t="str">
        <f>VLOOKUP(H207,codes,2,)</f>
        <v>ww</v>
      </c>
      <c r="J207" s="53"/>
    </row>
    <row r="208" spans="1:10" x14ac:dyDescent="0.25">
      <c r="A208" s="93">
        <v>42147</v>
      </c>
      <c r="B208" s="35">
        <f>C208+(D208-2009)*12</f>
        <v>77</v>
      </c>
      <c r="C208" s="76">
        <v>5</v>
      </c>
      <c r="D208" s="76">
        <v>2015</v>
      </c>
      <c r="E208" s="56">
        <v>0</v>
      </c>
      <c r="F208" s="53">
        <f>IF(E208&gt;0,1,0)</f>
        <v>0</v>
      </c>
      <c r="G208" s="53">
        <f>SUM(F207:F208)</f>
        <v>1</v>
      </c>
      <c r="H208" s="53">
        <f>IF(G208=1,IF(F207=1,1,-1),G208)</f>
        <v>1</v>
      </c>
      <c r="I208" s="53" t="str">
        <f>VLOOKUP(H208,codes,2,)</f>
        <v>wd</v>
      </c>
      <c r="J208" s="53"/>
    </row>
    <row r="209" spans="1:10" x14ac:dyDescent="0.25">
      <c r="A209" s="93">
        <v>42148</v>
      </c>
      <c r="B209" s="35">
        <f>C209+(D209-2009)*12</f>
        <v>77</v>
      </c>
      <c r="C209" s="76">
        <v>5</v>
      </c>
      <c r="D209" s="76">
        <v>2015</v>
      </c>
      <c r="E209" s="56">
        <v>2.1999999999999997</v>
      </c>
      <c r="F209" s="53">
        <f>IF(E209&gt;0,1,0)</f>
        <v>1</v>
      </c>
      <c r="G209" s="53">
        <f>SUM(F208:F209)</f>
        <v>1</v>
      </c>
      <c r="H209" s="53">
        <f>IF(G209=1,IF(F208=1,1,-1),G209)</f>
        <v>-1</v>
      </c>
      <c r="I209" s="53" t="str">
        <f>VLOOKUP(H209,codes,2,)</f>
        <v>dw</v>
      </c>
      <c r="J209" s="53"/>
    </row>
    <row r="210" spans="1:10" x14ac:dyDescent="0.25">
      <c r="A210" s="93">
        <v>42149</v>
      </c>
      <c r="B210" s="35">
        <f>C210+(D210-2009)*12</f>
        <v>77</v>
      </c>
      <c r="C210" s="76">
        <v>5</v>
      </c>
      <c r="D210" s="76">
        <v>2015</v>
      </c>
      <c r="E210" s="56">
        <v>0</v>
      </c>
      <c r="F210" s="53">
        <f>IF(E210&gt;0,1,0)</f>
        <v>0</v>
      </c>
      <c r="G210" s="53">
        <f>SUM(F209:F210)</f>
        <v>1</v>
      </c>
      <c r="H210" s="53">
        <f>IF(G210=1,IF(F209=1,1,-1),G210)</f>
        <v>1</v>
      </c>
      <c r="I210" s="53" t="str">
        <f>VLOOKUP(H210,codes,2,)</f>
        <v>wd</v>
      </c>
      <c r="J210" s="53"/>
    </row>
    <row r="211" spans="1:10" x14ac:dyDescent="0.25">
      <c r="A211" s="93">
        <v>42150</v>
      </c>
      <c r="B211" s="35">
        <f>C211+(D211-2009)*12</f>
        <v>77</v>
      </c>
      <c r="C211" s="76">
        <v>5</v>
      </c>
      <c r="D211" s="76">
        <v>2015</v>
      </c>
      <c r="E211" s="56">
        <v>0</v>
      </c>
      <c r="F211" s="53">
        <f>IF(E211&gt;0,1,0)</f>
        <v>0</v>
      </c>
      <c r="G211" s="53">
        <f>SUM(F210:F211)</f>
        <v>0</v>
      </c>
      <c r="H211" s="53">
        <f>IF(G211=1,IF(F210=1,1,-1),G211)</f>
        <v>0</v>
      </c>
      <c r="I211" s="53" t="str">
        <f>VLOOKUP(H211,codes,2,)</f>
        <v>dd</v>
      </c>
      <c r="J211" s="53"/>
    </row>
    <row r="212" spans="1:10" x14ac:dyDescent="0.25">
      <c r="A212" s="93">
        <v>42151</v>
      </c>
      <c r="B212" s="35">
        <f>C212+(D212-2009)*12</f>
        <v>77</v>
      </c>
      <c r="C212" s="76">
        <v>5</v>
      </c>
      <c r="D212" s="76">
        <v>2015</v>
      </c>
      <c r="E212" s="56">
        <v>0</v>
      </c>
      <c r="F212" s="53">
        <f>IF(E212&gt;0,1,0)</f>
        <v>0</v>
      </c>
      <c r="G212" s="53">
        <f>SUM(F211:F212)</f>
        <v>0</v>
      </c>
      <c r="H212" s="53">
        <f>IF(G212=1,IF(F211=1,1,-1),G212)</f>
        <v>0</v>
      </c>
      <c r="I212" s="53" t="str">
        <f>VLOOKUP(H212,codes,2,)</f>
        <v>dd</v>
      </c>
      <c r="J212" s="53"/>
    </row>
    <row r="213" spans="1:10" x14ac:dyDescent="0.25">
      <c r="A213" s="93">
        <v>42152</v>
      </c>
      <c r="B213" s="35">
        <f>C213+(D213-2009)*12</f>
        <v>77</v>
      </c>
      <c r="C213" s="76">
        <v>5</v>
      </c>
      <c r="D213" s="76">
        <v>2015</v>
      </c>
      <c r="E213" s="56">
        <v>3.7333333333333329</v>
      </c>
      <c r="F213" s="53">
        <f>IF(E213&gt;0,1,0)</f>
        <v>1</v>
      </c>
      <c r="G213" s="53">
        <f>SUM(F212:F213)</f>
        <v>1</v>
      </c>
      <c r="H213" s="53">
        <f>IF(G213=1,IF(F212=1,1,-1),G213)</f>
        <v>-1</v>
      </c>
      <c r="I213" s="53" t="str">
        <f>VLOOKUP(H213,codes,2,)</f>
        <v>dw</v>
      </c>
      <c r="J213" s="53"/>
    </row>
    <row r="214" spans="1:10" x14ac:dyDescent="0.25">
      <c r="A214" s="93">
        <v>42153</v>
      </c>
      <c r="B214" s="35">
        <f>C214+(D214-2009)*12</f>
        <v>77</v>
      </c>
      <c r="C214" s="76">
        <v>5</v>
      </c>
      <c r="D214" s="76">
        <v>2015</v>
      </c>
      <c r="E214" s="56">
        <v>1.0666666666666667</v>
      </c>
      <c r="F214" s="53">
        <f>IF(E214&gt;0,1,0)</f>
        <v>1</v>
      </c>
      <c r="G214" s="53">
        <f>SUM(F213:F214)</f>
        <v>2</v>
      </c>
      <c r="H214" s="53">
        <f>IF(G214=1,IF(F213=1,1,-1),G214)</f>
        <v>2</v>
      </c>
      <c r="I214" s="53" t="str">
        <f>VLOOKUP(H214,codes,2,)</f>
        <v>ww</v>
      </c>
      <c r="J214" s="53"/>
    </row>
    <row r="215" spans="1:10" x14ac:dyDescent="0.25">
      <c r="A215" s="93">
        <v>42154</v>
      </c>
      <c r="B215" s="35">
        <f>C215+(D215-2009)*12</f>
        <v>77</v>
      </c>
      <c r="C215" s="76">
        <v>5</v>
      </c>
      <c r="D215" s="76">
        <v>2015</v>
      </c>
      <c r="E215" s="56">
        <v>4.3999999999999995</v>
      </c>
      <c r="F215" s="53">
        <f>IF(E215&gt;0,1,0)</f>
        <v>1</v>
      </c>
      <c r="G215" s="53">
        <f>SUM(F214:F215)</f>
        <v>2</v>
      </c>
      <c r="H215" s="53">
        <f>IF(G215=1,IF(F214=1,1,-1),G215)</f>
        <v>2</v>
      </c>
      <c r="I215" s="53" t="str">
        <f>VLOOKUP(H215,codes,2,)</f>
        <v>ww</v>
      </c>
      <c r="J215" s="53"/>
    </row>
    <row r="216" spans="1:10" x14ac:dyDescent="0.25">
      <c r="A216" s="93">
        <v>42155</v>
      </c>
      <c r="B216" s="35">
        <f>C216+(D216-2009)*12</f>
        <v>77</v>
      </c>
      <c r="C216" s="76">
        <v>5</v>
      </c>
      <c r="D216" s="76">
        <v>2015</v>
      </c>
      <c r="E216" s="56">
        <v>7.4666666666666659</v>
      </c>
      <c r="F216" s="53">
        <f>IF(E216&gt;0,1,0)</f>
        <v>1</v>
      </c>
      <c r="G216" s="53">
        <f>SUM(F215:F216)</f>
        <v>2</v>
      </c>
      <c r="H216" s="53">
        <f>IF(G216=1,IF(F215=1,1,-1),G216)</f>
        <v>2</v>
      </c>
      <c r="I216" s="53" t="str">
        <f>VLOOKUP(H216,codes,2,)</f>
        <v>ww</v>
      </c>
      <c r="J216" s="53"/>
    </row>
    <row r="217" spans="1:10" x14ac:dyDescent="0.25">
      <c r="A217" s="93">
        <v>42156</v>
      </c>
      <c r="B217" s="35">
        <f>C217+(D217-2009)*12</f>
        <v>77</v>
      </c>
      <c r="C217" s="76">
        <v>5</v>
      </c>
      <c r="D217" s="76">
        <v>2015</v>
      </c>
      <c r="E217" s="56">
        <v>0.46666666666666662</v>
      </c>
      <c r="F217" s="53">
        <f>IF(E217&gt;0,1,0)</f>
        <v>1</v>
      </c>
      <c r="G217" s="53">
        <f>SUM(F216:F217)</f>
        <v>2</v>
      </c>
      <c r="H217" s="53">
        <f>IF(G217=1,IF(F216=1,1,-1),G217)</f>
        <v>2</v>
      </c>
      <c r="I217" s="53" t="str">
        <f>VLOOKUP(H217,codes,2,)</f>
        <v>ww</v>
      </c>
      <c r="J217" s="53"/>
    </row>
    <row r="218" spans="1:10" x14ac:dyDescent="0.25">
      <c r="A218" s="93">
        <v>42157</v>
      </c>
      <c r="B218" s="35">
        <f>C218+(D218-2009)*12</f>
        <v>77</v>
      </c>
      <c r="C218" s="76">
        <v>5</v>
      </c>
      <c r="D218" s="76">
        <v>2015</v>
      </c>
      <c r="E218" s="56">
        <v>4.333333333333333</v>
      </c>
      <c r="F218" s="53">
        <f>IF(E218&gt;0,1,0)</f>
        <v>1</v>
      </c>
      <c r="G218" s="53">
        <f>SUM(F217:F218)</f>
        <v>2</v>
      </c>
      <c r="H218" s="53">
        <f>IF(G218=1,IF(F217=1,1,-1),G218)</f>
        <v>2</v>
      </c>
      <c r="I218" s="53" t="str">
        <f>VLOOKUP(H218,codes,2,)</f>
        <v>ww</v>
      </c>
      <c r="J218" s="53"/>
    </row>
    <row r="219" spans="1:10" x14ac:dyDescent="0.25">
      <c r="A219" s="93">
        <v>42493</v>
      </c>
      <c r="B219" s="35">
        <f>C219+(D219-2009)*12</f>
        <v>89</v>
      </c>
      <c r="C219" s="76">
        <v>5</v>
      </c>
      <c r="D219" s="76">
        <v>2016</v>
      </c>
      <c r="E219" s="56">
        <v>1.1333333333333333</v>
      </c>
      <c r="F219" s="53">
        <f>IF(E219&gt;0,1,0)</f>
        <v>1</v>
      </c>
      <c r="G219" s="53">
        <f>SUM(F218:F219)</f>
        <v>2</v>
      </c>
      <c r="H219" s="53">
        <f>IF(G219=1,IF(F218=1,1,-1),G219)</f>
        <v>2</v>
      </c>
      <c r="I219" s="53" t="str">
        <f>VLOOKUP(H219,codes,2,)</f>
        <v>ww</v>
      </c>
      <c r="J219" s="53"/>
    </row>
    <row r="220" spans="1:10" x14ac:dyDescent="0.25">
      <c r="A220" s="93">
        <v>42494</v>
      </c>
      <c r="B220" s="35">
        <f>C220+(D220-2009)*12</f>
        <v>89</v>
      </c>
      <c r="C220" s="76">
        <v>5</v>
      </c>
      <c r="D220" s="76">
        <v>2016</v>
      </c>
      <c r="E220" s="56">
        <v>0</v>
      </c>
      <c r="F220" s="53">
        <f>IF(E220&gt;0,1,0)</f>
        <v>0</v>
      </c>
      <c r="G220" s="53">
        <f>SUM(F219:F220)</f>
        <v>1</v>
      </c>
      <c r="H220" s="53">
        <f>IF(G220=1,IF(F219=1,1,-1),G220)</f>
        <v>1</v>
      </c>
      <c r="I220" s="53" t="str">
        <f>VLOOKUP(H220,codes,2,)</f>
        <v>wd</v>
      </c>
      <c r="J220" s="53"/>
    </row>
    <row r="221" spans="1:10" x14ac:dyDescent="0.25">
      <c r="A221" s="93">
        <v>42495</v>
      </c>
      <c r="B221" s="35">
        <f>C221+(D221-2009)*12</f>
        <v>89</v>
      </c>
      <c r="C221" s="76">
        <v>5</v>
      </c>
      <c r="D221" s="76">
        <v>2016</v>
      </c>
      <c r="E221" s="56">
        <v>0</v>
      </c>
      <c r="F221" s="53">
        <f>IF(E221&gt;0,1,0)</f>
        <v>0</v>
      </c>
      <c r="G221" s="53">
        <f>SUM(F220:F221)</f>
        <v>0</v>
      </c>
      <c r="H221" s="53">
        <f>IF(G221=1,IF(F220=1,1,-1),G221)</f>
        <v>0</v>
      </c>
      <c r="I221" s="53" t="str">
        <f>VLOOKUP(H221,codes,2,)</f>
        <v>dd</v>
      </c>
      <c r="J221" s="53"/>
    </row>
    <row r="222" spans="1:10" x14ac:dyDescent="0.25">
      <c r="A222" s="93">
        <v>42496</v>
      </c>
      <c r="B222" s="35">
        <f>C222+(D222-2009)*12</f>
        <v>89</v>
      </c>
      <c r="C222" s="76">
        <v>5</v>
      </c>
      <c r="D222" s="76">
        <v>2016</v>
      </c>
      <c r="E222" s="56">
        <v>0</v>
      </c>
      <c r="F222" s="53">
        <f>IF(E222&gt;0,1,0)</f>
        <v>0</v>
      </c>
      <c r="G222" s="53">
        <f>SUM(F221:F222)</f>
        <v>0</v>
      </c>
      <c r="H222" s="53">
        <f>IF(G222=1,IF(F221=1,1,-1),G222)</f>
        <v>0</v>
      </c>
      <c r="I222" s="53" t="str">
        <f>VLOOKUP(H222,codes,2,)</f>
        <v>dd</v>
      </c>
      <c r="J222" s="53"/>
    </row>
    <row r="223" spans="1:10" x14ac:dyDescent="0.25">
      <c r="A223" s="93">
        <v>42497</v>
      </c>
      <c r="B223" s="35">
        <f>C223+(D223-2009)*12</f>
        <v>89</v>
      </c>
      <c r="C223" s="76">
        <v>5</v>
      </c>
      <c r="D223" s="76">
        <v>2016</v>
      </c>
      <c r="E223" s="56">
        <v>0</v>
      </c>
      <c r="F223" s="53">
        <f>IF(E223&gt;0,1,0)</f>
        <v>0</v>
      </c>
      <c r="G223" s="53">
        <f>SUM(F222:F223)</f>
        <v>0</v>
      </c>
      <c r="H223" s="53">
        <f>IF(G223=1,IF(F222=1,1,-1),G223)</f>
        <v>0</v>
      </c>
      <c r="I223" s="53" t="str">
        <f>VLOOKUP(H223,codes,2,)</f>
        <v>dd</v>
      </c>
      <c r="J223" s="53"/>
    </row>
    <row r="224" spans="1:10" x14ac:dyDescent="0.25">
      <c r="A224" s="93">
        <v>42498</v>
      </c>
      <c r="B224" s="35">
        <f>C224+(D224-2009)*12</f>
        <v>89</v>
      </c>
      <c r="C224" s="76">
        <v>5</v>
      </c>
      <c r="D224" s="76">
        <v>2016</v>
      </c>
      <c r="E224" s="56">
        <v>0</v>
      </c>
      <c r="F224" s="53">
        <f>IF(E224&gt;0,1,0)</f>
        <v>0</v>
      </c>
      <c r="G224" s="53">
        <f>SUM(F223:F224)</f>
        <v>0</v>
      </c>
      <c r="H224" s="53">
        <f>IF(G224=1,IF(F223=1,1,-1),G224)</f>
        <v>0</v>
      </c>
      <c r="I224" s="53" t="str">
        <f>VLOOKUP(H224,codes,2,)</f>
        <v>dd</v>
      </c>
      <c r="J224" s="53"/>
    </row>
    <row r="225" spans="1:10" x14ac:dyDescent="0.25">
      <c r="A225" s="93">
        <v>42499</v>
      </c>
      <c r="B225" s="35">
        <f>C225+(D225-2009)*12</f>
        <v>89</v>
      </c>
      <c r="C225" s="76">
        <v>5</v>
      </c>
      <c r="D225" s="76">
        <v>2016</v>
      </c>
      <c r="E225" s="56">
        <v>0</v>
      </c>
      <c r="F225" s="53">
        <f>IF(E225&gt;0,1,0)</f>
        <v>0</v>
      </c>
      <c r="G225" s="53">
        <f>SUM(F224:F225)</f>
        <v>0</v>
      </c>
      <c r="H225" s="53">
        <f>IF(G225=1,IF(F224=1,1,-1),G225)</f>
        <v>0</v>
      </c>
      <c r="I225" s="53" t="str">
        <f>VLOOKUP(H225,codes,2,)</f>
        <v>dd</v>
      </c>
      <c r="J225" s="53"/>
    </row>
    <row r="226" spans="1:10" x14ac:dyDescent="0.25">
      <c r="A226" s="93">
        <v>42500</v>
      </c>
      <c r="B226" s="35">
        <f>C226+(D226-2009)*12</f>
        <v>89</v>
      </c>
      <c r="C226" s="76">
        <v>5</v>
      </c>
      <c r="D226" s="76">
        <v>2016</v>
      </c>
      <c r="E226" s="56">
        <v>0</v>
      </c>
      <c r="F226" s="53">
        <f>IF(E226&gt;0,1,0)</f>
        <v>0</v>
      </c>
      <c r="G226" s="53">
        <f>SUM(F225:F226)</f>
        <v>0</v>
      </c>
      <c r="H226" s="53">
        <f>IF(G226=1,IF(F225=1,1,-1),G226)</f>
        <v>0</v>
      </c>
      <c r="I226" s="53" t="str">
        <f>VLOOKUP(H226,codes,2,)</f>
        <v>dd</v>
      </c>
      <c r="J226" s="53"/>
    </row>
    <row r="227" spans="1:10" x14ac:dyDescent="0.25">
      <c r="A227" s="93">
        <v>42501</v>
      </c>
      <c r="B227" s="35">
        <f>C227+(D227-2009)*12</f>
        <v>89</v>
      </c>
      <c r="C227" s="76">
        <v>5</v>
      </c>
      <c r="D227" s="76">
        <v>2016</v>
      </c>
      <c r="E227" s="56">
        <v>0</v>
      </c>
      <c r="F227" s="53">
        <f>IF(E227&gt;0,1,0)</f>
        <v>0</v>
      </c>
      <c r="G227" s="53">
        <f>SUM(F226:F227)</f>
        <v>0</v>
      </c>
      <c r="H227" s="53">
        <f>IF(G227=1,IF(F226=1,1,-1),G227)</f>
        <v>0</v>
      </c>
      <c r="I227" s="53" t="str">
        <f>VLOOKUP(H227,codes,2,)</f>
        <v>dd</v>
      </c>
      <c r="J227" s="53"/>
    </row>
    <row r="228" spans="1:10" x14ac:dyDescent="0.25">
      <c r="A228" s="93">
        <v>42502</v>
      </c>
      <c r="B228" s="35">
        <f>C228+(D228-2009)*12</f>
        <v>89</v>
      </c>
      <c r="C228" s="76">
        <v>5</v>
      </c>
      <c r="D228" s="76">
        <v>2016</v>
      </c>
      <c r="E228" s="56">
        <v>0</v>
      </c>
      <c r="F228" s="53">
        <f>IF(E228&gt;0,1,0)</f>
        <v>0</v>
      </c>
      <c r="G228" s="53">
        <f>SUM(F227:F228)</f>
        <v>0</v>
      </c>
      <c r="H228" s="53">
        <f>IF(G228=1,IF(F227=1,1,-1),G228)</f>
        <v>0</v>
      </c>
      <c r="I228" s="53" t="str">
        <f>VLOOKUP(H228,codes,2,)</f>
        <v>dd</v>
      </c>
      <c r="J228" s="53"/>
    </row>
    <row r="229" spans="1:10" x14ac:dyDescent="0.25">
      <c r="A229" s="93">
        <v>42503</v>
      </c>
      <c r="B229" s="35">
        <f>C229+(D229-2009)*12</f>
        <v>89</v>
      </c>
      <c r="C229" s="76">
        <v>5</v>
      </c>
      <c r="D229" s="76">
        <v>2016</v>
      </c>
      <c r="E229" s="56">
        <v>0</v>
      </c>
      <c r="F229" s="53">
        <f>IF(E229&gt;0,1,0)</f>
        <v>0</v>
      </c>
      <c r="G229" s="53">
        <f>SUM(F228:F229)</f>
        <v>0</v>
      </c>
      <c r="H229" s="53">
        <f>IF(G229=1,IF(F228=1,1,-1),G229)</f>
        <v>0</v>
      </c>
      <c r="I229" s="53" t="str">
        <f>VLOOKUP(H229,codes,2,)</f>
        <v>dd</v>
      </c>
      <c r="J229" s="53"/>
    </row>
    <row r="230" spans="1:10" x14ac:dyDescent="0.25">
      <c r="A230" s="93">
        <v>42504</v>
      </c>
      <c r="B230" s="35">
        <f>C230+(D230-2009)*12</f>
        <v>89</v>
      </c>
      <c r="C230" s="76">
        <v>5</v>
      </c>
      <c r="D230" s="76">
        <v>2016</v>
      </c>
      <c r="E230" s="56">
        <v>6.6666666666666666E-2</v>
      </c>
      <c r="F230" s="53">
        <f>IF(E230&gt;0,1,0)</f>
        <v>1</v>
      </c>
      <c r="G230" s="53">
        <f>SUM(F229:F230)</f>
        <v>1</v>
      </c>
      <c r="H230" s="53">
        <f>IF(G230=1,IF(F229=1,1,-1),G230)</f>
        <v>-1</v>
      </c>
      <c r="I230" s="53" t="str">
        <f>VLOOKUP(H230,codes,2,)</f>
        <v>dw</v>
      </c>
      <c r="J230" s="53"/>
    </row>
    <row r="231" spans="1:10" x14ac:dyDescent="0.25">
      <c r="A231" s="93">
        <v>42505</v>
      </c>
      <c r="B231" s="35">
        <f>C231+(D231-2009)*12</f>
        <v>89</v>
      </c>
      <c r="C231" s="76">
        <v>5</v>
      </c>
      <c r="D231" s="76">
        <v>2016</v>
      </c>
      <c r="E231" s="56">
        <v>0</v>
      </c>
      <c r="F231" s="53">
        <f>IF(E231&gt;0,1,0)</f>
        <v>0</v>
      </c>
      <c r="G231" s="53">
        <f>SUM(F230:F231)</f>
        <v>1</v>
      </c>
      <c r="H231" s="53">
        <f>IF(G231=1,IF(F230=1,1,-1),G231)</f>
        <v>1</v>
      </c>
      <c r="I231" s="53" t="str">
        <f>VLOOKUP(H231,codes,2,)</f>
        <v>wd</v>
      </c>
      <c r="J231" s="53"/>
    </row>
    <row r="232" spans="1:10" x14ac:dyDescent="0.25">
      <c r="A232" s="93">
        <v>42506</v>
      </c>
      <c r="B232" s="35">
        <f>C232+(D232-2009)*12</f>
        <v>89</v>
      </c>
      <c r="C232" s="76">
        <v>5</v>
      </c>
      <c r="D232" s="76">
        <v>2016</v>
      </c>
      <c r="E232" s="56">
        <v>0</v>
      </c>
      <c r="F232" s="53">
        <f>IF(E232&gt;0,1,0)</f>
        <v>0</v>
      </c>
      <c r="G232" s="53">
        <f>SUM(F231:F232)</f>
        <v>0</v>
      </c>
      <c r="H232" s="53">
        <f>IF(G232=1,IF(F231=1,1,-1),G232)</f>
        <v>0</v>
      </c>
      <c r="I232" s="53" t="str">
        <f>VLOOKUP(H232,codes,2,)</f>
        <v>dd</v>
      </c>
      <c r="J232" s="53"/>
    </row>
    <row r="233" spans="1:10" x14ac:dyDescent="0.25">
      <c r="A233" s="93">
        <v>42507</v>
      </c>
      <c r="B233" s="35">
        <f>C233+(D233-2009)*12</f>
        <v>89</v>
      </c>
      <c r="C233" s="76">
        <v>5</v>
      </c>
      <c r="D233" s="76">
        <v>2016</v>
      </c>
      <c r="E233" s="56">
        <v>0</v>
      </c>
      <c r="F233" s="53">
        <f>IF(E233&gt;0,1,0)</f>
        <v>0</v>
      </c>
      <c r="G233" s="53">
        <f>SUM(F232:F233)</f>
        <v>0</v>
      </c>
      <c r="H233" s="53">
        <f>IF(G233=1,IF(F232=1,1,-1),G233)</f>
        <v>0</v>
      </c>
      <c r="I233" s="53" t="str">
        <f>VLOOKUP(H233,codes,2,)</f>
        <v>dd</v>
      </c>
      <c r="J233" s="53"/>
    </row>
    <row r="234" spans="1:10" x14ac:dyDescent="0.25">
      <c r="A234" s="93">
        <v>42508</v>
      </c>
      <c r="B234" s="35">
        <f>C234+(D234-2009)*12</f>
        <v>89</v>
      </c>
      <c r="C234" s="76">
        <v>5</v>
      </c>
      <c r="D234" s="76">
        <v>2016</v>
      </c>
      <c r="E234" s="56">
        <v>0.66666666666666663</v>
      </c>
      <c r="F234" s="53">
        <f>IF(E234&gt;0,1,0)</f>
        <v>1</v>
      </c>
      <c r="G234" s="53">
        <f>SUM(F233:F234)</f>
        <v>1</v>
      </c>
      <c r="H234" s="53">
        <f>IF(G234=1,IF(F233=1,1,-1),G234)</f>
        <v>-1</v>
      </c>
      <c r="I234" s="53" t="str">
        <f>VLOOKUP(H234,codes,2,)</f>
        <v>dw</v>
      </c>
      <c r="J234" s="53"/>
    </row>
    <row r="235" spans="1:10" x14ac:dyDescent="0.25">
      <c r="A235" s="93">
        <v>42509</v>
      </c>
      <c r="B235" s="35">
        <f>C235+(D235-2009)*12</f>
        <v>89</v>
      </c>
      <c r="C235" s="76">
        <v>5</v>
      </c>
      <c r="D235" s="76">
        <v>2016</v>
      </c>
      <c r="E235" s="56">
        <v>0.13333333333333333</v>
      </c>
      <c r="F235" s="53">
        <f>IF(E235&gt;0,1,0)</f>
        <v>1</v>
      </c>
      <c r="G235" s="53">
        <f>SUM(F234:F235)</f>
        <v>2</v>
      </c>
      <c r="H235" s="53">
        <f>IF(G235=1,IF(F234=1,1,-1),G235)</f>
        <v>2</v>
      </c>
      <c r="I235" s="53" t="str">
        <f>VLOOKUP(H235,codes,2,)</f>
        <v>ww</v>
      </c>
      <c r="J235" s="53"/>
    </row>
    <row r="236" spans="1:10" x14ac:dyDescent="0.25">
      <c r="A236" s="93">
        <v>42510</v>
      </c>
      <c r="B236" s="35">
        <f>C236+(D236-2009)*12</f>
        <v>89</v>
      </c>
      <c r="C236" s="76">
        <v>5</v>
      </c>
      <c r="D236" s="76">
        <v>2016</v>
      </c>
      <c r="E236" s="56">
        <v>1</v>
      </c>
      <c r="F236" s="53">
        <f>IF(E236&gt;0,1,0)</f>
        <v>1</v>
      </c>
      <c r="G236" s="53">
        <f>SUM(F235:F236)</f>
        <v>2</v>
      </c>
      <c r="H236" s="53">
        <f>IF(G236=1,IF(F235=1,1,-1),G236)</f>
        <v>2</v>
      </c>
      <c r="I236" s="53" t="str">
        <f>VLOOKUP(H236,codes,2,)</f>
        <v>ww</v>
      </c>
      <c r="J236" s="53"/>
    </row>
    <row r="237" spans="1:10" x14ac:dyDescent="0.25">
      <c r="A237" s="93">
        <v>42511</v>
      </c>
      <c r="B237" s="35">
        <f>C237+(D237-2009)*12</f>
        <v>89</v>
      </c>
      <c r="C237" s="76">
        <v>5</v>
      </c>
      <c r="D237" s="76">
        <v>2016</v>
      </c>
      <c r="E237" s="56">
        <v>2.8666666666666667</v>
      </c>
      <c r="F237" s="53">
        <f>IF(E237&gt;0,1,0)</f>
        <v>1</v>
      </c>
      <c r="G237" s="53">
        <f>SUM(F236:F237)</f>
        <v>2</v>
      </c>
      <c r="H237" s="53">
        <f>IF(G237=1,IF(F236=1,1,-1),G237)</f>
        <v>2</v>
      </c>
      <c r="I237" s="53" t="str">
        <f>VLOOKUP(H237,codes,2,)</f>
        <v>ww</v>
      </c>
      <c r="J237" s="53"/>
    </row>
    <row r="238" spans="1:10" x14ac:dyDescent="0.25">
      <c r="A238" s="93">
        <v>42512</v>
      </c>
      <c r="B238" s="35">
        <f>C238+(D238-2009)*12</f>
        <v>89</v>
      </c>
      <c r="C238" s="76">
        <v>5</v>
      </c>
      <c r="D238" s="76">
        <v>2016</v>
      </c>
      <c r="E238" s="56">
        <v>0</v>
      </c>
      <c r="F238" s="53">
        <f>IF(E238&gt;0,1,0)</f>
        <v>0</v>
      </c>
      <c r="G238" s="53">
        <f>SUM(F237:F238)</f>
        <v>1</v>
      </c>
      <c r="H238" s="53">
        <f>IF(G238=1,IF(F237=1,1,-1),G238)</f>
        <v>1</v>
      </c>
      <c r="I238" s="53" t="str">
        <f>VLOOKUP(H238,codes,2,)</f>
        <v>wd</v>
      </c>
      <c r="J238" s="53"/>
    </row>
    <row r="239" spans="1:10" x14ac:dyDescent="0.25">
      <c r="A239" s="93">
        <v>42513</v>
      </c>
      <c r="B239" s="35">
        <f>C239+(D239-2009)*12</f>
        <v>89</v>
      </c>
      <c r="C239" s="76">
        <v>5</v>
      </c>
      <c r="D239" s="76">
        <v>2016</v>
      </c>
      <c r="E239" s="56">
        <v>3.1333333333333333</v>
      </c>
      <c r="F239" s="53">
        <f>IF(E239&gt;0,1,0)</f>
        <v>1</v>
      </c>
      <c r="G239" s="53">
        <f>SUM(F238:F239)</f>
        <v>1</v>
      </c>
      <c r="H239" s="53">
        <f>IF(G239=1,IF(F238=1,1,-1),G239)</f>
        <v>-1</v>
      </c>
      <c r="I239" s="53" t="str">
        <f>VLOOKUP(H239,codes,2,)</f>
        <v>dw</v>
      </c>
      <c r="J239" s="53"/>
    </row>
    <row r="240" spans="1:10" x14ac:dyDescent="0.25">
      <c r="A240" s="93">
        <v>42514</v>
      </c>
      <c r="B240" s="35">
        <f>C240+(D240-2009)*12</f>
        <v>89</v>
      </c>
      <c r="C240" s="76">
        <v>5</v>
      </c>
      <c r="D240" s="76">
        <v>2016</v>
      </c>
      <c r="E240" s="56">
        <v>0</v>
      </c>
      <c r="F240" s="53">
        <f>IF(E240&gt;0,1,0)</f>
        <v>0</v>
      </c>
      <c r="G240" s="53">
        <f>SUM(F239:F240)</f>
        <v>1</v>
      </c>
      <c r="H240" s="53">
        <f>IF(G240=1,IF(F239=1,1,-1),G240)</f>
        <v>1</v>
      </c>
      <c r="I240" s="53" t="str">
        <f>VLOOKUP(H240,codes,2,)</f>
        <v>wd</v>
      </c>
      <c r="J240" s="53"/>
    </row>
    <row r="241" spans="1:10" x14ac:dyDescent="0.25">
      <c r="A241" s="93">
        <v>42515</v>
      </c>
      <c r="B241" s="35">
        <f>C241+(D241-2009)*12</f>
        <v>89</v>
      </c>
      <c r="C241" s="76">
        <v>5</v>
      </c>
      <c r="D241" s="76">
        <v>2016</v>
      </c>
      <c r="E241" s="56">
        <v>0</v>
      </c>
      <c r="F241" s="53">
        <f>IF(E241&gt;0,1,0)</f>
        <v>0</v>
      </c>
      <c r="G241" s="53">
        <f>SUM(F240:F241)</f>
        <v>0</v>
      </c>
      <c r="H241" s="53">
        <f>IF(G241=1,IF(F240=1,1,-1),G241)</f>
        <v>0</v>
      </c>
      <c r="I241" s="53" t="str">
        <f>VLOOKUP(H241,codes,2,)</f>
        <v>dd</v>
      </c>
      <c r="J241" s="53"/>
    </row>
    <row r="242" spans="1:10" x14ac:dyDescent="0.25">
      <c r="A242" s="93">
        <v>42516</v>
      </c>
      <c r="B242" s="35">
        <f>C242+(D242-2009)*12</f>
        <v>89</v>
      </c>
      <c r="C242" s="76">
        <v>5</v>
      </c>
      <c r="D242" s="76">
        <v>2016</v>
      </c>
      <c r="E242" s="56">
        <v>23.133333333333336</v>
      </c>
      <c r="F242" s="53">
        <f>IF(E242&gt;0,1,0)</f>
        <v>1</v>
      </c>
      <c r="G242" s="53">
        <f>SUM(F241:F242)</f>
        <v>1</v>
      </c>
      <c r="H242" s="53">
        <f>IF(G242=1,IF(F241=1,1,-1),G242)</f>
        <v>-1</v>
      </c>
      <c r="I242" s="53" t="str">
        <f>VLOOKUP(H242,codes,2,)</f>
        <v>dw</v>
      </c>
      <c r="J242" s="53"/>
    </row>
    <row r="243" spans="1:10" x14ac:dyDescent="0.25">
      <c r="A243" s="93">
        <v>42517</v>
      </c>
      <c r="B243" s="35">
        <f>C243+(D243-2009)*12</f>
        <v>89</v>
      </c>
      <c r="C243" s="76">
        <v>5</v>
      </c>
      <c r="D243" s="76">
        <v>2016</v>
      </c>
      <c r="E243" s="56">
        <v>0.79999999999999993</v>
      </c>
      <c r="F243" s="53">
        <f>IF(E243&gt;0,1,0)</f>
        <v>1</v>
      </c>
      <c r="G243" s="53">
        <f>SUM(F242:F243)</f>
        <v>2</v>
      </c>
      <c r="H243" s="53">
        <f>IF(G243=1,IF(F242=1,1,-1),G243)</f>
        <v>2</v>
      </c>
      <c r="I243" s="53" t="str">
        <f>VLOOKUP(H243,codes,2,)</f>
        <v>ww</v>
      </c>
      <c r="J243" s="53"/>
    </row>
    <row r="244" spans="1:10" x14ac:dyDescent="0.25">
      <c r="A244" s="93">
        <v>42518</v>
      </c>
      <c r="B244" s="35">
        <f>C244+(D244-2009)*12</f>
        <v>89</v>
      </c>
      <c r="C244" s="76">
        <v>5</v>
      </c>
      <c r="D244" s="76">
        <v>2016</v>
      </c>
      <c r="E244" s="56">
        <v>6.6666666666666666E-2</v>
      </c>
      <c r="F244" s="53">
        <f>IF(E244&gt;0,1,0)</f>
        <v>1</v>
      </c>
      <c r="G244" s="53">
        <f>SUM(F243:F244)</f>
        <v>2</v>
      </c>
      <c r="H244" s="53">
        <f>IF(G244=1,IF(F243=1,1,-1),G244)</f>
        <v>2</v>
      </c>
      <c r="I244" s="53" t="str">
        <f>VLOOKUP(H244,codes,2,)</f>
        <v>ww</v>
      </c>
      <c r="J244" s="53"/>
    </row>
    <row r="245" spans="1:10" x14ac:dyDescent="0.25">
      <c r="A245" s="93">
        <v>42519</v>
      </c>
      <c r="B245" s="35">
        <f>C245+(D245-2009)*12</f>
        <v>89</v>
      </c>
      <c r="C245" s="76">
        <v>5</v>
      </c>
      <c r="D245" s="76">
        <v>2016</v>
      </c>
      <c r="E245" s="56">
        <v>0</v>
      </c>
      <c r="F245" s="53">
        <f>IF(E245&gt;0,1,0)</f>
        <v>0</v>
      </c>
      <c r="G245" s="53">
        <f>SUM(F244:F245)</f>
        <v>1</v>
      </c>
      <c r="H245" s="53">
        <f>IF(G245=1,IF(F244=1,1,-1),G245)</f>
        <v>1</v>
      </c>
      <c r="I245" s="53" t="str">
        <f>VLOOKUP(H245,codes,2,)</f>
        <v>wd</v>
      </c>
      <c r="J245" s="53"/>
    </row>
    <row r="246" spans="1:10" x14ac:dyDescent="0.25">
      <c r="A246" s="93">
        <v>42520</v>
      </c>
      <c r="B246" s="35">
        <f>C246+(D246-2009)*12</f>
        <v>89</v>
      </c>
      <c r="C246" s="76">
        <v>5</v>
      </c>
      <c r="D246" s="76">
        <v>2016</v>
      </c>
      <c r="E246" s="56">
        <v>6.6666666666666666E-2</v>
      </c>
      <c r="F246" s="53">
        <f>IF(E246&gt;0,1,0)</f>
        <v>1</v>
      </c>
      <c r="G246" s="53">
        <f>SUM(F245:F246)</f>
        <v>1</v>
      </c>
      <c r="H246" s="53">
        <f>IF(G246=1,IF(F245=1,1,-1),G246)</f>
        <v>-1</v>
      </c>
      <c r="I246" s="53" t="str">
        <f>VLOOKUP(H246,codes,2,)</f>
        <v>dw</v>
      </c>
      <c r="J246" s="53"/>
    </row>
    <row r="247" spans="1:10" x14ac:dyDescent="0.25">
      <c r="A247" s="93">
        <v>42521</v>
      </c>
      <c r="B247" s="35">
        <f>C247+(D247-2009)*12</f>
        <v>89</v>
      </c>
      <c r="C247" s="76">
        <v>5</v>
      </c>
      <c r="D247" s="76">
        <v>2016</v>
      </c>
      <c r="E247" s="56">
        <v>0</v>
      </c>
      <c r="F247" s="53">
        <f>IF(E247&gt;0,1,0)</f>
        <v>0</v>
      </c>
      <c r="G247" s="53">
        <f>SUM(F246:F247)</f>
        <v>1</v>
      </c>
      <c r="H247" s="53">
        <f>IF(G247=1,IF(F246=1,1,-1),G247)</f>
        <v>1</v>
      </c>
      <c r="I247" s="53" t="str">
        <f>VLOOKUP(H247,codes,2,)</f>
        <v>wd</v>
      </c>
      <c r="J247" s="53"/>
    </row>
    <row r="248" spans="1:10" x14ac:dyDescent="0.25">
      <c r="A248" s="93">
        <v>42522</v>
      </c>
      <c r="B248" s="35">
        <f>C248+(D248-2009)*12</f>
        <v>89</v>
      </c>
      <c r="C248" s="76">
        <v>5</v>
      </c>
      <c r="D248" s="76">
        <v>2016</v>
      </c>
      <c r="E248" s="56">
        <v>0.26666666666666666</v>
      </c>
      <c r="F248" s="53">
        <f>IF(E248&gt;0,1,0)</f>
        <v>1</v>
      </c>
      <c r="G248" s="53">
        <f>SUM(F247:F248)</f>
        <v>1</v>
      </c>
      <c r="H248" s="53">
        <f>IF(G248=1,IF(F247=1,1,-1),G248)</f>
        <v>-1</v>
      </c>
      <c r="I248" s="53" t="str">
        <f>VLOOKUP(H248,codes,2,)</f>
        <v>dw</v>
      </c>
      <c r="J248" s="53"/>
    </row>
    <row r="249" spans="1:10" x14ac:dyDescent="0.25">
      <c r="A249" s="93">
        <v>42523</v>
      </c>
      <c r="B249" s="35">
        <f>C249+(D249-2009)*12</f>
        <v>89</v>
      </c>
      <c r="C249" s="76">
        <v>5</v>
      </c>
      <c r="D249" s="76">
        <v>2016</v>
      </c>
      <c r="E249" s="56">
        <v>0</v>
      </c>
      <c r="F249" s="53">
        <f>IF(E249&gt;0,1,0)</f>
        <v>0</v>
      </c>
      <c r="G249" s="53">
        <f>SUM(F248:F249)</f>
        <v>1</v>
      </c>
      <c r="H249" s="53">
        <f>IF(G249=1,IF(F248=1,1,-1),G249)</f>
        <v>1</v>
      </c>
      <c r="I249" s="53" t="str">
        <f>VLOOKUP(H249,codes,2,)</f>
        <v>wd</v>
      </c>
      <c r="J249" s="53"/>
    </row>
    <row r="250" spans="1:10" x14ac:dyDescent="0.25">
      <c r="A250" s="93">
        <v>42858</v>
      </c>
      <c r="B250" s="35">
        <f>C250+(D250-2009)*12</f>
        <v>101</v>
      </c>
      <c r="C250" s="76">
        <v>5</v>
      </c>
      <c r="D250" s="76">
        <v>2017</v>
      </c>
      <c r="E250" s="56">
        <v>0</v>
      </c>
      <c r="F250" s="53">
        <f>IF(E250&gt;0,1,0)</f>
        <v>0</v>
      </c>
      <c r="G250" s="53">
        <f>SUM(F249:F250)</f>
        <v>0</v>
      </c>
      <c r="H250" s="53">
        <f>IF(G250=1,IF(F249=1,1,-1),G250)</f>
        <v>0</v>
      </c>
      <c r="I250" s="53" t="str">
        <f>VLOOKUP(H250,codes,2,)</f>
        <v>dd</v>
      </c>
      <c r="J250" s="53"/>
    </row>
    <row r="251" spans="1:10" x14ac:dyDescent="0.25">
      <c r="A251" s="93">
        <v>42859</v>
      </c>
      <c r="B251" s="35">
        <f>C251+(D251-2009)*12</f>
        <v>101</v>
      </c>
      <c r="C251" s="76">
        <v>5</v>
      </c>
      <c r="D251" s="76">
        <v>2017</v>
      </c>
      <c r="E251" s="56">
        <v>0</v>
      </c>
      <c r="F251" s="53">
        <f>IF(E251&gt;0,1,0)</f>
        <v>0</v>
      </c>
      <c r="G251" s="53">
        <f>SUM(F250:F251)</f>
        <v>0</v>
      </c>
      <c r="H251" s="53">
        <f>IF(G251=1,IF(F250=1,1,-1),G251)</f>
        <v>0</v>
      </c>
      <c r="I251" s="53" t="str">
        <f>VLOOKUP(H251,codes,2,)</f>
        <v>dd</v>
      </c>
      <c r="J251" s="53"/>
    </row>
    <row r="252" spans="1:10" x14ac:dyDescent="0.25">
      <c r="A252" s="93">
        <v>42860</v>
      </c>
      <c r="B252" s="35">
        <f>C252+(D252-2009)*12</f>
        <v>101</v>
      </c>
      <c r="C252" s="76">
        <v>5</v>
      </c>
      <c r="D252" s="76">
        <v>2017</v>
      </c>
      <c r="E252" s="56">
        <v>0</v>
      </c>
      <c r="F252" s="53">
        <f>IF(E252&gt;0,1,0)</f>
        <v>0</v>
      </c>
      <c r="G252" s="53">
        <f>SUM(F251:F252)</f>
        <v>0</v>
      </c>
      <c r="H252" s="53">
        <f>IF(G252=1,IF(F251=1,1,-1),G252)</f>
        <v>0</v>
      </c>
      <c r="I252" s="53" t="str">
        <f>VLOOKUP(H252,codes,2,)</f>
        <v>dd</v>
      </c>
      <c r="J252" s="53"/>
    </row>
    <row r="253" spans="1:10" x14ac:dyDescent="0.25">
      <c r="A253" s="93">
        <v>42861</v>
      </c>
      <c r="B253" s="35">
        <f>C253+(D253-2009)*12</f>
        <v>101</v>
      </c>
      <c r="C253" s="76">
        <v>5</v>
      </c>
      <c r="D253" s="76">
        <v>2017</v>
      </c>
      <c r="E253" s="56">
        <v>0</v>
      </c>
      <c r="F253" s="53">
        <f>IF(E253&gt;0,1,0)</f>
        <v>0</v>
      </c>
      <c r="G253" s="53">
        <f>SUM(F252:F253)</f>
        <v>0</v>
      </c>
      <c r="H253" s="53">
        <f>IF(G253=1,IF(F252=1,1,-1),G253)</f>
        <v>0</v>
      </c>
      <c r="I253" s="53" t="str">
        <f>VLOOKUP(H253,codes,2,)</f>
        <v>dd</v>
      </c>
      <c r="J253" s="53"/>
    </row>
    <row r="254" spans="1:10" x14ac:dyDescent="0.25">
      <c r="A254" s="93">
        <v>42862</v>
      </c>
      <c r="B254" s="35">
        <f>C254+(D254-2009)*12</f>
        <v>101</v>
      </c>
      <c r="C254" s="76">
        <v>5</v>
      </c>
      <c r="D254" s="76">
        <v>2017</v>
      </c>
      <c r="E254" s="56">
        <v>0</v>
      </c>
      <c r="F254" s="53">
        <f>IF(E254&gt;0,1,0)</f>
        <v>0</v>
      </c>
      <c r="G254" s="53">
        <f>SUM(F253:F254)</f>
        <v>0</v>
      </c>
      <c r="H254" s="53">
        <f>IF(G254=1,IF(F253=1,1,-1),G254)</f>
        <v>0</v>
      </c>
      <c r="I254" s="53" t="str">
        <f>VLOOKUP(H254,codes,2,)</f>
        <v>dd</v>
      </c>
      <c r="J254" s="53"/>
    </row>
    <row r="255" spans="1:10" x14ac:dyDescent="0.25">
      <c r="A255" s="93">
        <v>42863</v>
      </c>
      <c r="B255" s="35">
        <f>C255+(D255-2009)*12</f>
        <v>101</v>
      </c>
      <c r="C255" s="76">
        <v>5</v>
      </c>
      <c r="D255" s="76">
        <v>2017</v>
      </c>
      <c r="E255" s="56">
        <v>0</v>
      </c>
      <c r="F255" s="53">
        <f>IF(E255&gt;0,1,0)</f>
        <v>0</v>
      </c>
      <c r="G255" s="53">
        <f>SUM(F254:F255)</f>
        <v>0</v>
      </c>
      <c r="H255" s="53">
        <f>IF(G255=1,IF(F254=1,1,-1),G255)</f>
        <v>0</v>
      </c>
      <c r="I255" s="53" t="str">
        <f>VLOOKUP(H255,codes,2,)</f>
        <v>dd</v>
      </c>
      <c r="J255" s="53"/>
    </row>
    <row r="256" spans="1:10" x14ac:dyDescent="0.25">
      <c r="A256" s="93">
        <v>42864</v>
      </c>
      <c r="B256" s="35">
        <f>C256+(D256-2009)*12</f>
        <v>101</v>
      </c>
      <c r="C256" s="76">
        <v>5</v>
      </c>
      <c r="D256" s="76">
        <v>2017</v>
      </c>
      <c r="E256" s="56">
        <v>0</v>
      </c>
      <c r="F256" s="53">
        <f>IF(E256&gt;0,1,0)</f>
        <v>0</v>
      </c>
      <c r="G256" s="53">
        <f>SUM(F255:F256)</f>
        <v>0</v>
      </c>
      <c r="H256" s="53">
        <f>IF(G256=1,IF(F255=1,1,-1),G256)</f>
        <v>0</v>
      </c>
      <c r="I256" s="53" t="str">
        <f>VLOOKUP(H256,codes,2,)</f>
        <v>dd</v>
      </c>
      <c r="J256" s="53"/>
    </row>
    <row r="257" spans="1:10" x14ac:dyDescent="0.25">
      <c r="A257" s="93">
        <v>42865</v>
      </c>
      <c r="B257" s="35">
        <f>C257+(D257-2009)*12</f>
        <v>101</v>
      </c>
      <c r="C257" s="76">
        <v>5</v>
      </c>
      <c r="D257" s="76">
        <v>2017</v>
      </c>
      <c r="E257" s="56">
        <v>0</v>
      </c>
      <c r="F257" s="53">
        <f>IF(E257&gt;0,1,0)</f>
        <v>0</v>
      </c>
      <c r="G257" s="53">
        <f>SUM(F256:F257)</f>
        <v>0</v>
      </c>
      <c r="H257" s="53">
        <f>IF(G257=1,IF(F256=1,1,-1),G257)</f>
        <v>0</v>
      </c>
      <c r="I257" s="53" t="str">
        <f>VLOOKUP(H257,codes,2,)</f>
        <v>dd</v>
      </c>
      <c r="J257" s="53"/>
    </row>
    <row r="258" spans="1:10" x14ac:dyDescent="0.25">
      <c r="A258" s="93">
        <v>42866</v>
      </c>
      <c r="B258" s="35">
        <f>C258+(D258-2009)*12</f>
        <v>101</v>
      </c>
      <c r="C258" s="76">
        <v>5</v>
      </c>
      <c r="D258" s="76">
        <v>2017</v>
      </c>
      <c r="E258" s="56">
        <v>0</v>
      </c>
      <c r="F258" s="53">
        <f>IF(E258&gt;0,1,0)</f>
        <v>0</v>
      </c>
      <c r="G258" s="53">
        <f>SUM(F257:F258)</f>
        <v>0</v>
      </c>
      <c r="H258" s="53">
        <f>IF(G258=1,IF(F257=1,1,-1),G258)</f>
        <v>0</v>
      </c>
      <c r="I258" s="53" t="str">
        <f>VLOOKUP(H258,codes,2,)</f>
        <v>dd</v>
      </c>
      <c r="J258" s="53"/>
    </row>
    <row r="259" spans="1:10" x14ac:dyDescent="0.25">
      <c r="A259" s="93">
        <v>42867</v>
      </c>
      <c r="B259" s="35">
        <f>C259+(D259-2009)*12</f>
        <v>101</v>
      </c>
      <c r="C259" s="76">
        <v>5</v>
      </c>
      <c r="D259" s="76">
        <v>2017</v>
      </c>
      <c r="E259" s="56">
        <v>0</v>
      </c>
      <c r="F259" s="53">
        <f>IF(E259&gt;0,1,0)</f>
        <v>0</v>
      </c>
      <c r="G259" s="53">
        <f>SUM(F258:F259)</f>
        <v>0</v>
      </c>
      <c r="H259" s="53">
        <f>IF(G259=1,IF(F258=1,1,-1),G259)</f>
        <v>0</v>
      </c>
      <c r="I259" s="53" t="str">
        <f>VLOOKUP(H259,codes,2,)</f>
        <v>dd</v>
      </c>
      <c r="J259" s="53"/>
    </row>
    <row r="260" spans="1:10" x14ac:dyDescent="0.25">
      <c r="A260" s="93">
        <v>42868</v>
      </c>
      <c r="B260" s="35">
        <f>C260+(D260-2009)*12</f>
        <v>101</v>
      </c>
      <c r="C260" s="76">
        <v>5</v>
      </c>
      <c r="D260" s="76">
        <v>2017</v>
      </c>
      <c r="E260" s="56">
        <v>0.46666666666666662</v>
      </c>
      <c r="F260" s="53">
        <f>IF(E260&gt;0,1,0)</f>
        <v>1</v>
      </c>
      <c r="G260" s="53">
        <f>SUM(F259:F260)</f>
        <v>1</v>
      </c>
      <c r="H260" s="53">
        <f>IF(G260=1,IF(F259=1,1,-1),G260)</f>
        <v>-1</v>
      </c>
      <c r="I260" s="53" t="str">
        <f>VLOOKUP(H260,codes,2,)</f>
        <v>dw</v>
      </c>
      <c r="J260" s="53"/>
    </row>
    <row r="261" spans="1:10" x14ac:dyDescent="0.25">
      <c r="A261" s="93">
        <v>42869</v>
      </c>
      <c r="B261" s="35">
        <f>C261+(D261-2009)*12</f>
        <v>101</v>
      </c>
      <c r="C261" s="76">
        <v>5</v>
      </c>
      <c r="D261" s="76">
        <v>2017</v>
      </c>
      <c r="E261" s="56">
        <v>6.6666666666666666E-2</v>
      </c>
      <c r="F261" s="53">
        <f>IF(E261&gt;0,1,0)</f>
        <v>1</v>
      </c>
      <c r="G261" s="53">
        <f>SUM(F260:F261)</f>
        <v>2</v>
      </c>
      <c r="H261" s="53">
        <f>IF(G261=1,IF(F260=1,1,-1),G261)</f>
        <v>2</v>
      </c>
      <c r="I261" s="53" t="str">
        <f>VLOOKUP(H261,codes,2,)</f>
        <v>ww</v>
      </c>
      <c r="J261" s="53"/>
    </row>
    <row r="262" spans="1:10" x14ac:dyDescent="0.25">
      <c r="A262" s="93">
        <v>42870</v>
      </c>
      <c r="B262" s="35">
        <f>C262+(D262-2009)*12</f>
        <v>101</v>
      </c>
      <c r="C262" s="76">
        <v>5</v>
      </c>
      <c r="D262" s="76">
        <v>2017</v>
      </c>
      <c r="E262" s="56">
        <v>0.20000000000000004</v>
      </c>
      <c r="F262" s="53">
        <f>IF(E262&gt;0,1,0)</f>
        <v>1</v>
      </c>
      <c r="G262" s="53">
        <f>SUM(F261:F262)</f>
        <v>2</v>
      </c>
      <c r="H262" s="53">
        <f>IF(G262=1,IF(F261=1,1,-1),G262)</f>
        <v>2</v>
      </c>
      <c r="I262" s="53" t="str">
        <f>VLOOKUP(H262,codes,2,)</f>
        <v>ww</v>
      </c>
      <c r="J262" s="53"/>
    </row>
    <row r="263" spans="1:10" x14ac:dyDescent="0.25">
      <c r="A263" s="93">
        <v>42871</v>
      </c>
      <c r="B263" s="35">
        <f>C263+(D263-2009)*12</f>
        <v>101</v>
      </c>
      <c r="C263" s="76">
        <v>5</v>
      </c>
      <c r="D263" s="76">
        <v>2017</v>
      </c>
      <c r="E263" s="56">
        <v>8.2666666666666657</v>
      </c>
      <c r="F263" s="53">
        <f>IF(E263&gt;0,1,0)</f>
        <v>1</v>
      </c>
      <c r="G263" s="53">
        <f>SUM(F262:F263)</f>
        <v>2</v>
      </c>
      <c r="H263" s="53">
        <f>IF(G263=1,IF(F262=1,1,-1),G263)</f>
        <v>2</v>
      </c>
      <c r="I263" s="53" t="str">
        <f>VLOOKUP(H263,codes,2,)</f>
        <v>ww</v>
      </c>
      <c r="J263" s="53"/>
    </row>
    <row r="264" spans="1:10" x14ac:dyDescent="0.25">
      <c r="A264" s="93">
        <v>42872</v>
      </c>
      <c r="B264" s="35">
        <f>C264+(D264-2009)*12</f>
        <v>101</v>
      </c>
      <c r="C264" s="76">
        <v>5</v>
      </c>
      <c r="D264" s="76">
        <v>2017</v>
      </c>
      <c r="E264" s="56">
        <v>6.6666666666666666E-2</v>
      </c>
      <c r="F264" s="53">
        <f>IF(E264&gt;0,1,0)</f>
        <v>1</v>
      </c>
      <c r="G264" s="53">
        <f>SUM(F263:F264)</f>
        <v>2</v>
      </c>
      <c r="H264" s="53">
        <f>IF(G264=1,IF(F263=1,1,-1),G264)</f>
        <v>2</v>
      </c>
      <c r="I264" s="53" t="str">
        <f>VLOOKUP(H264,codes,2,)</f>
        <v>ww</v>
      </c>
      <c r="J264" s="53"/>
    </row>
    <row r="265" spans="1:10" x14ac:dyDescent="0.25">
      <c r="A265" s="93">
        <v>42873</v>
      </c>
      <c r="B265" s="35">
        <f>C265+(D265-2009)*12</f>
        <v>101</v>
      </c>
      <c r="C265" s="76">
        <v>5</v>
      </c>
      <c r="D265" s="76">
        <v>2017</v>
      </c>
      <c r="E265" s="56">
        <v>6.6666666666666666E-2</v>
      </c>
      <c r="F265" s="53">
        <f>IF(E265&gt;0,1,0)</f>
        <v>1</v>
      </c>
      <c r="G265" s="53">
        <f>SUM(F264:F265)</f>
        <v>2</v>
      </c>
      <c r="H265" s="53">
        <f>IF(G265=1,IF(F264=1,1,-1),G265)</f>
        <v>2</v>
      </c>
      <c r="I265" s="53" t="str">
        <f>VLOOKUP(H265,codes,2,)</f>
        <v>ww</v>
      </c>
      <c r="J265" s="53"/>
    </row>
    <row r="266" spans="1:10" x14ac:dyDescent="0.25">
      <c r="A266" s="93">
        <v>42874</v>
      </c>
      <c r="B266" s="35">
        <f>C266+(D266-2009)*12</f>
        <v>101</v>
      </c>
      <c r="C266" s="76">
        <v>5</v>
      </c>
      <c r="D266" s="76">
        <v>2017</v>
      </c>
      <c r="E266" s="56">
        <v>3.9333333333333336</v>
      </c>
      <c r="F266" s="53">
        <f>IF(E266&gt;0,1,0)</f>
        <v>1</v>
      </c>
      <c r="G266" s="53">
        <f>SUM(F265:F266)</f>
        <v>2</v>
      </c>
      <c r="H266" s="53">
        <f>IF(G266=1,IF(F265=1,1,-1),G266)</f>
        <v>2</v>
      </c>
      <c r="I266" s="53" t="str">
        <f>VLOOKUP(H266,codes,2,)</f>
        <v>ww</v>
      </c>
      <c r="J266" s="53"/>
    </row>
    <row r="267" spans="1:10" x14ac:dyDescent="0.25">
      <c r="A267" s="93">
        <v>42875</v>
      </c>
      <c r="B267" s="35">
        <f>C267+(D267-2009)*12</f>
        <v>101</v>
      </c>
      <c r="C267" s="76">
        <v>5</v>
      </c>
      <c r="D267" s="76">
        <v>2017</v>
      </c>
      <c r="E267" s="56">
        <v>4.1333333333333337</v>
      </c>
      <c r="F267" s="53">
        <f>IF(E267&gt;0,1,0)</f>
        <v>1</v>
      </c>
      <c r="G267" s="53">
        <f>SUM(F266:F267)</f>
        <v>2</v>
      </c>
      <c r="H267" s="53">
        <f>IF(G267=1,IF(F266=1,1,-1),G267)</f>
        <v>2</v>
      </c>
      <c r="I267" s="53" t="str">
        <f>VLOOKUP(H267,codes,2,)</f>
        <v>ww</v>
      </c>
      <c r="J267" s="53"/>
    </row>
    <row r="268" spans="1:10" x14ac:dyDescent="0.25">
      <c r="A268" s="93">
        <v>42876</v>
      </c>
      <c r="B268" s="35">
        <f>C268+(D268-2009)*12</f>
        <v>101</v>
      </c>
      <c r="C268" s="76">
        <v>5</v>
      </c>
      <c r="D268" s="76">
        <v>2017</v>
      </c>
      <c r="E268" s="56">
        <v>7.0666666666666673</v>
      </c>
      <c r="F268" s="53">
        <f>IF(E268&gt;0,1,0)</f>
        <v>1</v>
      </c>
      <c r="G268" s="53">
        <f>SUM(F267:F268)</f>
        <v>2</v>
      </c>
      <c r="H268" s="53">
        <f>IF(G268=1,IF(F267=1,1,-1),G268)</f>
        <v>2</v>
      </c>
      <c r="I268" s="53" t="str">
        <f>VLOOKUP(H268,codes,2,)</f>
        <v>ww</v>
      </c>
      <c r="J268" s="53"/>
    </row>
    <row r="269" spans="1:10" x14ac:dyDescent="0.25">
      <c r="A269" s="93">
        <v>42877</v>
      </c>
      <c r="B269" s="35">
        <f>C269+(D269-2009)*12</f>
        <v>101</v>
      </c>
      <c r="C269" s="76">
        <v>5</v>
      </c>
      <c r="D269" s="76">
        <v>2017</v>
      </c>
      <c r="E269" s="56">
        <v>0</v>
      </c>
      <c r="F269" s="53">
        <f>IF(E269&gt;0,1,0)</f>
        <v>0</v>
      </c>
      <c r="G269" s="53">
        <f>SUM(F268:F269)</f>
        <v>1</v>
      </c>
      <c r="H269" s="53">
        <f>IF(G269=1,IF(F268=1,1,-1),G269)</f>
        <v>1</v>
      </c>
      <c r="I269" s="53" t="str">
        <f>VLOOKUP(H269,codes,2,)</f>
        <v>wd</v>
      </c>
      <c r="J269" s="53"/>
    </row>
    <row r="270" spans="1:10" x14ac:dyDescent="0.25">
      <c r="A270" s="93">
        <v>42878</v>
      </c>
      <c r="B270" s="35">
        <f>C270+(D270-2009)*12</f>
        <v>101</v>
      </c>
      <c r="C270" s="76">
        <v>5</v>
      </c>
      <c r="D270" s="76">
        <v>2017</v>
      </c>
      <c r="E270" s="56">
        <v>6.6666666666666666E-2</v>
      </c>
      <c r="F270" s="53">
        <f>IF(E270&gt;0,1,0)</f>
        <v>1</v>
      </c>
      <c r="G270" s="53">
        <f>SUM(F269:F270)</f>
        <v>1</v>
      </c>
      <c r="H270" s="53">
        <f>IF(G270=1,IF(F269=1,1,-1),G270)</f>
        <v>-1</v>
      </c>
      <c r="I270" s="53" t="str">
        <f>VLOOKUP(H270,codes,2,)</f>
        <v>dw</v>
      </c>
      <c r="J270" s="53"/>
    </row>
    <row r="271" spans="1:10" x14ac:dyDescent="0.25">
      <c r="A271" s="93">
        <v>42879</v>
      </c>
      <c r="B271" s="35">
        <f>C271+(D271-2009)*12</f>
        <v>101</v>
      </c>
      <c r="C271" s="76">
        <v>5</v>
      </c>
      <c r="D271" s="76">
        <v>2017</v>
      </c>
      <c r="E271" s="56">
        <v>0</v>
      </c>
      <c r="F271" s="53">
        <f>IF(E271&gt;0,1,0)</f>
        <v>0</v>
      </c>
      <c r="G271" s="53">
        <f>SUM(F270:F271)</f>
        <v>1</v>
      </c>
      <c r="H271" s="53">
        <f>IF(G271=1,IF(F270=1,1,-1),G271)</f>
        <v>1</v>
      </c>
      <c r="I271" s="53" t="str">
        <f>VLOOKUP(H271,codes,2,)</f>
        <v>wd</v>
      </c>
      <c r="J271" s="53"/>
    </row>
    <row r="272" spans="1:10" x14ac:dyDescent="0.25">
      <c r="A272" s="93">
        <v>42880</v>
      </c>
      <c r="B272" s="35">
        <f>C272+(D272-2009)*12</f>
        <v>101</v>
      </c>
      <c r="C272" s="76">
        <v>5</v>
      </c>
      <c r="D272" s="76">
        <v>2017</v>
      </c>
      <c r="E272" s="56">
        <v>0</v>
      </c>
      <c r="F272" s="53">
        <f>IF(E272&gt;0,1,0)</f>
        <v>0</v>
      </c>
      <c r="G272" s="53">
        <f>SUM(F271:F272)</f>
        <v>0</v>
      </c>
      <c r="H272" s="53">
        <f>IF(G272=1,IF(F271=1,1,-1),G272)</f>
        <v>0</v>
      </c>
      <c r="I272" s="53" t="str">
        <f>VLOOKUP(H272,codes,2,)</f>
        <v>dd</v>
      </c>
      <c r="J272" s="53"/>
    </row>
    <row r="273" spans="1:10" x14ac:dyDescent="0.25">
      <c r="A273" s="93">
        <v>42881</v>
      </c>
      <c r="B273" s="35">
        <f>C273+(D273-2009)*12</f>
        <v>101</v>
      </c>
      <c r="C273" s="76">
        <v>5</v>
      </c>
      <c r="D273" s="76">
        <v>2017</v>
      </c>
      <c r="E273" s="56">
        <v>0</v>
      </c>
      <c r="F273" s="53">
        <f>IF(E273&gt;0,1,0)</f>
        <v>0</v>
      </c>
      <c r="G273" s="53">
        <f>SUM(F272:F273)</f>
        <v>0</v>
      </c>
      <c r="H273" s="53">
        <f>IF(G273=1,IF(F272=1,1,-1),G273)</f>
        <v>0</v>
      </c>
      <c r="I273" s="53" t="str">
        <f>VLOOKUP(H273,codes,2,)</f>
        <v>dd</v>
      </c>
      <c r="J273" s="53"/>
    </row>
    <row r="274" spans="1:10" x14ac:dyDescent="0.25">
      <c r="A274" s="93">
        <v>42882</v>
      </c>
      <c r="B274" s="35">
        <f>C274+(D274-2009)*12</f>
        <v>101</v>
      </c>
      <c r="C274" s="76">
        <v>5</v>
      </c>
      <c r="D274" s="76">
        <v>2017</v>
      </c>
      <c r="E274" s="56">
        <v>0</v>
      </c>
      <c r="F274" s="53">
        <f>IF(E274&gt;0,1,0)</f>
        <v>0</v>
      </c>
      <c r="G274" s="53">
        <f>SUM(F273:F274)</f>
        <v>0</v>
      </c>
      <c r="H274" s="53">
        <f>IF(G274=1,IF(F273=1,1,-1),G274)</f>
        <v>0</v>
      </c>
      <c r="I274" s="53" t="str">
        <f>VLOOKUP(H274,codes,2,)</f>
        <v>dd</v>
      </c>
      <c r="J274" s="53"/>
    </row>
    <row r="275" spans="1:10" x14ac:dyDescent="0.25">
      <c r="A275" s="93">
        <v>42883</v>
      </c>
      <c r="B275" s="35">
        <f>C275+(D275-2009)*12</f>
        <v>101</v>
      </c>
      <c r="C275" s="76">
        <v>5</v>
      </c>
      <c r="D275" s="76">
        <v>2017</v>
      </c>
      <c r="E275" s="56">
        <v>1.2666666666666666</v>
      </c>
      <c r="F275" s="53">
        <f>IF(E275&gt;0,1,0)</f>
        <v>1</v>
      </c>
      <c r="G275" s="53">
        <f>SUM(F274:F275)</f>
        <v>1</v>
      </c>
      <c r="H275" s="53">
        <f>IF(G275=1,IF(F274=1,1,-1),G275)</f>
        <v>-1</v>
      </c>
      <c r="I275" s="53" t="str">
        <f>VLOOKUP(H275,codes,2,)</f>
        <v>dw</v>
      </c>
      <c r="J275" s="53"/>
    </row>
    <row r="276" spans="1:10" x14ac:dyDescent="0.25">
      <c r="A276" s="93">
        <v>42884</v>
      </c>
      <c r="B276" s="35">
        <f>C276+(D276-2009)*12</f>
        <v>101</v>
      </c>
      <c r="C276" s="76">
        <v>5</v>
      </c>
      <c r="D276" s="76">
        <v>2017</v>
      </c>
      <c r="E276" s="56">
        <v>0.53333333333333333</v>
      </c>
      <c r="F276" s="53">
        <f>IF(E276&gt;0,1,0)</f>
        <v>1</v>
      </c>
      <c r="G276" s="53">
        <f>SUM(F275:F276)</f>
        <v>2</v>
      </c>
      <c r="H276" s="53">
        <f>IF(G276=1,IF(F275=1,1,-1),G276)</f>
        <v>2</v>
      </c>
      <c r="I276" s="53" t="str">
        <f>VLOOKUP(H276,codes,2,)</f>
        <v>ww</v>
      </c>
      <c r="J276" s="53"/>
    </row>
    <row r="277" spans="1:10" x14ac:dyDescent="0.25">
      <c r="A277" s="93">
        <v>42885</v>
      </c>
      <c r="B277" s="35">
        <f>C277+(D277-2009)*12</f>
        <v>101</v>
      </c>
      <c r="C277" s="76">
        <v>5</v>
      </c>
      <c r="D277" s="76">
        <v>2017</v>
      </c>
      <c r="E277" s="56">
        <v>0.53333333333333333</v>
      </c>
      <c r="F277" s="53">
        <f>IF(E277&gt;0,1,0)</f>
        <v>1</v>
      </c>
      <c r="G277" s="53">
        <f>SUM(F276:F277)</f>
        <v>2</v>
      </c>
      <c r="H277" s="53">
        <f>IF(G277=1,IF(F276=1,1,-1),G277)</f>
        <v>2</v>
      </c>
      <c r="I277" s="53" t="str">
        <f>VLOOKUP(H277,codes,2,)</f>
        <v>ww</v>
      </c>
      <c r="J277" s="53"/>
    </row>
    <row r="278" spans="1:10" x14ac:dyDescent="0.25">
      <c r="A278" s="93">
        <v>42886</v>
      </c>
      <c r="B278" s="35">
        <f>C278+(D278-2009)*12</f>
        <v>101</v>
      </c>
      <c r="C278" s="76">
        <v>5</v>
      </c>
      <c r="D278" s="76">
        <v>2017</v>
      </c>
      <c r="E278" s="56">
        <v>0</v>
      </c>
      <c r="F278" s="53">
        <f>IF(E278&gt;0,1,0)</f>
        <v>0</v>
      </c>
      <c r="G278" s="53">
        <f>SUM(F277:F278)</f>
        <v>1</v>
      </c>
      <c r="H278" s="53">
        <f>IF(G278=1,IF(F277=1,1,-1),G278)</f>
        <v>1</v>
      </c>
      <c r="I278" s="53" t="str">
        <f>VLOOKUP(H278,codes,2,)</f>
        <v>wd</v>
      </c>
      <c r="J278" s="53"/>
    </row>
    <row r="279" spans="1:10" x14ac:dyDescent="0.25">
      <c r="A279" s="93">
        <v>42887</v>
      </c>
      <c r="B279" s="35">
        <f>C279+(D279-2009)*12</f>
        <v>101</v>
      </c>
      <c r="C279" s="76">
        <v>5</v>
      </c>
      <c r="D279" s="76">
        <v>2017</v>
      </c>
      <c r="E279" s="56">
        <v>0</v>
      </c>
      <c r="F279" s="53">
        <f>IF(E279&gt;0,1,0)</f>
        <v>0</v>
      </c>
      <c r="G279" s="53">
        <f>SUM(F278:F279)</f>
        <v>0</v>
      </c>
      <c r="H279" s="53">
        <f>IF(G279=1,IF(F278=1,1,-1),G279)</f>
        <v>0</v>
      </c>
      <c r="I279" s="53" t="str">
        <f>VLOOKUP(H279,codes,2,)</f>
        <v>dd</v>
      </c>
      <c r="J279" s="53"/>
    </row>
    <row r="280" spans="1:10" x14ac:dyDescent="0.25">
      <c r="A280" s="93">
        <v>42888</v>
      </c>
      <c r="B280" s="35">
        <f>C280+(D280-2009)*12</f>
        <v>101</v>
      </c>
      <c r="C280" s="76">
        <v>5</v>
      </c>
      <c r="D280" s="76">
        <v>2017</v>
      </c>
      <c r="E280" s="56">
        <v>1.7333333333333334</v>
      </c>
      <c r="F280" s="53">
        <f>IF(E280&gt;0,1,0)</f>
        <v>1</v>
      </c>
      <c r="G280" s="53">
        <f>SUM(F279:F280)</f>
        <v>1</v>
      </c>
      <c r="H280" s="53">
        <f>IF(G280=1,IF(F279=1,1,-1),G280)</f>
        <v>-1</v>
      </c>
      <c r="I280" s="53" t="str">
        <f>VLOOKUP(H280,codes,2,)</f>
        <v>dw</v>
      </c>
      <c r="J280" s="53"/>
    </row>
    <row r="281" spans="1:10" x14ac:dyDescent="0.25">
      <c r="A281" s="93">
        <v>43224</v>
      </c>
      <c r="B281" s="35">
        <f>C281+(D281-2009)*12</f>
        <v>113</v>
      </c>
      <c r="C281" s="76">
        <v>5</v>
      </c>
      <c r="D281" s="76">
        <v>2018</v>
      </c>
      <c r="E281" s="56">
        <v>0</v>
      </c>
      <c r="F281" s="53">
        <f>IF(E281&gt;0,1,0)</f>
        <v>0</v>
      </c>
      <c r="G281" s="53">
        <f>SUM(F280:F281)</f>
        <v>1</v>
      </c>
      <c r="H281" s="53">
        <f>IF(G281=1,IF(F280=1,1,-1),G281)</f>
        <v>1</v>
      </c>
      <c r="I281" s="53" t="str">
        <f>VLOOKUP(H281,codes,2,)</f>
        <v>wd</v>
      </c>
      <c r="J281" s="53"/>
    </row>
    <row r="282" spans="1:10" x14ac:dyDescent="0.25">
      <c r="A282" s="93">
        <v>43225</v>
      </c>
      <c r="B282" s="35">
        <f>C282+(D282-2009)*12</f>
        <v>113</v>
      </c>
      <c r="C282" s="76">
        <v>5</v>
      </c>
      <c r="D282" s="76">
        <v>2018</v>
      </c>
      <c r="E282" s="56">
        <v>0</v>
      </c>
      <c r="F282" s="53">
        <f>IF(E282&gt;0,1,0)</f>
        <v>0</v>
      </c>
      <c r="G282" s="53">
        <f>SUM(F281:F282)</f>
        <v>0</v>
      </c>
      <c r="H282" s="53">
        <f>IF(G282=1,IF(F281=1,1,-1),G282)</f>
        <v>0</v>
      </c>
      <c r="I282" s="53" t="str">
        <f>VLOOKUP(H282,codes,2,)</f>
        <v>dd</v>
      </c>
      <c r="J282" s="53"/>
    </row>
    <row r="283" spans="1:10" x14ac:dyDescent="0.25">
      <c r="A283" s="93">
        <v>43226</v>
      </c>
      <c r="B283" s="35">
        <f>C283+(D283-2009)*12</f>
        <v>113</v>
      </c>
      <c r="C283" s="76">
        <v>5</v>
      </c>
      <c r="D283" s="76">
        <v>2018</v>
      </c>
      <c r="E283" s="56">
        <v>0</v>
      </c>
      <c r="F283" s="53">
        <f>IF(E283&gt;0,1,0)</f>
        <v>0</v>
      </c>
      <c r="G283" s="53">
        <f>SUM(F282:F283)</f>
        <v>0</v>
      </c>
      <c r="H283" s="53">
        <f>IF(G283=1,IF(F282=1,1,-1),G283)</f>
        <v>0</v>
      </c>
      <c r="I283" s="53" t="str">
        <f>VLOOKUP(H283,codes,2,)</f>
        <v>dd</v>
      </c>
      <c r="J283" s="53"/>
    </row>
    <row r="284" spans="1:10" x14ac:dyDescent="0.25">
      <c r="A284" s="93">
        <v>43227</v>
      </c>
      <c r="B284" s="35">
        <f>C284+(D284-2009)*12</f>
        <v>113</v>
      </c>
      <c r="C284" s="76">
        <v>5</v>
      </c>
      <c r="D284" s="76">
        <v>2018</v>
      </c>
      <c r="E284" s="56">
        <v>0</v>
      </c>
      <c r="F284" s="53">
        <f>IF(E284&gt;0,1,0)</f>
        <v>0</v>
      </c>
      <c r="G284" s="53">
        <f>SUM(F283:F284)</f>
        <v>0</v>
      </c>
      <c r="H284" s="53">
        <f>IF(G284=1,IF(F283=1,1,-1),G284)</f>
        <v>0</v>
      </c>
      <c r="I284" s="53" t="str">
        <f>VLOOKUP(H284,codes,2,)</f>
        <v>dd</v>
      </c>
      <c r="J284" s="53"/>
    </row>
    <row r="285" spans="1:10" x14ac:dyDescent="0.25">
      <c r="A285" s="93">
        <v>43228</v>
      </c>
      <c r="B285" s="35">
        <f>C285+(D285-2009)*12</f>
        <v>113</v>
      </c>
      <c r="C285" s="76">
        <v>5</v>
      </c>
      <c r="D285" s="76">
        <v>2018</v>
      </c>
      <c r="E285" s="56">
        <v>0</v>
      </c>
      <c r="F285" s="53">
        <f>IF(E285&gt;0,1,0)</f>
        <v>0</v>
      </c>
      <c r="G285" s="53">
        <f>SUM(F284:F285)</f>
        <v>0</v>
      </c>
      <c r="H285" s="53">
        <f>IF(G285=1,IF(F284=1,1,-1),G285)</f>
        <v>0</v>
      </c>
      <c r="I285" s="53" t="str">
        <f>VLOOKUP(H285,codes,2,)</f>
        <v>dd</v>
      </c>
      <c r="J285" s="53"/>
    </row>
    <row r="286" spans="1:10" x14ac:dyDescent="0.25">
      <c r="A286" s="93">
        <v>43229</v>
      </c>
      <c r="B286" s="35">
        <f>C286+(D286-2009)*12</f>
        <v>113</v>
      </c>
      <c r="C286" s="76">
        <v>5</v>
      </c>
      <c r="D286" s="76">
        <v>2018</v>
      </c>
      <c r="E286" s="56">
        <v>0.40000000000000008</v>
      </c>
      <c r="F286" s="53">
        <f>IF(E286&gt;0,1,0)</f>
        <v>1</v>
      </c>
      <c r="G286" s="53">
        <f>SUM(F285:F286)</f>
        <v>1</v>
      </c>
      <c r="H286" s="53">
        <f>IF(G286=1,IF(F285=1,1,-1),G286)</f>
        <v>-1</v>
      </c>
      <c r="I286" s="53" t="str">
        <f>VLOOKUP(H286,codes,2,)</f>
        <v>dw</v>
      </c>
      <c r="J286" s="53"/>
    </row>
    <row r="287" spans="1:10" x14ac:dyDescent="0.25">
      <c r="A287" s="93">
        <v>43230</v>
      </c>
      <c r="B287" s="35">
        <f>C287+(D287-2009)*12</f>
        <v>113</v>
      </c>
      <c r="C287" s="76">
        <v>5</v>
      </c>
      <c r="D287" s="76">
        <v>2018</v>
      </c>
      <c r="E287" s="56">
        <v>3.2666666666666671</v>
      </c>
      <c r="F287" s="53">
        <f>IF(E287&gt;0,1,0)</f>
        <v>1</v>
      </c>
      <c r="G287" s="53">
        <f>SUM(F286:F287)</f>
        <v>2</v>
      </c>
      <c r="H287" s="53">
        <f>IF(G287=1,IF(F286=1,1,-1),G287)</f>
        <v>2</v>
      </c>
      <c r="I287" s="53" t="str">
        <f>VLOOKUP(H287,codes,2,)</f>
        <v>ww</v>
      </c>
      <c r="J287" s="53"/>
    </row>
    <row r="288" spans="1:10" x14ac:dyDescent="0.25">
      <c r="A288" s="93">
        <v>43231</v>
      </c>
      <c r="B288" s="35">
        <f>C288+(D288-2009)*12</f>
        <v>113</v>
      </c>
      <c r="C288" s="76">
        <v>5</v>
      </c>
      <c r="D288" s="76">
        <v>2018</v>
      </c>
      <c r="E288" s="56">
        <v>0</v>
      </c>
      <c r="F288" s="53">
        <f>IF(E288&gt;0,1,0)</f>
        <v>0</v>
      </c>
      <c r="G288" s="53">
        <f>SUM(F287:F288)</f>
        <v>1</v>
      </c>
      <c r="H288" s="53">
        <f>IF(G288=1,IF(F287=1,1,-1),G288)</f>
        <v>1</v>
      </c>
      <c r="I288" s="53" t="str">
        <f>VLOOKUP(H288,codes,2,)</f>
        <v>wd</v>
      </c>
      <c r="J288" s="53"/>
    </row>
    <row r="289" spans="1:10" x14ac:dyDescent="0.25">
      <c r="A289" s="93">
        <v>43232</v>
      </c>
      <c r="B289" s="35">
        <f>C289+(D289-2009)*12</f>
        <v>113</v>
      </c>
      <c r="C289" s="76">
        <v>5</v>
      </c>
      <c r="D289" s="76">
        <v>2018</v>
      </c>
      <c r="E289" s="56">
        <v>0</v>
      </c>
      <c r="F289" s="53">
        <f>IF(E289&gt;0,1,0)</f>
        <v>0</v>
      </c>
      <c r="G289" s="53">
        <f>SUM(F288:F289)</f>
        <v>0</v>
      </c>
      <c r="H289" s="53">
        <f>IF(G289=1,IF(F288=1,1,-1),G289)</f>
        <v>0</v>
      </c>
      <c r="I289" s="53" t="str">
        <f>VLOOKUP(H289,codes,2,)</f>
        <v>dd</v>
      </c>
      <c r="J289" s="53"/>
    </row>
    <row r="290" spans="1:10" x14ac:dyDescent="0.25">
      <c r="A290" s="93">
        <v>43233</v>
      </c>
      <c r="B290" s="35">
        <f>C290+(D290-2009)*12</f>
        <v>113</v>
      </c>
      <c r="C290" s="76">
        <v>5</v>
      </c>
      <c r="D290" s="76">
        <v>2018</v>
      </c>
      <c r="E290" s="56">
        <v>8.2666666666666675</v>
      </c>
      <c r="F290" s="53">
        <f>IF(E290&gt;0,1,0)</f>
        <v>1</v>
      </c>
      <c r="G290" s="53">
        <f>SUM(F289:F290)</f>
        <v>1</v>
      </c>
      <c r="H290" s="53">
        <f>IF(G290=1,IF(F289=1,1,-1),G290)</f>
        <v>-1</v>
      </c>
      <c r="I290" s="53" t="str">
        <f>VLOOKUP(H290,codes,2,)</f>
        <v>dw</v>
      </c>
      <c r="J290" s="53"/>
    </row>
    <row r="291" spans="1:10" x14ac:dyDescent="0.25">
      <c r="A291" s="93">
        <v>43234</v>
      </c>
      <c r="B291" s="35">
        <f>C291+(D291-2009)*12</f>
        <v>113</v>
      </c>
      <c r="C291" s="76">
        <v>5</v>
      </c>
      <c r="D291" s="76">
        <v>2018</v>
      </c>
      <c r="E291" s="56">
        <v>6.6666666666666666E-2</v>
      </c>
      <c r="F291" s="53">
        <f>IF(E291&gt;0,1,0)</f>
        <v>1</v>
      </c>
      <c r="G291" s="53">
        <f>SUM(F290:F291)</f>
        <v>2</v>
      </c>
      <c r="H291" s="53">
        <f>IF(G291=1,IF(F290=1,1,-1),G291)</f>
        <v>2</v>
      </c>
      <c r="I291" s="53" t="str">
        <f>VLOOKUP(H291,codes,2,)</f>
        <v>ww</v>
      </c>
      <c r="J291" s="53"/>
    </row>
    <row r="292" spans="1:10" x14ac:dyDescent="0.25">
      <c r="A292" s="93">
        <v>43235</v>
      </c>
      <c r="B292" s="35">
        <f>C292+(D292-2009)*12</f>
        <v>113</v>
      </c>
      <c r="C292" s="76">
        <v>5</v>
      </c>
      <c r="D292" s="76">
        <v>2018</v>
      </c>
      <c r="E292" s="56">
        <v>0</v>
      </c>
      <c r="F292" s="53">
        <f>IF(E292&gt;0,1,0)</f>
        <v>0</v>
      </c>
      <c r="G292" s="53">
        <f>SUM(F291:F292)</f>
        <v>1</v>
      </c>
      <c r="H292" s="53">
        <f>IF(G292=1,IF(F291=1,1,-1),G292)</f>
        <v>1</v>
      </c>
      <c r="I292" s="53" t="str">
        <f>VLOOKUP(H292,codes,2,)</f>
        <v>wd</v>
      </c>
      <c r="J292" s="53"/>
    </row>
    <row r="293" spans="1:10" x14ac:dyDescent="0.25">
      <c r="A293" s="93">
        <v>43236</v>
      </c>
      <c r="B293" s="35">
        <f>C293+(D293-2009)*12</f>
        <v>113</v>
      </c>
      <c r="C293" s="76">
        <v>5</v>
      </c>
      <c r="D293" s="76">
        <v>2018</v>
      </c>
      <c r="E293" s="56">
        <v>3.7333333333333329</v>
      </c>
      <c r="F293" s="53">
        <f>IF(E293&gt;0,1,0)</f>
        <v>1</v>
      </c>
      <c r="G293" s="53">
        <f>SUM(F292:F293)</f>
        <v>1</v>
      </c>
      <c r="H293" s="53">
        <f>IF(G293=1,IF(F292=1,1,-1),G293)</f>
        <v>-1</v>
      </c>
      <c r="I293" s="53" t="str">
        <f>VLOOKUP(H293,codes,2,)</f>
        <v>dw</v>
      </c>
      <c r="J293" s="53"/>
    </row>
    <row r="294" spans="1:10" x14ac:dyDescent="0.25">
      <c r="A294" s="93">
        <v>43237</v>
      </c>
      <c r="B294" s="35">
        <f>C294+(D294-2009)*12</f>
        <v>113</v>
      </c>
      <c r="C294" s="76">
        <v>5</v>
      </c>
      <c r="D294" s="76">
        <v>2018</v>
      </c>
      <c r="E294" s="56">
        <v>0</v>
      </c>
      <c r="F294" s="53">
        <f>IF(E294&gt;0,1,0)</f>
        <v>0</v>
      </c>
      <c r="G294" s="53">
        <f>SUM(F293:F294)</f>
        <v>1</v>
      </c>
      <c r="H294" s="53">
        <f>IF(G294=1,IF(F293=1,1,-1),G294)</f>
        <v>1</v>
      </c>
      <c r="I294" s="53" t="str">
        <f>VLOOKUP(H294,codes,2,)</f>
        <v>wd</v>
      </c>
      <c r="J294" s="53"/>
    </row>
    <row r="295" spans="1:10" x14ac:dyDescent="0.25">
      <c r="A295" s="93">
        <v>43238</v>
      </c>
      <c r="B295" s="35">
        <f>C295+(D295-2009)*12</f>
        <v>113</v>
      </c>
      <c r="C295" s="76">
        <v>5</v>
      </c>
      <c r="D295" s="76">
        <v>2018</v>
      </c>
      <c r="E295" s="56">
        <v>0</v>
      </c>
      <c r="F295" s="53">
        <f>IF(E295&gt;0,1,0)</f>
        <v>0</v>
      </c>
      <c r="G295" s="53">
        <f>SUM(F294:F295)</f>
        <v>0</v>
      </c>
      <c r="H295" s="53">
        <f>IF(G295=1,IF(F294=1,1,-1),G295)</f>
        <v>0</v>
      </c>
      <c r="I295" s="53" t="str">
        <f>VLOOKUP(H295,codes,2,)</f>
        <v>dd</v>
      </c>
      <c r="J295" s="53"/>
    </row>
    <row r="296" spans="1:10" x14ac:dyDescent="0.25">
      <c r="A296" s="93">
        <v>43239</v>
      </c>
      <c r="B296" s="35">
        <f>C296+(D296-2009)*12</f>
        <v>113</v>
      </c>
      <c r="C296" s="76">
        <v>5</v>
      </c>
      <c r="D296" s="76">
        <v>2018</v>
      </c>
      <c r="E296" s="56">
        <v>0</v>
      </c>
      <c r="F296" s="53">
        <f>IF(E296&gt;0,1,0)</f>
        <v>0</v>
      </c>
      <c r="G296" s="53">
        <f>SUM(F295:F296)</f>
        <v>0</v>
      </c>
      <c r="H296" s="53">
        <f>IF(G296=1,IF(F295=1,1,-1),G296)</f>
        <v>0</v>
      </c>
      <c r="I296" s="53" t="str">
        <f>VLOOKUP(H296,codes,2,)</f>
        <v>dd</v>
      </c>
      <c r="J296" s="53"/>
    </row>
    <row r="297" spans="1:10" x14ac:dyDescent="0.25">
      <c r="A297" s="93">
        <v>43240</v>
      </c>
      <c r="B297" s="35">
        <f>C297+(D297-2009)*12</f>
        <v>113</v>
      </c>
      <c r="C297" s="76">
        <v>5</v>
      </c>
      <c r="D297" s="76">
        <v>2018</v>
      </c>
      <c r="E297" s="56">
        <v>0</v>
      </c>
      <c r="F297" s="53">
        <f>IF(E297&gt;0,1,0)</f>
        <v>0</v>
      </c>
      <c r="G297" s="53">
        <f>SUM(F296:F297)</f>
        <v>0</v>
      </c>
      <c r="H297" s="53">
        <f>IF(G297=1,IF(F296=1,1,-1),G297)</f>
        <v>0</v>
      </c>
      <c r="I297" s="53" t="str">
        <f>VLOOKUP(H297,codes,2,)</f>
        <v>dd</v>
      </c>
      <c r="J297" s="53"/>
    </row>
    <row r="298" spans="1:10" x14ac:dyDescent="0.25">
      <c r="A298" s="93">
        <v>43241</v>
      </c>
      <c r="B298" s="35">
        <f>C298+(D298-2009)*12</f>
        <v>113</v>
      </c>
      <c r="C298" s="76">
        <v>5</v>
      </c>
      <c r="D298" s="76">
        <v>2018</v>
      </c>
      <c r="E298" s="56">
        <v>0</v>
      </c>
      <c r="F298" s="53">
        <f>IF(E298&gt;0,1,0)</f>
        <v>0</v>
      </c>
      <c r="G298" s="53">
        <f>SUM(F297:F298)</f>
        <v>0</v>
      </c>
      <c r="H298" s="53">
        <f>IF(G298=1,IF(F297=1,1,-1),G298)</f>
        <v>0</v>
      </c>
      <c r="I298" s="53" t="str">
        <f>VLOOKUP(H298,codes,2,)</f>
        <v>dd</v>
      </c>
      <c r="J298" s="53"/>
    </row>
    <row r="299" spans="1:10" x14ac:dyDescent="0.25">
      <c r="A299" s="93">
        <v>43242</v>
      </c>
      <c r="B299" s="35">
        <f>C299+(D299-2009)*12</f>
        <v>113</v>
      </c>
      <c r="C299" s="76">
        <v>5</v>
      </c>
      <c r="D299" s="76">
        <v>2018</v>
      </c>
      <c r="E299" s="56">
        <v>0.26666666666666666</v>
      </c>
      <c r="F299" s="53">
        <f>IF(E299&gt;0,1,0)</f>
        <v>1</v>
      </c>
      <c r="G299" s="53">
        <f>SUM(F298:F299)</f>
        <v>1</v>
      </c>
      <c r="H299" s="53">
        <f>IF(G299=1,IF(F298=1,1,-1),G299)</f>
        <v>-1</v>
      </c>
      <c r="I299" s="53" t="str">
        <f>VLOOKUP(H299,codes,2,)</f>
        <v>dw</v>
      </c>
      <c r="J299" s="53"/>
    </row>
    <row r="300" spans="1:10" x14ac:dyDescent="0.25">
      <c r="A300" s="93">
        <v>43243</v>
      </c>
      <c r="B300" s="35">
        <f>C300+(D300-2009)*12</f>
        <v>113</v>
      </c>
      <c r="C300" s="76">
        <v>5</v>
      </c>
      <c r="D300" s="76">
        <v>2018</v>
      </c>
      <c r="E300" s="56">
        <v>6.6666666666666666E-2</v>
      </c>
      <c r="F300" s="53">
        <f>IF(E300&gt;0,1,0)</f>
        <v>1</v>
      </c>
      <c r="G300" s="53">
        <f>SUM(F299:F300)</f>
        <v>2</v>
      </c>
      <c r="H300" s="53">
        <f>IF(G300=1,IF(F299=1,1,-1),G300)</f>
        <v>2</v>
      </c>
      <c r="I300" s="53" t="str">
        <f>VLOOKUP(H300,codes,2,)</f>
        <v>ww</v>
      </c>
      <c r="J300" s="53"/>
    </row>
    <row r="301" spans="1:10" x14ac:dyDescent="0.25">
      <c r="A301" s="93">
        <v>43244</v>
      </c>
      <c r="B301" s="35">
        <f>C301+(D301-2009)*12</f>
        <v>113</v>
      </c>
      <c r="C301" s="76">
        <v>5</v>
      </c>
      <c r="D301" s="76">
        <v>2018</v>
      </c>
      <c r="E301" s="56">
        <v>0</v>
      </c>
      <c r="F301" s="53">
        <f>IF(E301&gt;0,1,0)</f>
        <v>0</v>
      </c>
      <c r="G301" s="53">
        <f>SUM(F300:F301)</f>
        <v>1</v>
      </c>
      <c r="H301" s="53">
        <f>IF(G301=1,IF(F300=1,1,-1),G301)</f>
        <v>1</v>
      </c>
      <c r="I301" s="53" t="str">
        <f>VLOOKUP(H301,codes,2,)</f>
        <v>wd</v>
      </c>
      <c r="J301" s="53"/>
    </row>
    <row r="302" spans="1:10" x14ac:dyDescent="0.25">
      <c r="A302" s="93">
        <v>43245</v>
      </c>
      <c r="B302" s="35">
        <f>C302+(D302-2009)*12</f>
        <v>113</v>
      </c>
      <c r="C302" s="76">
        <v>5</v>
      </c>
      <c r="D302" s="76">
        <v>2018</v>
      </c>
      <c r="E302" s="56">
        <v>0</v>
      </c>
      <c r="F302" s="53">
        <f>IF(E302&gt;0,1,0)</f>
        <v>0</v>
      </c>
      <c r="G302" s="53">
        <f>SUM(F301:F302)</f>
        <v>0</v>
      </c>
      <c r="H302" s="53">
        <f>IF(G302=1,IF(F301=1,1,-1),G302)</f>
        <v>0</v>
      </c>
      <c r="I302" s="53" t="str">
        <f>VLOOKUP(H302,codes,2,)</f>
        <v>dd</v>
      </c>
      <c r="J302" s="53"/>
    </row>
    <row r="303" spans="1:10" x14ac:dyDescent="0.25">
      <c r="A303" s="93">
        <v>43246</v>
      </c>
      <c r="B303" s="35">
        <f>C303+(D303-2009)*12</f>
        <v>113</v>
      </c>
      <c r="C303" s="76">
        <v>5</v>
      </c>
      <c r="D303" s="76">
        <v>2018</v>
      </c>
      <c r="E303" s="56">
        <v>5.2</v>
      </c>
      <c r="F303" s="53">
        <f>IF(E303&gt;0,1,0)</f>
        <v>1</v>
      </c>
      <c r="G303" s="53">
        <f>SUM(F302:F303)</f>
        <v>1</v>
      </c>
      <c r="H303" s="53">
        <f>IF(G303=1,IF(F302=1,1,-1),G303)</f>
        <v>-1</v>
      </c>
      <c r="I303" s="53" t="str">
        <f>VLOOKUP(H303,codes,2,)</f>
        <v>dw</v>
      </c>
      <c r="J303" s="53"/>
    </row>
    <row r="304" spans="1:10" x14ac:dyDescent="0.25">
      <c r="A304" s="93">
        <v>43247</v>
      </c>
      <c r="B304" s="35">
        <f>C304+(D304-2009)*12</f>
        <v>113</v>
      </c>
      <c r="C304" s="76">
        <v>5</v>
      </c>
      <c r="D304" s="76">
        <v>2018</v>
      </c>
      <c r="E304" s="56">
        <v>0</v>
      </c>
      <c r="F304" s="53">
        <f>IF(E304&gt;0,1,0)</f>
        <v>0</v>
      </c>
      <c r="G304" s="53">
        <f>SUM(F303:F304)</f>
        <v>1</v>
      </c>
      <c r="H304" s="53">
        <f>IF(G304=1,IF(F303=1,1,-1),G304)</f>
        <v>1</v>
      </c>
      <c r="I304" s="53" t="str">
        <f>VLOOKUP(H304,codes,2,)</f>
        <v>wd</v>
      </c>
      <c r="J304" s="53"/>
    </row>
    <row r="305" spans="1:10" x14ac:dyDescent="0.25">
      <c r="A305" s="93">
        <v>43248</v>
      </c>
      <c r="B305" s="35">
        <f>C305+(D305-2009)*12</f>
        <v>113</v>
      </c>
      <c r="C305" s="76">
        <v>5</v>
      </c>
      <c r="D305" s="76">
        <v>2018</v>
      </c>
      <c r="E305" s="56">
        <v>0</v>
      </c>
      <c r="F305" s="53">
        <f>IF(E305&gt;0,1,0)</f>
        <v>0</v>
      </c>
      <c r="G305" s="53">
        <f>SUM(F304:F305)</f>
        <v>0</v>
      </c>
      <c r="H305" s="53">
        <f>IF(G305=1,IF(F304=1,1,-1),G305)</f>
        <v>0</v>
      </c>
      <c r="I305" s="53" t="str">
        <f>VLOOKUP(H305,codes,2,)</f>
        <v>dd</v>
      </c>
      <c r="J305" s="53"/>
    </row>
    <row r="306" spans="1:10" x14ac:dyDescent="0.25">
      <c r="A306" s="93">
        <v>43249</v>
      </c>
      <c r="B306" s="35">
        <f>C306+(D306-2009)*12</f>
        <v>113</v>
      </c>
      <c r="C306" s="76">
        <v>5</v>
      </c>
      <c r="D306" s="76">
        <v>2018</v>
      </c>
      <c r="E306" s="56">
        <v>0</v>
      </c>
      <c r="F306" s="53">
        <f>IF(E306&gt;0,1,0)</f>
        <v>0</v>
      </c>
      <c r="G306" s="53">
        <f>SUM(F305:F306)</f>
        <v>0</v>
      </c>
      <c r="H306" s="53">
        <f>IF(G306=1,IF(F305=1,1,-1),G306)</f>
        <v>0</v>
      </c>
      <c r="I306" s="53" t="str">
        <f>VLOOKUP(H306,codes,2,)</f>
        <v>dd</v>
      </c>
      <c r="J306" s="53"/>
    </row>
    <row r="307" spans="1:10" x14ac:dyDescent="0.25">
      <c r="A307" s="93">
        <v>43250</v>
      </c>
      <c r="B307" s="35">
        <f>C307+(D307-2009)*12</f>
        <v>113</v>
      </c>
      <c r="C307" s="76">
        <v>5</v>
      </c>
      <c r="D307" s="76">
        <v>2018</v>
      </c>
      <c r="E307" s="56">
        <v>6.6666666666666666E-2</v>
      </c>
      <c r="F307" s="53">
        <f>IF(E307&gt;0,1,0)</f>
        <v>1</v>
      </c>
      <c r="G307" s="53">
        <f>SUM(F306:F307)</f>
        <v>1</v>
      </c>
      <c r="H307" s="53">
        <f>IF(G307=1,IF(F306=1,1,-1),G307)</f>
        <v>-1</v>
      </c>
      <c r="I307" s="53" t="str">
        <f>VLOOKUP(H307,codes,2,)</f>
        <v>dw</v>
      </c>
      <c r="J307" s="53"/>
    </row>
    <row r="308" spans="1:10" x14ac:dyDescent="0.25">
      <c r="A308" s="93">
        <v>43251</v>
      </c>
      <c r="B308" s="35">
        <f>C308+(D308-2009)*12</f>
        <v>113</v>
      </c>
      <c r="C308" s="76">
        <v>5</v>
      </c>
      <c r="D308" s="76">
        <v>2018</v>
      </c>
      <c r="E308" s="56">
        <v>0</v>
      </c>
      <c r="F308" s="53">
        <f>IF(E308&gt;0,1,0)</f>
        <v>0</v>
      </c>
      <c r="G308" s="53">
        <f>SUM(F307:F308)</f>
        <v>1</v>
      </c>
      <c r="H308" s="53">
        <f>IF(G308=1,IF(F307=1,1,-1),G308)</f>
        <v>1</v>
      </c>
      <c r="I308" s="53" t="str">
        <f>VLOOKUP(H308,codes,2,)</f>
        <v>wd</v>
      </c>
      <c r="J308" s="53"/>
    </row>
    <row r="309" spans="1:10" x14ac:dyDescent="0.25">
      <c r="A309" s="93">
        <v>43252</v>
      </c>
      <c r="B309" s="35">
        <f>C309+(D309-2009)*12</f>
        <v>113</v>
      </c>
      <c r="C309" s="76">
        <v>5</v>
      </c>
      <c r="D309" s="76">
        <v>2018</v>
      </c>
      <c r="E309" s="56">
        <v>0</v>
      </c>
      <c r="F309" s="53">
        <f>IF(E309&gt;0,1,0)</f>
        <v>0</v>
      </c>
      <c r="G309" s="53">
        <f>SUM(F308:F309)</f>
        <v>0</v>
      </c>
      <c r="H309" s="53">
        <f>IF(G309=1,IF(F308=1,1,-1),G309)</f>
        <v>0</v>
      </c>
      <c r="I309" s="53" t="str">
        <f>VLOOKUP(H309,codes,2,)</f>
        <v>dd</v>
      </c>
      <c r="J309" s="53"/>
    </row>
    <row r="310" spans="1:10" x14ac:dyDescent="0.25">
      <c r="A310" s="93">
        <v>43253</v>
      </c>
      <c r="B310" s="35">
        <f>C310+(D310-2009)*12</f>
        <v>113</v>
      </c>
      <c r="C310" s="76">
        <v>5</v>
      </c>
      <c r="D310" s="76">
        <v>2018</v>
      </c>
      <c r="E310" s="56">
        <v>0</v>
      </c>
      <c r="F310" s="53">
        <f>IF(E310&gt;0,1,0)</f>
        <v>0</v>
      </c>
      <c r="G310" s="53">
        <f>SUM(F309:F310)</f>
        <v>0</v>
      </c>
      <c r="H310" s="53">
        <f>IF(G310=1,IF(F309=1,1,-1),G310)</f>
        <v>0</v>
      </c>
      <c r="I310" s="53" t="str">
        <f>VLOOKUP(H310,codes,2,)</f>
        <v>dd</v>
      </c>
      <c r="J310" s="53"/>
    </row>
    <row r="311" spans="1:10" x14ac:dyDescent="0.25">
      <c r="A311" s="93">
        <v>43254</v>
      </c>
      <c r="B311" s="35">
        <f>C311+(D311-2009)*12</f>
        <v>113</v>
      </c>
      <c r="C311" s="76">
        <v>5</v>
      </c>
      <c r="D311" s="76">
        <v>2018</v>
      </c>
      <c r="E311" s="56">
        <v>5.7333333333333334</v>
      </c>
      <c r="F311" s="53">
        <f>IF(E311&gt;0,1,0)</f>
        <v>1</v>
      </c>
      <c r="G311" s="53">
        <f>SUM(F310:F311)</f>
        <v>1</v>
      </c>
      <c r="H311" s="53">
        <f>IF(G311=1,IF(F310=1,1,-1),G311)</f>
        <v>-1</v>
      </c>
      <c r="I311" s="53" t="str">
        <f>VLOOKUP(H311,codes,2,)</f>
        <v>dw</v>
      </c>
      <c r="J311" s="53"/>
    </row>
    <row r="312" spans="1:10" x14ac:dyDescent="0.25">
      <c r="A312" s="93">
        <v>43586</v>
      </c>
      <c r="B312" s="35">
        <f>C312+(D312-2009)*12</f>
        <v>125</v>
      </c>
      <c r="C312" s="76">
        <v>5</v>
      </c>
      <c r="D312" s="76">
        <v>2019</v>
      </c>
      <c r="E312" s="56">
        <v>0</v>
      </c>
      <c r="F312" s="53">
        <f>IF(E312&gt;0,1,0)</f>
        <v>0</v>
      </c>
      <c r="G312" s="53">
        <f>SUM(F311:F312)</f>
        <v>1</v>
      </c>
      <c r="H312" s="53">
        <f>IF(G312=1,IF(F311=1,1,-1),G312)</f>
        <v>1</v>
      </c>
      <c r="I312" s="53" t="str">
        <f>VLOOKUP(H312,codes,2,)</f>
        <v>wd</v>
      </c>
      <c r="J312" s="53"/>
    </row>
    <row r="313" spans="1:10" x14ac:dyDescent="0.25">
      <c r="A313" s="93">
        <v>43587</v>
      </c>
      <c r="B313" s="35">
        <f>C313+(D313-2009)*12</f>
        <v>125</v>
      </c>
      <c r="C313" s="76">
        <v>5</v>
      </c>
      <c r="D313" s="76">
        <v>2019</v>
      </c>
      <c r="E313" s="56">
        <v>6.6666666666666666E-2</v>
      </c>
      <c r="F313" s="53">
        <f>IF(E313&gt;0,1,0)</f>
        <v>1</v>
      </c>
      <c r="G313" s="53">
        <f>SUM(F312:F313)</f>
        <v>1</v>
      </c>
      <c r="H313" s="53">
        <f>IF(G313=1,IF(F312=1,1,-1),G313)</f>
        <v>-1</v>
      </c>
      <c r="I313" s="53" t="str">
        <f>VLOOKUP(H313,codes,2,)</f>
        <v>dw</v>
      </c>
      <c r="J313" s="53"/>
    </row>
    <row r="314" spans="1:10" x14ac:dyDescent="0.25">
      <c r="A314" s="93">
        <v>43588</v>
      </c>
      <c r="B314" s="35">
        <f>C314+(D314-2009)*12</f>
        <v>125</v>
      </c>
      <c r="C314" s="76">
        <v>5</v>
      </c>
      <c r="D314" s="76">
        <v>2019</v>
      </c>
      <c r="E314" s="56">
        <v>0.13333333333333333</v>
      </c>
      <c r="F314" s="53">
        <f>IF(E314&gt;0,1,0)</f>
        <v>1</v>
      </c>
      <c r="G314" s="53">
        <f>SUM(F313:F314)</f>
        <v>2</v>
      </c>
      <c r="H314" s="53">
        <f>IF(G314=1,IF(F313=1,1,-1),G314)</f>
        <v>2</v>
      </c>
      <c r="I314" s="53" t="str">
        <f>VLOOKUP(H314,codes,2,)</f>
        <v>ww</v>
      </c>
      <c r="J314" s="53"/>
    </row>
    <row r="315" spans="1:10" x14ac:dyDescent="0.25">
      <c r="A315" s="93">
        <v>43589</v>
      </c>
      <c r="B315" s="35">
        <f>C315+(D315-2009)*12</f>
        <v>125</v>
      </c>
      <c r="C315" s="76">
        <v>5</v>
      </c>
      <c r="D315" s="76">
        <v>2019</v>
      </c>
      <c r="E315" s="56">
        <v>1.0999999999999999</v>
      </c>
      <c r="F315" s="53">
        <f>IF(E315&gt;0,1,0)</f>
        <v>1</v>
      </c>
      <c r="G315" s="53">
        <f>SUM(F314:F315)</f>
        <v>2</v>
      </c>
      <c r="H315" s="53">
        <f>IF(G315=1,IF(F314=1,1,-1),G315)</f>
        <v>2</v>
      </c>
      <c r="I315" s="53" t="str">
        <f>VLOOKUP(H315,codes,2,)</f>
        <v>ww</v>
      </c>
      <c r="J315" s="53"/>
    </row>
    <row r="316" spans="1:10" x14ac:dyDescent="0.25">
      <c r="A316" s="93">
        <v>43590</v>
      </c>
      <c r="B316" s="35">
        <f>C316+(D316-2009)*12</f>
        <v>125</v>
      </c>
      <c r="C316" s="76">
        <v>5</v>
      </c>
      <c r="D316" s="76">
        <v>2019</v>
      </c>
      <c r="E316" s="56">
        <v>1</v>
      </c>
      <c r="F316" s="53">
        <f>IF(E316&gt;0,1,0)</f>
        <v>1</v>
      </c>
      <c r="G316" s="53">
        <f>SUM(F315:F316)</f>
        <v>2</v>
      </c>
      <c r="H316" s="53">
        <f>IF(G316=1,IF(F315=1,1,-1),G316)</f>
        <v>2</v>
      </c>
      <c r="I316" s="53" t="str">
        <f>VLOOKUP(H316,codes,2,)</f>
        <v>ww</v>
      </c>
      <c r="J316" s="53"/>
    </row>
    <row r="317" spans="1:10" x14ac:dyDescent="0.25">
      <c r="A317" s="93">
        <v>43591</v>
      </c>
      <c r="B317" s="35">
        <f>C317+(D317-2009)*12</f>
        <v>125</v>
      </c>
      <c r="C317" s="76">
        <v>5</v>
      </c>
      <c r="D317" s="76">
        <v>2019</v>
      </c>
      <c r="E317" s="56">
        <v>1.3</v>
      </c>
      <c r="F317" s="53">
        <f>IF(E317&gt;0,1,0)</f>
        <v>1</v>
      </c>
      <c r="G317" s="53">
        <f>SUM(F316:F317)</f>
        <v>2</v>
      </c>
      <c r="H317" s="53">
        <f>IF(G317=1,IF(F316=1,1,-1),G317)</f>
        <v>2</v>
      </c>
      <c r="I317" s="53" t="str">
        <f>VLOOKUP(H317,codes,2,)</f>
        <v>ww</v>
      </c>
      <c r="J317" s="53"/>
    </row>
    <row r="318" spans="1:10" x14ac:dyDescent="0.25">
      <c r="A318" s="93">
        <v>43592</v>
      </c>
      <c r="B318" s="35">
        <f>C318+(D318-2009)*12</f>
        <v>125</v>
      </c>
      <c r="C318" s="76">
        <v>5</v>
      </c>
      <c r="D318" s="76">
        <v>2019</v>
      </c>
      <c r="E318" s="56">
        <v>0.46666666666666662</v>
      </c>
      <c r="F318" s="53">
        <f>IF(E318&gt;0,1,0)</f>
        <v>1</v>
      </c>
      <c r="G318" s="53">
        <f>SUM(F317:F318)</f>
        <v>2</v>
      </c>
      <c r="H318" s="53">
        <f>IF(G318=1,IF(F317=1,1,-1),G318)</f>
        <v>2</v>
      </c>
      <c r="I318" s="53" t="str">
        <f>VLOOKUP(H318,codes,2,)</f>
        <v>ww</v>
      </c>
      <c r="J318" s="53"/>
    </row>
    <row r="319" spans="1:10" x14ac:dyDescent="0.25">
      <c r="A319" s="93">
        <v>43593</v>
      </c>
      <c r="B319" s="35">
        <f>C319+(D319-2009)*12</f>
        <v>125</v>
      </c>
      <c r="C319" s="76">
        <v>5</v>
      </c>
      <c r="D319" s="76">
        <v>2019</v>
      </c>
      <c r="E319" s="56">
        <v>4.4333333333333336</v>
      </c>
      <c r="F319" s="53">
        <f>IF(E319&gt;0,1,0)</f>
        <v>1</v>
      </c>
      <c r="G319" s="53">
        <f>SUM(F318:F319)</f>
        <v>2</v>
      </c>
      <c r="H319" s="53">
        <f>IF(G319=1,IF(F318=1,1,-1),G319)</f>
        <v>2</v>
      </c>
      <c r="I319" s="53" t="str">
        <f>VLOOKUP(H319,codes,2,)</f>
        <v>ww</v>
      </c>
      <c r="J319" s="53"/>
    </row>
    <row r="320" spans="1:10" x14ac:dyDescent="0.25">
      <c r="A320" s="93">
        <v>43594</v>
      </c>
      <c r="B320" s="35">
        <f>C320+(D320-2009)*12</f>
        <v>125</v>
      </c>
      <c r="C320" s="76">
        <v>5</v>
      </c>
      <c r="D320" s="76">
        <v>2019</v>
      </c>
      <c r="E320" s="56">
        <v>12.6</v>
      </c>
      <c r="F320" s="53">
        <f>IF(E320&gt;0,1,0)</f>
        <v>1</v>
      </c>
      <c r="G320" s="53">
        <f>SUM(F319:F320)</f>
        <v>2</v>
      </c>
      <c r="H320" s="53">
        <f>IF(G320=1,IF(F319=1,1,-1),G320)</f>
        <v>2</v>
      </c>
      <c r="I320" s="53" t="str">
        <f>VLOOKUP(H320,codes,2,)</f>
        <v>ww</v>
      </c>
      <c r="J320" s="53"/>
    </row>
    <row r="321" spans="1:10" x14ac:dyDescent="0.25">
      <c r="A321" s="93">
        <v>43595</v>
      </c>
      <c r="B321" s="35">
        <f>C321+(D321-2009)*12</f>
        <v>125</v>
      </c>
      <c r="C321" s="76">
        <v>5</v>
      </c>
      <c r="D321" s="76">
        <v>2019</v>
      </c>
      <c r="E321" s="56">
        <v>6.3999999999999995</v>
      </c>
      <c r="F321" s="53">
        <f>IF(E321&gt;0,1,0)</f>
        <v>1</v>
      </c>
      <c r="G321" s="53">
        <f>SUM(F320:F321)</f>
        <v>2</v>
      </c>
      <c r="H321" s="53">
        <f>IF(G321=1,IF(F320=1,1,-1),G321)</f>
        <v>2</v>
      </c>
      <c r="I321" s="53" t="str">
        <f>VLOOKUP(H321,codes,2,)</f>
        <v>ww</v>
      </c>
      <c r="J321" s="53"/>
    </row>
    <row r="322" spans="1:10" x14ac:dyDescent="0.25">
      <c r="A322" s="93">
        <v>43596</v>
      </c>
      <c r="B322" s="35">
        <f>C322+(D322-2009)*12</f>
        <v>125</v>
      </c>
      <c r="C322" s="76">
        <v>5</v>
      </c>
      <c r="D322" s="76">
        <v>2019</v>
      </c>
      <c r="E322" s="56">
        <v>6.6666666666666666E-2</v>
      </c>
      <c r="F322" s="53">
        <f>IF(E322&gt;0,1,0)</f>
        <v>1</v>
      </c>
      <c r="G322" s="53">
        <f>SUM(F321:F322)</f>
        <v>2</v>
      </c>
      <c r="H322" s="53">
        <f>IF(G322=1,IF(F321=1,1,-1),G322)</f>
        <v>2</v>
      </c>
      <c r="I322" s="53" t="str">
        <f>VLOOKUP(H322,codes,2,)</f>
        <v>ww</v>
      </c>
      <c r="J322" s="53"/>
    </row>
    <row r="323" spans="1:10" x14ac:dyDescent="0.25">
      <c r="A323" s="93">
        <v>43597</v>
      </c>
      <c r="B323" s="35">
        <f>C323+(D323-2009)*12</f>
        <v>125</v>
      </c>
      <c r="C323" s="76">
        <v>5</v>
      </c>
      <c r="D323" s="76">
        <v>2019</v>
      </c>
      <c r="E323" s="56">
        <v>0.33333333333333331</v>
      </c>
      <c r="F323" s="53">
        <f>IF(E323&gt;0,1,0)</f>
        <v>1</v>
      </c>
      <c r="G323" s="53">
        <f>SUM(F322:F323)</f>
        <v>2</v>
      </c>
      <c r="H323" s="53">
        <f>IF(G323=1,IF(F322=1,1,-1),G323)</f>
        <v>2</v>
      </c>
      <c r="I323" s="53" t="str">
        <f>VLOOKUP(H323,codes,2,)</f>
        <v>ww</v>
      </c>
      <c r="J323" s="53"/>
    </row>
    <row r="324" spans="1:10" x14ac:dyDescent="0.25">
      <c r="A324" s="93">
        <v>43598</v>
      </c>
      <c r="B324" s="35">
        <f>C324+(D324-2009)*12</f>
        <v>125</v>
      </c>
      <c r="C324" s="76">
        <v>5</v>
      </c>
      <c r="D324" s="76">
        <v>2019</v>
      </c>
      <c r="E324" s="56">
        <v>0</v>
      </c>
      <c r="F324" s="53">
        <f>IF(E324&gt;0,1,0)</f>
        <v>0</v>
      </c>
      <c r="G324" s="53">
        <f>SUM(F323:F324)</f>
        <v>1</v>
      </c>
      <c r="H324" s="53">
        <f>IF(G324=1,IF(F323=1,1,-1),G324)</f>
        <v>1</v>
      </c>
      <c r="I324" s="53" t="str">
        <f>VLOOKUP(H324,codes,2,)</f>
        <v>wd</v>
      </c>
      <c r="J324" s="53"/>
    </row>
    <row r="325" spans="1:10" x14ac:dyDescent="0.25">
      <c r="A325" s="93">
        <v>43599</v>
      </c>
      <c r="B325" s="35">
        <f>C325+(D325-2009)*12</f>
        <v>125</v>
      </c>
      <c r="C325" s="76">
        <v>5</v>
      </c>
      <c r="D325" s="76">
        <v>2019</v>
      </c>
      <c r="E325" s="56">
        <v>0</v>
      </c>
      <c r="F325" s="53">
        <f>IF(E325&gt;0,1,0)</f>
        <v>0</v>
      </c>
      <c r="G325" s="53">
        <f>SUM(F324:F325)</f>
        <v>0</v>
      </c>
      <c r="H325" s="53">
        <f>IF(G325=1,IF(F324=1,1,-1),G325)</f>
        <v>0</v>
      </c>
      <c r="I325" s="53" t="str">
        <f>VLOOKUP(H325,codes,2,)</f>
        <v>dd</v>
      </c>
      <c r="J325" s="53"/>
    </row>
    <row r="326" spans="1:10" x14ac:dyDescent="0.25">
      <c r="A326" s="93">
        <v>43600</v>
      </c>
      <c r="B326" s="35">
        <f>C326+(D326-2009)*12</f>
        <v>125</v>
      </c>
      <c r="C326" s="76">
        <v>5</v>
      </c>
      <c r="D326" s="76">
        <v>2019</v>
      </c>
      <c r="E326" s="56">
        <v>0</v>
      </c>
      <c r="F326" s="53">
        <f>IF(E326&gt;0,1,0)</f>
        <v>0</v>
      </c>
      <c r="G326" s="53">
        <f>SUM(F325:F326)</f>
        <v>0</v>
      </c>
      <c r="H326" s="53">
        <f>IF(G326=1,IF(F325=1,1,-1),G326)</f>
        <v>0</v>
      </c>
      <c r="I326" s="53" t="str">
        <f>VLOOKUP(H326,codes,2,)</f>
        <v>dd</v>
      </c>
      <c r="J326" s="53"/>
    </row>
    <row r="327" spans="1:10" x14ac:dyDescent="0.25">
      <c r="A327" s="93">
        <v>43601</v>
      </c>
      <c r="B327" s="35">
        <f>C327+(D327-2009)*12</f>
        <v>125</v>
      </c>
      <c r="C327" s="76">
        <v>5</v>
      </c>
      <c r="D327" s="76">
        <v>2019</v>
      </c>
      <c r="E327" s="56">
        <v>0</v>
      </c>
      <c r="F327" s="53">
        <f>IF(E327&gt;0,1,0)</f>
        <v>0</v>
      </c>
      <c r="G327" s="53">
        <f>SUM(F326:F327)</f>
        <v>0</v>
      </c>
      <c r="H327" s="53">
        <f>IF(G327=1,IF(F326=1,1,-1),G327)</f>
        <v>0</v>
      </c>
      <c r="I327" s="53" t="str">
        <f>VLOOKUP(H327,codes,2,)</f>
        <v>dd</v>
      </c>
      <c r="J327" s="53"/>
    </row>
    <row r="328" spans="1:10" x14ac:dyDescent="0.25">
      <c r="A328" s="93">
        <v>43602</v>
      </c>
      <c r="B328" s="35">
        <f>C328+(D328-2009)*12</f>
        <v>125</v>
      </c>
      <c r="C328" s="76">
        <v>5</v>
      </c>
      <c r="D328" s="76">
        <v>2019</v>
      </c>
      <c r="E328" s="56">
        <v>0</v>
      </c>
      <c r="F328" s="53">
        <f>IF(E328&gt;0,1,0)</f>
        <v>0</v>
      </c>
      <c r="G328" s="53">
        <f>SUM(F327:F328)</f>
        <v>0</v>
      </c>
      <c r="H328" s="53">
        <f>IF(G328=1,IF(F327=1,1,-1),G328)</f>
        <v>0</v>
      </c>
      <c r="I328" s="53" t="str">
        <f>VLOOKUP(H328,codes,2,)</f>
        <v>dd</v>
      </c>
      <c r="J328" s="53"/>
    </row>
    <row r="329" spans="1:10" x14ac:dyDescent="0.25">
      <c r="A329" s="93">
        <v>43603</v>
      </c>
      <c r="B329" s="35">
        <f>C329+(D329-2009)*12</f>
        <v>125</v>
      </c>
      <c r="C329" s="76">
        <v>5</v>
      </c>
      <c r="D329" s="76">
        <v>2019</v>
      </c>
      <c r="E329" s="56">
        <v>2.3000000000000003</v>
      </c>
      <c r="F329" s="53">
        <f>IF(E329&gt;0,1,0)</f>
        <v>1</v>
      </c>
      <c r="G329" s="53">
        <f>SUM(F328:F329)</f>
        <v>1</v>
      </c>
      <c r="H329" s="53">
        <f>IF(G329=1,IF(F328=1,1,-1),G329)</f>
        <v>-1</v>
      </c>
      <c r="I329" s="53" t="str">
        <f>VLOOKUP(H329,codes,2,)</f>
        <v>dw</v>
      </c>
      <c r="J329" s="53"/>
    </row>
    <row r="330" spans="1:10" x14ac:dyDescent="0.25">
      <c r="A330" s="93">
        <v>43604</v>
      </c>
      <c r="B330" s="35">
        <f>C330+(D330-2009)*12</f>
        <v>125</v>
      </c>
      <c r="C330" s="76">
        <v>5</v>
      </c>
      <c r="D330" s="76">
        <v>2019</v>
      </c>
      <c r="E330" s="56">
        <v>1.2666666666666666</v>
      </c>
      <c r="F330" s="53">
        <f>IF(E330&gt;0,1,0)</f>
        <v>1</v>
      </c>
      <c r="G330" s="53">
        <f>SUM(F329:F330)</f>
        <v>2</v>
      </c>
      <c r="H330" s="53">
        <f>IF(G330=1,IF(F329=1,1,-1),G330)</f>
        <v>2</v>
      </c>
      <c r="I330" s="53" t="str">
        <f>VLOOKUP(H330,codes,2,)</f>
        <v>ww</v>
      </c>
      <c r="J330" s="53"/>
    </row>
    <row r="331" spans="1:10" x14ac:dyDescent="0.25">
      <c r="A331" s="93">
        <v>43605</v>
      </c>
      <c r="B331" s="35">
        <f>C331+(D331-2009)*12</f>
        <v>125</v>
      </c>
      <c r="C331" s="76">
        <v>5</v>
      </c>
      <c r="D331" s="76">
        <v>2019</v>
      </c>
      <c r="E331" s="56">
        <v>0.23333333333333331</v>
      </c>
      <c r="F331" s="53">
        <f>IF(E331&gt;0,1,0)</f>
        <v>1</v>
      </c>
      <c r="G331" s="53">
        <f>SUM(F330:F331)</f>
        <v>2</v>
      </c>
      <c r="H331" s="53">
        <f>IF(G331=1,IF(F330=1,1,-1),G331)</f>
        <v>2</v>
      </c>
      <c r="I331" s="53" t="str">
        <f>VLOOKUP(H331,codes,2,)</f>
        <v>ww</v>
      </c>
      <c r="J331" s="53"/>
    </row>
    <row r="332" spans="1:10" x14ac:dyDescent="0.25">
      <c r="A332" s="93">
        <v>43606</v>
      </c>
      <c r="B332" s="35">
        <f>C332+(D332-2009)*12</f>
        <v>125</v>
      </c>
      <c r="C332" s="76">
        <v>5</v>
      </c>
      <c r="D332" s="76">
        <v>2019</v>
      </c>
      <c r="E332" s="56">
        <v>0</v>
      </c>
      <c r="F332" s="53">
        <f>IF(E332&gt;0,1,0)</f>
        <v>0</v>
      </c>
      <c r="G332" s="53">
        <f>SUM(F331:F332)</f>
        <v>1</v>
      </c>
      <c r="H332" s="53">
        <f>IF(G332=1,IF(F331=1,1,-1),G332)</f>
        <v>1</v>
      </c>
      <c r="I332" s="53" t="str">
        <f>VLOOKUP(H332,codes,2,)</f>
        <v>wd</v>
      </c>
      <c r="J332" s="53"/>
    </row>
    <row r="333" spans="1:10" x14ac:dyDescent="0.25">
      <c r="A333" s="93">
        <v>43607</v>
      </c>
      <c r="B333" s="35">
        <f>C333+(D333-2009)*12</f>
        <v>125</v>
      </c>
      <c r="C333" s="76">
        <v>5</v>
      </c>
      <c r="D333" s="76">
        <v>2019</v>
      </c>
      <c r="E333" s="56">
        <v>0</v>
      </c>
      <c r="F333" s="53">
        <f>IF(E333&gt;0,1,0)</f>
        <v>0</v>
      </c>
      <c r="G333" s="53">
        <f>SUM(F332:F333)</f>
        <v>0</v>
      </c>
      <c r="H333" s="53">
        <f>IF(G333=1,IF(F332=1,1,-1),G333)</f>
        <v>0</v>
      </c>
      <c r="I333" s="53" t="str">
        <f>VLOOKUP(H333,codes,2,)</f>
        <v>dd</v>
      </c>
      <c r="J333" s="53"/>
    </row>
    <row r="334" spans="1:10" x14ac:dyDescent="0.25">
      <c r="A334" s="93">
        <v>43608</v>
      </c>
      <c r="B334" s="35">
        <f>C334+(D334-2009)*12</f>
        <v>125</v>
      </c>
      <c r="C334" s="76">
        <v>5</v>
      </c>
      <c r="D334" s="76">
        <v>2019</v>
      </c>
      <c r="E334" s="56">
        <v>0</v>
      </c>
      <c r="F334" s="53">
        <f>IF(E334&gt;0,1,0)</f>
        <v>0</v>
      </c>
      <c r="G334" s="53">
        <f>SUM(F333:F334)</f>
        <v>0</v>
      </c>
      <c r="H334" s="53">
        <f>IF(G334=1,IF(F333=1,1,-1),G334)</f>
        <v>0</v>
      </c>
      <c r="I334" s="53" t="str">
        <f>VLOOKUP(H334,codes,2,)</f>
        <v>dd</v>
      </c>
      <c r="J334" s="53"/>
    </row>
    <row r="335" spans="1:10" x14ac:dyDescent="0.25">
      <c r="A335" s="93">
        <v>43609</v>
      </c>
      <c r="B335" s="35">
        <f>C335+(D335-2009)*12</f>
        <v>125</v>
      </c>
      <c r="C335" s="76">
        <v>5</v>
      </c>
      <c r="D335" s="76">
        <v>2019</v>
      </c>
      <c r="E335" s="56">
        <v>0</v>
      </c>
      <c r="F335" s="53">
        <f>IF(E335&gt;0,1,0)</f>
        <v>0</v>
      </c>
      <c r="G335" s="53">
        <f>SUM(F334:F335)</f>
        <v>0</v>
      </c>
      <c r="H335" s="53">
        <f>IF(G335=1,IF(F334=1,1,-1),G335)</f>
        <v>0</v>
      </c>
      <c r="I335" s="53" t="str">
        <f>VLOOKUP(H335,codes,2,)</f>
        <v>dd</v>
      </c>
      <c r="J335" s="53"/>
    </row>
    <row r="336" spans="1:10" x14ac:dyDescent="0.25">
      <c r="A336" s="93">
        <v>43610</v>
      </c>
      <c r="B336" s="35">
        <f>C336+(D336-2009)*12</f>
        <v>125</v>
      </c>
      <c r="C336" s="76">
        <v>5</v>
      </c>
      <c r="D336" s="76">
        <v>2019</v>
      </c>
      <c r="E336" s="56">
        <v>0</v>
      </c>
      <c r="F336" s="53">
        <f>IF(E336&gt;0,1,0)</f>
        <v>0</v>
      </c>
      <c r="G336" s="53">
        <f>SUM(F335:F336)</f>
        <v>0</v>
      </c>
      <c r="H336" s="53">
        <f>IF(G336=1,IF(F335=1,1,-1),G336)</f>
        <v>0</v>
      </c>
      <c r="I336" s="53" t="str">
        <f>VLOOKUP(H336,codes,2,)</f>
        <v>dd</v>
      </c>
      <c r="J336" s="53"/>
    </row>
    <row r="337" spans="1:10" x14ac:dyDescent="0.25">
      <c r="A337" s="93">
        <v>43611</v>
      </c>
      <c r="B337" s="35">
        <f>C337+(D337-2009)*12</f>
        <v>125</v>
      </c>
      <c r="C337" s="76">
        <v>5</v>
      </c>
      <c r="D337" s="76">
        <v>2019</v>
      </c>
      <c r="E337" s="56">
        <v>3.8666666666666667</v>
      </c>
      <c r="F337" s="53">
        <f>IF(E337&gt;0,1,0)</f>
        <v>1</v>
      </c>
      <c r="G337" s="53">
        <f>SUM(F336:F337)</f>
        <v>1</v>
      </c>
      <c r="H337" s="53">
        <f>IF(G337=1,IF(F336=1,1,-1),G337)</f>
        <v>-1</v>
      </c>
      <c r="I337" s="53" t="str">
        <f>VLOOKUP(H337,codes,2,)</f>
        <v>dw</v>
      </c>
      <c r="J337" s="53"/>
    </row>
    <row r="338" spans="1:10" x14ac:dyDescent="0.25">
      <c r="A338" s="93">
        <v>43612</v>
      </c>
      <c r="B338" s="35">
        <f>C338+(D338-2009)*12</f>
        <v>125</v>
      </c>
      <c r="C338" s="76">
        <v>5</v>
      </c>
      <c r="D338" s="76">
        <v>2019</v>
      </c>
      <c r="E338" s="56">
        <v>1.8666666666666665</v>
      </c>
      <c r="F338" s="53">
        <f>IF(E338&gt;0,1,0)</f>
        <v>1</v>
      </c>
      <c r="G338" s="53">
        <f>SUM(F337:F338)</f>
        <v>2</v>
      </c>
      <c r="H338" s="53">
        <f>IF(G338=1,IF(F337=1,1,-1),G338)</f>
        <v>2</v>
      </c>
      <c r="I338" s="53" t="str">
        <f>VLOOKUP(H338,codes,2,)</f>
        <v>ww</v>
      </c>
      <c r="J338" s="53"/>
    </row>
    <row r="339" spans="1:10" x14ac:dyDescent="0.25">
      <c r="A339" s="93">
        <v>43613</v>
      </c>
      <c r="B339" s="35">
        <f>C339+(D339-2009)*12</f>
        <v>125</v>
      </c>
      <c r="C339" s="76">
        <v>5</v>
      </c>
      <c r="D339" s="76">
        <v>2019</v>
      </c>
      <c r="E339" s="56">
        <v>6.7333333333333343</v>
      </c>
      <c r="F339" s="53">
        <f>IF(E339&gt;0,1,0)</f>
        <v>1</v>
      </c>
      <c r="G339" s="53">
        <f>SUM(F338:F339)</f>
        <v>2</v>
      </c>
      <c r="H339" s="53">
        <f>IF(G339=1,IF(F338=1,1,-1),G339)</f>
        <v>2</v>
      </c>
      <c r="I339" s="53" t="str">
        <f>VLOOKUP(H339,codes,2,)</f>
        <v>ww</v>
      </c>
      <c r="J339" s="53"/>
    </row>
    <row r="340" spans="1:10" x14ac:dyDescent="0.25">
      <c r="A340" s="93">
        <v>43614</v>
      </c>
      <c r="B340" s="35">
        <f>C340+(D340-2009)*12</f>
        <v>125</v>
      </c>
      <c r="C340" s="76">
        <v>5</v>
      </c>
      <c r="D340" s="76">
        <v>2019</v>
      </c>
      <c r="E340" s="56">
        <v>6.2</v>
      </c>
      <c r="F340" s="53">
        <f>IF(E340&gt;0,1,0)</f>
        <v>1</v>
      </c>
      <c r="G340" s="53">
        <f>SUM(F339:F340)</f>
        <v>2</v>
      </c>
      <c r="H340" s="53">
        <f>IF(G340=1,IF(F339=1,1,-1),G340)</f>
        <v>2</v>
      </c>
      <c r="I340" s="53" t="str">
        <f>VLOOKUP(H340,codes,2,)</f>
        <v>ww</v>
      </c>
      <c r="J340" s="53"/>
    </row>
    <row r="341" spans="1:10" x14ac:dyDescent="0.25">
      <c r="A341" s="93">
        <v>43615</v>
      </c>
      <c r="B341" s="35">
        <f>C341+(D341-2009)*12</f>
        <v>125</v>
      </c>
      <c r="C341" s="76">
        <v>5</v>
      </c>
      <c r="D341" s="76">
        <v>2019</v>
      </c>
      <c r="E341" s="56">
        <v>2.0666666666666669</v>
      </c>
      <c r="F341" s="53">
        <f>IF(E341&gt;0,1,0)</f>
        <v>1</v>
      </c>
      <c r="G341" s="53">
        <f>SUM(F340:F341)</f>
        <v>2</v>
      </c>
      <c r="H341" s="53">
        <f>IF(G341=1,IF(F340=1,1,-1),G341)</f>
        <v>2</v>
      </c>
      <c r="I341" s="53" t="str">
        <f>VLOOKUP(H341,codes,2,)</f>
        <v>ww</v>
      </c>
      <c r="J341" s="53"/>
    </row>
    <row r="342" spans="1:10" x14ac:dyDescent="0.25">
      <c r="A342" s="93">
        <v>43616</v>
      </c>
      <c r="B342" s="35">
        <f>C342+(D342-2009)*12</f>
        <v>125</v>
      </c>
      <c r="C342" s="76">
        <v>5</v>
      </c>
      <c r="D342" s="76">
        <v>2019</v>
      </c>
      <c r="E342" s="56">
        <v>3.9333333333333336</v>
      </c>
      <c r="F342" s="53">
        <f>IF(E342&gt;0,1,0)</f>
        <v>1</v>
      </c>
      <c r="G342" s="53">
        <f>SUM(F341:F342)</f>
        <v>2</v>
      </c>
      <c r="H342" s="53">
        <f>IF(G342=1,IF(F341=1,1,-1),G342)</f>
        <v>2</v>
      </c>
      <c r="I342" s="53" t="str">
        <f>VLOOKUP(H342,codes,2,)</f>
        <v>ww</v>
      </c>
      <c r="J342" s="53"/>
    </row>
    <row r="343" spans="1:10" x14ac:dyDescent="0.25">
      <c r="A343" s="93">
        <v>43952</v>
      </c>
      <c r="B343" s="35">
        <f>C343+(D343-2009)*12</f>
        <v>137</v>
      </c>
      <c r="C343" s="76">
        <v>5</v>
      </c>
      <c r="D343" s="53">
        <v>2020</v>
      </c>
      <c r="E343" s="56">
        <v>0.26666666666666666</v>
      </c>
      <c r="F343" s="53">
        <f>IF(E343&gt;0,1,0)</f>
        <v>1</v>
      </c>
      <c r="G343" s="53">
        <f>SUM(F342:F343)</f>
        <v>2</v>
      </c>
      <c r="H343" s="53">
        <f>IF(G343=1,IF(F342=1,1,-1),G343)</f>
        <v>2</v>
      </c>
      <c r="I343" s="53" t="str">
        <f>VLOOKUP(H343,codes,2,)</f>
        <v>ww</v>
      </c>
      <c r="J343" s="53"/>
    </row>
    <row r="344" spans="1:10" x14ac:dyDescent="0.25">
      <c r="A344" s="93">
        <v>43953</v>
      </c>
      <c r="B344" s="35">
        <f>C344+(D344-2009)*12</f>
        <v>137</v>
      </c>
      <c r="C344" s="76">
        <v>5</v>
      </c>
      <c r="D344" s="53">
        <v>2020</v>
      </c>
      <c r="E344" s="56">
        <v>3</v>
      </c>
      <c r="F344" s="53">
        <f>IF(E344&gt;0,1,0)</f>
        <v>1</v>
      </c>
      <c r="G344" s="53">
        <f>SUM(F343:F344)</f>
        <v>2</v>
      </c>
      <c r="H344" s="53">
        <f>IF(G344=1,IF(F343=1,1,-1),G344)</f>
        <v>2</v>
      </c>
      <c r="I344" s="53" t="str">
        <f>VLOOKUP(H344,codes,2,)</f>
        <v>ww</v>
      </c>
      <c r="J344" s="53"/>
    </row>
    <row r="345" spans="1:10" x14ac:dyDescent="0.25">
      <c r="A345" s="93">
        <v>43954</v>
      </c>
      <c r="B345" s="35">
        <f>C345+(D345-2009)*12</f>
        <v>137</v>
      </c>
      <c r="C345" s="76">
        <v>5</v>
      </c>
      <c r="D345" s="53">
        <v>2020</v>
      </c>
      <c r="E345" s="56">
        <v>6.6666666666666666E-2</v>
      </c>
      <c r="F345" s="53">
        <f>IF(E345&gt;0,1,0)</f>
        <v>1</v>
      </c>
      <c r="G345" s="53">
        <f>SUM(F344:F345)</f>
        <v>2</v>
      </c>
      <c r="H345" s="53">
        <f>IF(G345=1,IF(F344=1,1,-1),G345)</f>
        <v>2</v>
      </c>
      <c r="I345" s="53" t="str">
        <f>VLOOKUP(H345,codes,2,)</f>
        <v>ww</v>
      </c>
      <c r="J345" s="53"/>
    </row>
    <row r="346" spans="1:10" x14ac:dyDescent="0.25">
      <c r="A346" s="93">
        <v>43955</v>
      </c>
      <c r="B346" s="35">
        <f>C346+(D346-2009)*12</f>
        <v>137</v>
      </c>
      <c r="C346" s="76">
        <v>5</v>
      </c>
      <c r="D346" s="53">
        <v>2020</v>
      </c>
      <c r="E346" s="56">
        <v>1.3333333333333333</v>
      </c>
      <c r="F346" s="53">
        <f>IF(E346&gt;0,1,0)</f>
        <v>1</v>
      </c>
      <c r="G346" s="53">
        <f>SUM(F345:F346)</f>
        <v>2</v>
      </c>
      <c r="H346" s="53">
        <f>IF(G346=1,IF(F345=1,1,-1),G346)</f>
        <v>2</v>
      </c>
      <c r="I346" s="53" t="str">
        <f>VLOOKUP(H346,codes,2,)</f>
        <v>ww</v>
      </c>
      <c r="J346" s="53"/>
    </row>
    <row r="347" spans="1:10" x14ac:dyDescent="0.25">
      <c r="A347" s="93">
        <v>43956</v>
      </c>
      <c r="B347" s="35">
        <f>C347+(D347-2009)*12</f>
        <v>137</v>
      </c>
      <c r="C347" s="76">
        <v>5</v>
      </c>
      <c r="D347" s="53">
        <v>2020</v>
      </c>
      <c r="E347" s="56">
        <v>0</v>
      </c>
      <c r="F347" s="53">
        <f>IF(E347&gt;0,1,0)</f>
        <v>0</v>
      </c>
      <c r="G347" s="53">
        <f>SUM(F346:F347)</f>
        <v>1</v>
      </c>
      <c r="H347" s="53">
        <f>IF(G347=1,IF(F346=1,1,-1),G347)</f>
        <v>1</v>
      </c>
      <c r="I347" s="53" t="str">
        <f>VLOOKUP(H347,codes,2,)</f>
        <v>wd</v>
      </c>
      <c r="J347" s="53"/>
    </row>
    <row r="348" spans="1:10" x14ac:dyDescent="0.25">
      <c r="A348" s="93">
        <v>43957</v>
      </c>
      <c r="B348" s="35">
        <f>C348+(D348-2009)*12</f>
        <v>137</v>
      </c>
      <c r="C348" s="76">
        <v>5</v>
      </c>
      <c r="D348" s="53">
        <v>2020</v>
      </c>
      <c r="E348" s="56">
        <v>0</v>
      </c>
      <c r="F348" s="53">
        <f>IF(E348&gt;0,1,0)</f>
        <v>0</v>
      </c>
      <c r="G348" s="53">
        <f>SUM(F347:F348)</f>
        <v>0</v>
      </c>
      <c r="H348" s="53">
        <f>IF(G348=1,IF(F347=1,1,-1),G348)</f>
        <v>0</v>
      </c>
      <c r="I348" s="53" t="str">
        <f>VLOOKUP(H348,codes,2,)</f>
        <v>dd</v>
      </c>
      <c r="J348" s="53"/>
    </row>
    <row r="349" spans="1:10" x14ac:dyDescent="0.25">
      <c r="A349" s="93">
        <v>43958</v>
      </c>
      <c r="B349" s="35">
        <f>C349+(D349-2009)*12</f>
        <v>137</v>
      </c>
      <c r="C349" s="76">
        <v>5</v>
      </c>
      <c r="D349" s="53">
        <v>2020</v>
      </c>
      <c r="E349" s="56">
        <v>0</v>
      </c>
      <c r="F349" s="53">
        <f>IF(E349&gt;0,1,0)</f>
        <v>0</v>
      </c>
      <c r="G349" s="53">
        <f>SUM(F348:F349)</f>
        <v>0</v>
      </c>
      <c r="H349" s="53">
        <f>IF(G349=1,IF(F348=1,1,-1),G349)</f>
        <v>0</v>
      </c>
      <c r="I349" s="53" t="str">
        <f>VLOOKUP(H349,codes,2,)</f>
        <v>dd</v>
      </c>
      <c r="J349" s="53"/>
    </row>
    <row r="350" spans="1:10" x14ac:dyDescent="0.25">
      <c r="A350" s="93">
        <v>43959</v>
      </c>
      <c r="B350" s="35">
        <f>C350+(D350-2009)*12</f>
        <v>137</v>
      </c>
      <c r="C350" s="76">
        <v>5</v>
      </c>
      <c r="D350" s="53">
        <v>2020</v>
      </c>
      <c r="E350" s="56">
        <v>0</v>
      </c>
      <c r="F350" s="53">
        <f>IF(E350&gt;0,1,0)</f>
        <v>0</v>
      </c>
      <c r="G350" s="53">
        <f>SUM(F349:F350)</f>
        <v>0</v>
      </c>
      <c r="H350" s="53">
        <f>IF(G350=1,IF(F349=1,1,-1),G350)</f>
        <v>0</v>
      </c>
      <c r="I350" s="53" t="str">
        <f>VLOOKUP(H350,codes,2,)</f>
        <v>dd</v>
      </c>
      <c r="J350" s="53"/>
    </row>
    <row r="351" spans="1:10" x14ac:dyDescent="0.25">
      <c r="A351" s="93">
        <v>43960</v>
      </c>
      <c r="B351" s="35">
        <f>C351+(D351-2009)*12</f>
        <v>137</v>
      </c>
      <c r="C351" s="76">
        <v>5</v>
      </c>
      <c r="D351" s="53">
        <v>2020</v>
      </c>
      <c r="E351" s="56">
        <v>0</v>
      </c>
      <c r="F351" s="53">
        <f>IF(E351&gt;0,1,0)</f>
        <v>0</v>
      </c>
      <c r="G351" s="53">
        <f>SUM(F350:F351)</f>
        <v>0</v>
      </c>
      <c r="H351" s="53">
        <f>IF(G351=1,IF(F350=1,1,-1),G351)</f>
        <v>0</v>
      </c>
      <c r="I351" s="53" t="str">
        <f>VLOOKUP(H351,codes,2,)</f>
        <v>dd</v>
      </c>
      <c r="J351" s="53"/>
    </row>
    <row r="352" spans="1:10" x14ac:dyDescent="0.25">
      <c r="A352" s="93">
        <v>43961</v>
      </c>
      <c r="B352" s="35">
        <f>C352+(D352-2009)*12</f>
        <v>137</v>
      </c>
      <c r="C352" s="76">
        <v>5</v>
      </c>
      <c r="D352" s="53">
        <v>2020</v>
      </c>
      <c r="E352" s="56">
        <v>0.93333333333333324</v>
      </c>
      <c r="F352" s="53">
        <f>IF(E352&gt;0,1,0)</f>
        <v>1</v>
      </c>
      <c r="G352" s="53">
        <f>SUM(F351:F352)</f>
        <v>1</v>
      </c>
      <c r="H352" s="53">
        <f>IF(G352=1,IF(F351=1,1,-1),G352)</f>
        <v>-1</v>
      </c>
      <c r="I352" s="53" t="str">
        <f>VLOOKUP(H352,codes,2,)</f>
        <v>dw</v>
      </c>
      <c r="J352" s="53"/>
    </row>
    <row r="353" spans="1:10" x14ac:dyDescent="0.25">
      <c r="A353" s="93">
        <v>43962</v>
      </c>
      <c r="B353" s="35">
        <f>C353+(D353-2009)*12</f>
        <v>137</v>
      </c>
      <c r="C353" s="76">
        <v>5</v>
      </c>
      <c r="D353" s="53">
        <v>2020</v>
      </c>
      <c r="E353" s="56">
        <v>0.13333333333333333</v>
      </c>
      <c r="F353" s="53">
        <f>IF(E353&gt;0,1,0)</f>
        <v>1</v>
      </c>
      <c r="G353" s="53">
        <f>SUM(F352:F353)</f>
        <v>2</v>
      </c>
      <c r="H353" s="53">
        <f>IF(G353=1,IF(F352=1,1,-1),G353)</f>
        <v>2</v>
      </c>
      <c r="I353" s="53" t="str">
        <f>VLOOKUP(H353,codes,2,)</f>
        <v>ww</v>
      </c>
      <c r="J353" s="53"/>
    </row>
    <row r="354" spans="1:10" x14ac:dyDescent="0.25">
      <c r="A354" s="93">
        <v>43963</v>
      </c>
      <c r="B354" s="35">
        <f>C354+(D354-2009)*12</f>
        <v>137</v>
      </c>
      <c r="C354" s="76">
        <v>5</v>
      </c>
      <c r="D354" s="53">
        <v>2020</v>
      </c>
      <c r="E354" s="56">
        <v>0.26666666666666666</v>
      </c>
      <c r="F354" s="53">
        <f>IF(E354&gt;0,1,0)</f>
        <v>1</v>
      </c>
      <c r="G354" s="53">
        <f>SUM(F353:F354)</f>
        <v>2</v>
      </c>
      <c r="H354" s="53">
        <f>IF(G354=1,IF(F353=1,1,-1),G354)</f>
        <v>2</v>
      </c>
      <c r="I354" s="53" t="str">
        <f>VLOOKUP(H354,codes,2,)</f>
        <v>ww</v>
      </c>
      <c r="J354" s="53"/>
    </row>
    <row r="355" spans="1:10" x14ac:dyDescent="0.25">
      <c r="A355" s="93">
        <v>43964</v>
      </c>
      <c r="B355" s="35">
        <f>C355+(D355-2009)*12</f>
        <v>137</v>
      </c>
      <c r="C355" s="76">
        <v>5</v>
      </c>
      <c r="D355" s="53">
        <v>2020</v>
      </c>
      <c r="E355" s="56">
        <v>0.79999999999999993</v>
      </c>
      <c r="F355" s="53">
        <f>IF(E355&gt;0,1,0)</f>
        <v>1</v>
      </c>
      <c r="G355" s="53">
        <f>SUM(F354:F355)</f>
        <v>2</v>
      </c>
      <c r="H355" s="53">
        <f>IF(G355=1,IF(F354=1,1,-1),G355)</f>
        <v>2</v>
      </c>
      <c r="I355" s="53" t="str">
        <f>VLOOKUP(H355,codes,2,)</f>
        <v>ww</v>
      </c>
      <c r="J355" s="53"/>
    </row>
    <row r="356" spans="1:10" x14ac:dyDescent="0.25">
      <c r="A356" s="93">
        <v>43965</v>
      </c>
      <c r="B356" s="35">
        <f>C356+(D356-2009)*12</f>
        <v>137</v>
      </c>
      <c r="C356" s="76">
        <v>5</v>
      </c>
      <c r="D356" s="53">
        <v>2020</v>
      </c>
      <c r="E356" s="56">
        <v>0</v>
      </c>
      <c r="F356" s="53">
        <f>IF(E356&gt;0,1,0)</f>
        <v>0</v>
      </c>
      <c r="G356" s="53">
        <f>SUM(F355:F356)</f>
        <v>1</v>
      </c>
      <c r="H356" s="53">
        <f>IF(G356=1,IF(F355=1,1,-1),G356)</f>
        <v>1</v>
      </c>
      <c r="I356" s="53" t="str">
        <f>VLOOKUP(H356,codes,2,)</f>
        <v>wd</v>
      </c>
      <c r="J356" s="53"/>
    </row>
    <row r="357" spans="1:10" x14ac:dyDescent="0.25">
      <c r="A357" s="93">
        <v>43966</v>
      </c>
      <c r="B357" s="35">
        <f>C357+(D357-2009)*12</f>
        <v>137</v>
      </c>
      <c r="C357" s="76">
        <v>5</v>
      </c>
      <c r="D357" s="53">
        <v>2020</v>
      </c>
      <c r="E357" s="56">
        <v>0</v>
      </c>
      <c r="F357" s="53">
        <f>IF(E357&gt;0,1,0)</f>
        <v>0</v>
      </c>
      <c r="G357" s="53">
        <f>SUM(F356:F357)</f>
        <v>0</v>
      </c>
      <c r="H357" s="53">
        <f>IF(G357=1,IF(F356=1,1,-1),G357)</f>
        <v>0</v>
      </c>
      <c r="I357" s="53" t="str">
        <f>VLOOKUP(H357,codes,2,)</f>
        <v>dd</v>
      </c>
      <c r="J357" s="53"/>
    </row>
    <row r="358" spans="1:10" x14ac:dyDescent="0.25">
      <c r="A358" s="93">
        <v>43967</v>
      </c>
      <c r="B358" s="35">
        <f>C358+(D358-2009)*12</f>
        <v>137</v>
      </c>
      <c r="C358" s="76">
        <v>5</v>
      </c>
      <c r="D358" s="53">
        <v>2020</v>
      </c>
      <c r="E358" s="56">
        <v>0</v>
      </c>
      <c r="F358" s="53">
        <f>IF(E358&gt;0,1,0)</f>
        <v>0</v>
      </c>
      <c r="G358" s="53">
        <f>SUM(F357:F358)</f>
        <v>0</v>
      </c>
      <c r="H358" s="53">
        <f>IF(G358=1,IF(F357=1,1,-1),G358)</f>
        <v>0</v>
      </c>
      <c r="I358" s="53" t="str">
        <f>VLOOKUP(H358,codes,2,)</f>
        <v>dd</v>
      </c>
      <c r="J358" s="53"/>
    </row>
    <row r="359" spans="1:10" x14ac:dyDescent="0.25">
      <c r="A359" s="93">
        <v>43968</v>
      </c>
      <c r="B359" s="35">
        <f>C359+(D359-2009)*12</f>
        <v>137</v>
      </c>
      <c r="C359" s="76">
        <v>5</v>
      </c>
      <c r="D359" s="53">
        <v>2020</v>
      </c>
      <c r="E359" s="56">
        <v>0</v>
      </c>
      <c r="F359" s="53">
        <f>IF(E359&gt;0,1,0)</f>
        <v>0</v>
      </c>
      <c r="G359" s="53">
        <f>SUM(F358:F359)</f>
        <v>0</v>
      </c>
      <c r="H359" s="53">
        <f>IF(G359=1,IF(F358=1,1,-1),G359)</f>
        <v>0</v>
      </c>
      <c r="I359" s="53" t="str">
        <f>VLOOKUP(H359,codes,2,)</f>
        <v>dd</v>
      </c>
      <c r="J359" s="53"/>
    </row>
    <row r="360" spans="1:10" x14ac:dyDescent="0.25">
      <c r="A360" s="93">
        <v>43969</v>
      </c>
      <c r="B360" s="35">
        <f>C360+(D360-2009)*12</f>
        <v>137</v>
      </c>
      <c r="C360" s="76">
        <v>5</v>
      </c>
      <c r="D360" s="53">
        <v>2020</v>
      </c>
      <c r="E360" s="56">
        <v>0.40000000000000008</v>
      </c>
      <c r="F360" s="53">
        <f>IF(E360&gt;0,1,0)</f>
        <v>1</v>
      </c>
      <c r="G360" s="53">
        <f>SUM(F359:F360)</f>
        <v>1</v>
      </c>
      <c r="H360" s="53">
        <f>IF(G360=1,IF(F359=1,1,-1),G360)</f>
        <v>-1</v>
      </c>
      <c r="I360" s="53" t="str">
        <f>VLOOKUP(H360,codes,2,)</f>
        <v>dw</v>
      </c>
      <c r="J360" s="53"/>
    </row>
    <row r="361" spans="1:10" x14ac:dyDescent="0.25">
      <c r="A361" s="93">
        <v>43970</v>
      </c>
      <c r="B361" s="35">
        <f>C361+(D361-2009)*12</f>
        <v>137</v>
      </c>
      <c r="C361" s="76">
        <v>5</v>
      </c>
      <c r="D361" s="53">
        <v>2020</v>
      </c>
      <c r="E361" s="56">
        <v>0.40000000000000008</v>
      </c>
      <c r="F361" s="53">
        <f>IF(E361&gt;0,1,0)</f>
        <v>1</v>
      </c>
      <c r="G361" s="53">
        <f>SUM(F360:F361)</f>
        <v>2</v>
      </c>
      <c r="H361" s="53">
        <f>IF(G361=1,IF(F360=1,1,-1),G361)</f>
        <v>2</v>
      </c>
      <c r="I361" s="53" t="str">
        <f>VLOOKUP(H361,codes,2,)</f>
        <v>ww</v>
      </c>
      <c r="J361" s="53"/>
    </row>
    <row r="362" spans="1:10" x14ac:dyDescent="0.25">
      <c r="A362" s="93">
        <v>43971</v>
      </c>
      <c r="B362" s="35">
        <f>C362+(D362-2009)*12</f>
        <v>137</v>
      </c>
      <c r="C362" s="76">
        <v>5</v>
      </c>
      <c r="D362" s="53">
        <v>2020</v>
      </c>
      <c r="E362" s="56">
        <v>6.6666666666666666E-2</v>
      </c>
      <c r="F362" s="53">
        <f>IF(E362&gt;0,1,0)</f>
        <v>1</v>
      </c>
      <c r="G362" s="53">
        <f>SUM(F361:F362)</f>
        <v>2</v>
      </c>
      <c r="H362" s="53">
        <f>IF(G362=1,IF(F361=1,1,-1),G362)</f>
        <v>2</v>
      </c>
      <c r="I362" s="53" t="str">
        <f>VLOOKUP(H362,codes,2,)</f>
        <v>ww</v>
      </c>
      <c r="J362" s="53"/>
    </row>
    <row r="363" spans="1:10" x14ac:dyDescent="0.25">
      <c r="A363" s="93">
        <v>43972</v>
      </c>
      <c r="B363" s="35">
        <f>C363+(D363-2009)*12</f>
        <v>137</v>
      </c>
      <c r="C363" s="76">
        <v>5</v>
      </c>
      <c r="D363" s="53">
        <v>2020</v>
      </c>
      <c r="E363" s="56">
        <v>0</v>
      </c>
      <c r="F363" s="53">
        <f>IF(E363&gt;0,1,0)</f>
        <v>0</v>
      </c>
      <c r="G363" s="53">
        <f>SUM(F362:F363)</f>
        <v>1</v>
      </c>
      <c r="H363" s="53">
        <f>IF(G363=1,IF(F362=1,1,-1),G363)</f>
        <v>1</v>
      </c>
      <c r="I363" s="53" t="str">
        <f>VLOOKUP(H363,codes,2,)</f>
        <v>wd</v>
      </c>
      <c r="J363" s="53"/>
    </row>
    <row r="364" spans="1:10" x14ac:dyDescent="0.25">
      <c r="A364" s="93">
        <v>43973</v>
      </c>
      <c r="B364" s="35">
        <f>C364+(D364-2009)*12</f>
        <v>137</v>
      </c>
      <c r="C364" s="76">
        <v>5</v>
      </c>
      <c r="D364" s="53">
        <v>2020</v>
      </c>
      <c r="E364" s="56">
        <v>1.5333333333333332</v>
      </c>
      <c r="F364" s="53">
        <f>IF(E364&gt;0,1,0)</f>
        <v>1</v>
      </c>
      <c r="G364" s="53">
        <f>SUM(F363:F364)</f>
        <v>1</v>
      </c>
      <c r="H364" s="53">
        <f>IF(G364=1,IF(F363=1,1,-1),G364)</f>
        <v>-1</v>
      </c>
      <c r="I364" s="53" t="str">
        <f>VLOOKUP(H364,codes,2,)</f>
        <v>dw</v>
      </c>
      <c r="J364" s="53"/>
    </row>
    <row r="365" spans="1:10" x14ac:dyDescent="0.25">
      <c r="A365" s="93">
        <v>43974</v>
      </c>
      <c r="B365" s="35">
        <f>C365+(D365-2009)*12</f>
        <v>137</v>
      </c>
      <c r="C365" s="76">
        <v>5</v>
      </c>
      <c r="D365" s="53">
        <v>2020</v>
      </c>
      <c r="E365" s="56">
        <v>0.66666666666666663</v>
      </c>
      <c r="F365" s="53">
        <f>IF(E365&gt;0,1,0)</f>
        <v>1</v>
      </c>
      <c r="G365" s="53">
        <f>SUM(F364:F365)</f>
        <v>2</v>
      </c>
      <c r="H365" s="53">
        <f>IF(G365=1,IF(F364=1,1,-1),G365)</f>
        <v>2</v>
      </c>
      <c r="I365" s="53" t="str">
        <f>VLOOKUP(H365,codes,2,)</f>
        <v>ww</v>
      </c>
      <c r="J365" s="53"/>
    </row>
    <row r="366" spans="1:10" x14ac:dyDescent="0.25">
      <c r="A366" s="93">
        <v>43975</v>
      </c>
      <c r="B366" s="35">
        <f>C366+(D366-2009)*12</f>
        <v>137</v>
      </c>
      <c r="C366" s="76">
        <v>5</v>
      </c>
      <c r="D366" s="53">
        <v>2020</v>
      </c>
      <c r="E366" s="56">
        <v>0</v>
      </c>
      <c r="F366" s="53">
        <f>IF(E366&gt;0,1,0)</f>
        <v>0</v>
      </c>
      <c r="G366" s="53">
        <f>SUM(F365:F366)</f>
        <v>1</v>
      </c>
      <c r="H366" s="53">
        <f>IF(G366=1,IF(F365=1,1,-1),G366)</f>
        <v>1</v>
      </c>
      <c r="I366" s="53" t="str">
        <f>VLOOKUP(H366,codes,2,)</f>
        <v>wd</v>
      </c>
      <c r="J366" s="53"/>
    </row>
    <row r="367" spans="1:10" x14ac:dyDescent="0.25">
      <c r="A367" s="93">
        <v>43976</v>
      </c>
      <c r="B367" s="35">
        <f>C367+(D367-2009)*12</f>
        <v>137</v>
      </c>
      <c r="C367" s="76">
        <v>5</v>
      </c>
      <c r="D367" s="53">
        <v>2020</v>
      </c>
      <c r="E367" s="56">
        <v>0</v>
      </c>
      <c r="F367" s="53">
        <f>IF(E367&gt;0,1,0)</f>
        <v>0</v>
      </c>
      <c r="G367" s="53">
        <f>SUM(F366:F367)</f>
        <v>0</v>
      </c>
      <c r="H367" s="53">
        <f>IF(G367=1,IF(F366=1,1,-1),G367)</f>
        <v>0</v>
      </c>
      <c r="I367" s="53" t="str">
        <f>VLOOKUP(H367,codes,2,)</f>
        <v>dd</v>
      </c>
      <c r="J367" s="53"/>
    </row>
    <row r="368" spans="1:10" x14ac:dyDescent="0.25">
      <c r="A368" s="93">
        <v>43977</v>
      </c>
      <c r="B368" s="35">
        <f>C368+(D368-2009)*12</f>
        <v>137</v>
      </c>
      <c r="C368" s="76">
        <v>5</v>
      </c>
      <c r="D368" s="53">
        <v>2020</v>
      </c>
      <c r="E368" s="56">
        <v>0</v>
      </c>
      <c r="F368" s="53">
        <f>IF(E368&gt;0,1,0)</f>
        <v>0</v>
      </c>
      <c r="G368" s="53">
        <f>SUM(F367:F368)</f>
        <v>0</v>
      </c>
      <c r="H368" s="53">
        <f>IF(G368=1,IF(F367=1,1,-1),G368)</f>
        <v>0</v>
      </c>
      <c r="I368" s="53" t="str">
        <f>VLOOKUP(H368,codes,2,)</f>
        <v>dd</v>
      </c>
      <c r="J368" s="53"/>
    </row>
    <row r="369" spans="1:10" x14ac:dyDescent="0.25">
      <c r="A369" s="93">
        <v>43978</v>
      </c>
      <c r="B369" s="35">
        <f>C369+(D369-2009)*12</f>
        <v>137</v>
      </c>
      <c r="C369" s="76">
        <v>5</v>
      </c>
      <c r="D369" s="53">
        <v>2020</v>
      </c>
      <c r="E369" s="56">
        <v>0</v>
      </c>
      <c r="F369" s="53">
        <f>IF(E369&gt;0,1,0)</f>
        <v>0</v>
      </c>
      <c r="G369" s="53">
        <f>SUM(F368:F369)</f>
        <v>0</v>
      </c>
      <c r="H369" s="53">
        <f>IF(G369=1,IF(F368=1,1,-1),G369)</f>
        <v>0</v>
      </c>
      <c r="I369" s="53" t="str">
        <f>VLOOKUP(H369,codes,2,)</f>
        <v>dd</v>
      </c>
      <c r="J369" s="53"/>
    </row>
    <row r="370" spans="1:10" x14ac:dyDescent="0.25">
      <c r="A370" s="93">
        <v>43979</v>
      </c>
      <c r="B370" s="35">
        <f>C370+(D370-2009)*12</f>
        <v>137</v>
      </c>
      <c r="C370" s="76">
        <v>5</v>
      </c>
      <c r="D370" s="53">
        <v>2020</v>
      </c>
      <c r="E370" s="56">
        <v>0</v>
      </c>
      <c r="F370" s="53">
        <f>IF(E370&gt;0,1,0)</f>
        <v>0</v>
      </c>
      <c r="G370" s="53">
        <f>SUM(F369:F370)</f>
        <v>0</v>
      </c>
      <c r="H370" s="53">
        <f>IF(G370=1,IF(F369=1,1,-1),G370)</f>
        <v>0</v>
      </c>
      <c r="I370" s="53" t="str">
        <f>VLOOKUP(H370,codes,2,)</f>
        <v>dd</v>
      </c>
      <c r="J370" s="53"/>
    </row>
    <row r="371" spans="1:10" x14ac:dyDescent="0.25">
      <c r="A371" s="93">
        <v>43980</v>
      </c>
      <c r="B371" s="35">
        <f>C371+(D371-2009)*12</f>
        <v>137</v>
      </c>
      <c r="C371" s="76">
        <v>5</v>
      </c>
      <c r="D371" s="53">
        <v>2020</v>
      </c>
      <c r="E371" s="56">
        <v>0</v>
      </c>
      <c r="F371" s="53">
        <f>IF(E371&gt;0,1,0)</f>
        <v>0</v>
      </c>
      <c r="G371" s="53">
        <f>SUM(F370:F371)</f>
        <v>0</v>
      </c>
      <c r="H371" s="53">
        <f>IF(G371=1,IF(F370=1,1,-1),G371)</f>
        <v>0</v>
      </c>
      <c r="I371" s="53" t="str">
        <f>VLOOKUP(H371,codes,2,)</f>
        <v>dd</v>
      </c>
      <c r="J371" s="53"/>
    </row>
    <row r="372" spans="1:10" x14ac:dyDescent="0.25">
      <c r="A372" s="93">
        <v>43981</v>
      </c>
      <c r="B372" s="35">
        <f>C372+(D372-2009)*12</f>
        <v>137</v>
      </c>
      <c r="C372" s="76">
        <v>5</v>
      </c>
      <c r="D372" s="53">
        <v>2020</v>
      </c>
      <c r="E372" s="56">
        <v>0</v>
      </c>
      <c r="F372" s="53">
        <f>IF(E372&gt;0,1,0)</f>
        <v>0</v>
      </c>
      <c r="G372" s="53">
        <f>SUM(F371:F372)</f>
        <v>0</v>
      </c>
      <c r="H372" s="53">
        <f>IF(G372=1,IF(F371=1,1,-1),G372)</f>
        <v>0</v>
      </c>
      <c r="I372" s="53" t="str">
        <f>VLOOKUP(H372,codes,2,)</f>
        <v>dd</v>
      </c>
      <c r="J372" s="53"/>
    </row>
    <row r="373" spans="1:10" x14ac:dyDescent="0.25">
      <c r="A373" s="93">
        <v>43982</v>
      </c>
      <c r="B373" s="35">
        <f>C373+(D373-2009)*12</f>
        <v>137</v>
      </c>
      <c r="C373" s="76">
        <v>5</v>
      </c>
      <c r="D373" s="53">
        <v>2020</v>
      </c>
      <c r="E373" s="56">
        <v>0</v>
      </c>
      <c r="F373" s="53">
        <f>IF(E373&gt;0,1,0)</f>
        <v>0</v>
      </c>
      <c r="G373" s="53">
        <f>SUM(F372:F373)</f>
        <v>0</v>
      </c>
      <c r="H373" s="53">
        <f>IF(G373=1,IF(F372=1,1,-1),G373)</f>
        <v>0</v>
      </c>
      <c r="I373" s="53" t="str">
        <f>VLOOKUP(H373,codes,2,)</f>
        <v>dd</v>
      </c>
      <c r="J373" s="53"/>
    </row>
    <row r="374" spans="1:10" x14ac:dyDescent="0.25">
      <c r="A374" s="93">
        <v>44317</v>
      </c>
      <c r="B374" s="35">
        <f>C374+(D374-2009)*12</f>
        <v>149</v>
      </c>
      <c r="C374" s="76">
        <v>5</v>
      </c>
      <c r="D374" s="53">
        <v>2021</v>
      </c>
      <c r="E374" s="56">
        <v>0</v>
      </c>
      <c r="F374" s="53">
        <f>IF(E374&gt;0,1,0)</f>
        <v>0</v>
      </c>
      <c r="G374" s="53">
        <f>SUM(F373:F374)</f>
        <v>0</v>
      </c>
      <c r="H374" s="53">
        <f>IF(G374=1,IF(F373=1,1,-1),G374)</f>
        <v>0</v>
      </c>
      <c r="I374" s="53" t="str">
        <f>VLOOKUP(H374,codes,2,)</f>
        <v>dd</v>
      </c>
      <c r="J374" s="53"/>
    </row>
    <row r="375" spans="1:10" x14ac:dyDescent="0.25">
      <c r="A375" s="93">
        <v>44318</v>
      </c>
      <c r="B375" s="35">
        <f>C375+(D375-2009)*12</f>
        <v>149</v>
      </c>
      <c r="C375" s="76">
        <v>5</v>
      </c>
      <c r="D375" s="53">
        <v>2021</v>
      </c>
      <c r="E375" s="56">
        <v>6.6666666666666666E-2</v>
      </c>
      <c r="F375" s="53">
        <f>IF(E375&gt;0,1,0)</f>
        <v>1</v>
      </c>
      <c r="G375" s="53">
        <f>SUM(F374:F375)</f>
        <v>1</v>
      </c>
      <c r="H375" s="53">
        <f>IF(G375=1,IF(F374=1,1,-1),G375)</f>
        <v>-1</v>
      </c>
      <c r="I375" s="53" t="str">
        <f>VLOOKUP(H375,codes,2,)</f>
        <v>dw</v>
      </c>
      <c r="J375" s="53"/>
    </row>
    <row r="376" spans="1:10" x14ac:dyDescent="0.25">
      <c r="A376" s="93">
        <v>44319</v>
      </c>
      <c r="B376" s="35">
        <f>C376+(D376-2009)*12</f>
        <v>149</v>
      </c>
      <c r="C376" s="76">
        <v>5</v>
      </c>
      <c r="D376" s="53">
        <v>2021</v>
      </c>
      <c r="E376" s="56">
        <v>0.33333333333333331</v>
      </c>
      <c r="F376" s="53">
        <f>IF(E376&gt;0,1,0)</f>
        <v>1</v>
      </c>
      <c r="G376" s="53">
        <f>SUM(F375:F376)</f>
        <v>2</v>
      </c>
      <c r="H376" s="53">
        <f>IF(G376=1,IF(F375=1,1,-1),G376)</f>
        <v>2</v>
      </c>
      <c r="I376" s="53" t="str">
        <f>VLOOKUP(H376,codes,2,)</f>
        <v>ww</v>
      </c>
      <c r="J376" s="53"/>
    </row>
    <row r="377" spans="1:10" x14ac:dyDescent="0.25">
      <c r="A377" s="93">
        <v>44320</v>
      </c>
      <c r="B377" s="35">
        <f>C377+(D377-2009)*12</f>
        <v>149</v>
      </c>
      <c r="C377" s="76">
        <v>5</v>
      </c>
      <c r="D377" s="53">
        <v>2021</v>
      </c>
      <c r="E377" s="56">
        <v>10.4</v>
      </c>
      <c r="F377" s="53">
        <f>IF(E377&gt;0,1,0)</f>
        <v>1</v>
      </c>
      <c r="G377" s="53">
        <f>SUM(F376:F377)</f>
        <v>2</v>
      </c>
      <c r="H377" s="53">
        <f>IF(G377=1,IF(F376=1,1,-1),G377)</f>
        <v>2</v>
      </c>
      <c r="I377" s="53" t="str">
        <f>VLOOKUP(H377,codes,2,)</f>
        <v>ww</v>
      </c>
      <c r="J377" s="53"/>
    </row>
    <row r="378" spans="1:10" x14ac:dyDescent="0.25">
      <c r="A378" s="93">
        <v>44321</v>
      </c>
      <c r="B378" s="35">
        <f>C378+(D378-2009)*12</f>
        <v>149</v>
      </c>
      <c r="C378" s="76">
        <v>5</v>
      </c>
      <c r="D378" s="53">
        <v>2021</v>
      </c>
      <c r="E378" s="56">
        <v>1.8</v>
      </c>
      <c r="F378" s="53">
        <f>IF(E378&gt;0,1,0)</f>
        <v>1</v>
      </c>
      <c r="G378" s="53">
        <f>SUM(F377:F378)</f>
        <v>2</v>
      </c>
      <c r="H378" s="53">
        <f>IF(G378=1,IF(F377=1,1,-1),G378)</f>
        <v>2</v>
      </c>
      <c r="I378" s="53" t="str">
        <f>VLOOKUP(H378,codes,2,)</f>
        <v>ww</v>
      </c>
      <c r="J378" s="53"/>
    </row>
    <row r="379" spans="1:10" x14ac:dyDescent="0.25">
      <c r="A379" s="93">
        <v>44322</v>
      </c>
      <c r="B379" s="35">
        <f>C379+(D379-2009)*12</f>
        <v>149</v>
      </c>
      <c r="C379" s="76">
        <v>5</v>
      </c>
      <c r="D379" s="53">
        <v>2021</v>
      </c>
      <c r="E379" s="56">
        <v>1.8666666666666665</v>
      </c>
      <c r="F379" s="53">
        <f>IF(E379&gt;0,1,0)</f>
        <v>1</v>
      </c>
      <c r="G379" s="53">
        <f>SUM(F378:F379)</f>
        <v>2</v>
      </c>
      <c r="H379" s="53">
        <f>IF(G379=1,IF(F378=1,1,-1),G379)</f>
        <v>2</v>
      </c>
      <c r="I379" s="53" t="str">
        <f>VLOOKUP(H379,codes,2,)</f>
        <v>ww</v>
      </c>
      <c r="J379" s="53"/>
    </row>
    <row r="380" spans="1:10" x14ac:dyDescent="0.25">
      <c r="A380" s="93">
        <v>44323</v>
      </c>
      <c r="B380" s="35">
        <f>C380+(D380-2009)*12</f>
        <v>149</v>
      </c>
      <c r="C380" s="76">
        <v>5</v>
      </c>
      <c r="D380" s="53">
        <v>2021</v>
      </c>
      <c r="E380" s="56">
        <v>2.1333333333333333</v>
      </c>
      <c r="F380" s="53">
        <f>IF(E380&gt;0,1,0)</f>
        <v>1</v>
      </c>
      <c r="G380" s="53">
        <f>SUM(F379:F380)</f>
        <v>2</v>
      </c>
      <c r="H380" s="53">
        <f>IF(G380=1,IF(F379=1,1,-1),G380)</f>
        <v>2</v>
      </c>
      <c r="I380" s="53" t="str">
        <f>VLOOKUP(H380,codes,2,)</f>
        <v>ww</v>
      </c>
      <c r="J380" s="53"/>
    </row>
    <row r="381" spans="1:10" x14ac:dyDescent="0.25">
      <c r="A381" s="93">
        <v>44324</v>
      </c>
      <c r="B381" s="35">
        <f>C381+(D381-2009)*12</f>
        <v>149</v>
      </c>
      <c r="C381" s="76">
        <v>5</v>
      </c>
      <c r="D381" s="53">
        <v>2021</v>
      </c>
      <c r="E381" s="56">
        <v>3.2666666666666671</v>
      </c>
      <c r="F381" s="53">
        <f>IF(E381&gt;0,1,0)</f>
        <v>1</v>
      </c>
      <c r="G381" s="53">
        <f>SUM(F380:F381)</f>
        <v>2</v>
      </c>
      <c r="H381" s="53">
        <f>IF(G381=1,IF(F380=1,1,-1),G381)</f>
        <v>2</v>
      </c>
      <c r="I381" s="53" t="str">
        <f>VLOOKUP(H381,codes,2,)</f>
        <v>ww</v>
      </c>
      <c r="J381" s="53"/>
    </row>
    <row r="382" spans="1:10" x14ac:dyDescent="0.25">
      <c r="A382" s="93">
        <v>44325</v>
      </c>
      <c r="B382" s="35">
        <f>C382+(D382-2009)*12</f>
        <v>149</v>
      </c>
      <c r="C382" s="76">
        <v>5</v>
      </c>
      <c r="D382" s="53">
        <v>2021</v>
      </c>
      <c r="E382" s="56">
        <v>5.2666666666666666</v>
      </c>
      <c r="F382" s="53">
        <f>IF(E382&gt;0,1,0)</f>
        <v>1</v>
      </c>
      <c r="G382" s="53">
        <f>SUM(F381:F382)</f>
        <v>2</v>
      </c>
      <c r="H382" s="53">
        <f>IF(G382=1,IF(F381=1,1,-1),G382)</f>
        <v>2</v>
      </c>
      <c r="I382" s="53" t="str">
        <f>VLOOKUP(H382,codes,2,)</f>
        <v>ww</v>
      </c>
      <c r="J382" s="53"/>
    </row>
    <row r="383" spans="1:10" x14ac:dyDescent="0.25">
      <c r="A383" s="93">
        <v>44326</v>
      </c>
      <c r="B383" s="35">
        <f>C383+(D383-2009)*12</f>
        <v>149</v>
      </c>
      <c r="C383" s="76">
        <v>5</v>
      </c>
      <c r="D383" s="53">
        <v>2021</v>
      </c>
      <c r="E383" s="56">
        <v>0.93333333333333324</v>
      </c>
      <c r="F383" s="53">
        <f>IF(E383&gt;0,1,0)</f>
        <v>1</v>
      </c>
      <c r="G383" s="53">
        <f>SUM(F382:F383)</f>
        <v>2</v>
      </c>
      <c r="H383" s="53">
        <f>IF(G383=1,IF(F382=1,1,-1),G383)</f>
        <v>2</v>
      </c>
      <c r="I383" s="53" t="str">
        <f>VLOOKUP(H383,codes,2,)</f>
        <v>ww</v>
      </c>
      <c r="J383" s="53"/>
    </row>
    <row r="384" spans="1:10" x14ac:dyDescent="0.25">
      <c r="A384" s="93">
        <v>44327</v>
      </c>
      <c r="B384" s="35">
        <f>C384+(D384-2009)*12</f>
        <v>149</v>
      </c>
      <c r="C384" s="76">
        <v>5</v>
      </c>
      <c r="D384" s="53">
        <v>2021</v>
      </c>
      <c r="E384" s="56">
        <v>4.3999999999999995</v>
      </c>
      <c r="F384" s="53">
        <f>IF(E384&gt;0,1,0)</f>
        <v>1</v>
      </c>
      <c r="G384" s="53">
        <f>SUM(F383:F384)</f>
        <v>2</v>
      </c>
      <c r="H384" s="53">
        <f>IF(G384=1,IF(F383=1,1,-1),G384)</f>
        <v>2</v>
      </c>
      <c r="I384" s="53" t="str">
        <f>VLOOKUP(H384,codes,2,)</f>
        <v>ww</v>
      </c>
      <c r="J384" s="53"/>
    </row>
    <row r="385" spans="1:10" x14ac:dyDescent="0.25">
      <c r="A385" s="93">
        <v>44328</v>
      </c>
      <c r="B385" s="35">
        <f>C385+(D385-2009)*12</f>
        <v>149</v>
      </c>
      <c r="C385" s="76">
        <v>5</v>
      </c>
      <c r="D385" s="53">
        <v>2021</v>
      </c>
      <c r="E385" s="56">
        <v>5.8666666666666671</v>
      </c>
      <c r="F385" s="53">
        <f>IF(E385&gt;0,1,0)</f>
        <v>1</v>
      </c>
      <c r="G385" s="53">
        <f>SUM(F384:F385)</f>
        <v>2</v>
      </c>
      <c r="H385" s="53">
        <f>IF(G385=1,IF(F384=1,1,-1),G385)</f>
        <v>2</v>
      </c>
      <c r="I385" s="53" t="str">
        <f>VLOOKUP(H385,codes,2,)</f>
        <v>ww</v>
      </c>
      <c r="J385" s="53"/>
    </row>
    <row r="386" spans="1:10" x14ac:dyDescent="0.25">
      <c r="A386" s="93">
        <v>44329</v>
      </c>
      <c r="B386" s="35">
        <f>C386+(D386-2009)*12</f>
        <v>149</v>
      </c>
      <c r="C386" s="76">
        <v>5</v>
      </c>
      <c r="D386" s="53">
        <v>2021</v>
      </c>
      <c r="E386" s="56">
        <v>0</v>
      </c>
      <c r="F386" s="53">
        <f>IF(E386&gt;0,1,0)</f>
        <v>0</v>
      </c>
      <c r="G386" s="53">
        <f>SUM(F385:F386)</f>
        <v>1</v>
      </c>
      <c r="H386" s="53">
        <f>IF(G386=1,IF(F385=1,1,-1),G386)</f>
        <v>1</v>
      </c>
      <c r="I386" s="53" t="str">
        <f>VLOOKUP(H386,codes,2,)</f>
        <v>wd</v>
      </c>
      <c r="J386" s="53"/>
    </row>
    <row r="387" spans="1:10" x14ac:dyDescent="0.25">
      <c r="A387" s="93">
        <v>44330</v>
      </c>
      <c r="B387" s="35">
        <f>C387+(D387-2009)*12</f>
        <v>149</v>
      </c>
      <c r="C387" s="76">
        <v>5</v>
      </c>
      <c r="D387" s="53">
        <v>2021</v>
      </c>
      <c r="E387" s="56">
        <v>6.6666666666666666E-2</v>
      </c>
      <c r="F387" s="53">
        <f>IF(E387&gt;0,1,0)</f>
        <v>1</v>
      </c>
      <c r="G387" s="53">
        <f>SUM(F386:F387)</f>
        <v>1</v>
      </c>
      <c r="H387" s="53">
        <f>IF(G387=1,IF(F386=1,1,-1),G387)</f>
        <v>-1</v>
      </c>
      <c r="I387" s="53" t="str">
        <f>VLOOKUP(H387,codes,2,)</f>
        <v>dw</v>
      </c>
      <c r="J387" s="53"/>
    </row>
    <row r="388" spans="1:10" x14ac:dyDescent="0.25">
      <c r="A388" s="93">
        <v>44331</v>
      </c>
      <c r="B388" s="35">
        <f>C388+(D388-2009)*12</f>
        <v>149</v>
      </c>
      <c r="C388" s="76">
        <v>5</v>
      </c>
      <c r="D388" s="53">
        <v>2021</v>
      </c>
      <c r="E388" s="56">
        <v>0</v>
      </c>
      <c r="F388" s="53">
        <f>IF(E388&gt;0,1,0)</f>
        <v>0</v>
      </c>
      <c r="G388" s="53">
        <f>SUM(F387:F388)</f>
        <v>1</v>
      </c>
      <c r="H388" s="53">
        <f>IF(G388=1,IF(F387=1,1,-1),G388)</f>
        <v>1</v>
      </c>
      <c r="I388" s="53" t="str">
        <f>VLOOKUP(H388,codes,2,)</f>
        <v>wd</v>
      </c>
      <c r="J388" s="53"/>
    </row>
    <row r="389" spans="1:10" x14ac:dyDescent="0.25">
      <c r="A389" s="93">
        <v>44332</v>
      </c>
      <c r="B389" s="35">
        <f>C389+(D389-2009)*12</f>
        <v>149</v>
      </c>
      <c r="C389" s="76">
        <v>5</v>
      </c>
      <c r="D389" s="53">
        <v>2021</v>
      </c>
      <c r="E389" s="56">
        <v>0.53333333333333333</v>
      </c>
      <c r="F389" s="53">
        <f>IF(E389&gt;0,1,0)</f>
        <v>1</v>
      </c>
      <c r="G389" s="53">
        <f>SUM(F388:F389)</f>
        <v>1</v>
      </c>
      <c r="H389" s="53">
        <f>IF(G389=1,IF(F388=1,1,-1),G389)</f>
        <v>-1</v>
      </c>
      <c r="I389" s="53" t="str">
        <f>VLOOKUP(H389,codes,2,)</f>
        <v>dw</v>
      </c>
      <c r="J389" s="53"/>
    </row>
    <row r="390" spans="1:10" x14ac:dyDescent="0.25">
      <c r="A390" s="93">
        <v>44333</v>
      </c>
      <c r="B390" s="35">
        <f>C390+(D390-2009)*12</f>
        <v>149</v>
      </c>
      <c r="C390" s="76">
        <v>5</v>
      </c>
      <c r="D390" s="53">
        <v>2021</v>
      </c>
      <c r="E390" s="56">
        <v>6.6666666666666666E-2</v>
      </c>
      <c r="F390" s="53">
        <f>IF(E390&gt;0,1,0)</f>
        <v>1</v>
      </c>
      <c r="G390" s="53">
        <f>SUM(F389:F390)</f>
        <v>2</v>
      </c>
      <c r="H390" s="53">
        <f>IF(G390=1,IF(F389=1,1,-1),G390)</f>
        <v>2</v>
      </c>
      <c r="I390" s="53" t="str">
        <f>VLOOKUP(H390,codes,2,)</f>
        <v>ww</v>
      </c>
      <c r="J390" s="53"/>
    </row>
    <row r="391" spans="1:10" x14ac:dyDescent="0.25">
      <c r="A391" s="93">
        <v>44334</v>
      </c>
      <c r="B391" s="35">
        <f>C391+(D391-2009)*12</f>
        <v>149</v>
      </c>
      <c r="C391" s="76">
        <v>5</v>
      </c>
      <c r="D391" s="53">
        <v>2021</v>
      </c>
      <c r="E391" s="56">
        <v>5.2</v>
      </c>
      <c r="F391" s="53">
        <f>IF(E391&gt;0,1,0)</f>
        <v>1</v>
      </c>
      <c r="G391" s="53">
        <f>SUM(F390:F391)</f>
        <v>2</v>
      </c>
      <c r="H391" s="53">
        <f>IF(G391=1,IF(F390=1,1,-1),G391)</f>
        <v>2</v>
      </c>
      <c r="I391" s="53" t="str">
        <f>VLOOKUP(H391,codes,2,)</f>
        <v>ww</v>
      </c>
      <c r="J391" s="53"/>
    </row>
    <row r="392" spans="1:10" x14ac:dyDescent="0.25">
      <c r="A392" s="93">
        <v>44335</v>
      </c>
      <c r="B392" s="35">
        <f>C392+(D392-2009)*12</f>
        <v>149</v>
      </c>
      <c r="C392" s="76">
        <v>5</v>
      </c>
      <c r="D392" s="53">
        <v>2021</v>
      </c>
      <c r="E392" s="56">
        <v>0</v>
      </c>
      <c r="F392" s="53">
        <f>IF(E392&gt;0,1,0)</f>
        <v>0</v>
      </c>
      <c r="G392" s="53">
        <f>SUM(F391:F392)</f>
        <v>1</v>
      </c>
      <c r="H392" s="53">
        <f>IF(G392=1,IF(F391=1,1,-1),G392)</f>
        <v>1</v>
      </c>
      <c r="I392" s="53" t="str">
        <f>VLOOKUP(H392,codes,2,)</f>
        <v>wd</v>
      </c>
      <c r="J392" s="53"/>
    </row>
    <row r="393" spans="1:10" x14ac:dyDescent="0.25">
      <c r="A393" s="93">
        <v>44336</v>
      </c>
      <c r="B393" s="35">
        <f>C393+(D393-2009)*12</f>
        <v>149</v>
      </c>
      <c r="C393" s="76">
        <v>5</v>
      </c>
      <c r="D393" s="53">
        <v>2021</v>
      </c>
      <c r="E393" s="56">
        <v>1.8</v>
      </c>
      <c r="F393" s="53">
        <f>IF(E393&gt;0,1,0)</f>
        <v>1</v>
      </c>
      <c r="G393" s="53">
        <f>SUM(F392:F393)</f>
        <v>1</v>
      </c>
      <c r="H393" s="53">
        <f>IF(G393=1,IF(F392=1,1,-1),G393)</f>
        <v>-1</v>
      </c>
      <c r="I393" s="53" t="str">
        <f>VLOOKUP(H393,codes,2,)</f>
        <v>dw</v>
      </c>
      <c r="J393" s="53"/>
    </row>
    <row r="394" spans="1:10" x14ac:dyDescent="0.25">
      <c r="A394" s="93">
        <v>44337</v>
      </c>
      <c r="B394" s="35">
        <f>C394+(D394-2009)*12</f>
        <v>149</v>
      </c>
      <c r="C394" s="76">
        <v>5</v>
      </c>
      <c r="D394" s="53">
        <v>2021</v>
      </c>
      <c r="E394" s="56">
        <v>7.2666666666666657</v>
      </c>
      <c r="F394" s="53">
        <f>IF(E394&gt;0,1,0)</f>
        <v>1</v>
      </c>
      <c r="G394" s="53">
        <f>SUM(F393:F394)</f>
        <v>2</v>
      </c>
      <c r="H394" s="53">
        <f>IF(G394=1,IF(F393=1,1,-1),G394)</f>
        <v>2</v>
      </c>
      <c r="I394" s="53" t="str">
        <f>VLOOKUP(H394,codes,2,)</f>
        <v>ww</v>
      </c>
      <c r="J394" s="53"/>
    </row>
    <row r="395" spans="1:10" x14ac:dyDescent="0.25">
      <c r="A395" s="93">
        <v>44338</v>
      </c>
      <c r="B395" s="35">
        <f>C395+(D395-2009)*12</f>
        <v>149</v>
      </c>
      <c r="C395" s="76">
        <v>5</v>
      </c>
      <c r="D395" s="53">
        <v>2021</v>
      </c>
      <c r="E395" s="56">
        <v>4.3999999999999995</v>
      </c>
      <c r="F395" s="53">
        <f>IF(E395&gt;0,1,0)</f>
        <v>1</v>
      </c>
      <c r="G395" s="53">
        <f>SUM(F394:F395)</f>
        <v>2</v>
      </c>
      <c r="H395" s="53">
        <f>IF(G395=1,IF(F394=1,1,-1),G395)</f>
        <v>2</v>
      </c>
      <c r="I395" s="53" t="str">
        <f>VLOOKUP(H395,codes,2,)</f>
        <v>ww</v>
      </c>
      <c r="J395" s="53"/>
    </row>
    <row r="396" spans="1:10" x14ac:dyDescent="0.25">
      <c r="A396" s="93">
        <v>44339</v>
      </c>
      <c r="B396" s="35">
        <f>C396+(D396-2009)*12</f>
        <v>149</v>
      </c>
      <c r="C396" s="76">
        <v>5</v>
      </c>
      <c r="D396" s="53">
        <v>2021</v>
      </c>
      <c r="E396" s="56">
        <v>6.6666666666666666E-2</v>
      </c>
      <c r="F396" s="53">
        <f>IF(E396&gt;0,1,0)</f>
        <v>1</v>
      </c>
      <c r="G396" s="53">
        <f>SUM(F395:F396)</f>
        <v>2</v>
      </c>
      <c r="H396" s="53">
        <f>IF(G396=1,IF(F395=1,1,-1),G396)</f>
        <v>2</v>
      </c>
      <c r="I396" s="53" t="str">
        <f>VLOOKUP(H396,codes,2,)</f>
        <v>ww</v>
      </c>
      <c r="J396" s="53"/>
    </row>
    <row r="397" spans="1:10" x14ac:dyDescent="0.25">
      <c r="A397" s="93">
        <v>44340</v>
      </c>
      <c r="B397" s="35">
        <f>C397+(D397-2009)*12</f>
        <v>149</v>
      </c>
      <c r="C397" s="76">
        <v>5</v>
      </c>
      <c r="D397" s="53">
        <v>2021</v>
      </c>
      <c r="E397" s="56">
        <v>2.8666666666666667</v>
      </c>
      <c r="F397" s="53">
        <f>IF(E397&gt;0,1,0)</f>
        <v>1</v>
      </c>
      <c r="G397" s="53">
        <f>SUM(F396:F397)</f>
        <v>2</v>
      </c>
      <c r="H397" s="53">
        <f>IF(G397=1,IF(F396=1,1,-1),G397)</f>
        <v>2</v>
      </c>
      <c r="I397" s="53" t="str">
        <f>VLOOKUP(H397,codes,2,)</f>
        <v>ww</v>
      </c>
      <c r="J397" s="53"/>
    </row>
    <row r="398" spans="1:10" x14ac:dyDescent="0.25">
      <c r="A398" s="93">
        <v>44341</v>
      </c>
      <c r="B398" s="35">
        <f>C398+(D398-2009)*12</f>
        <v>149</v>
      </c>
      <c r="C398" s="76">
        <v>5</v>
      </c>
      <c r="D398" s="53">
        <v>2021</v>
      </c>
      <c r="E398" s="56">
        <v>1</v>
      </c>
      <c r="F398" s="53">
        <f>IF(E398&gt;0,1,0)</f>
        <v>1</v>
      </c>
      <c r="G398" s="53">
        <f>SUM(F397:F398)</f>
        <v>2</v>
      </c>
      <c r="H398" s="53">
        <f>IF(G398=1,IF(F397=1,1,-1),G398)</f>
        <v>2</v>
      </c>
      <c r="I398" s="53" t="str">
        <f>VLOOKUP(H398,codes,2,)</f>
        <v>ww</v>
      </c>
      <c r="J398" s="53"/>
    </row>
    <row r="399" spans="1:10" x14ac:dyDescent="0.25">
      <c r="A399" s="93">
        <v>44342</v>
      </c>
      <c r="B399" s="35">
        <f>C399+(D399-2009)*12</f>
        <v>149</v>
      </c>
      <c r="C399" s="76">
        <v>5</v>
      </c>
      <c r="D399" s="53">
        <v>2021</v>
      </c>
      <c r="E399" s="56">
        <v>9.7999999999999989</v>
      </c>
      <c r="F399" s="53">
        <f>IF(E399&gt;0,1,0)</f>
        <v>1</v>
      </c>
      <c r="G399" s="53">
        <f>SUM(F398:F399)</f>
        <v>2</v>
      </c>
      <c r="H399" s="53">
        <f>IF(G399=1,IF(F398=1,1,-1),G399)</f>
        <v>2</v>
      </c>
      <c r="I399" s="53" t="str">
        <f>VLOOKUP(H399,codes,2,)</f>
        <v>ww</v>
      </c>
      <c r="J399" s="53"/>
    </row>
    <row r="400" spans="1:10" x14ac:dyDescent="0.25">
      <c r="A400" s="93">
        <v>44343</v>
      </c>
      <c r="B400" s="35">
        <f>C400+(D400-2009)*12</f>
        <v>149</v>
      </c>
      <c r="C400" s="76">
        <v>5</v>
      </c>
      <c r="D400" s="53">
        <v>2021</v>
      </c>
      <c r="E400" s="56">
        <v>0</v>
      </c>
      <c r="F400" s="53">
        <f>IF(E400&gt;0,1,0)</f>
        <v>0</v>
      </c>
      <c r="G400" s="53">
        <f>SUM(F399:F400)</f>
        <v>1</v>
      </c>
      <c r="H400" s="53">
        <f>IF(G400=1,IF(F399=1,1,-1),G400)</f>
        <v>1</v>
      </c>
      <c r="I400" s="53" t="str">
        <f>VLOOKUP(H400,codes,2,)</f>
        <v>wd</v>
      </c>
      <c r="J400" s="53"/>
    </row>
    <row r="401" spans="1:10" x14ac:dyDescent="0.25">
      <c r="A401" s="93">
        <v>44344</v>
      </c>
      <c r="B401" s="35">
        <f>C401+(D401-2009)*12</f>
        <v>149</v>
      </c>
      <c r="C401" s="76">
        <v>5</v>
      </c>
      <c r="D401" s="53">
        <v>2021</v>
      </c>
      <c r="E401" s="56">
        <v>0</v>
      </c>
      <c r="F401" s="53">
        <f>IF(E401&gt;0,1,0)</f>
        <v>0</v>
      </c>
      <c r="G401" s="53">
        <f>SUM(F400:F401)</f>
        <v>0</v>
      </c>
      <c r="H401" s="53">
        <f>IF(G401=1,IF(F400=1,1,-1),G401)</f>
        <v>0</v>
      </c>
      <c r="I401" s="53" t="str">
        <f>VLOOKUP(H401,codes,2,)</f>
        <v>dd</v>
      </c>
      <c r="J401" s="53"/>
    </row>
    <row r="402" spans="1:10" x14ac:dyDescent="0.25">
      <c r="A402" s="93">
        <v>44345</v>
      </c>
      <c r="B402" s="35">
        <f>C402+(D402-2009)*12</f>
        <v>149</v>
      </c>
      <c r="C402" s="76">
        <v>5</v>
      </c>
      <c r="D402" s="53">
        <v>2021</v>
      </c>
      <c r="E402" s="56">
        <v>6.6666666666666666E-2</v>
      </c>
      <c r="F402" s="53">
        <f>IF(E402&gt;0,1,0)</f>
        <v>1</v>
      </c>
      <c r="G402" s="53">
        <f>SUM(F401:F402)</f>
        <v>1</v>
      </c>
      <c r="H402" s="53">
        <f>IF(G402=1,IF(F401=1,1,-1),G402)</f>
        <v>-1</v>
      </c>
      <c r="I402" s="53" t="str">
        <f>VLOOKUP(H402,codes,2,)</f>
        <v>dw</v>
      </c>
      <c r="J402" s="53"/>
    </row>
    <row r="403" spans="1:10" x14ac:dyDescent="0.25">
      <c r="A403" s="93">
        <v>44346</v>
      </c>
      <c r="B403" s="35">
        <f>C403+(D403-2009)*12</f>
        <v>149</v>
      </c>
      <c r="C403" s="76">
        <v>5</v>
      </c>
      <c r="D403" s="53">
        <v>2021</v>
      </c>
      <c r="E403" s="56">
        <v>0</v>
      </c>
      <c r="F403" s="53">
        <f>IF(E403&gt;0,1,0)</f>
        <v>0</v>
      </c>
      <c r="G403" s="53">
        <f>SUM(F402:F403)</f>
        <v>1</v>
      </c>
      <c r="H403" s="53">
        <f>IF(G403=1,IF(F402=1,1,-1),G403)</f>
        <v>1</v>
      </c>
      <c r="I403" s="53" t="str">
        <f>VLOOKUP(H403,codes,2,)</f>
        <v>wd</v>
      </c>
      <c r="J403" s="53"/>
    </row>
    <row r="404" spans="1:10" x14ac:dyDescent="0.25">
      <c r="A404" s="93">
        <v>44347</v>
      </c>
      <c r="B404" s="35">
        <f>C404+(D404-2009)*12</f>
        <v>149</v>
      </c>
      <c r="C404" s="76">
        <v>5</v>
      </c>
      <c r="D404" s="53">
        <v>2021</v>
      </c>
      <c r="E404" s="56">
        <v>0</v>
      </c>
      <c r="F404" s="53">
        <f>IF(E404&gt;0,1,0)</f>
        <v>0</v>
      </c>
      <c r="G404" s="53">
        <f>SUM(F403:F404)</f>
        <v>0</v>
      </c>
      <c r="H404" s="53">
        <f>IF(G404=1,IF(F403=1,1,-1),G404)</f>
        <v>0</v>
      </c>
      <c r="I404" s="53" t="str">
        <f>VLOOKUP(H404,codes,2,)</f>
        <v>dd</v>
      </c>
      <c r="J404" s="53"/>
    </row>
    <row r="405" spans="1:10" x14ac:dyDescent="0.25">
      <c r="A405" s="93">
        <v>44682</v>
      </c>
      <c r="B405" s="35">
        <f>C405+(D405-2009)*12</f>
        <v>161</v>
      </c>
      <c r="C405" s="76">
        <v>5</v>
      </c>
      <c r="D405" s="53">
        <v>2022</v>
      </c>
      <c r="E405" s="56">
        <v>3.3333333333333335</v>
      </c>
      <c r="F405" s="53">
        <f>IF(E405&gt;0,1,0)</f>
        <v>1</v>
      </c>
      <c r="G405" s="53">
        <f>SUM(F404:F405)</f>
        <v>1</v>
      </c>
      <c r="H405" s="53">
        <f>IF(G405=1,IF(F404=1,1,-1),G405)</f>
        <v>-1</v>
      </c>
      <c r="I405" s="53" t="str">
        <f>VLOOKUP(H405,codes,2,)</f>
        <v>dw</v>
      </c>
      <c r="J405" s="53"/>
    </row>
    <row r="406" spans="1:10" x14ac:dyDescent="0.25">
      <c r="A406" s="93">
        <v>44683</v>
      </c>
      <c r="B406" s="35">
        <f>C406+(D406-2009)*12</f>
        <v>161</v>
      </c>
      <c r="C406" s="76">
        <v>5</v>
      </c>
      <c r="D406" s="53">
        <v>2022</v>
      </c>
      <c r="E406" s="56">
        <v>6.6666666666666666E-2</v>
      </c>
      <c r="F406" s="53">
        <f>IF(E406&gt;0,1,0)</f>
        <v>1</v>
      </c>
      <c r="G406" s="53">
        <f>SUM(F405:F406)</f>
        <v>2</v>
      </c>
      <c r="H406" s="53">
        <f>IF(G406=1,IF(F405=1,1,-1),G406)</f>
        <v>2</v>
      </c>
      <c r="I406" s="53" t="str">
        <f>VLOOKUP(H406,codes,2,)</f>
        <v>ww</v>
      </c>
      <c r="J406" s="53"/>
    </row>
    <row r="407" spans="1:10" x14ac:dyDescent="0.25">
      <c r="A407" s="93">
        <v>44684</v>
      </c>
      <c r="B407" s="35">
        <f>C407+(D407-2009)*12</f>
        <v>161</v>
      </c>
      <c r="C407" s="76">
        <v>5</v>
      </c>
      <c r="D407" s="53">
        <v>2022</v>
      </c>
      <c r="E407" s="56">
        <v>0.26666666666666666</v>
      </c>
      <c r="F407" s="53">
        <f>IF(E407&gt;0,1,0)</f>
        <v>1</v>
      </c>
      <c r="G407" s="53">
        <f>SUM(F406:F407)</f>
        <v>2</v>
      </c>
      <c r="H407" s="53">
        <f>IF(G407=1,IF(F406=1,1,-1),G407)</f>
        <v>2</v>
      </c>
      <c r="I407" s="53" t="str">
        <f>VLOOKUP(H407,codes,2,)</f>
        <v>ww</v>
      </c>
      <c r="J407" s="53"/>
    </row>
    <row r="408" spans="1:10" x14ac:dyDescent="0.25">
      <c r="A408" s="93">
        <v>44685</v>
      </c>
      <c r="B408" s="35">
        <f>C408+(D408-2009)*12</f>
        <v>161</v>
      </c>
      <c r="C408" s="76">
        <v>5</v>
      </c>
      <c r="D408" s="53">
        <v>2022</v>
      </c>
      <c r="E408" s="56">
        <v>0.46666666666666662</v>
      </c>
      <c r="F408" s="53">
        <f>IF(E408&gt;0,1,0)</f>
        <v>1</v>
      </c>
      <c r="G408" s="53">
        <f>SUM(F407:F408)</f>
        <v>2</v>
      </c>
      <c r="H408" s="53">
        <f>IF(G408=1,IF(F407=1,1,-1),G408)</f>
        <v>2</v>
      </c>
      <c r="I408" s="53" t="str">
        <f>VLOOKUP(H408,codes,2,)</f>
        <v>ww</v>
      </c>
      <c r="J408" s="53"/>
    </row>
    <row r="409" spans="1:10" x14ac:dyDescent="0.25">
      <c r="A409" s="93">
        <v>44686</v>
      </c>
      <c r="B409" s="35">
        <f>C409+(D409-2009)*12</f>
        <v>161</v>
      </c>
      <c r="C409" s="76">
        <v>5</v>
      </c>
      <c r="D409" s="53">
        <v>2022</v>
      </c>
      <c r="E409" s="56">
        <v>3</v>
      </c>
      <c r="F409" s="53">
        <f>IF(E409&gt;0,1,0)</f>
        <v>1</v>
      </c>
      <c r="G409" s="53">
        <f>SUM(F408:F409)</f>
        <v>2</v>
      </c>
      <c r="H409" s="53">
        <f>IF(G409=1,IF(F408=1,1,-1),G409)</f>
        <v>2</v>
      </c>
      <c r="I409" s="53" t="str">
        <f>VLOOKUP(H409,codes,2,)</f>
        <v>ww</v>
      </c>
      <c r="J409" s="53"/>
    </row>
    <row r="410" spans="1:10" x14ac:dyDescent="0.25">
      <c r="A410" s="93">
        <v>44687</v>
      </c>
      <c r="B410" s="35">
        <f>C410+(D410-2009)*12</f>
        <v>161</v>
      </c>
      <c r="C410" s="76">
        <v>5</v>
      </c>
      <c r="D410" s="53">
        <v>2022</v>
      </c>
      <c r="E410" s="56">
        <v>6.6666666666666666E-2</v>
      </c>
      <c r="F410" s="53">
        <f>IF(E410&gt;0,1,0)</f>
        <v>1</v>
      </c>
      <c r="G410" s="53">
        <f>SUM(F409:F410)</f>
        <v>2</v>
      </c>
      <c r="H410" s="53">
        <f>IF(G410=1,IF(F409=1,1,-1),G410)</f>
        <v>2</v>
      </c>
      <c r="I410" s="53" t="str">
        <f>VLOOKUP(H410,codes,2,)</f>
        <v>ww</v>
      </c>
      <c r="J410" s="53"/>
    </row>
    <row r="411" spans="1:10" x14ac:dyDescent="0.25">
      <c r="A411" s="93">
        <v>44688</v>
      </c>
      <c r="B411" s="35">
        <f>C411+(D411-2009)*12</f>
        <v>161</v>
      </c>
      <c r="C411" s="76">
        <v>5</v>
      </c>
      <c r="D411" s="53">
        <v>2022</v>
      </c>
      <c r="E411" s="56">
        <v>0.73333333333333339</v>
      </c>
      <c r="F411" s="53">
        <f>IF(E411&gt;0,1,0)</f>
        <v>1</v>
      </c>
      <c r="G411" s="53">
        <f>SUM(F410:F411)</f>
        <v>2</v>
      </c>
      <c r="H411" s="53">
        <f>IF(G411=1,IF(F410=1,1,-1),G411)</f>
        <v>2</v>
      </c>
      <c r="I411" s="53" t="str">
        <f>VLOOKUP(H411,codes,2,)</f>
        <v>ww</v>
      </c>
      <c r="J411" s="53"/>
    </row>
    <row r="412" spans="1:10" x14ac:dyDescent="0.25">
      <c r="A412" s="93">
        <v>44689</v>
      </c>
      <c r="B412" s="35">
        <f>C412+(D412-2009)*12</f>
        <v>161</v>
      </c>
      <c r="C412" s="76">
        <v>5</v>
      </c>
      <c r="D412" s="53">
        <v>2022</v>
      </c>
      <c r="E412" s="56">
        <v>0</v>
      </c>
      <c r="F412" s="53">
        <f>IF(E412&gt;0,1,0)</f>
        <v>0</v>
      </c>
      <c r="G412" s="53">
        <f>SUM(F411:F412)</f>
        <v>1</v>
      </c>
      <c r="H412" s="53">
        <f>IF(G412=1,IF(F411=1,1,-1),G412)</f>
        <v>1</v>
      </c>
      <c r="I412" s="53" t="str">
        <f>VLOOKUP(H412,codes,2,)</f>
        <v>wd</v>
      </c>
      <c r="J412" s="53"/>
    </row>
    <row r="413" spans="1:10" x14ac:dyDescent="0.25">
      <c r="A413" s="93">
        <v>44690</v>
      </c>
      <c r="B413" s="35">
        <f>C413+(D413-2009)*12</f>
        <v>161</v>
      </c>
      <c r="C413" s="76">
        <v>5</v>
      </c>
      <c r="D413" s="53">
        <v>2022</v>
      </c>
      <c r="E413" s="56">
        <v>0</v>
      </c>
      <c r="F413" s="53">
        <f>IF(E413&gt;0,1,0)</f>
        <v>0</v>
      </c>
      <c r="G413" s="53">
        <f>SUM(F412:F413)</f>
        <v>0</v>
      </c>
      <c r="H413" s="53">
        <f>IF(G413=1,IF(F412=1,1,-1),G413)</f>
        <v>0</v>
      </c>
      <c r="I413" s="53" t="str">
        <f>VLOOKUP(H413,codes,2,)</f>
        <v>dd</v>
      </c>
      <c r="J413" s="53"/>
    </row>
    <row r="414" spans="1:10" x14ac:dyDescent="0.25">
      <c r="A414" s="93">
        <v>44691</v>
      </c>
      <c r="B414" s="35">
        <f>C414+(D414-2009)*12</f>
        <v>161</v>
      </c>
      <c r="C414" s="76">
        <v>5</v>
      </c>
      <c r="D414" s="53">
        <v>2022</v>
      </c>
      <c r="E414" s="56">
        <v>0.20000000000000004</v>
      </c>
      <c r="F414" s="53">
        <f>IF(E414&gt;0,1,0)</f>
        <v>1</v>
      </c>
      <c r="G414" s="53">
        <f>SUM(F413:F414)</f>
        <v>1</v>
      </c>
      <c r="H414" s="53">
        <f>IF(G414=1,IF(F413=1,1,-1),G414)</f>
        <v>-1</v>
      </c>
      <c r="I414" s="53" t="str">
        <f>VLOOKUP(H414,codes,2,)</f>
        <v>dw</v>
      </c>
      <c r="J414" s="53"/>
    </row>
    <row r="415" spans="1:10" x14ac:dyDescent="0.25">
      <c r="A415" s="93">
        <v>44692</v>
      </c>
      <c r="B415" s="35">
        <f>C415+(D415-2009)*12</f>
        <v>161</v>
      </c>
      <c r="C415" s="76">
        <v>5</v>
      </c>
      <c r="D415" s="53">
        <v>2022</v>
      </c>
      <c r="E415" s="56">
        <v>0.20000000000000004</v>
      </c>
      <c r="F415" s="53">
        <f>IF(E415&gt;0,1,0)</f>
        <v>1</v>
      </c>
      <c r="G415" s="53">
        <f>SUM(F414:F415)</f>
        <v>2</v>
      </c>
      <c r="H415" s="53">
        <f>IF(G415=1,IF(F414=1,1,-1),G415)</f>
        <v>2</v>
      </c>
      <c r="I415" s="53" t="str">
        <f>VLOOKUP(H415,codes,2,)</f>
        <v>ww</v>
      </c>
      <c r="J415" s="53"/>
    </row>
    <row r="416" spans="1:10" x14ac:dyDescent="0.25">
      <c r="A416" s="93">
        <v>44693</v>
      </c>
      <c r="B416" s="35">
        <f>C416+(D416-2009)*12</f>
        <v>161</v>
      </c>
      <c r="C416" s="76">
        <v>5</v>
      </c>
      <c r="D416" s="53">
        <v>2022</v>
      </c>
      <c r="E416" s="56">
        <v>0.26666666666666666</v>
      </c>
      <c r="F416" s="53">
        <f>IF(E416&gt;0,1,0)</f>
        <v>1</v>
      </c>
      <c r="G416" s="53">
        <f>SUM(F415:F416)</f>
        <v>2</v>
      </c>
      <c r="H416" s="53">
        <f>IF(G416=1,IF(F415=1,1,-1),G416)</f>
        <v>2</v>
      </c>
      <c r="I416" s="53" t="str">
        <f>VLOOKUP(H416,codes,2,)</f>
        <v>ww</v>
      </c>
      <c r="J416" s="53"/>
    </row>
    <row r="417" spans="1:10" x14ac:dyDescent="0.25">
      <c r="A417" s="93">
        <v>44694</v>
      </c>
      <c r="B417" s="35">
        <f>C417+(D417-2009)*12</f>
        <v>161</v>
      </c>
      <c r="C417" s="76">
        <v>5</v>
      </c>
      <c r="D417" s="53">
        <v>2022</v>
      </c>
      <c r="E417" s="56">
        <v>0</v>
      </c>
      <c r="F417" s="53">
        <f>IF(E417&gt;0,1,0)</f>
        <v>0</v>
      </c>
      <c r="G417" s="53">
        <f>SUM(F416:F417)</f>
        <v>1</v>
      </c>
      <c r="H417" s="53">
        <f>IF(G417=1,IF(F416=1,1,-1),G417)</f>
        <v>1</v>
      </c>
      <c r="I417" s="53" t="str">
        <f>VLOOKUP(H417,codes,2,)</f>
        <v>wd</v>
      </c>
      <c r="J417" s="53"/>
    </row>
    <row r="418" spans="1:10" x14ac:dyDescent="0.25">
      <c r="A418" s="93">
        <v>44695</v>
      </c>
      <c r="B418" s="35">
        <f>C418+(D418-2009)*12</f>
        <v>161</v>
      </c>
      <c r="C418" s="76">
        <v>5</v>
      </c>
      <c r="D418" s="53">
        <v>2022</v>
      </c>
      <c r="E418" s="56">
        <v>0</v>
      </c>
      <c r="F418" s="53">
        <f>IF(E418&gt;0,1,0)</f>
        <v>0</v>
      </c>
      <c r="G418" s="53">
        <f>SUM(F417:F418)</f>
        <v>0</v>
      </c>
      <c r="H418" s="53">
        <f>IF(G418=1,IF(F417=1,1,-1),G418)</f>
        <v>0</v>
      </c>
      <c r="I418" s="53" t="str">
        <f>VLOOKUP(H418,codes,2,)</f>
        <v>dd</v>
      </c>
      <c r="J418" s="53"/>
    </row>
    <row r="419" spans="1:10" x14ac:dyDescent="0.25">
      <c r="A419" s="93">
        <v>44696</v>
      </c>
      <c r="B419" s="35">
        <f>C419+(D419-2009)*12</f>
        <v>161</v>
      </c>
      <c r="C419" s="76">
        <v>5</v>
      </c>
      <c r="D419" s="53">
        <v>2022</v>
      </c>
      <c r="E419" s="56">
        <v>0</v>
      </c>
      <c r="F419" s="53">
        <f>IF(E419&gt;0,1,0)</f>
        <v>0</v>
      </c>
      <c r="G419" s="53">
        <f>SUM(F418:F419)</f>
        <v>0</v>
      </c>
      <c r="H419" s="53">
        <f>IF(G419=1,IF(F418=1,1,-1),G419)</f>
        <v>0</v>
      </c>
      <c r="I419" s="53" t="str">
        <f>VLOOKUP(H419,codes,2,)</f>
        <v>dd</v>
      </c>
      <c r="J419" s="53"/>
    </row>
    <row r="420" spans="1:10" x14ac:dyDescent="0.25">
      <c r="A420" s="93">
        <v>44697</v>
      </c>
      <c r="B420" s="35">
        <f>C420+(D420-2009)*12</f>
        <v>161</v>
      </c>
      <c r="C420" s="76">
        <v>5</v>
      </c>
      <c r="D420" s="53">
        <v>2022</v>
      </c>
      <c r="E420" s="56">
        <v>6.8666666666666671</v>
      </c>
      <c r="F420" s="53">
        <f>IF(E420&gt;0,1,0)</f>
        <v>1</v>
      </c>
      <c r="G420" s="53">
        <f>SUM(F419:F420)</f>
        <v>1</v>
      </c>
      <c r="H420" s="53">
        <f>IF(G420=1,IF(F419=1,1,-1),G420)</f>
        <v>-1</v>
      </c>
      <c r="I420" s="53" t="str">
        <f>VLOOKUP(H420,codes,2,)</f>
        <v>dw</v>
      </c>
      <c r="J420" s="53"/>
    </row>
    <row r="421" spans="1:10" x14ac:dyDescent="0.25">
      <c r="A421" s="93">
        <v>44698</v>
      </c>
      <c r="B421" s="35">
        <f>C421+(D421-2009)*12</f>
        <v>161</v>
      </c>
      <c r="C421" s="76">
        <v>5</v>
      </c>
      <c r="D421" s="53">
        <v>2022</v>
      </c>
      <c r="E421" s="56">
        <v>3.8000000000000003</v>
      </c>
      <c r="F421" s="53">
        <f>IF(E421&gt;0,1,0)</f>
        <v>1</v>
      </c>
      <c r="G421" s="53">
        <f>SUM(F420:F421)</f>
        <v>2</v>
      </c>
      <c r="H421" s="53">
        <f>IF(G421=1,IF(F420=1,1,-1),G421)</f>
        <v>2</v>
      </c>
      <c r="I421" s="53" t="str">
        <f>VLOOKUP(H421,codes,2,)</f>
        <v>ww</v>
      </c>
      <c r="J421" s="53"/>
    </row>
    <row r="422" spans="1:10" x14ac:dyDescent="0.25">
      <c r="A422" s="93">
        <v>44699</v>
      </c>
      <c r="B422" s="35">
        <f>C422+(D422-2009)*12</f>
        <v>161</v>
      </c>
      <c r="C422" s="76">
        <v>5</v>
      </c>
      <c r="D422" s="53">
        <v>2022</v>
      </c>
      <c r="E422" s="56">
        <v>1.5333333333333332</v>
      </c>
      <c r="F422" s="53">
        <f>IF(E422&gt;0,1,0)</f>
        <v>1</v>
      </c>
      <c r="G422" s="53">
        <f>SUM(F421:F422)</f>
        <v>2</v>
      </c>
      <c r="H422" s="53">
        <f>IF(G422=1,IF(F421=1,1,-1),G422)</f>
        <v>2</v>
      </c>
      <c r="I422" s="53" t="str">
        <f>VLOOKUP(H422,codes,2,)</f>
        <v>ww</v>
      </c>
      <c r="J422" s="53"/>
    </row>
    <row r="423" spans="1:10" x14ac:dyDescent="0.25">
      <c r="A423" s="93">
        <v>44700</v>
      </c>
      <c r="B423" s="35">
        <f>C423+(D423-2009)*12</f>
        <v>161</v>
      </c>
      <c r="C423" s="76">
        <v>5</v>
      </c>
      <c r="D423" s="53">
        <v>2022</v>
      </c>
      <c r="E423" s="56">
        <v>0.13333333333333333</v>
      </c>
      <c r="F423" s="53">
        <f>IF(E423&gt;0,1,0)</f>
        <v>1</v>
      </c>
      <c r="G423" s="53">
        <f>SUM(F422:F423)</f>
        <v>2</v>
      </c>
      <c r="H423" s="53">
        <f>IF(G423=1,IF(F422=1,1,-1),G423)</f>
        <v>2</v>
      </c>
      <c r="I423" s="53" t="str">
        <f>VLOOKUP(H423,codes,2,)</f>
        <v>ww</v>
      </c>
      <c r="J423" s="53"/>
    </row>
    <row r="424" spans="1:10" x14ac:dyDescent="0.25">
      <c r="A424" s="93">
        <v>44701</v>
      </c>
      <c r="B424" s="35">
        <f>C424+(D424-2009)*12</f>
        <v>161</v>
      </c>
      <c r="C424" s="76">
        <v>5</v>
      </c>
      <c r="D424" s="53">
        <v>2022</v>
      </c>
      <c r="E424" s="56">
        <v>0</v>
      </c>
      <c r="F424" s="53">
        <f>IF(E424&gt;0,1,0)</f>
        <v>0</v>
      </c>
      <c r="G424" s="53">
        <f>SUM(F423:F424)</f>
        <v>1</v>
      </c>
      <c r="H424" s="53">
        <f>IF(G424=1,IF(F423=1,1,-1),G424)</f>
        <v>1</v>
      </c>
      <c r="I424" s="53" t="str">
        <f>VLOOKUP(H424,codes,2,)</f>
        <v>wd</v>
      </c>
      <c r="J424" s="53"/>
    </row>
    <row r="425" spans="1:10" x14ac:dyDescent="0.25">
      <c r="A425" s="93">
        <v>44702</v>
      </c>
      <c r="B425" s="35">
        <f>C425+(D425-2009)*12</f>
        <v>161</v>
      </c>
      <c r="C425" s="76">
        <v>5</v>
      </c>
      <c r="D425" s="53">
        <v>2022</v>
      </c>
      <c r="E425" s="56">
        <v>0.20000000000000004</v>
      </c>
      <c r="F425" s="53">
        <f>IF(E425&gt;0,1,0)</f>
        <v>1</v>
      </c>
      <c r="G425" s="53">
        <f>SUM(F424:F425)</f>
        <v>1</v>
      </c>
      <c r="H425" s="53">
        <f>IF(G425=1,IF(F424=1,1,-1),G425)</f>
        <v>-1</v>
      </c>
      <c r="I425" s="53" t="str">
        <f>VLOOKUP(H425,codes,2,)</f>
        <v>dw</v>
      </c>
      <c r="J425" s="53"/>
    </row>
    <row r="426" spans="1:10" x14ac:dyDescent="0.25">
      <c r="A426" s="93">
        <v>44703</v>
      </c>
      <c r="B426" s="35">
        <f>C426+(D426-2009)*12</f>
        <v>161</v>
      </c>
      <c r="C426" s="76">
        <v>5</v>
      </c>
      <c r="D426" s="53">
        <v>2022</v>
      </c>
      <c r="E426" s="56">
        <v>0</v>
      </c>
      <c r="F426" s="53">
        <f>IF(E426&gt;0,1,0)</f>
        <v>0</v>
      </c>
      <c r="G426" s="53">
        <f>SUM(F425:F426)</f>
        <v>1</v>
      </c>
      <c r="H426" s="53">
        <f>IF(G426=1,IF(F425=1,1,-1),G426)</f>
        <v>1</v>
      </c>
      <c r="I426" s="53" t="str">
        <f>VLOOKUP(H426,codes,2,)</f>
        <v>wd</v>
      </c>
      <c r="J426" s="53"/>
    </row>
    <row r="427" spans="1:10" x14ac:dyDescent="0.25">
      <c r="A427" s="93">
        <v>44704</v>
      </c>
      <c r="B427" s="35">
        <f>C427+(D427-2009)*12</f>
        <v>161</v>
      </c>
      <c r="C427" s="76">
        <v>5</v>
      </c>
      <c r="D427" s="53">
        <v>2022</v>
      </c>
      <c r="E427" s="56">
        <v>0.13333333333333333</v>
      </c>
      <c r="F427" s="53">
        <f>IF(E427&gt;0,1,0)</f>
        <v>1</v>
      </c>
      <c r="G427" s="53">
        <f>SUM(F426:F427)</f>
        <v>1</v>
      </c>
      <c r="H427" s="53">
        <f>IF(G427=1,IF(F426=1,1,-1),G427)</f>
        <v>-1</v>
      </c>
      <c r="I427" s="53" t="str">
        <f>VLOOKUP(H427,codes,2,)</f>
        <v>dw</v>
      </c>
      <c r="J427" s="53"/>
    </row>
    <row r="428" spans="1:10" x14ac:dyDescent="0.25">
      <c r="A428" s="93">
        <v>44705</v>
      </c>
      <c r="B428" s="35">
        <f>C428+(D428-2009)*12</f>
        <v>161</v>
      </c>
      <c r="C428" s="76">
        <v>5</v>
      </c>
      <c r="D428" s="53">
        <v>2022</v>
      </c>
      <c r="E428" s="56">
        <v>0.39999999999999997</v>
      </c>
      <c r="F428" s="53">
        <f>IF(E428&gt;0,1,0)</f>
        <v>1</v>
      </c>
      <c r="G428" s="53">
        <f>SUM(F427:F428)</f>
        <v>2</v>
      </c>
      <c r="H428" s="53">
        <f>IF(G428=1,IF(F427=1,1,-1),G428)</f>
        <v>2</v>
      </c>
      <c r="I428" s="53" t="str">
        <f>VLOOKUP(H428,codes,2,)</f>
        <v>ww</v>
      </c>
      <c r="J428" s="53"/>
    </row>
    <row r="429" spans="1:10" x14ac:dyDescent="0.25">
      <c r="A429" s="93">
        <v>44706</v>
      </c>
      <c r="B429" s="35">
        <f>C429+(D429-2009)*12</f>
        <v>161</v>
      </c>
      <c r="C429" s="76">
        <v>5</v>
      </c>
      <c r="D429" s="53">
        <v>2022</v>
      </c>
      <c r="E429" s="56">
        <v>4.1333333333333337</v>
      </c>
      <c r="F429" s="53">
        <f>IF(E429&gt;0,1,0)</f>
        <v>1</v>
      </c>
      <c r="G429" s="53">
        <f>SUM(F428:F429)</f>
        <v>2</v>
      </c>
      <c r="H429" s="53">
        <f>IF(G429=1,IF(F428=1,1,-1),G429)</f>
        <v>2</v>
      </c>
      <c r="I429" s="53" t="str">
        <f>VLOOKUP(H429,codes,2,)</f>
        <v>ww</v>
      </c>
      <c r="J429" s="53"/>
    </row>
    <row r="430" spans="1:10" x14ac:dyDescent="0.25">
      <c r="A430" s="93">
        <v>44707</v>
      </c>
      <c r="B430" s="35">
        <f>C430+(D430-2009)*12</f>
        <v>161</v>
      </c>
      <c r="C430" s="76">
        <v>5</v>
      </c>
      <c r="D430" s="53">
        <v>2022</v>
      </c>
      <c r="E430" s="56">
        <v>6.6666666666666666E-2</v>
      </c>
      <c r="F430" s="53">
        <f>IF(E430&gt;0,1,0)</f>
        <v>1</v>
      </c>
      <c r="G430" s="53">
        <f>SUM(F429:F430)</f>
        <v>2</v>
      </c>
      <c r="H430" s="53">
        <f>IF(G430=1,IF(F429=1,1,-1),G430)</f>
        <v>2</v>
      </c>
      <c r="I430" s="53" t="str">
        <f>VLOOKUP(H430,codes,2,)</f>
        <v>ww</v>
      </c>
      <c r="J430" s="53"/>
    </row>
    <row r="431" spans="1:10" x14ac:dyDescent="0.25">
      <c r="A431" s="93">
        <v>44708</v>
      </c>
      <c r="B431" s="35">
        <f>C431+(D431-2009)*12</f>
        <v>161</v>
      </c>
      <c r="C431" s="76">
        <v>5</v>
      </c>
      <c r="D431" s="53">
        <v>2022</v>
      </c>
      <c r="E431" s="56">
        <v>0</v>
      </c>
      <c r="F431" s="53">
        <f>IF(E431&gt;0,1,0)</f>
        <v>0</v>
      </c>
      <c r="G431" s="53">
        <f>SUM(F430:F431)</f>
        <v>1</v>
      </c>
      <c r="H431" s="53">
        <f>IF(G431=1,IF(F430=1,1,-1),G431)</f>
        <v>1</v>
      </c>
      <c r="I431" s="53" t="str">
        <f>VLOOKUP(H431,codes,2,)</f>
        <v>wd</v>
      </c>
      <c r="J431" s="53"/>
    </row>
    <row r="432" spans="1:10" x14ac:dyDescent="0.25">
      <c r="A432" s="93">
        <v>44709</v>
      </c>
      <c r="B432" s="35">
        <f>C432+(D432-2009)*12</f>
        <v>161</v>
      </c>
      <c r="C432" s="76">
        <v>5</v>
      </c>
      <c r="D432" s="53">
        <v>2022</v>
      </c>
      <c r="E432" s="56">
        <v>0</v>
      </c>
      <c r="F432" s="53">
        <f>IF(E432&gt;0,1,0)</f>
        <v>0</v>
      </c>
      <c r="G432" s="53">
        <f>SUM(F431:F432)</f>
        <v>0</v>
      </c>
      <c r="H432" s="53">
        <f>IF(G432=1,IF(F431=1,1,-1),G432)</f>
        <v>0</v>
      </c>
      <c r="I432" s="53" t="str">
        <f>VLOOKUP(H432,codes,2,)</f>
        <v>dd</v>
      </c>
      <c r="J432" s="53"/>
    </row>
    <row r="433" spans="1:10" x14ac:dyDescent="0.25">
      <c r="A433" s="93">
        <v>44710</v>
      </c>
      <c r="B433" s="35">
        <f>C433+(D433-2009)*12</f>
        <v>161</v>
      </c>
      <c r="C433" s="76">
        <v>5</v>
      </c>
      <c r="D433" s="53">
        <v>2022</v>
      </c>
      <c r="E433" s="56">
        <v>3.2000000000000006</v>
      </c>
      <c r="F433" s="53">
        <f>IF(E433&gt;0,1,0)</f>
        <v>1</v>
      </c>
      <c r="G433" s="53">
        <f>SUM(F432:F433)</f>
        <v>1</v>
      </c>
      <c r="H433" s="53">
        <f>IF(G433=1,IF(F432=1,1,-1),G433)</f>
        <v>-1</v>
      </c>
      <c r="I433" s="53" t="str">
        <f>VLOOKUP(H433,codes,2,)</f>
        <v>dw</v>
      </c>
      <c r="J433" s="53"/>
    </row>
    <row r="434" spans="1:10" x14ac:dyDescent="0.25">
      <c r="A434" s="93">
        <v>44711</v>
      </c>
      <c r="B434" s="35">
        <f>C434+(D434-2009)*12</f>
        <v>161</v>
      </c>
      <c r="C434" s="76">
        <v>5</v>
      </c>
      <c r="D434" s="53">
        <v>2022</v>
      </c>
      <c r="E434" s="56">
        <v>1.8666666666666665</v>
      </c>
      <c r="F434" s="53">
        <f>IF(E434&gt;0,1,0)</f>
        <v>1</v>
      </c>
      <c r="G434" s="53">
        <f>SUM(F433:F434)</f>
        <v>2</v>
      </c>
      <c r="H434" s="53">
        <f>IF(G434=1,IF(F433=1,1,-1),G434)</f>
        <v>2</v>
      </c>
      <c r="I434" s="53" t="str">
        <f>VLOOKUP(H434,codes,2,)</f>
        <v>ww</v>
      </c>
      <c r="J434" s="53"/>
    </row>
    <row r="435" spans="1:10" x14ac:dyDescent="0.25">
      <c r="A435" s="93">
        <v>44712</v>
      </c>
      <c r="B435" s="35">
        <f>C435+(D435-2009)*12</f>
        <v>161</v>
      </c>
      <c r="C435" s="76">
        <v>5</v>
      </c>
      <c r="D435" s="53">
        <v>2022</v>
      </c>
      <c r="E435" s="56">
        <v>5.6000000000000005</v>
      </c>
      <c r="F435" s="53">
        <f>IF(E435&gt;0,1,0)</f>
        <v>1</v>
      </c>
      <c r="G435" s="53">
        <f>SUM(F434:F435)</f>
        <v>2</v>
      </c>
      <c r="H435" s="53">
        <f>IF(G435=1,IF(F434=1,1,-1),G435)</f>
        <v>2</v>
      </c>
      <c r="I435" s="53" t="str">
        <f>VLOOKUP(H435,codes,2,)</f>
        <v>ww</v>
      </c>
      <c r="J435" s="53"/>
    </row>
    <row r="436" spans="1:10" x14ac:dyDescent="0.25">
      <c r="A436" s="93">
        <v>45047</v>
      </c>
      <c r="B436" s="35">
        <f>C436+(D436-2009)*12</f>
        <v>173</v>
      </c>
      <c r="C436" s="76">
        <v>5</v>
      </c>
      <c r="D436" s="53">
        <v>2023</v>
      </c>
      <c r="E436" s="56">
        <v>1.2666666666666666</v>
      </c>
      <c r="F436" s="53">
        <f>IF(E436&gt;0,1,0)</f>
        <v>1</v>
      </c>
      <c r="G436" s="53">
        <f>SUM(F435:F436)</f>
        <v>2</v>
      </c>
      <c r="H436" s="53">
        <f>IF(G436=1,IF(F435=1,1,-1),G436)</f>
        <v>2</v>
      </c>
      <c r="I436" s="53" t="str">
        <f>VLOOKUP(H436,codes,2,)</f>
        <v>ww</v>
      </c>
      <c r="J436" s="53"/>
    </row>
    <row r="437" spans="1:10" x14ac:dyDescent="0.25">
      <c r="A437" s="93">
        <v>45048</v>
      </c>
      <c r="B437" s="35">
        <f>C437+(D437-2009)*12</f>
        <v>173</v>
      </c>
      <c r="C437" s="76">
        <v>5</v>
      </c>
      <c r="D437" s="53">
        <v>2023</v>
      </c>
      <c r="E437" s="56">
        <v>0.66666666666666663</v>
      </c>
      <c r="F437" s="53">
        <f>IF(E437&gt;0,1,0)</f>
        <v>1</v>
      </c>
      <c r="G437" s="53">
        <f>SUM(F436:F437)</f>
        <v>2</v>
      </c>
      <c r="H437" s="53">
        <f>IF(G437=1,IF(F436=1,1,-1),G437)</f>
        <v>2</v>
      </c>
      <c r="I437" s="53" t="str">
        <f>VLOOKUP(H437,codes,2,)</f>
        <v>ww</v>
      </c>
      <c r="J437" s="53"/>
    </row>
    <row r="438" spans="1:10" x14ac:dyDescent="0.25">
      <c r="A438" s="93">
        <v>45049</v>
      </c>
      <c r="B438" s="35">
        <f>C438+(D438-2009)*12</f>
        <v>173</v>
      </c>
      <c r="C438" s="76">
        <v>5</v>
      </c>
      <c r="D438" s="53">
        <v>2023</v>
      </c>
      <c r="E438" s="56">
        <v>6.6666666666666666E-2</v>
      </c>
      <c r="F438" s="53">
        <f>IF(E438&gt;0,1,0)</f>
        <v>1</v>
      </c>
      <c r="G438" s="53">
        <f>SUM(F437:F438)</f>
        <v>2</v>
      </c>
      <c r="H438" s="53">
        <f>IF(G438=1,IF(F437=1,1,-1),G438)</f>
        <v>2</v>
      </c>
      <c r="I438" s="53" t="str">
        <f>VLOOKUP(H438,codes,2,)</f>
        <v>ww</v>
      </c>
      <c r="J438" s="53"/>
    </row>
    <row r="439" spans="1:10" x14ac:dyDescent="0.25">
      <c r="A439" s="93">
        <v>45050</v>
      </c>
      <c r="B439" s="35">
        <f>C439+(D439-2009)*12</f>
        <v>173</v>
      </c>
      <c r="C439" s="76">
        <v>5</v>
      </c>
      <c r="D439" s="53">
        <v>2023</v>
      </c>
      <c r="E439" s="56">
        <v>0</v>
      </c>
      <c r="F439" s="53">
        <f>IF(E439&gt;0,1,0)</f>
        <v>0</v>
      </c>
      <c r="G439" s="53">
        <f>SUM(F438:F439)</f>
        <v>1</v>
      </c>
      <c r="H439" s="53">
        <f>IF(G439=1,IF(F438=1,1,-1),G439)</f>
        <v>1</v>
      </c>
      <c r="I439" s="53" t="str">
        <f>VLOOKUP(H439,codes,2,)</f>
        <v>wd</v>
      </c>
      <c r="J439" s="53"/>
    </row>
    <row r="440" spans="1:10" x14ac:dyDescent="0.25">
      <c r="A440" s="93">
        <v>45051</v>
      </c>
      <c r="B440" s="35">
        <f>C440+(D440-2009)*12</f>
        <v>173</v>
      </c>
      <c r="C440" s="76">
        <v>5</v>
      </c>
      <c r="D440" s="53">
        <v>2023</v>
      </c>
      <c r="E440" s="56">
        <v>1.4000000000000001</v>
      </c>
      <c r="F440" s="53">
        <f>IF(E440&gt;0,1,0)</f>
        <v>1</v>
      </c>
      <c r="G440" s="53">
        <f>SUM(F439:F440)</f>
        <v>1</v>
      </c>
      <c r="H440" s="53">
        <f>IF(G440=1,IF(F439=1,1,-1),G440)</f>
        <v>-1</v>
      </c>
      <c r="I440" s="53" t="str">
        <f>VLOOKUP(H440,codes,2,)</f>
        <v>dw</v>
      </c>
      <c r="J440" s="53"/>
    </row>
    <row r="441" spans="1:10" x14ac:dyDescent="0.25">
      <c r="A441" s="93">
        <v>45052</v>
      </c>
      <c r="B441" s="35">
        <f>C441+(D441-2009)*12</f>
        <v>173</v>
      </c>
      <c r="C441" s="76">
        <v>5</v>
      </c>
      <c r="D441" s="53">
        <v>2023</v>
      </c>
      <c r="E441" s="56">
        <v>1.3333333333333333</v>
      </c>
      <c r="F441" s="53">
        <f>IF(E441&gt;0,1,0)</f>
        <v>1</v>
      </c>
      <c r="G441" s="53">
        <f>SUM(F440:F441)</f>
        <v>2</v>
      </c>
      <c r="H441" s="53">
        <f>IF(G441=1,IF(F440=1,1,-1),G441)</f>
        <v>2</v>
      </c>
      <c r="I441" s="53" t="str">
        <f>VLOOKUP(H441,codes,2,)</f>
        <v>ww</v>
      </c>
      <c r="J441" s="53"/>
    </row>
    <row r="442" spans="1:10" x14ac:dyDescent="0.25">
      <c r="A442" s="93">
        <v>45053</v>
      </c>
      <c r="B442" s="35">
        <f>C442+(D442-2009)*12</f>
        <v>173</v>
      </c>
      <c r="C442" s="76">
        <v>5</v>
      </c>
      <c r="D442" s="53">
        <v>2023</v>
      </c>
      <c r="E442" s="56">
        <v>1.1333333333333335</v>
      </c>
      <c r="F442" s="53">
        <f>IF(E442&gt;0,1,0)</f>
        <v>1</v>
      </c>
      <c r="G442" s="53">
        <f>SUM(F441:F442)</f>
        <v>2</v>
      </c>
      <c r="H442" s="53">
        <f>IF(G442=1,IF(F441=1,1,-1),G442)</f>
        <v>2</v>
      </c>
      <c r="I442" s="53" t="str">
        <f>VLOOKUP(H442,codes,2,)</f>
        <v>ww</v>
      </c>
      <c r="J442" s="53"/>
    </row>
    <row r="443" spans="1:10" x14ac:dyDescent="0.25">
      <c r="A443" s="93">
        <v>45054</v>
      </c>
      <c r="B443" s="35">
        <f>C443+(D443-2009)*12</f>
        <v>173</v>
      </c>
      <c r="C443" s="76">
        <v>5</v>
      </c>
      <c r="D443" s="53">
        <v>2023</v>
      </c>
      <c r="E443" s="56">
        <v>3.1333333333333333</v>
      </c>
      <c r="F443" s="53">
        <f>IF(E443&gt;0,1,0)</f>
        <v>1</v>
      </c>
      <c r="G443" s="53">
        <f>SUM(F442:F443)</f>
        <v>2</v>
      </c>
      <c r="H443" s="53">
        <f>IF(G443=1,IF(F442=1,1,-1),G443)</f>
        <v>2</v>
      </c>
      <c r="I443" s="53" t="str">
        <f>VLOOKUP(H443,codes,2,)</f>
        <v>ww</v>
      </c>
      <c r="J443" s="53"/>
    </row>
    <row r="444" spans="1:10" x14ac:dyDescent="0.25">
      <c r="A444" s="93">
        <v>45055</v>
      </c>
      <c r="B444" s="35">
        <f>C444+(D444-2009)*12</f>
        <v>173</v>
      </c>
      <c r="C444" s="76">
        <v>5</v>
      </c>
      <c r="D444" s="53">
        <v>2023</v>
      </c>
      <c r="E444" s="56">
        <v>6.7333333333333334</v>
      </c>
      <c r="F444" s="53">
        <f>IF(E444&gt;0,1,0)</f>
        <v>1</v>
      </c>
      <c r="G444" s="53">
        <f>SUM(F443:F444)</f>
        <v>2</v>
      </c>
      <c r="H444" s="53">
        <f>IF(G444=1,IF(F443=1,1,-1),G444)</f>
        <v>2</v>
      </c>
      <c r="I444" s="53" t="str">
        <f>VLOOKUP(H444,codes,2,)</f>
        <v>ww</v>
      </c>
      <c r="J444" s="53"/>
    </row>
    <row r="445" spans="1:10" x14ac:dyDescent="0.25">
      <c r="A445" s="93">
        <v>45056</v>
      </c>
      <c r="B445" s="35">
        <f>C445+(D445-2009)*12</f>
        <v>173</v>
      </c>
      <c r="C445" s="76">
        <v>5</v>
      </c>
      <c r="D445" s="53">
        <v>2023</v>
      </c>
      <c r="E445" s="56">
        <v>0</v>
      </c>
      <c r="F445" s="53">
        <f>IF(E445&gt;0,1,0)</f>
        <v>0</v>
      </c>
      <c r="G445" s="53">
        <f>SUM(F444:F445)</f>
        <v>1</v>
      </c>
      <c r="H445" s="53">
        <f>IF(G445=1,IF(F444=1,1,-1),G445)</f>
        <v>1</v>
      </c>
      <c r="I445" s="53" t="str">
        <f>VLOOKUP(H445,codes,2,)</f>
        <v>wd</v>
      </c>
      <c r="J445" s="53"/>
    </row>
    <row r="446" spans="1:10" x14ac:dyDescent="0.25">
      <c r="A446" s="93">
        <v>45057</v>
      </c>
      <c r="B446" s="35">
        <f>C446+(D446-2009)*12</f>
        <v>173</v>
      </c>
      <c r="C446" s="76">
        <v>5</v>
      </c>
      <c r="D446" s="53">
        <v>2023</v>
      </c>
      <c r="E446" s="56">
        <v>2.6666666666666665</v>
      </c>
      <c r="F446" s="53">
        <f>IF(E446&gt;0,1,0)</f>
        <v>1</v>
      </c>
      <c r="G446" s="53">
        <f>SUM(F445:F446)</f>
        <v>1</v>
      </c>
      <c r="H446" s="53">
        <f>IF(G446=1,IF(F445=1,1,-1),G446)</f>
        <v>-1</v>
      </c>
      <c r="I446" s="53" t="str">
        <f>VLOOKUP(H446,codes,2,)</f>
        <v>dw</v>
      </c>
      <c r="J446" s="53"/>
    </row>
    <row r="447" spans="1:10" x14ac:dyDescent="0.25">
      <c r="A447" s="93">
        <v>45058</v>
      </c>
      <c r="B447" s="35">
        <f>C447+(D447-2009)*12</f>
        <v>173</v>
      </c>
      <c r="C447" s="76">
        <v>5</v>
      </c>
      <c r="D447" s="53">
        <v>2023</v>
      </c>
      <c r="E447" s="56">
        <v>0</v>
      </c>
      <c r="F447" s="53">
        <f>IF(E447&gt;0,1,0)</f>
        <v>0</v>
      </c>
      <c r="G447" s="53">
        <f>SUM(F446:F447)</f>
        <v>1</v>
      </c>
      <c r="H447" s="53">
        <f>IF(G447=1,IF(F446=1,1,-1),G447)</f>
        <v>1</v>
      </c>
      <c r="I447" s="53" t="str">
        <f>VLOOKUP(H447,codes,2,)</f>
        <v>wd</v>
      </c>
      <c r="J447" s="53"/>
    </row>
    <row r="448" spans="1:10" x14ac:dyDescent="0.25">
      <c r="A448" s="93">
        <v>45059</v>
      </c>
      <c r="B448" s="35">
        <f>C448+(D448-2009)*12</f>
        <v>173</v>
      </c>
      <c r="C448" s="76">
        <v>5</v>
      </c>
      <c r="D448" s="53">
        <v>2023</v>
      </c>
      <c r="E448" s="56">
        <v>0</v>
      </c>
      <c r="F448" s="53">
        <f>IF(E448&gt;0,1,0)</f>
        <v>0</v>
      </c>
      <c r="G448" s="53">
        <f>SUM(F447:F448)</f>
        <v>0</v>
      </c>
      <c r="H448" s="53">
        <f>IF(G448=1,IF(F447=1,1,-1),G448)</f>
        <v>0</v>
      </c>
      <c r="I448" s="53" t="str">
        <f>VLOOKUP(H448,codes,2,)</f>
        <v>dd</v>
      </c>
      <c r="J448" s="53"/>
    </row>
    <row r="449" spans="1:10" x14ac:dyDescent="0.25">
      <c r="A449" s="93">
        <v>45060</v>
      </c>
      <c r="B449" s="35">
        <f>C449+(D449-2009)*12</f>
        <v>173</v>
      </c>
      <c r="C449" s="76">
        <v>5</v>
      </c>
      <c r="D449" s="53">
        <v>2023</v>
      </c>
      <c r="E449" s="56">
        <v>0</v>
      </c>
      <c r="F449" s="53">
        <f>IF(E449&gt;0,1,0)</f>
        <v>0</v>
      </c>
      <c r="G449" s="53">
        <f>SUM(F448:F449)</f>
        <v>0</v>
      </c>
      <c r="H449" s="53">
        <f>IF(G449=1,IF(F448=1,1,-1),G449)</f>
        <v>0</v>
      </c>
      <c r="I449" s="53" t="str">
        <f>VLOOKUP(H449,codes,2,)</f>
        <v>dd</v>
      </c>
      <c r="J449" s="53"/>
    </row>
    <row r="450" spans="1:10" x14ac:dyDescent="0.25">
      <c r="A450" s="93">
        <v>45061</v>
      </c>
      <c r="B450" s="35">
        <f>C450+(D450-2009)*12</f>
        <v>173</v>
      </c>
      <c r="C450" s="76">
        <v>5</v>
      </c>
      <c r="D450" s="53">
        <v>2023</v>
      </c>
      <c r="E450" s="56">
        <v>1</v>
      </c>
      <c r="F450" s="53">
        <f>IF(E450&gt;0,1,0)</f>
        <v>1</v>
      </c>
      <c r="G450" s="53">
        <f>SUM(F449:F450)</f>
        <v>1</v>
      </c>
      <c r="H450" s="53">
        <f>IF(G450=1,IF(F449=1,1,-1),G450)</f>
        <v>-1</v>
      </c>
      <c r="I450" s="53" t="str">
        <f>VLOOKUP(H450,codes,2,)</f>
        <v>dw</v>
      </c>
      <c r="J450" s="53"/>
    </row>
    <row r="451" spans="1:10" x14ac:dyDescent="0.25">
      <c r="A451" s="93">
        <v>45062</v>
      </c>
      <c r="B451" s="35">
        <f>C451+(D451-2009)*12</f>
        <v>173</v>
      </c>
      <c r="C451" s="76">
        <v>5</v>
      </c>
      <c r="D451" s="53">
        <v>2023</v>
      </c>
      <c r="E451" s="56">
        <v>6.6666666666666666E-2</v>
      </c>
      <c r="F451" s="53">
        <f>IF(E451&gt;0,1,0)</f>
        <v>1</v>
      </c>
      <c r="G451" s="53">
        <f>SUM(F450:F451)</f>
        <v>2</v>
      </c>
      <c r="H451" s="53">
        <f>IF(G451=1,IF(F450=1,1,-1),G451)</f>
        <v>2</v>
      </c>
      <c r="I451" s="53" t="str">
        <f>VLOOKUP(H451,codes,2,)</f>
        <v>ww</v>
      </c>
      <c r="J451" s="53"/>
    </row>
    <row r="452" spans="1:10" x14ac:dyDescent="0.25">
      <c r="A452" s="93">
        <v>45063</v>
      </c>
      <c r="B452" s="35">
        <f>C452+(D452-2009)*12</f>
        <v>173</v>
      </c>
      <c r="C452" s="76">
        <v>5</v>
      </c>
      <c r="D452" s="53">
        <v>2023</v>
      </c>
      <c r="E452" s="56">
        <v>3.1999999999999997</v>
      </c>
      <c r="F452" s="53">
        <f>IF(E452&gt;0,1,0)</f>
        <v>1</v>
      </c>
      <c r="G452" s="53">
        <f>SUM(F451:F452)</f>
        <v>2</v>
      </c>
      <c r="H452" s="53">
        <f>IF(G452=1,IF(F451=1,1,-1),G452)</f>
        <v>2</v>
      </c>
      <c r="I452" s="53" t="str">
        <f>VLOOKUP(H452,codes,2,)</f>
        <v>ww</v>
      </c>
      <c r="J452" s="53"/>
    </row>
    <row r="453" spans="1:10" x14ac:dyDescent="0.25">
      <c r="A453" s="93">
        <v>45064</v>
      </c>
      <c r="B453" s="35">
        <f>C453+(D453-2009)*12</f>
        <v>173</v>
      </c>
      <c r="C453" s="76">
        <v>5</v>
      </c>
      <c r="D453" s="53">
        <v>2023</v>
      </c>
      <c r="E453" s="56">
        <v>0</v>
      </c>
      <c r="F453" s="53">
        <f>IF(E453&gt;0,1,0)</f>
        <v>0</v>
      </c>
      <c r="G453" s="53">
        <f>SUM(F452:F453)</f>
        <v>1</v>
      </c>
      <c r="H453" s="53">
        <f>IF(G453=1,IF(F452=1,1,-1),G453)</f>
        <v>1</v>
      </c>
      <c r="I453" s="53" t="str">
        <f>VLOOKUP(H453,codes,2,)</f>
        <v>wd</v>
      </c>
      <c r="J453" s="53"/>
    </row>
    <row r="454" spans="1:10" x14ac:dyDescent="0.25">
      <c r="A454" s="93">
        <v>45065</v>
      </c>
      <c r="B454" s="35">
        <f>C454+(D454-2009)*12</f>
        <v>173</v>
      </c>
      <c r="C454" s="76">
        <v>5</v>
      </c>
      <c r="D454" s="53">
        <v>2023</v>
      </c>
      <c r="E454" s="56">
        <v>4.4666666666666668</v>
      </c>
      <c r="F454" s="53">
        <f>IF(E454&gt;0,1,0)</f>
        <v>1</v>
      </c>
      <c r="G454" s="53">
        <f>SUM(F453:F454)</f>
        <v>1</v>
      </c>
      <c r="H454" s="53">
        <f>IF(G454=1,IF(F453=1,1,-1),G454)</f>
        <v>-1</v>
      </c>
      <c r="I454" s="53" t="str">
        <f>VLOOKUP(H454,codes,2,)</f>
        <v>dw</v>
      </c>
      <c r="J454" s="53"/>
    </row>
    <row r="455" spans="1:10" x14ac:dyDescent="0.25">
      <c r="A455" s="93">
        <v>45066</v>
      </c>
      <c r="B455" s="35">
        <f>C455+(D455-2009)*12</f>
        <v>173</v>
      </c>
      <c r="C455" s="76">
        <v>5</v>
      </c>
      <c r="D455" s="53">
        <v>2023</v>
      </c>
      <c r="E455" s="56">
        <v>0</v>
      </c>
      <c r="F455" s="53">
        <f>IF(E455&gt;0,1,0)</f>
        <v>0</v>
      </c>
      <c r="G455" s="53">
        <f>SUM(F454:F455)</f>
        <v>1</v>
      </c>
      <c r="H455" s="53">
        <f>IF(G455=1,IF(F454=1,1,-1),G455)</f>
        <v>1</v>
      </c>
      <c r="I455" s="53" t="str">
        <f>VLOOKUP(H455,codes,2,)</f>
        <v>wd</v>
      </c>
      <c r="J455" s="53"/>
    </row>
    <row r="456" spans="1:10" x14ac:dyDescent="0.25">
      <c r="A456" s="93">
        <v>45067</v>
      </c>
      <c r="B456" s="35">
        <f>C456+(D456-2009)*12</f>
        <v>173</v>
      </c>
      <c r="C456" s="76">
        <v>5</v>
      </c>
      <c r="D456" s="53">
        <v>2023</v>
      </c>
      <c r="E456" s="56">
        <v>0</v>
      </c>
      <c r="F456" s="53">
        <f>IF(E456&gt;0,1,0)</f>
        <v>0</v>
      </c>
      <c r="G456" s="53">
        <f>SUM(F455:F456)</f>
        <v>0</v>
      </c>
      <c r="H456" s="53">
        <f>IF(G456=1,IF(F455=1,1,-1),G456)</f>
        <v>0</v>
      </c>
      <c r="I456" s="53" t="str">
        <f>VLOOKUP(H456,codes,2,)</f>
        <v>dd</v>
      </c>
      <c r="J456" s="53"/>
    </row>
    <row r="457" spans="1:10" x14ac:dyDescent="0.25">
      <c r="A457" s="93">
        <v>45068</v>
      </c>
      <c r="B457" s="35">
        <f>C457+(D457-2009)*12</f>
        <v>173</v>
      </c>
      <c r="C457" s="76">
        <v>5</v>
      </c>
      <c r="D457" s="53">
        <v>2023</v>
      </c>
      <c r="E457" s="56">
        <v>0</v>
      </c>
      <c r="F457" s="53">
        <f>IF(E457&gt;0,1,0)</f>
        <v>0</v>
      </c>
      <c r="G457" s="53">
        <f>SUM(F456:F457)</f>
        <v>0</v>
      </c>
      <c r="H457" s="53">
        <f>IF(G457=1,IF(F456=1,1,-1),G457)</f>
        <v>0</v>
      </c>
      <c r="I457" s="53" t="str">
        <f>VLOOKUP(H457,codes,2,)</f>
        <v>dd</v>
      </c>
      <c r="J457" s="53"/>
    </row>
    <row r="458" spans="1:10" x14ac:dyDescent="0.25">
      <c r="A458" s="93">
        <v>45069</v>
      </c>
      <c r="B458" s="35">
        <f>C458+(D458-2009)*12</f>
        <v>173</v>
      </c>
      <c r="C458" s="76">
        <v>5</v>
      </c>
      <c r="D458" s="53">
        <v>2023</v>
      </c>
      <c r="E458" s="56">
        <v>0</v>
      </c>
      <c r="F458" s="53">
        <f>IF(E458&gt;0,1,0)</f>
        <v>0</v>
      </c>
      <c r="G458" s="53">
        <f>SUM(F457:F458)</f>
        <v>0</v>
      </c>
      <c r="H458" s="53">
        <f>IF(G458=1,IF(F457=1,1,-1),G458)</f>
        <v>0</v>
      </c>
      <c r="I458" s="53" t="str">
        <f>VLOOKUP(H458,codes,2,)</f>
        <v>dd</v>
      </c>
      <c r="J458" s="53"/>
    </row>
    <row r="459" spans="1:10" x14ac:dyDescent="0.25">
      <c r="A459" s="93">
        <v>45070</v>
      </c>
      <c r="B459" s="35">
        <f>C459+(D459-2009)*12</f>
        <v>173</v>
      </c>
      <c r="C459" s="76">
        <v>5</v>
      </c>
      <c r="D459" s="53">
        <v>2023</v>
      </c>
      <c r="E459" s="56">
        <v>0</v>
      </c>
      <c r="F459" s="53">
        <f>IF(E459&gt;0,1,0)</f>
        <v>0</v>
      </c>
      <c r="G459" s="53">
        <f>SUM(F458:F459)</f>
        <v>0</v>
      </c>
      <c r="H459" s="53">
        <f>IF(G459=1,IF(F458=1,1,-1),G459)</f>
        <v>0</v>
      </c>
      <c r="I459" s="53" t="str">
        <f>VLOOKUP(H459,codes,2,)</f>
        <v>dd</v>
      </c>
      <c r="J459" s="53"/>
    </row>
    <row r="460" spans="1:10" x14ac:dyDescent="0.25">
      <c r="A460" s="93">
        <v>45071</v>
      </c>
      <c r="B460" s="35">
        <f>C460+(D460-2009)*12</f>
        <v>173</v>
      </c>
      <c r="C460" s="76">
        <v>5</v>
      </c>
      <c r="D460" s="53">
        <v>2023</v>
      </c>
      <c r="E460" s="56">
        <v>0</v>
      </c>
      <c r="F460" s="53">
        <f>IF(E460&gt;0,1,0)</f>
        <v>0</v>
      </c>
      <c r="G460" s="53">
        <f>SUM(F459:F460)</f>
        <v>0</v>
      </c>
      <c r="H460" s="53">
        <f>IF(G460=1,IF(F459=1,1,-1),G460)</f>
        <v>0</v>
      </c>
      <c r="I460" s="53" t="str">
        <f>VLOOKUP(H460,codes,2,)</f>
        <v>dd</v>
      </c>
      <c r="J460" s="53"/>
    </row>
    <row r="461" spans="1:10" x14ac:dyDescent="0.25">
      <c r="A461" s="93">
        <v>45072</v>
      </c>
      <c r="B461" s="35">
        <f>C461+(D461-2009)*12</f>
        <v>173</v>
      </c>
      <c r="C461" s="76">
        <v>5</v>
      </c>
      <c r="D461" s="53">
        <v>2023</v>
      </c>
      <c r="E461" s="56">
        <v>0</v>
      </c>
      <c r="F461" s="53">
        <f>IF(E461&gt;0,1,0)</f>
        <v>0</v>
      </c>
      <c r="G461" s="53">
        <f>SUM(F460:F461)</f>
        <v>0</v>
      </c>
      <c r="H461" s="53">
        <f>IF(G461=1,IF(F460=1,1,-1),G461)</f>
        <v>0</v>
      </c>
      <c r="I461" s="53" t="str">
        <f>VLOOKUP(H461,codes,2,)</f>
        <v>dd</v>
      </c>
      <c r="J461" s="53"/>
    </row>
    <row r="462" spans="1:10" x14ac:dyDescent="0.25">
      <c r="A462" s="93">
        <v>45073</v>
      </c>
      <c r="B462" s="35">
        <f>C462+(D462-2009)*12</f>
        <v>173</v>
      </c>
      <c r="C462" s="76">
        <v>5</v>
      </c>
      <c r="D462" s="53">
        <v>2023</v>
      </c>
      <c r="E462" s="56">
        <v>0</v>
      </c>
      <c r="F462" s="53">
        <f>IF(E462&gt;0,1,0)</f>
        <v>0</v>
      </c>
      <c r="G462" s="53">
        <f>SUM(F461:F462)</f>
        <v>0</v>
      </c>
      <c r="H462" s="53">
        <f>IF(G462=1,IF(F461=1,1,-1),G462)</f>
        <v>0</v>
      </c>
      <c r="I462" s="53" t="str">
        <f>VLOOKUP(H462,codes,2,)</f>
        <v>dd</v>
      </c>
      <c r="J462" s="53"/>
    </row>
    <row r="463" spans="1:10" x14ac:dyDescent="0.25">
      <c r="A463" s="93">
        <v>45074</v>
      </c>
      <c r="B463" s="35">
        <f>C463+(D463-2009)*12</f>
        <v>173</v>
      </c>
      <c r="C463" s="76">
        <v>5</v>
      </c>
      <c r="D463" s="53">
        <v>2023</v>
      </c>
      <c r="E463" s="56">
        <v>0</v>
      </c>
      <c r="F463" s="53">
        <f>IF(E463&gt;0,1,0)</f>
        <v>0</v>
      </c>
      <c r="G463" s="53">
        <f>SUM(F462:F463)</f>
        <v>0</v>
      </c>
      <c r="H463" s="53">
        <f>IF(G463=1,IF(F462=1,1,-1),G463)</f>
        <v>0</v>
      </c>
      <c r="I463" s="53" t="str">
        <f>VLOOKUP(H463,codes,2,)</f>
        <v>dd</v>
      </c>
      <c r="J463" s="53"/>
    </row>
    <row r="464" spans="1:10" x14ac:dyDescent="0.25">
      <c r="A464" s="93">
        <v>45075</v>
      </c>
      <c r="B464" s="35">
        <f>C464+(D464-2009)*12</f>
        <v>173</v>
      </c>
      <c r="C464" s="76">
        <v>5</v>
      </c>
      <c r="D464" s="53">
        <v>2023</v>
      </c>
      <c r="E464" s="56">
        <v>0</v>
      </c>
      <c r="F464" s="53">
        <f>IF(E464&gt;0,1,0)</f>
        <v>0</v>
      </c>
      <c r="G464" s="53">
        <f>SUM(F463:F464)</f>
        <v>0</v>
      </c>
      <c r="H464" s="53">
        <f>IF(G464=1,IF(F463=1,1,-1),G464)</f>
        <v>0</v>
      </c>
      <c r="I464" s="53" t="str">
        <f>VLOOKUP(H464,codes,2,)</f>
        <v>dd</v>
      </c>
      <c r="J464" s="53"/>
    </row>
    <row r="465" spans="1:10" x14ac:dyDescent="0.25">
      <c r="A465" s="93">
        <v>45076</v>
      </c>
      <c r="B465" s="35">
        <f>C465+(D465-2009)*12</f>
        <v>173</v>
      </c>
      <c r="C465" s="76">
        <v>5</v>
      </c>
      <c r="D465" s="53">
        <v>2023</v>
      </c>
      <c r="E465" s="56">
        <v>0</v>
      </c>
      <c r="F465" s="53">
        <f>IF(E465&gt;0,1,0)</f>
        <v>0</v>
      </c>
      <c r="G465" s="53">
        <f>SUM(F464:F465)</f>
        <v>0</v>
      </c>
      <c r="H465" s="53">
        <f>IF(G465=1,IF(F464=1,1,-1),G465)</f>
        <v>0</v>
      </c>
      <c r="I465" s="53" t="str">
        <f>VLOOKUP(H465,codes,2,)</f>
        <v>dd</v>
      </c>
      <c r="J465" s="53"/>
    </row>
    <row r="466" spans="1:10" x14ac:dyDescent="0.25">
      <c r="A466" s="93">
        <v>45077</v>
      </c>
      <c r="B466" s="35">
        <f>C466+(D466-2009)*12</f>
        <v>173</v>
      </c>
      <c r="C466" s="76">
        <v>5</v>
      </c>
      <c r="D466" s="53">
        <v>2023</v>
      </c>
      <c r="E466" s="56">
        <v>0</v>
      </c>
      <c r="F466" s="53">
        <f>IF(E466&gt;0,1,0)</f>
        <v>0</v>
      </c>
      <c r="G466" s="53">
        <f>SUM(F465:F466)</f>
        <v>0</v>
      </c>
      <c r="H466" s="53">
        <f>IF(G466=1,IF(F465=1,1,-1),G466)</f>
        <v>0</v>
      </c>
      <c r="I466" s="53" t="str">
        <f>VLOOKUP(H466,codes,2,)</f>
        <v>dd</v>
      </c>
      <c r="J466" s="53"/>
    </row>
    <row r="467" spans="1:10" x14ac:dyDescent="0.25">
      <c r="A467" s="93">
        <v>45413</v>
      </c>
      <c r="B467" s="35">
        <f>C467+(D467-2009)*12</f>
        <v>185</v>
      </c>
      <c r="C467" s="76">
        <v>5</v>
      </c>
      <c r="D467" s="53">
        <v>2024</v>
      </c>
      <c r="E467" s="56">
        <v>0</v>
      </c>
      <c r="F467" s="53">
        <f>IF(E467&gt;0,1,0)</f>
        <v>0</v>
      </c>
      <c r="G467" s="53">
        <f>SUM(F466:F467)</f>
        <v>0</v>
      </c>
      <c r="H467" s="53">
        <f>IF(G467=1,IF(F466=1,1,-1),G467)</f>
        <v>0</v>
      </c>
      <c r="I467" s="53" t="str">
        <f>VLOOKUP(H467,codes,2,)</f>
        <v>dd</v>
      </c>
      <c r="J467" s="53"/>
    </row>
    <row r="468" spans="1:10" x14ac:dyDescent="0.25">
      <c r="A468" s="93">
        <v>45414</v>
      </c>
      <c r="B468" s="35">
        <f>C468+(D468-2009)*12</f>
        <v>185</v>
      </c>
      <c r="C468" s="76">
        <v>5</v>
      </c>
      <c r="D468" s="53">
        <v>2024</v>
      </c>
      <c r="E468" s="56">
        <v>0</v>
      </c>
      <c r="F468" s="53">
        <f>IF(E468&gt;0,1,0)</f>
        <v>0</v>
      </c>
      <c r="G468" s="53">
        <f>SUM(F467:F468)</f>
        <v>0</v>
      </c>
      <c r="H468" s="53">
        <f>IF(G468=1,IF(F467=1,1,-1),G468)</f>
        <v>0</v>
      </c>
      <c r="I468" s="53" t="str">
        <f>VLOOKUP(H468,codes,2,)</f>
        <v>dd</v>
      </c>
      <c r="J468" s="53"/>
    </row>
    <row r="469" spans="1:10" x14ac:dyDescent="0.25">
      <c r="A469" s="93">
        <v>45415</v>
      </c>
      <c r="B469" s="35">
        <f>C469+(D469-2009)*12</f>
        <v>185</v>
      </c>
      <c r="C469" s="76">
        <v>5</v>
      </c>
      <c r="D469" s="53">
        <v>2024</v>
      </c>
      <c r="E469" s="56">
        <v>0</v>
      </c>
      <c r="F469" s="53">
        <f>IF(E469&gt;0,1,0)</f>
        <v>0</v>
      </c>
      <c r="G469" s="53">
        <f>SUM(F468:F469)</f>
        <v>0</v>
      </c>
      <c r="H469" s="53">
        <f>IF(G469=1,IF(F468=1,1,-1),G469)</f>
        <v>0</v>
      </c>
      <c r="I469" s="53" t="str">
        <f>VLOOKUP(H469,codes,2,)</f>
        <v>dd</v>
      </c>
      <c r="J469" s="53"/>
    </row>
    <row r="470" spans="1:10" x14ac:dyDescent="0.25">
      <c r="A470" s="93">
        <v>45416</v>
      </c>
      <c r="B470" s="35">
        <f>C470+(D470-2009)*12</f>
        <v>185</v>
      </c>
      <c r="C470" s="76">
        <v>5</v>
      </c>
      <c r="D470" s="53">
        <v>2024</v>
      </c>
      <c r="E470" s="56">
        <v>17.599999999999998</v>
      </c>
      <c r="F470" s="53">
        <f>IF(E470&gt;0,1,0)</f>
        <v>1</v>
      </c>
      <c r="G470" s="53">
        <f>SUM(F469:F470)</f>
        <v>1</v>
      </c>
      <c r="H470" s="53">
        <f>IF(G470=1,IF(F469=1,1,-1),G470)</f>
        <v>-1</v>
      </c>
      <c r="I470" s="53" t="str">
        <f>VLOOKUP(H470,codes,2,)</f>
        <v>dw</v>
      </c>
      <c r="J470" s="53"/>
    </row>
    <row r="471" spans="1:10" x14ac:dyDescent="0.25">
      <c r="A471" s="93">
        <v>45417</v>
      </c>
      <c r="B471" s="35">
        <f>C471+(D471-2009)*12</f>
        <v>185</v>
      </c>
      <c r="C471" s="76">
        <v>5</v>
      </c>
      <c r="D471" s="53">
        <v>2024</v>
      </c>
      <c r="E471" s="56">
        <v>6.6666666666666666E-2</v>
      </c>
      <c r="F471" s="53">
        <f>IF(E471&gt;0,1,0)</f>
        <v>1</v>
      </c>
      <c r="G471" s="53">
        <f>SUM(F470:F471)</f>
        <v>2</v>
      </c>
      <c r="H471" s="53">
        <f>IF(G471=1,IF(F470=1,1,-1),G471)</f>
        <v>2</v>
      </c>
      <c r="I471" s="53" t="str">
        <f>VLOOKUP(H471,codes,2,)</f>
        <v>ww</v>
      </c>
      <c r="J471" s="53"/>
    </row>
    <row r="472" spans="1:10" x14ac:dyDescent="0.25">
      <c r="A472" s="93">
        <v>45418</v>
      </c>
      <c r="B472" s="35">
        <f>C472+(D472-2009)*12</f>
        <v>185</v>
      </c>
      <c r="C472" s="76">
        <v>5</v>
      </c>
      <c r="D472" s="53">
        <v>2024</v>
      </c>
      <c r="E472" s="56">
        <v>0.73333333333333339</v>
      </c>
      <c r="F472" s="53">
        <f>IF(E472&gt;0,1,0)</f>
        <v>1</v>
      </c>
      <c r="G472" s="53">
        <f>SUM(F471:F472)</f>
        <v>2</v>
      </c>
      <c r="H472" s="53">
        <f>IF(G472=1,IF(F471=1,1,-1),G472)</f>
        <v>2</v>
      </c>
      <c r="I472" s="53" t="str">
        <f>VLOOKUP(H472,codes,2,)</f>
        <v>ww</v>
      </c>
      <c r="J472" s="53"/>
    </row>
    <row r="473" spans="1:10" x14ac:dyDescent="0.25">
      <c r="A473" s="93">
        <v>45419</v>
      </c>
      <c r="B473" s="35">
        <f>C473+(D473-2009)*12</f>
        <v>185</v>
      </c>
      <c r="C473" s="76">
        <v>5</v>
      </c>
      <c r="D473" s="53">
        <v>2024</v>
      </c>
      <c r="E473" s="56">
        <v>0.20000000000000004</v>
      </c>
      <c r="F473" s="53">
        <f>IF(E473&gt;0,1,0)</f>
        <v>1</v>
      </c>
      <c r="G473" s="53">
        <f>SUM(F472:F473)</f>
        <v>2</v>
      </c>
      <c r="H473" s="53">
        <f>IF(G473=1,IF(F472=1,1,-1),G473)</f>
        <v>2</v>
      </c>
      <c r="I473" s="53" t="str">
        <f>VLOOKUP(H473,codes,2,)</f>
        <v>ww</v>
      </c>
      <c r="J473" s="53"/>
    </row>
    <row r="474" spans="1:10" x14ac:dyDescent="0.25">
      <c r="A474" s="93">
        <v>45420</v>
      </c>
      <c r="B474" s="35">
        <f>C474+(D474-2009)*12</f>
        <v>185</v>
      </c>
      <c r="C474" s="76">
        <v>5</v>
      </c>
      <c r="D474" s="53">
        <v>2024</v>
      </c>
      <c r="E474" s="56">
        <v>6.6666666666666666E-2</v>
      </c>
      <c r="F474" s="53">
        <f>IF(E474&gt;0,1,0)</f>
        <v>1</v>
      </c>
      <c r="G474" s="53">
        <f>SUM(F473:F474)</f>
        <v>2</v>
      </c>
      <c r="H474" s="53">
        <f>IF(G474=1,IF(F473=1,1,-1),G474)</f>
        <v>2</v>
      </c>
      <c r="I474" s="53" t="str">
        <f>VLOOKUP(H474,codes,2,)</f>
        <v>ww</v>
      </c>
      <c r="J474" s="53"/>
    </row>
    <row r="475" spans="1:10" x14ac:dyDescent="0.25">
      <c r="A475" s="93">
        <v>45421</v>
      </c>
      <c r="B475" s="35">
        <f>C475+(D475-2009)*12</f>
        <v>185</v>
      </c>
      <c r="C475" s="76">
        <v>5</v>
      </c>
      <c r="D475" s="53">
        <v>2024</v>
      </c>
      <c r="E475" s="56">
        <v>0</v>
      </c>
      <c r="F475" s="53">
        <f>IF(E475&gt;0,1,0)</f>
        <v>0</v>
      </c>
      <c r="G475" s="53">
        <f>SUM(F474:F475)</f>
        <v>1</v>
      </c>
      <c r="H475" s="53">
        <f>IF(G475=1,IF(F474=1,1,-1),G475)</f>
        <v>1</v>
      </c>
      <c r="I475" s="53" t="str">
        <f>VLOOKUP(H475,codes,2,)</f>
        <v>wd</v>
      </c>
      <c r="J475" s="53"/>
    </row>
    <row r="476" spans="1:10" x14ac:dyDescent="0.25">
      <c r="A476" s="93">
        <v>45422</v>
      </c>
      <c r="B476" s="35">
        <f>C476+(D476-2009)*12</f>
        <v>185</v>
      </c>
      <c r="C476" s="76">
        <v>5</v>
      </c>
      <c r="D476" s="53">
        <v>2024</v>
      </c>
      <c r="E476" s="56">
        <v>0</v>
      </c>
      <c r="F476" s="53">
        <f>IF(E476&gt;0,1,0)</f>
        <v>0</v>
      </c>
      <c r="G476" s="53">
        <f>SUM(F475:F476)</f>
        <v>0</v>
      </c>
      <c r="H476" s="53">
        <f>IF(G476=1,IF(F475=1,1,-1),G476)</f>
        <v>0</v>
      </c>
      <c r="I476" s="53" t="str">
        <f>VLOOKUP(H476,codes,2,)</f>
        <v>dd</v>
      </c>
      <c r="J476" s="53"/>
    </row>
    <row r="477" spans="1:10" x14ac:dyDescent="0.25">
      <c r="A477" s="93">
        <v>45423</v>
      </c>
      <c r="B477" s="35">
        <f>C477+(D477-2009)*12</f>
        <v>185</v>
      </c>
      <c r="C477" s="76">
        <v>5</v>
      </c>
      <c r="D477" s="53">
        <v>2024</v>
      </c>
      <c r="E477" s="56">
        <v>0</v>
      </c>
      <c r="F477" s="53">
        <f>IF(E477&gt;0,1,0)</f>
        <v>0</v>
      </c>
      <c r="G477" s="53">
        <f>SUM(F476:F477)</f>
        <v>0</v>
      </c>
      <c r="H477" s="53">
        <f>IF(G477=1,IF(F476=1,1,-1),G477)</f>
        <v>0</v>
      </c>
      <c r="I477" s="53" t="str">
        <f>VLOOKUP(H477,codes,2,)</f>
        <v>dd</v>
      </c>
      <c r="J477" s="53"/>
    </row>
    <row r="478" spans="1:10" x14ac:dyDescent="0.25">
      <c r="A478" s="93">
        <v>45424</v>
      </c>
      <c r="B478" s="35">
        <f>C478+(D478-2009)*12</f>
        <v>185</v>
      </c>
      <c r="C478" s="76">
        <v>5</v>
      </c>
      <c r="D478" s="53">
        <v>2024</v>
      </c>
      <c r="E478" s="56">
        <v>0</v>
      </c>
      <c r="F478" s="53">
        <f>IF(E478&gt;0,1,0)</f>
        <v>0</v>
      </c>
      <c r="G478" s="53">
        <f>SUM(F477:F478)</f>
        <v>0</v>
      </c>
      <c r="H478" s="53">
        <f>IF(G478=1,IF(F477=1,1,-1),G478)</f>
        <v>0</v>
      </c>
      <c r="I478" s="53" t="str">
        <f>VLOOKUP(H478,codes,2,)</f>
        <v>dd</v>
      </c>
      <c r="J478" s="53"/>
    </row>
    <row r="479" spans="1:10" x14ac:dyDescent="0.25">
      <c r="A479" s="93">
        <v>45425</v>
      </c>
      <c r="B479" s="35">
        <f>C479+(D479-2009)*12</f>
        <v>185</v>
      </c>
      <c r="C479" s="76">
        <v>5</v>
      </c>
      <c r="D479" s="53">
        <v>2024</v>
      </c>
      <c r="E479" s="56">
        <v>3.6</v>
      </c>
      <c r="F479" s="53">
        <f>IF(E479&gt;0,1,0)</f>
        <v>1</v>
      </c>
      <c r="G479" s="53">
        <f>SUM(F478:F479)</f>
        <v>1</v>
      </c>
      <c r="H479" s="53">
        <f>IF(G479=1,IF(F478=1,1,-1),G479)</f>
        <v>-1</v>
      </c>
      <c r="I479" s="53" t="str">
        <f>VLOOKUP(H479,codes,2,)</f>
        <v>dw</v>
      </c>
      <c r="J479" s="53"/>
    </row>
    <row r="480" spans="1:10" x14ac:dyDescent="0.25">
      <c r="A480" s="93">
        <v>45426</v>
      </c>
      <c r="B480" s="35">
        <f>C480+(D480-2009)*12</f>
        <v>185</v>
      </c>
      <c r="C480" s="76">
        <v>5</v>
      </c>
      <c r="D480" s="53">
        <v>2024</v>
      </c>
      <c r="E480" s="56">
        <v>0</v>
      </c>
      <c r="F480" s="53">
        <f>IF(E480&gt;0,1,0)</f>
        <v>0</v>
      </c>
      <c r="G480" s="53">
        <f>SUM(F479:F480)</f>
        <v>1</v>
      </c>
      <c r="H480" s="53">
        <f>IF(G480=1,IF(F479=1,1,-1),G480)</f>
        <v>1</v>
      </c>
      <c r="I480" s="53" t="str">
        <f>VLOOKUP(H480,codes,2,)</f>
        <v>wd</v>
      </c>
      <c r="J480" s="53"/>
    </row>
    <row r="481" spans="1:10" x14ac:dyDescent="0.25">
      <c r="A481" s="93">
        <v>45427</v>
      </c>
      <c r="B481" s="35">
        <f>C481+(D481-2009)*12</f>
        <v>185</v>
      </c>
      <c r="C481" s="76">
        <v>5</v>
      </c>
      <c r="D481" s="53">
        <v>2024</v>
      </c>
      <c r="E481" s="56">
        <v>1</v>
      </c>
      <c r="F481" s="53">
        <f>IF(E481&gt;0,1,0)</f>
        <v>1</v>
      </c>
      <c r="G481" s="53">
        <f>SUM(F480:F481)</f>
        <v>1</v>
      </c>
      <c r="H481" s="53">
        <f>IF(G481=1,IF(F480=1,1,-1),G481)</f>
        <v>-1</v>
      </c>
      <c r="I481" s="53" t="str">
        <f>VLOOKUP(H481,codes,2,)</f>
        <v>dw</v>
      </c>
      <c r="J481" s="53"/>
    </row>
    <row r="482" spans="1:10" x14ac:dyDescent="0.25">
      <c r="A482" s="93">
        <v>45428</v>
      </c>
      <c r="B482" s="35">
        <f>C482+(D482-2009)*12</f>
        <v>185</v>
      </c>
      <c r="C482" s="76">
        <v>5</v>
      </c>
      <c r="D482" s="53">
        <v>2024</v>
      </c>
      <c r="E482" s="56">
        <v>6.6666666666666666E-2</v>
      </c>
      <c r="F482" s="53">
        <f>IF(E482&gt;0,1,0)</f>
        <v>1</v>
      </c>
      <c r="G482" s="53">
        <f>SUM(F481:F482)</f>
        <v>2</v>
      </c>
      <c r="H482" s="53">
        <f>IF(G482=1,IF(F481=1,1,-1),G482)</f>
        <v>2</v>
      </c>
      <c r="I482" s="53" t="str">
        <f>VLOOKUP(H482,codes,2,)</f>
        <v>ww</v>
      </c>
      <c r="J482" s="53"/>
    </row>
    <row r="483" spans="1:10" x14ac:dyDescent="0.25">
      <c r="A483" s="93">
        <v>45429</v>
      </c>
      <c r="B483" s="35">
        <f>C483+(D483-2009)*12</f>
        <v>185</v>
      </c>
      <c r="C483" s="76">
        <v>5</v>
      </c>
      <c r="D483" s="53">
        <v>2024</v>
      </c>
      <c r="E483" s="56">
        <v>0</v>
      </c>
      <c r="F483" s="53">
        <f>IF(E483&gt;0,1,0)</f>
        <v>0</v>
      </c>
      <c r="G483" s="53">
        <f>SUM(F482:F483)</f>
        <v>1</v>
      </c>
      <c r="H483" s="53">
        <f>IF(G483=1,IF(F482=1,1,-1),G483)</f>
        <v>1</v>
      </c>
      <c r="I483" s="53" t="str">
        <f>VLOOKUP(H483,codes,2,)</f>
        <v>wd</v>
      </c>
      <c r="J483" s="53"/>
    </row>
    <row r="484" spans="1:10" x14ac:dyDescent="0.25">
      <c r="A484" s="93">
        <v>45430</v>
      </c>
      <c r="B484" s="35">
        <f>C484+(D484-2009)*12</f>
        <v>185</v>
      </c>
      <c r="C484" s="76">
        <v>5</v>
      </c>
      <c r="D484" s="53">
        <v>2024</v>
      </c>
      <c r="E484" s="56">
        <v>6.6666666666666666E-2</v>
      </c>
      <c r="F484" s="53">
        <f>IF(E484&gt;0,1,0)</f>
        <v>1</v>
      </c>
      <c r="G484" s="53">
        <f>SUM(F483:F484)</f>
        <v>1</v>
      </c>
      <c r="H484" s="53">
        <f>IF(G484=1,IF(F483=1,1,-1),G484)</f>
        <v>-1</v>
      </c>
      <c r="I484" s="53" t="str">
        <f>VLOOKUP(H484,codes,2,)</f>
        <v>dw</v>
      </c>
      <c r="J484" s="53"/>
    </row>
    <row r="485" spans="1:10" x14ac:dyDescent="0.25">
      <c r="A485" s="93">
        <v>45431</v>
      </c>
      <c r="B485" s="35">
        <f>C485+(D485-2009)*12</f>
        <v>185</v>
      </c>
      <c r="C485" s="76">
        <v>5</v>
      </c>
      <c r="D485" s="53">
        <v>2024</v>
      </c>
      <c r="E485" s="56">
        <v>0</v>
      </c>
      <c r="F485" s="53">
        <f>IF(E485&gt;0,1,0)</f>
        <v>0</v>
      </c>
      <c r="G485" s="53">
        <f>SUM(F484:F485)</f>
        <v>1</v>
      </c>
      <c r="H485" s="53">
        <f>IF(G485=1,IF(F484=1,1,-1),G485)</f>
        <v>1</v>
      </c>
      <c r="I485" s="53" t="str">
        <f>VLOOKUP(H485,codes,2,)</f>
        <v>wd</v>
      </c>
      <c r="J485" s="53"/>
    </row>
    <row r="486" spans="1:10" x14ac:dyDescent="0.25">
      <c r="A486" s="93">
        <v>45432</v>
      </c>
      <c r="B486" s="35">
        <f>C486+(D486-2009)*12</f>
        <v>185</v>
      </c>
      <c r="C486" s="76">
        <v>5</v>
      </c>
      <c r="D486" s="53">
        <v>2024</v>
      </c>
      <c r="E486" s="56">
        <v>0</v>
      </c>
      <c r="F486" s="53">
        <f>IF(E486&gt;0,1,0)</f>
        <v>0</v>
      </c>
      <c r="G486" s="53">
        <f>SUM(F485:F486)</f>
        <v>0</v>
      </c>
      <c r="H486" s="53">
        <f>IF(G486=1,IF(F485=1,1,-1),G486)</f>
        <v>0</v>
      </c>
      <c r="I486" s="53" t="str">
        <f>VLOOKUP(H486,codes,2,)</f>
        <v>dd</v>
      </c>
      <c r="J486" s="53"/>
    </row>
    <row r="487" spans="1:10" x14ac:dyDescent="0.25">
      <c r="A487" s="93">
        <v>45433</v>
      </c>
      <c r="B487" s="35">
        <f>C487+(D487-2009)*12</f>
        <v>185</v>
      </c>
      <c r="C487" s="76">
        <v>5</v>
      </c>
      <c r="D487" s="53">
        <v>2024</v>
      </c>
      <c r="E487" s="56">
        <v>0.19999999999999998</v>
      </c>
      <c r="F487" s="53">
        <f>IF(E487&gt;0,1,0)</f>
        <v>1</v>
      </c>
      <c r="G487" s="53">
        <f>SUM(F486:F487)</f>
        <v>1</v>
      </c>
      <c r="H487" s="53">
        <f>IF(G487=1,IF(F486=1,1,-1),G487)</f>
        <v>-1</v>
      </c>
      <c r="I487" s="53" t="str">
        <f>VLOOKUP(H487,codes,2,)</f>
        <v>dw</v>
      </c>
      <c r="J487" s="53"/>
    </row>
    <row r="488" spans="1:10" x14ac:dyDescent="0.25">
      <c r="A488" s="93">
        <v>45434</v>
      </c>
      <c r="B488" s="35">
        <f>C488+(D488-2009)*12</f>
        <v>185</v>
      </c>
      <c r="C488" s="76">
        <v>5</v>
      </c>
      <c r="D488" s="53">
        <v>2024</v>
      </c>
      <c r="E488" s="56">
        <v>3.3333333333333335</v>
      </c>
      <c r="F488" s="53">
        <f>IF(E488&gt;0,1,0)</f>
        <v>1</v>
      </c>
      <c r="G488" s="53">
        <f>SUM(F487:F488)</f>
        <v>2</v>
      </c>
      <c r="H488" s="53">
        <f>IF(G488=1,IF(F487=1,1,-1),G488)</f>
        <v>2</v>
      </c>
      <c r="I488" s="53" t="str">
        <f>VLOOKUP(H488,codes,2,)</f>
        <v>ww</v>
      </c>
      <c r="J488" s="53"/>
    </row>
    <row r="489" spans="1:10" x14ac:dyDescent="0.25">
      <c r="A489" s="93">
        <v>45435</v>
      </c>
      <c r="B489" s="35">
        <f>C489+(D489-2009)*12</f>
        <v>185</v>
      </c>
      <c r="C489" s="76">
        <v>5</v>
      </c>
      <c r="D489" s="53">
        <v>2024</v>
      </c>
      <c r="E489" s="56">
        <v>27.100000000000005</v>
      </c>
      <c r="F489" s="53">
        <f>IF(E489&gt;0,1,0)</f>
        <v>1</v>
      </c>
      <c r="G489" s="53">
        <f>SUM(F488:F489)</f>
        <v>2</v>
      </c>
      <c r="H489" s="53">
        <f>IF(G489=1,IF(F488=1,1,-1),G489)</f>
        <v>2</v>
      </c>
      <c r="I489" s="53" t="str">
        <f>VLOOKUP(H489,codes,2,)</f>
        <v>ww</v>
      </c>
      <c r="J489" s="53"/>
    </row>
    <row r="490" spans="1:10" x14ac:dyDescent="0.25">
      <c r="A490" s="93">
        <v>45436</v>
      </c>
      <c r="B490" s="35">
        <f>C490+(D490-2009)*12</f>
        <v>185</v>
      </c>
      <c r="C490" s="76">
        <v>5</v>
      </c>
      <c r="D490" s="53">
        <v>2024</v>
      </c>
      <c r="E490" s="56">
        <v>1.0000000000000002</v>
      </c>
      <c r="F490" s="53">
        <f>IF(E490&gt;0,1,0)</f>
        <v>1</v>
      </c>
      <c r="G490" s="53">
        <f>SUM(F489:F490)</f>
        <v>2</v>
      </c>
      <c r="H490" s="53">
        <f>IF(G490=1,IF(F489=1,1,-1),G490)</f>
        <v>2</v>
      </c>
      <c r="I490" s="53" t="str">
        <f>VLOOKUP(H490,codes,2,)</f>
        <v>ww</v>
      </c>
      <c r="J490" s="53"/>
    </row>
    <row r="491" spans="1:10" x14ac:dyDescent="0.25">
      <c r="A491" s="93">
        <v>45437</v>
      </c>
      <c r="B491" s="35">
        <f>C491+(D491-2009)*12</f>
        <v>185</v>
      </c>
      <c r="C491" s="76">
        <v>5</v>
      </c>
      <c r="D491" s="53">
        <v>2024</v>
      </c>
      <c r="E491" s="56">
        <v>0</v>
      </c>
      <c r="F491" s="53">
        <f>IF(E491&gt;0,1,0)</f>
        <v>0</v>
      </c>
      <c r="G491" s="53">
        <f>SUM(F490:F491)</f>
        <v>1</v>
      </c>
      <c r="H491" s="53">
        <f>IF(G491=1,IF(F490=1,1,-1),G491)</f>
        <v>1</v>
      </c>
      <c r="I491" s="53" t="str">
        <f>VLOOKUP(H491,codes,2,)</f>
        <v>wd</v>
      </c>
      <c r="J491" s="53"/>
    </row>
    <row r="492" spans="1:10" x14ac:dyDescent="0.25">
      <c r="A492" s="93">
        <v>45438</v>
      </c>
      <c r="B492" s="35">
        <f>C492+(D492-2009)*12</f>
        <v>185</v>
      </c>
      <c r="C492" s="76">
        <v>5</v>
      </c>
      <c r="D492" s="53">
        <v>2024</v>
      </c>
      <c r="E492" s="56">
        <v>10.466666666666667</v>
      </c>
      <c r="F492" s="53">
        <f>IF(E492&gt;0,1,0)</f>
        <v>1</v>
      </c>
      <c r="G492" s="53">
        <f>SUM(F491:F492)</f>
        <v>1</v>
      </c>
      <c r="H492" s="53">
        <f>IF(G492=1,IF(F491=1,1,-1),G492)</f>
        <v>-1</v>
      </c>
      <c r="I492" s="53" t="str">
        <f>VLOOKUP(H492,codes,2,)</f>
        <v>dw</v>
      </c>
      <c r="J492" s="53"/>
    </row>
    <row r="493" spans="1:10" x14ac:dyDescent="0.25">
      <c r="A493" s="93">
        <v>45439</v>
      </c>
      <c r="B493" s="35">
        <f>C493+(D493-2009)*12</f>
        <v>185</v>
      </c>
      <c r="C493" s="76">
        <v>5</v>
      </c>
      <c r="D493" s="53">
        <v>2024</v>
      </c>
      <c r="E493" s="56">
        <v>3.8666666666666667</v>
      </c>
      <c r="F493" s="53">
        <f>IF(E493&gt;0,1,0)</f>
        <v>1</v>
      </c>
      <c r="G493" s="53">
        <f>SUM(F492:F493)</f>
        <v>2</v>
      </c>
      <c r="H493" s="53">
        <f>IF(G493=1,IF(F492=1,1,-1),G493)</f>
        <v>2</v>
      </c>
      <c r="I493" s="53" t="str">
        <f>VLOOKUP(H493,codes,2,)</f>
        <v>ww</v>
      </c>
      <c r="J493" s="53"/>
    </row>
    <row r="494" spans="1:10" x14ac:dyDescent="0.25">
      <c r="A494" s="93">
        <v>45440</v>
      </c>
      <c r="B494" s="35">
        <f>C494+(D494-2009)*12</f>
        <v>185</v>
      </c>
      <c r="C494" s="76">
        <v>5</v>
      </c>
      <c r="D494" s="53">
        <v>2024</v>
      </c>
      <c r="E494" s="56">
        <v>2</v>
      </c>
      <c r="F494" s="53">
        <f>IF(E494&gt;0,1,0)</f>
        <v>1</v>
      </c>
      <c r="G494" s="53">
        <f>SUM(F493:F494)</f>
        <v>2</v>
      </c>
      <c r="H494" s="53">
        <f>IF(G494=1,IF(F493=1,1,-1),G494)</f>
        <v>2</v>
      </c>
      <c r="I494" s="53" t="str">
        <f>VLOOKUP(H494,codes,2,)</f>
        <v>ww</v>
      </c>
      <c r="J494" s="53"/>
    </row>
    <row r="495" spans="1:10" x14ac:dyDescent="0.25">
      <c r="A495" s="93">
        <v>45441</v>
      </c>
      <c r="B495" s="35">
        <f>C495+(D495-2009)*12</f>
        <v>185</v>
      </c>
      <c r="C495" s="76">
        <v>5</v>
      </c>
      <c r="D495" s="53">
        <v>2024</v>
      </c>
      <c r="E495" s="56">
        <v>4.1333333333333337</v>
      </c>
      <c r="F495" s="53">
        <f>IF(E495&gt;0,1,0)</f>
        <v>1</v>
      </c>
      <c r="G495" s="53">
        <f>SUM(F494:F495)</f>
        <v>2</v>
      </c>
      <c r="H495" s="53">
        <f>IF(G495=1,IF(F494=1,1,-1),G495)</f>
        <v>2</v>
      </c>
      <c r="I495" s="53" t="str">
        <f>VLOOKUP(H495,codes,2,)</f>
        <v>ww</v>
      </c>
      <c r="J495" s="53"/>
    </row>
    <row r="496" spans="1:10" x14ac:dyDescent="0.25">
      <c r="A496" s="93">
        <v>45442</v>
      </c>
      <c r="B496" s="35">
        <f>C496+(D496-2009)*12</f>
        <v>185</v>
      </c>
      <c r="C496" s="76">
        <v>5</v>
      </c>
      <c r="D496" s="53">
        <v>2024</v>
      </c>
      <c r="E496" s="56">
        <v>18.466666666666669</v>
      </c>
      <c r="F496" s="53">
        <f>IF(E496&gt;0,1,0)</f>
        <v>1</v>
      </c>
      <c r="G496" s="53">
        <f>SUM(F495:F496)</f>
        <v>2</v>
      </c>
      <c r="H496" s="53">
        <f>IF(G496=1,IF(F495=1,1,-1),G496)</f>
        <v>2</v>
      </c>
      <c r="I496" s="53" t="str">
        <f>VLOOKUP(H496,codes,2,)</f>
        <v>ww</v>
      </c>
      <c r="J496" s="53"/>
    </row>
    <row r="497" spans="1:10" x14ac:dyDescent="0.25">
      <c r="A497" s="93">
        <v>45443</v>
      </c>
      <c r="B497" s="35">
        <f>C497+(D497-2009)*12</f>
        <v>185</v>
      </c>
      <c r="C497" s="76">
        <v>5</v>
      </c>
      <c r="D497" s="53">
        <v>2024</v>
      </c>
      <c r="E497" s="56">
        <v>0.26666666666666666</v>
      </c>
      <c r="F497" s="53">
        <f>IF(E497&gt;0,1,0)</f>
        <v>1</v>
      </c>
      <c r="G497" s="53">
        <f>SUM(F496:F497)</f>
        <v>2</v>
      </c>
      <c r="H497" s="53">
        <f>IF(G497=1,IF(F496=1,1,-1),G497)</f>
        <v>2</v>
      </c>
      <c r="I497" s="53" t="str">
        <f>VLOOKUP(H497,codes,2,)</f>
        <v>ww</v>
      </c>
      <c r="J497" s="53"/>
    </row>
    <row r="498" spans="1:10" x14ac:dyDescent="0.25">
      <c r="A498" s="93">
        <v>39904</v>
      </c>
      <c r="B498" s="35">
        <f>C498+(D498-2009)*12</f>
        <v>4</v>
      </c>
      <c r="C498" s="76">
        <v>4</v>
      </c>
      <c r="D498" s="76">
        <v>2009</v>
      </c>
      <c r="E498" s="56">
        <v>0</v>
      </c>
      <c r="F498" s="53">
        <f>IF(E498&gt;0,1,0)</f>
        <v>0</v>
      </c>
      <c r="G498" s="53">
        <f>SUM(F497:F498)</f>
        <v>1</v>
      </c>
      <c r="H498" s="53">
        <f>IF(G498=1,IF(F497=1,1,-1),G498)</f>
        <v>1</v>
      </c>
      <c r="I498" s="53" t="str">
        <f>VLOOKUP(H498,codes,2,)</f>
        <v>wd</v>
      </c>
      <c r="J498" s="53"/>
    </row>
    <row r="499" spans="1:10" x14ac:dyDescent="0.25">
      <c r="A499" s="93">
        <v>39905</v>
      </c>
      <c r="B499" s="35">
        <f>C499+(D499-2009)*12</f>
        <v>4</v>
      </c>
      <c r="C499" s="76">
        <v>4</v>
      </c>
      <c r="D499" s="76">
        <v>2009</v>
      </c>
      <c r="E499" s="56">
        <v>0</v>
      </c>
      <c r="F499" s="53">
        <f>IF(E499&gt;0,1,0)</f>
        <v>0</v>
      </c>
      <c r="G499" s="53">
        <f>SUM(F498:F499)</f>
        <v>0</v>
      </c>
      <c r="H499" s="53">
        <f>IF(G499=1,IF(F498=1,1,-1),G499)</f>
        <v>0</v>
      </c>
      <c r="I499" s="53" t="str">
        <f>VLOOKUP(H499,codes,2,)</f>
        <v>dd</v>
      </c>
      <c r="J499" s="53"/>
    </row>
    <row r="500" spans="1:10" x14ac:dyDescent="0.25">
      <c r="A500" s="93">
        <v>39906</v>
      </c>
      <c r="B500" s="35">
        <f>C500+(D500-2009)*12</f>
        <v>4</v>
      </c>
      <c r="C500" s="76">
        <v>4</v>
      </c>
      <c r="D500" s="76">
        <v>2009</v>
      </c>
      <c r="E500" s="56">
        <v>0</v>
      </c>
      <c r="F500" s="53">
        <f>IF(E500&gt;0,1,0)</f>
        <v>0</v>
      </c>
      <c r="G500" s="53">
        <f>SUM(F499:F500)</f>
        <v>0</v>
      </c>
      <c r="H500" s="53">
        <f>IF(G500=1,IF(F499=1,1,-1),G500)</f>
        <v>0</v>
      </c>
      <c r="I500" s="53" t="str">
        <f>VLOOKUP(H500,codes,2,)</f>
        <v>dd</v>
      </c>
      <c r="J500" s="53"/>
    </row>
    <row r="501" spans="1:10" x14ac:dyDescent="0.25">
      <c r="A501" s="93">
        <v>39907</v>
      </c>
      <c r="B501" s="35">
        <f>C501+(D501-2009)*12</f>
        <v>4</v>
      </c>
      <c r="C501" s="76">
        <v>4</v>
      </c>
      <c r="D501" s="76">
        <v>2009</v>
      </c>
      <c r="E501" s="56">
        <v>6.6666666666666666E-2</v>
      </c>
      <c r="F501" s="53">
        <f>IF(E501&gt;0,1,0)</f>
        <v>1</v>
      </c>
      <c r="G501" s="53">
        <f>SUM(F500:F501)</f>
        <v>1</v>
      </c>
      <c r="H501" s="53">
        <f>IF(G501=1,IF(F500=1,1,-1),G501)</f>
        <v>-1</v>
      </c>
      <c r="I501" s="53" t="str">
        <f>VLOOKUP(H501,codes,2,)</f>
        <v>dw</v>
      </c>
      <c r="J501" s="53"/>
    </row>
    <row r="502" spans="1:10" x14ac:dyDescent="0.25">
      <c r="A502" s="93">
        <v>39908</v>
      </c>
      <c r="B502" s="35">
        <f>C502+(D502-2009)*12</f>
        <v>4</v>
      </c>
      <c r="C502" s="76">
        <v>4</v>
      </c>
      <c r="D502" s="76">
        <v>2009</v>
      </c>
      <c r="E502" s="56">
        <v>0</v>
      </c>
      <c r="F502" s="53">
        <f>IF(E502&gt;0,1,0)</f>
        <v>0</v>
      </c>
      <c r="G502" s="53">
        <f>SUM(F501:F502)</f>
        <v>1</v>
      </c>
      <c r="H502" s="53">
        <f>IF(G502=1,IF(F501=1,1,-1),G502)</f>
        <v>1</v>
      </c>
      <c r="I502" s="53" t="str">
        <f>VLOOKUP(H502,codes,2,)</f>
        <v>wd</v>
      </c>
      <c r="J502" s="53"/>
    </row>
    <row r="503" spans="1:10" x14ac:dyDescent="0.25">
      <c r="A503" s="93">
        <v>39909</v>
      </c>
      <c r="B503" s="35">
        <f>C503+(D503-2009)*12</f>
        <v>4</v>
      </c>
      <c r="C503" s="76">
        <v>4</v>
      </c>
      <c r="D503" s="76">
        <v>2009</v>
      </c>
      <c r="E503" s="56">
        <v>0.53333333333333333</v>
      </c>
      <c r="F503" s="53">
        <f>IF(E503&gt;0,1,0)</f>
        <v>1</v>
      </c>
      <c r="G503" s="53">
        <f>SUM(F502:F503)</f>
        <v>1</v>
      </c>
      <c r="H503" s="53">
        <f>IF(G503=1,IF(F502=1,1,-1),G503)</f>
        <v>-1</v>
      </c>
      <c r="I503" s="53" t="str">
        <f>VLOOKUP(H503,codes,2,)</f>
        <v>dw</v>
      </c>
      <c r="J503" s="53"/>
    </row>
    <row r="504" spans="1:10" x14ac:dyDescent="0.25">
      <c r="A504" s="93">
        <v>39910</v>
      </c>
      <c r="B504" s="35">
        <f>C504+(D504-2009)*12</f>
        <v>4</v>
      </c>
      <c r="C504" s="76">
        <v>4</v>
      </c>
      <c r="D504" s="76">
        <v>2009</v>
      </c>
      <c r="E504" s="56">
        <v>1.6666666666666667</v>
      </c>
      <c r="F504" s="53">
        <f>IF(E504&gt;0,1,0)</f>
        <v>1</v>
      </c>
      <c r="G504" s="53">
        <f>SUM(F503:F504)</f>
        <v>2</v>
      </c>
      <c r="H504" s="53">
        <f>IF(G504=1,IF(F503=1,1,-1),G504)</f>
        <v>2</v>
      </c>
      <c r="I504" s="53" t="str">
        <f>VLOOKUP(H504,codes,2,)</f>
        <v>ww</v>
      </c>
      <c r="J504" s="53"/>
    </row>
    <row r="505" spans="1:10" x14ac:dyDescent="0.25">
      <c r="A505" s="93">
        <v>39911</v>
      </c>
      <c r="B505" s="35">
        <f>C505+(D505-2009)*12</f>
        <v>4</v>
      </c>
      <c r="C505" s="76">
        <v>4</v>
      </c>
      <c r="D505" s="76">
        <v>2009</v>
      </c>
      <c r="E505" s="56">
        <v>1.0000000000000002</v>
      </c>
      <c r="F505" s="53">
        <f>IF(E505&gt;0,1,0)</f>
        <v>1</v>
      </c>
      <c r="G505" s="53">
        <f>SUM(F504:F505)</f>
        <v>2</v>
      </c>
      <c r="H505" s="53">
        <f>IF(G505=1,IF(F504=1,1,-1),G505)</f>
        <v>2</v>
      </c>
      <c r="I505" s="53" t="str">
        <f>VLOOKUP(H505,codes,2,)</f>
        <v>ww</v>
      </c>
      <c r="J505" s="53"/>
    </row>
    <row r="506" spans="1:10" x14ac:dyDescent="0.25">
      <c r="A506" s="93">
        <v>39912</v>
      </c>
      <c r="B506" s="35">
        <f>C506+(D506-2009)*12</f>
        <v>4</v>
      </c>
      <c r="C506" s="76">
        <v>4</v>
      </c>
      <c r="D506" s="76">
        <v>2009</v>
      </c>
      <c r="E506" s="56">
        <v>0.8666666666666667</v>
      </c>
      <c r="F506" s="53">
        <f>IF(E506&gt;0,1,0)</f>
        <v>1</v>
      </c>
      <c r="G506" s="53">
        <f>SUM(F505:F506)</f>
        <v>2</v>
      </c>
      <c r="H506" s="53">
        <f>IF(G506=1,IF(F505=1,1,-1),G506)</f>
        <v>2</v>
      </c>
      <c r="I506" s="53" t="str">
        <f>VLOOKUP(H506,codes,2,)</f>
        <v>ww</v>
      </c>
      <c r="J506" s="53"/>
    </row>
    <row r="507" spans="1:10" x14ac:dyDescent="0.25">
      <c r="A507" s="93">
        <v>39913</v>
      </c>
      <c r="B507" s="35">
        <f>C507+(D507-2009)*12</f>
        <v>4</v>
      </c>
      <c r="C507" s="76">
        <v>4</v>
      </c>
      <c r="D507" s="76">
        <v>2009</v>
      </c>
      <c r="E507" s="56">
        <v>0.66666666666666663</v>
      </c>
      <c r="F507" s="53">
        <f>IF(E507&gt;0,1,0)</f>
        <v>1</v>
      </c>
      <c r="G507" s="53">
        <f>SUM(F506:F507)</f>
        <v>2</v>
      </c>
      <c r="H507" s="53">
        <f>IF(G507=1,IF(F506=1,1,-1),G507)</f>
        <v>2</v>
      </c>
      <c r="I507" s="53" t="str">
        <f>VLOOKUP(H507,codes,2,)</f>
        <v>ww</v>
      </c>
      <c r="J507" s="53"/>
    </row>
    <row r="508" spans="1:10" x14ac:dyDescent="0.25">
      <c r="A508" s="93">
        <v>39914</v>
      </c>
      <c r="B508" s="35">
        <f>C508+(D508-2009)*12</f>
        <v>4</v>
      </c>
      <c r="C508" s="76">
        <v>4</v>
      </c>
      <c r="D508" s="76">
        <v>2009</v>
      </c>
      <c r="E508" s="56">
        <v>2.3333333333333335</v>
      </c>
      <c r="F508" s="53">
        <f>IF(E508&gt;0,1,0)</f>
        <v>1</v>
      </c>
      <c r="G508" s="53">
        <f>SUM(F507:F508)</f>
        <v>2</v>
      </c>
      <c r="H508" s="53">
        <f>IF(G508=1,IF(F507=1,1,-1),G508)</f>
        <v>2</v>
      </c>
      <c r="I508" s="53" t="str">
        <f>VLOOKUP(H508,codes,2,)</f>
        <v>ww</v>
      </c>
      <c r="J508" s="53"/>
    </row>
    <row r="509" spans="1:10" x14ac:dyDescent="0.25">
      <c r="A509" s="93">
        <v>39915</v>
      </c>
      <c r="B509" s="35">
        <f>C509+(D509-2009)*12</f>
        <v>4</v>
      </c>
      <c r="C509" s="76">
        <v>4</v>
      </c>
      <c r="D509" s="76">
        <v>2009</v>
      </c>
      <c r="E509" s="56">
        <v>6.6666666666666666E-2</v>
      </c>
      <c r="F509" s="53">
        <f>IF(E509&gt;0,1,0)</f>
        <v>1</v>
      </c>
      <c r="G509" s="53">
        <f>SUM(F508:F509)</f>
        <v>2</v>
      </c>
      <c r="H509" s="53">
        <f>IF(G509=1,IF(F508=1,1,-1),G509)</f>
        <v>2</v>
      </c>
      <c r="I509" s="53" t="str">
        <f>VLOOKUP(H509,codes,2,)</f>
        <v>ww</v>
      </c>
      <c r="J509" s="53"/>
    </row>
    <row r="510" spans="1:10" x14ac:dyDescent="0.25">
      <c r="A510" s="93">
        <v>39916</v>
      </c>
      <c r="B510" s="35">
        <f>C510+(D510-2009)*12</f>
        <v>4</v>
      </c>
      <c r="C510" s="76">
        <v>4</v>
      </c>
      <c r="D510" s="76">
        <v>2009</v>
      </c>
      <c r="E510" s="56">
        <v>0.13333333333333333</v>
      </c>
      <c r="F510" s="53">
        <f>IF(E510&gt;0,1,0)</f>
        <v>1</v>
      </c>
      <c r="G510" s="53">
        <f>SUM(F509:F510)</f>
        <v>2</v>
      </c>
      <c r="H510" s="53">
        <f>IF(G510=1,IF(F509=1,1,-1),G510)</f>
        <v>2</v>
      </c>
      <c r="I510" s="53" t="str">
        <f>VLOOKUP(H510,codes,2,)</f>
        <v>ww</v>
      </c>
      <c r="J510" s="53"/>
    </row>
    <row r="511" spans="1:10" x14ac:dyDescent="0.25">
      <c r="A511" s="93">
        <v>39917</v>
      </c>
      <c r="B511" s="35">
        <f>C511+(D511-2009)*12</f>
        <v>4</v>
      </c>
      <c r="C511" s="76">
        <v>4</v>
      </c>
      <c r="D511" s="76">
        <v>2009</v>
      </c>
      <c r="E511" s="56">
        <v>6.6666666666666666E-2</v>
      </c>
      <c r="F511" s="53">
        <f>IF(E511&gt;0,1,0)</f>
        <v>1</v>
      </c>
      <c r="G511" s="53">
        <f>SUM(F510:F511)</f>
        <v>2</v>
      </c>
      <c r="H511" s="53">
        <f>IF(G511=1,IF(F510=1,1,-1),G511)</f>
        <v>2</v>
      </c>
      <c r="I511" s="53" t="str">
        <f>VLOOKUP(H511,codes,2,)</f>
        <v>ww</v>
      </c>
      <c r="J511" s="53"/>
    </row>
    <row r="512" spans="1:10" x14ac:dyDescent="0.25">
      <c r="A512" s="93">
        <v>39918</v>
      </c>
      <c r="B512" s="35">
        <f>C512+(D512-2009)*12</f>
        <v>4</v>
      </c>
      <c r="C512" s="76">
        <v>4</v>
      </c>
      <c r="D512" s="76">
        <v>2009</v>
      </c>
      <c r="E512" s="56">
        <v>0.20000000000000004</v>
      </c>
      <c r="F512" s="53">
        <f>IF(E512&gt;0,1,0)</f>
        <v>1</v>
      </c>
      <c r="G512" s="53">
        <f>SUM(F511:F512)</f>
        <v>2</v>
      </c>
      <c r="H512" s="53">
        <f>IF(G512=1,IF(F511=1,1,-1),G512)</f>
        <v>2</v>
      </c>
      <c r="I512" s="53" t="str">
        <f>VLOOKUP(H512,codes,2,)</f>
        <v>ww</v>
      </c>
      <c r="J512" s="53"/>
    </row>
    <row r="513" spans="1:10" x14ac:dyDescent="0.25">
      <c r="A513" s="93">
        <v>39919</v>
      </c>
      <c r="B513" s="35">
        <f>C513+(D513-2009)*12</f>
        <v>4</v>
      </c>
      <c r="C513" s="76">
        <v>4</v>
      </c>
      <c r="D513" s="76">
        <v>2009</v>
      </c>
      <c r="E513" s="56">
        <v>0</v>
      </c>
      <c r="F513" s="53">
        <f>IF(E513&gt;0,1,0)</f>
        <v>0</v>
      </c>
      <c r="G513" s="53">
        <f>SUM(F512:F513)</f>
        <v>1</v>
      </c>
      <c r="H513" s="53">
        <f>IF(G513=1,IF(F512=1,1,-1),G513)</f>
        <v>1</v>
      </c>
      <c r="I513" s="53" t="str">
        <f>VLOOKUP(H513,codes,2,)</f>
        <v>wd</v>
      </c>
      <c r="J513" s="53"/>
    </row>
    <row r="514" spans="1:10" x14ac:dyDescent="0.25">
      <c r="A514" s="93">
        <v>39920</v>
      </c>
      <c r="B514" s="35">
        <f>C514+(D514-2009)*12</f>
        <v>4</v>
      </c>
      <c r="C514" s="76">
        <v>4</v>
      </c>
      <c r="D514" s="76">
        <v>2009</v>
      </c>
      <c r="E514" s="56">
        <v>0</v>
      </c>
      <c r="F514" s="53">
        <f>IF(E514&gt;0,1,0)</f>
        <v>0</v>
      </c>
      <c r="G514" s="53">
        <f>SUM(F513:F514)</f>
        <v>0</v>
      </c>
      <c r="H514" s="53">
        <f>IF(G514=1,IF(F513=1,1,-1),G514)</f>
        <v>0</v>
      </c>
      <c r="I514" s="53" t="str">
        <f>VLOOKUP(H514,codes,2,)</f>
        <v>dd</v>
      </c>
      <c r="J514" s="53"/>
    </row>
    <row r="515" spans="1:10" x14ac:dyDescent="0.25">
      <c r="A515" s="93">
        <v>39921</v>
      </c>
      <c r="B515" s="35">
        <f>C515+(D515-2009)*12</f>
        <v>4</v>
      </c>
      <c r="C515" s="76">
        <v>4</v>
      </c>
      <c r="D515" s="76">
        <v>2009</v>
      </c>
      <c r="E515" s="56">
        <v>0</v>
      </c>
      <c r="F515" s="53">
        <f>IF(E515&gt;0,1,0)</f>
        <v>0</v>
      </c>
      <c r="G515" s="53">
        <f>SUM(F514:F515)</f>
        <v>0</v>
      </c>
      <c r="H515" s="53">
        <f>IF(G515=1,IF(F514=1,1,-1),G515)</f>
        <v>0</v>
      </c>
      <c r="I515" s="53" t="str">
        <f>VLOOKUP(H515,codes,2,)</f>
        <v>dd</v>
      </c>
      <c r="J515" s="53"/>
    </row>
    <row r="516" spans="1:10" x14ac:dyDescent="0.25">
      <c r="A516" s="93">
        <v>39922</v>
      </c>
      <c r="B516" s="35">
        <f>C516+(D516-2009)*12</f>
        <v>4</v>
      </c>
      <c r="C516" s="76">
        <v>4</v>
      </c>
      <c r="D516" s="76">
        <v>2009</v>
      </c>
      <c r="E516" s="56">
        <v>0</v>
      </c>
      <c r="F516" s="53">
        <f>IF(E516&gt;0,1,0)</f>
        <v>0</v>
      </c>
      <c r="G516" s="53">
        <f>SUM(F515:F516)</f>
        <v>0</v>
      </c>
      <c r="H516" s="53">
        <f>IF(G516=1,IF(F515=1,1,-1),G516)</f>
        <v>0</v>
      </c>
      <c r="I516" s="53" t="str">
        <f>VLOOKUP(H516,codes,2,)</f>
        <v>dd</v>
      </c>
      <c r="J516" s="53"/>
    </row>
    <row r="517" spans="1:10" x14ac:dyDescent="0.25">
      <c r="A517" s="93">
        <v>39923</v>
      </c>
      <c r="B517" s="35">
        <f>C517+(D517-2009)*12</f>
        <v>4</v>
      </c>
      <c r="C517" s="76">
        <v>4</v>
      </c>
      <c r="D517" s="76">
        <v>2009</v>
      </c>
      <c r="E517" s="56">
        <v>0</v>
      </c>
      <c r="F517" s="53">
        <f>IF(E517&gt;0,1,0)</f>
        <v>0</v>
      </c>
      <c r="G517" s="53">
        <f>SUM(F516:F517)</f>
        <v>0</v>
      </c>
      <c r="H517" s="53">
        <f>IF(G517=1,IF(F516=1,1,-1),G517)</f>
        <v>0</v>
      </c>
      <c r="I517" s="53" t="str">
        <f>VLOOKUP(H517,codes,2,)</f>
        <v>dd</v>
      </c>
      <c r="J517" s="53"/>
    </row>
    <row r="518" spans="1:10" x14ac:dyDescent="0.25">
      <c r="A518" s="93">
        <v>39924</v>
      </c>
      <c r="B518" s="35">
        <f>C518+(D518-2009)*12</f>
        <v>4</v>
      </c>
      <c r="C518" s="76">
        <v>4</v>
      </c>
      <c r="D518" s="76">
        <v>2009</v>
      </c>
      <c r="E518" s="56">
        <v>0</v>
      </c>
      <c r="F518" s="53">
        <f>IF(E518&gt;0,1,0)</f>
        <v>0</v>
      </c>
      <c r="G518" s="53">
        <f>SUM(F517:F518)</f>
        <v>0</v>
      </c>
      <c r="H518" s="53">
        <f>IF(G518=1,IF(F517=1,1,-1),G518)</f>
        <v>0</v>
      </c>
      <c r="I518" s="53" t="str">
        <f>VLOOKUP(H518,codes,2,)</f>
        <v>dd</v>
      </c>
      <c r="J518" s="53"/>
    </row>
    <row r="519" spans="1:10" x14ac:dyDescent="0.25">
      <c r="A519" s="93">
        <v>39925</v>
      </c>
      <c r="B519" s="35">
        <f>C519+(D519-2009)*12</f>
        <v>4</v>
      </c>
      <c r="C519" s="76">
        <v>4</v>
      </c>
      <c r="D519" s="76">
        <v>2009</v>
      </c>
      <c r="E519" s="56">
        <v>0</v>
      </c>
      <c r="F519" s="53">
        <f>IF(E519&gt;0,1,0)</f>
        <v>0</v>
      </c>
      <c r="G519" s="53">
        <f>SUM(F518:F519)</f>
        <v>0</v>
      </c>
      <c r="H519" s="53">
        <f>IF(G519=1,IF(F518=1,1,-1),G519)</f>
        <v>0</v>
      </c>
      <c r="I519" s="53" t="str">
        <f>VLOOKUP(H519,codes,2,)</f>
        <v>dd</v>
      </c>
      <c r="J519" s="53"/>
    </row>
    <row r="520" spans="1:10" x14ac:dyDescent="0.25">
      <c r="A520" s="93">
        <v>39926</v>
      </c>
      <c r="B520" s="35">
        <f>C520+(D520-2009)*12</f>
        <v>4</v>
      </c>
      <c r="C520" s="76">
        <v>4</v>
      </c>
      <c r="D520" s="76">
        <v>2009</v>
      </c>
      <c r="E520" s="56">
        <v>0</v>
      </c>
      <c r="F520" s="53">
        <f>IF(E520&gt;0,1,0)</f>
        <v>0</v>
      </c>
      <c r="G520" s="53">
        <f>SUM(F519:F520)</f>
        <v>0</v>
      </c>
      <c r="H520" s="53">
        <f>IF(G520=1,IF(F519=1,1,-1),G520)</f>
        <v>0</v>
      </c>
      <c r="I520" s="53" t="str">
        <f>VLOOKUP(H520,codes,2,)</f>
        <v>dd</v>
      </c>
      <c r="J520" s="53"/>
    </row>
    <row r="521" spans="1:10" x14ac:dyDescent="0.25">
      <c r="A521" s="93">
        <v>39927</v>
      </c>
      <c r="B521" s="35">
        <f>C521+(D521-2009)*12</f>
        <v>4</v>
      </c>
      <c r="C521" s="76">
        <v>4</v>
      </c>
      <c r="D521" s="76">
        <v>2009</v>
      </c>
      <c r="E521" s="56">
        <v>0</v>
      </c>
      <c r="F521" s="53">
        <f>IF(E521&gt;0,1,0)</f>
        <v>0</v>
      </c>
      <c r="G521" s="53">
        <f>SUM(F520:F521)</f>
        <v>0</v>
      </c>
      <c r="H521" s="53">
        <f>IF(G521=1,IF(F520=1,1,-1),G521)</f>
        <v>0</v>
      </c>
      <c r="I521" s="53" t="str">
        <f>VLOOKUP(H521,codes,2,)</f>
        <v>dd</v>
      </c>
      <c r="J521" s="53"/>
    </row>
    <row r="522" spans="1:10" x14ac:dyDescent="0.25">
      <c r="A522" s="93">
        <v>39928</v>
      </c>
      <c r="B522" s="35">
        <f>C522+(D522-2009)*12</f>
        <v>4</v>
      </c>
      <c r="C522" s="76">
        <v>4</v>
      </c>
      <c r="D522" s="76">
        <v>2009</v>
      </c>
      <c r="E522" s="56">
        <v>0</v>
      </c>
      <c r="F522" s="53">
        <f>IF(E522&gt;0,1,0)</f>
        <v>0</v>
      </c>
      <c r="G522" s="53">
        <f>SUM(F521:F522)</f>
        <v>0</v>
      </c>
      <c r="H522" s="53">
        <f>IF(G522=1,IF(F521=1,1,-1),G522)</f>
        <v>0</v>
      </c>
      <c r="I522" s="53" t="str">
        <f>VLOOKUP(H522,codes,2,)</f>
        <v>dd</v>
      </c>
      <c r="J522" s="53"/>
    </row>
    <row r="523" spans="1:10" x14ac:dyDescent="0.25">
      <c r="A523" s="93">
        <v>39929</v>
      </c>
      <c r="B523" s="35">
        <f>C523+(D523-2009)*12</f>
        <v>4</v>
      </c>
      <c r="C523" s="76">
        <v>4</v>
      </c>
      <c r="D523" s="76">
        <v>2009</v>
      </c>
      <c r="E523" s="56">
        <v>6.6666666666666666E-2</v>
      </c>
      <c r="F523" s="53">
        <f>IF(E523&gt;0,1,0)</f>
        <v>1</v>
      </c>
      <c r="G523" s="53">
        <f>SUM(F522:F523)</f>
        <v>1</v>
      </c>
      <c r="H523" s="53">
        <f>IF(G523=1,IF(F522=1,1,-1),G523)</f>
        <v>-1</v>
      </c>
      <c r="I523" s="53" t="str">
        <f>VLOOKUP(H523,codes,2,)</f>
        <v>dw</v>
      </c>
      <c r="J523" s="53"/>
    </row>
    <row r="524" spans="1:10" x14ac:dyDescent="0.25">
      <c r="A524" s="93">
        <v>39930</v>
      </c>
      <c r="B524" s="35">
        <f>C524+(D524-2009)*12</f>
        <v>4</v>
      </c>
      <c r="C524" s="76">
        <v>4</v>
      </c>
      <c r="D524" s="76">
        <v>2009</v>
      </c>
      <c r="E524" s="56">
        <v>2.3333333333333335</v>
      </c>
      <c r="F524" s="53">
        <f>IF(E524&gt;0,1,0)</f>
        <v>1</v>
      </c>
      <c r="G524" s="53">
        <f>SUM(F523:F524)</f>
        <v>2</v>
      </c>
      <c r="H524" s="53">
        <f>IF(G524=1,IF(F523=1,1,-1),G524)</f>
        <v>2</v>
      </c>
      <c r="I524" s="53" t="str">
        <f>VLOOKUP(H524,codes,2,)</f>
        <v>ww</v>
      </c>
      <c r="J524" s="53"/>
    </row>
    <row r="525" spans="1:10" x14ac:dyDescent="0.25">
      <c r="A525" s="93">
        <v>39931</v>
      </c>
      <c r="B525" s="35">
        <f>C525+(D525-2009)*12</f>
        <v>4</v>
      </c>
      <c r="C525" s="76">
        <v>4</v>
      </c>
      <c r="D525" s="76">
        <v>2009</v>
      </c>
      <c r="E525" s="56">
        <v>7.9666666666666659</v>
      </c>
      <c r="F525" s="53">
        <f>IF(E525&gt;0,1,0)</f>
        <v>1</v>
      </c>
      <c r="G525" s="53">
        <f>SUM(F524:F525)</f>
        <v>2</v>
      </c>
      <c r="H525" s="53">
        <f>IF(G525=1,IF(F524=1,1,-1),G525)</f>
        <v>2</v>
      </c>
      <c r="I525" s="53" t="str">
        <f>VLOOKUP(H525,codes,2,)</f>
        <v>ww</v>
      </c>
      <c r="J525" s="53"/>
    </row>
    <row r="526" spans="1:10" x14ac:dyDescent="0.25">
      <c r="A526" s="93">
        <v>39932</v>
      </c>
      <c r="B526" s="35">
        <f>C526+(D526-2009)*12</f>
        <v>4</v>
      </c>
      <c r="C526" s="76">
        <v>4</v>
      </c>
      <c r="D526" s="76">
        <v>2009</v>
      </c>
      <c r="E526" s="56">
        <v>12.133333333333335</v>
      </c>
      <c r="F526" s="53">
        <f>IF(E526&gt;0,1,0)</f>
        <v>1</v>
      </c>
      <c r="G526" s="53">
        <f>SUM(F525:F526)</f>
        <v>2</v>
      </c>
      <c r="H526" s="53">
        <f>IF(G526=1,IF(F525=1,1,-1),G526)</f>
        <v>2</v>
      </c>
      <c r="I526" s="53" t="str">
        <f>VLOOKUP(H526,codes,2,)</f>
        <v>ww</v>
      </c>
      <c r="J526" s="53"/>
    </row>
    <row r="527" spans="1:10" x14ac:dyDescent="0.25">
      <c r="A527" s="93">
        <v>39933</v>
      </c>
      <c r="B527" s="35">
        <f>C527+(D527-2009)*12</f>
        <v>4</v>
      </c>
      <c r="C527" s="76">
        <v>4</v>
      </c>
      <c r="D527" s="76">
        <v>2009</v>
      </c>
      <c r="E527" s="56">
        <v>0</v>
      </c>
      <c r="F527" s="53">
        <f>IF(E527&gt;0,1,0)</f>
        <v>0</v>
      </c>
      <c r="G527" s="53">
        <f>SUM(F526:F527)</f>
        <v>1</v>
      </c>
      <c r="H527" s="53">
        <f>IF(G527=1,IF(F526=1,1,-1),G527)</f>
        <v>1</v>
      </c>
      <c r="I527" s="53" t="str">
        <f>VLOOKUP(H527,codes,2,)</f>
        <v>wd</v>
      </c>
      <c r="J527" s="53"/>
    </row>
    <row r="528" spans="1:10" x14ac:dyDescent="0.25">
      <c r="A528" s="93">
        <v>40270</v>
      </c>
      <c r="B528" s="35">
        <f>C528+(D528-2009)*12</f>
        <v>16</v>
      </c>
      <c r="C528" s="76">
        <v>4</v>
      </c>
      <c r="D528" s="76">
        <v>2010</v>
      </c>
      <c r="E528" s="56">
        <v>0</v>
      </c>
      <c r="F528" s="53">
        <f>IF(E528&gt;0,1,0)</f>
        <v>0</v>
      </c>
      <c r="G528" s="53">
        <f>SUM(F527:F528)</f>
        <v>0</v>
      </c>
      <c r="H528" s="53">
        <f>IF(G528=1,IF(F527=1,1,-1),G528)</f>
        <v>0</v>
      </c>
      <c r="I528" s="53" t="str">
        <f>VLOOKUP(H528,codes,2,)</f>
        <v>dd</v>
      </c>
      <c r="J528" s="53"/>
    </row>
    <row r="529" spans="1:10" x14ac:dyDescent="0.25">
      <c r="A529" s="93">
        <v>40271</v>
      </c>
      <c r="B529" s="35">
        <f>C529+(D529-2009)*12</f>
        <v>16</v>
      </c>
      <c r="C529" s="76">
        <v>4</v>
      </c>
      <c r="D529" s="76">
        <v>2010</v>
      </c>
      <c r="E529" s="56">
        <v>2.8000000000000003</v>
      </c>
      <c r="F529" s="53">
        <f>IF(E529&gt;0,1,0)</f>
        <v>1</v>
      </c>
      <c r="G529" s="53">
        <f>SUM(F528:F529)</f>
        <v>1</v>
      </c>
      <c r="H529" s="53">
        <f>IF(G529=1,IF(F528=1,1,-1),G529)</f>
        <v>-1</v>
      </c>
      <c r="I529" s="53" t="str">
        <f>VLOOKUP(H529,codes,2,)</f>
        <v>dw</v>
      </c>
      <c r="J529" s="53"/>
    </row>
    <row r="530" spans="1:10" x14ac:dyDescent="0.25">
      <c r="A530" s="93">
        <v>40272</v>
      </c>
      <c r="B530" s="35">
        <f>C530+(D530-2009)*12</f>
        <v>16</v>
      </c>
      <c r="C530" s="76">
        <v>4</v>
      </c>
      <c r="D530" s="76">
        <v>2010</v>
      </c>
      <c r="E530" s="56">
        <v>3.2666666666666671</v>
      </c>
      <c r="F530" s="53">
        <f>IF(E530&gt;0,1,0)</f>
        <v>1</v>
      </c>
      <c r="G530" s="53">
        <f>SUM(F529:F530)</f>
        <v>2</v>
      </c>
      <c r="H530" s="53">
        <f>IF(G530=1,IF(F529=1,1,-1),G530)</f>
        <v>2</v>
      </c>
      <c r="I530" s="53" t="str">
        <f>VLOOKUP(H530,codes,2,)</f>
        <v>ww</v>
      </c>
      <c r="J530" s="53"/>
    </row>
    <row r="531" spans="1:10" x14ac:dyDescent="0.25">
      <c r="A531" s="93">
        <v>40273</v>
      </c>
      <c r="B531" s="35">
        <f>C531+(D531-2009)*12</f>
        <v>16</v>
      </c>
      <c r="C531" s="76">
        <v>4</v>
      </c>
      <c r="D531" s="76">
        <v>2010</v>
      </c>
      <c r="E531" s="56">
        <v>2.0666666666666669</v>
      </c>
      <c r="F531" s="53">
        <f>IF(E531&gt;0,1,0)</f>
        <v>1</v>
      </c>
      <c r="G531" s="53">
        <f>SUM(F530:F531)</f>
        <v>2</v>
      </c>
      <c r="H531" s="53">
        <f>IF(G531=1,IF(F530=1,1,-1),G531)</f>
        <v>2</v>
      </c>
      <c r="I531" s="53" t="str">
        <f>VLOOKUP(H531,codes,2,)</f>
        <v>ww</v>
      </c>
      <c r="J531" s="53"/>
    </row>
    <row r="532" spans="1:10" x14ac:dyDescent="0.25">
      <c r="A532" s="93">
        <v>40274</v>
      </c>
      <c r="B532" s="35">
        <f>C532+(D532-2009)*12</f>
        <v>16</v>
      </c>
      <c r="C532" s="76">
        <v>4</v>
      </c>
      <c r="D532" s="76">
        <v>2010</v>
      </c>
      <c r="E532" s="56">
        <v>6.6666666666666666E-2</v>
      </c>
      <c r="F532" s="53">
        <f>IF(E532&gt;0,1,0)</f>
        <v>1</v>
      </c>
      <c r="G532" s="53">
        <f>SUM(F531:F532)</f>
        <v>2</v>
      </c>
      <c r="H532" s="53">
        <f>IF(G532=1,IF(F531=1,1,-1),G532)</f>
        <v>2</v>
      </c>
      <c r="I532" s="53" t="str">
        <f>VLOOKUP(H532,codes,2,)</f>
        <v>ww</v>
      </c>
      <c r="J532" s="53"/>
    </row>
    <row r="533" spans="1:10" x14ac:dyDescent="0.25">
      <c r="A533" s="93">
        <v>40275</v>
      </c>
      <c r="B533" s="35">
        <f>C533+(D533-2009)*12</f>
        <v>16</v>
      </c>
      <c r="C533" s="76">
        <v>4</v>
      </c>
      <c r="D533" s="76">
        <v>2010</v>
      </c>
      <c r="E533" s="56">
        <v>0.13333333333333333</v>
      </c>
      <c r="F533" s="53">
        <f>IF(E533&gt;0,1,0)</f>
        <v>1</v>
      </c>
      <c r="G533" s="53">
        <f>SUM(F532:F533)</f>
        <v>2</v>
      </c>
      <c r="H533" s="53">
        <f>IF(G533=1,IF(F532=1,1,-1),G533)</f>
        <v>2</v>
      </c>
      <c r="I533" s="53" t="str">
        <f>VLOOKUP(H533,codes,2,)</f>
        <v>ww</v>
      </c>
      <c r="J533" s="53"/>
    </row>
    <row r="534" spans="1:10" x14ac:dyDescent="0.25">
      <c r="A534" s="93">
        <v>40276</v>
      </c>
      <c r="B534" s="35">
        <f>C534+(D534-2009)*12</f>
        <v>16</v>
      </c>
      <c r="C534" s="76">
        <v>4</v>
      </c>
      <c r="D534" s="76">
        <v>2010</v>
      </c>
      <c r="E534" s="56">
        <v>0</v>
      </c>
      <c r="F534" s="53">
        <f>IF(E534&gt;0,1,0)</f>
        <v>0</v>
      </c>
      <c r="G534" s="53">
        <f>SUM(F533:F534)</f>
        <v>1</v>
      </c>
      <c r="H534" s="53">
        <f>IF(G534=1,IF(F533=1,1,-1),G534)</f>
        <v>1</v>
      </c>
      <c r="I534" s="53" t="str">
        <f>VLOOKUP(H534,codes,2,)</f>
        <v>wd</v>
      </c>
      <c r="J534" s="53"/>
    </row>
    <row r="535" spans="1:10" x14ac:dyDescent="0.25">
      <c r="A535" s="93">
        <v>40277</v>
      </c>
      <c r="B535" s="35">
        <f>C535+(D535-2009)*12</f>
        <v>16</v>
      </c>
      <c r="C535" s="76">
        <v>4</v>
      </c>
      <c r="D535" s="76">
        <v>2010</v>
      </c>
      <c r="E535" s="56">
        <v>0</v>
      </c>
      <c r="F535" s="53">
        <f>IF(E535&gt;0,1,0)</f>
        <v>0</v>
      </c>
      <c r="G535" s="53">
        <f>SUM(F534:F535)</f>
        <v>0</v>
      </c>
      <c r="H535" s="53">
        <f>IF(G535=1,IF(F534=1,1,-1),G535)</f>
        <v>0</v>
      </c>
      <c r="I535" s="53" t="str">
        <f>VLOOKUP(H535,codes,2,)</f>
        <v>dd</v>
      </c>
      <c r="J535" s="53"/>
    </row>
    <row r="536" spans="1:10" x14ac:dyDescent="0.25">
      <c r="A536" s="93">
        <v>40278</v>
      </c>
      <c r="B536" s="35">
        <f>C536+(D536-2009)*12</f>
        <v>16</v>
      </c>
      <c r="C536" s="76">
        <v>4</v>
      </c>
      <c r="D536" s="76">
        <v>2010</v>
      </c>
      <c r="E536" s="56">
        <v>0</v>
      </c>
      <c r="F536" s="53">
        <f>IF(E536&gt;0,1,0)</f>
        <v>0</v>
      </c>
      <c r="G536" s="53">
        <f>SUM(F535:F536)</f>
        <v>0</v>
      </c>
      <c r="H536" s="53">
        <f>IF(G536=1,IF(F535=1,1,-1),G536)</f>
        <v>0</v>
      </c>
      <c r="I536" s="53" t="str">
        <f>VLOOKUP(H536,codes,2,)</f>
        <v>dd</v>
      </c>
      <c r="J536" s="53"/>
    </row>
    <row r="537" spans="1:10" x14ac:dyDescent="0.25">
      <c r="A537" s="93">
        <v>40279</v>
      </c>
      <c r="B537" s="35">
        <f>C537+(D537-2009)*12</f>
        <v>16</v>
      </c>
      <c r="C537" s="76">
        <v>4</v>
      </c>
      <c r="D537" s="76">
        <v>2010</v>
      </c>
      <c r="E537" s="56">
        <v>0</v>
      </c>
      <c r="F537" s="53">
        <f>IF(E537&gt;0,1,0)</f>
        <v>0</v>
      </c>
      <c r="G537" s="53">
        <f>SUM(F536:F537)</f>
        <v>0</v>
      </c>
      <c r="H537" s="53">
        <f>IF(G537=1,IF(F536=1,1,-1),G537)</f>
        <v>0</v>
      </c>
      <c r="I537" s="53" t="str">
        <f>VLOOKUP(H537,codes,2,)</f>
        <v>dd</v>
      </c>
      <c r="J537" s="53"/>
    </row>
    <row r="538" spans="1:10" x14ac:dyDescent="0.25">
      <c r="A538" s="93">
        <v>40280</v>
      </c>
      <c r="B538" s="35">
        <f>C538+(D538-2009)*12</f>
        <v>16</v>
      </c>
      <c r="C538" s="76">
        <v>4</v>
      </c>
      <c r="D538" s="76">
        <v>2010</v>
      </c>
      <c r="E538" s="56">
        <v>0</v>
      </c>
      <c r="F538" s="53">
        <f>IF(E538&gt;0,1,0)</f>
        <v>0</v>
      </c>
      <c r="G538" s="53">
        <f>SUM(F537:F538)</f>
        <v>0</v>
      </c>
      <c r="H538" s="53">
        <f>IF(G538=1,IF(F537=1,1,-1),G538)</f>
        <v>0</v>
      </c>
      <c r="I538" s="53" t="str">
        <f>VLOOKUP(H538,codes,2,)</f>
        <v>dd</v>
      </c>
      <c r="J538" s="53"/>
    </row>
    <row r="539" spans="1:10" x14ac:dyDescent="0.25">
      <c r="A539" s="93">
        <v>40281</v>
      </c>
      <c r="B539" s="35">
        <f>C539+(D539-2009)*12</f>
        <v>16</v>
      </c>
      <c r="C539" s="76">
        <v>4</v>
      </c>
      <c r="D539" s="76">
        <v>2010</v>
      </c>
      <c r="E539" s="56">
        <v>0.6</v>
      </c>
      <c r="F539" s="53">
        <f>IF(E539&gt;0,1,0)</f>
        <v>1</v>
      </c>
      <c r="G539" s="53">
        <f>SUM(F538:F539)</f>
        <v>1</v>
      </c>
      <c r="H539" s="53">
        <f>IF(G539=1,IF(F538=1,1,-1),G539)</f>
        <v>-1</v>
      </c>
      <c r="I539" s="53" t="str">
        <f>VLOOKUP(H539,codes,2,)</f>
        <v>dw</v>
      </c>
      <c r="J539" s="53"/>
    </row>
    <row r="540" spans="1:10" x14ac:dyDescent="0.25">
      <c r="A540" s="93">
        <v>40282</v>
      </c>
      <c r="B540" s="35">
        <f>C540+(D540-2009)*12</f>
        <v>16</v>
      </c>
      <c r="C540" s="76">
        <v>4</v>
      </c>
      <c r="D540" s="76">
        <v>2010</v>
      </c>
      <c r="E540" s="56">
        <v>0</v>
      </c>
      <c r="F540" s="53">
        <f>IF(E540&gt;0,1,0)</f>
        <v>0</v>
      </c>
      <c r="G540" s="53">
        <f>SUM(F539:F540)</f>
        <v>1</v>
      </c>
      <c r="H540" s="53">
        <f>IF(G540=1,IF(F539=1,1,-1),G540)</f>
        <v>1</v>
      </c>
      <c r="I540" s="53" t="str">
        <f>VLOOKUP(H540,codes,2,)</f>
        <v>wd</v>
      </c>
      <c r="J540" s="53"/>
    </row>
    <row r="541" spans="1:10" x14ac:dyDescent="0.25">
      <c r="A541" s="93">
        <v>40283</v>
      </c>
      <c r="B541" s="35">
        <f>C541+(D541-2009)*12</f>
        <v>16</v>
      </c>
      <c r="C541" s="76">
        <v>4</v>
      </c>
      <c r="D541" s="76">
        <v>2010</v>
      </c>
      <c r="E541" s="56">
        <v>0</v>
      </c>
      <c r="F541" s="53">
        <f>IF(E541&gt;0,1,0)</f>
        <v>0</v>
      </c>
      <c r="G541" s="53">
        <f>SUM(F540:F541)</f>
        <v>0</v>
      </c>
      <c r="H541" s="53">
        <f>IF(G541=1,IF(F540=1,1,-1),G541)</f>
        <v>0</v>
      </c>
      <c r="I541" s="53" t="str">
        <f>VLOOKUP(H541,codes,2,)</f>
        <v>dd</v>
      </c>
      <c r="J541" s="53"/>
    </row>
    <row r="542" spans="1:10" x14ac:dyDescent="0.25">
      <c r="A542" s="93">
        <v>40284</v>
      </c>
      <c r="B542" s="35">
        <f>C542+(D542-2009)*12</f>
        <v>16</v>
      </c>
      <c r="C542" s="76">
        <v>4</v>
      </c>
      <c r="D542" s="76">
        <v>2010</v>
      </c>
      <c r="E542" s="56">
        <v>0</v>
      </c>
      <c r="F542" s="53">
        <f>IF(E542&gt;0,1,0)</f>
        <v>0</v>
      </c>
      <c r="G542" s="53">
        <f>SUM(F541:F542)</f>
        <v>0</v>
      </c>
      <c r="H542" s="53">
        <f>IF(G542=1,IF(F541=1,1,-1),G542)</f>
        <v>0</v>
      </c>
      <c r="I542" s="53" t="str">
        <f>VLOOKUP(H542,codes,2,)</f>
        <v>dd</v>
      </c>
      <c r="J542" s="53"/>
    </row>
    <row r="543" spans="1:10" x14ac:dyDescent="0.25">
      <c r="A543" s="93">
        <v>40285</v>
      </c>
      <c r="B543" s="35">
        <f>C543+(D543-2009)*12</f>
        <v>16</v>
      </c>
      <c r="C543" s="76">
        <v>4</v>
      </c>
      <c r="D543" s="76">
        <v>2010</v>
      </c>
      <c r="E543" s="56">
        <v>0</v>
      </c>
      <c r="F543" s="53">
        <f>IF(E543&gt;0,1,0)</f>
        <v>0</v>
      </c>
      <c r="G543" s="53">
        <f>SUM(F542:F543)</f>
        <v>0</v>
      </c>
      <c r="H543" s="53">
        <f>IF(G543=1,IF(F542=1,1,-1),G543)</f>
        <v>0</v>
      </c>
      <c r="I543" s="53" t="str">
        <f>VLOOKUP(H543,codes,2,)</f>
        <v>dd</v>
      </c>
      <c r="J543" s="53"/>
    </row>
    <row r="544" spans="1:10" x14ac:dyDescent="0.25">
      <c r="A544" s="93">
        <v>40286</v>
      </c>
      <c r="B544" s="35">
        <f>C544+(D544-2009)*12</f>
        <v>16</v>
      </c>
      <c r="C544" s="76">
        <v>4</v>
      </c>
      <c r="D544" s="76">
        <v>2010</v>
      </c>
      <c r="E544" s="56">
        <v>0</v>
      </c>
      <c r="F544" s="53">
        <f>IF(E544&gt;0,1,0)</f>
        <v>0</v>
      </c>
      <c r="G544" s="53">
        <f>SUM(F543:F544)</f>
        <v>0</v>
      </c>
      <c r="H544" s="53">
        <f>IF(G544=1,IF(F543=1,1,-1),G544)</f>
        <v>0</v>
      </c>
      <c r="I544" s="53" t="str">
        <f>VLOOKUP(H544,codes,2,)</f>
        <v>dd</v>
      </c>
      <c r="J544" s="53"/>
    </row>
    <row r="545" spans="1:10" x14ac:dyDescent="0.25">
      <c r="A545" s="93">
        <v>40287</v>
      </c>
      <c r="B545" s="35">
        <f>C545+(D545-2009)*12</f>
        <v>16</v>
      </c>
      <c r="C545" s="76">
        <v>4</v>
      </c>
      <c r="D545" s="76">
        <v>2010</v>
      </c>
      <c r="E545" s="56">
        <v>4.2666666666666666</v>
      </c>
      <c r="F545" s="53">
        <f>IF(E545&gt;0,1,0)</f>
        <v>1</v>
      </c>
      <c r="G545" s="53">
        <f>SUM(F544:F545)</f>
        <v>1</v>
      </c>
      <c r="H545" s="53">
        <f>IF(G545=1,IF(F544=1,1,-1),G545)</f>
        <v>-1</v>
      </c>
      <c r="I545" s="53" t="str">
        <f>VLOOKUP(H545,codes,2,)</f>
        <v>dw</v>
      </c>
      <c r="J545" s="53"/>
    </row>
    <row r="546" spans="1:10" x14ac:dyDescent="0.25">
      <c r="A546" s="93">
        <v>40288</v>
      </c>
      <c r="B546" s="35">
        <f>C546+(D546-2009)*12</f>
        <v>16</v>
      </c>
      <c r="C546" s="76">
        <v>4</v>
      </c>
      <c r="D546" s="76">
        <v>2010</v>
      </c>
      <c r="E546" s="56">
        <v>0.26666666666666666</v>
      </c>
      <c r="F546" s="53">
        <f>IF(E546&gt;0,1,0)</f>
        <v>1</v>
      </c>
      <c r="G546" s="53">
        <f>SUM(F545:F546)</f>
        <v>2</v>
      </c>
      <c r="H546" s="53">
        <f>IF(G546=1,IF(F545=1,1,-1),G546)</f>
        <v>2</v>
      </c>
      <c r="I546" s="53" t="str">
        <f>VLOOKUP(H546,codes,2,)</f>
        <v>ww</v>
      </c>
      <c r="J546" s="53"/>
    </row>
    <row r="547" spans="1:10" x14ac:dyDescent="0.25">
      <c r="A547" s="93">
        <v>40289</v>
      </c>
      <c r="B547" s="35">
        <f>C547+(D547-2009)*12</f>
        <v>16</v>
      </c>
      <c r="C547" s="76">
        <v>4</v>
      </c>
      <c r="D547" s="76">
        <v>2010</v>
      </c>
      <c r="E547" s="56">
        <v>0</v>
      </c>
      <c r="F547" s="53">
        <f>IF(E547&gt;0,1,0)</f>
        <v>0</v>
      </c>
      <c r="G547" s="53">
        <f>SUM(F546:F547)</f>
        <v>1</v>
      </c>
      <c r="H547" s="53">
        <f>IF(G547=1,IF(F546=1,1,-1),G547)</f>
        <v>1</v>
      </c>
      <c r="I547" s="53" t="str">
        <f>VLOOKUP(H547,codes,2,)</f>
        <v>wd</v>
      </c>
      <c r="J547" s="53"/>
    </row>
    <row r="548" spans="1:10" x14ac:dyDescent="0.25">
      <c r="A548" s="93">
        <v>40290</v>
      </c>
      <c r="B548" s="35">
        <f>C548+(D548-2009)*12</f>
        <v>16</v>
      </c>
      <c r="C548" s="76">
        <v>4</v>
      </c>
      <c r="D548" s="76">
        <v>2010</v>
      </c>
      <c r="E548" s="56">
        <v>0</v>
      </c>
      <c r="F548" s="53">
        <f>IF(E548&gt;0,1,0)</f>
        <v>0</v>
      </c>
      <c r="G548" s="53">
        <f>SUM(F547:F548)</f>
        <v>0</v>
      </c>
      <c r="H548" s="53">
        <f>IF(G548=1,IF(F547=1,1,-1),G548)</f>
        <v>0</v>
      </c>
      <c r="I548" s="53" t="str">
        <f>VLOOKUP(H548,codes,2,)</f>
        <v>dd</v>
      </c>
      <c r="J548" s="53"/>
    </row>
    <row r="549" spans="1:10" x14ac:dyDescent="0.25">
      <c r="A549" s="93">
        <v>40291</v>
      </c>
      <c r="B549" s="35">
        <f>C549+(D549-2009)*12</f>
        <v>16</v>
      </c>
      <c r="C549" s="76">
        <v>4</v>
      </c>
      <c r="D549" s="76">
        <v>2010</v>
      </c>
      <c r="E549" s="56">
        <v>0</v>
      </c>
      <c r="F549" s="53">
        <f>IF(E549&gt;0,1,0)</f>
        <v>0</v>
      </c>
      <c r="G549" s="53">
        <f>SUM(F548:F549)</f>
        <v>0</v>
      </c>
      <c r="H549" s="53">
        <f>IF(G549=1,IF(F548=1,1,-1),G549)</f>
        <v>0</v>
      </c>
      <c r="I549" s="53" t="str">
        <f>VLOOKUP(H549,codes,2,)</f>
        <v>dd</v>
      </c>
      <c r="J549" s="53"/>
    </row>
    <row r="550" spans="1:10" x14ac:dyDescent="0.25">
      <c r="A550" s="93">
        <v>40292</v>
      </c>
      <c r="B550" s="35">
        <f>C550+(D550-2009)*12</f>
        <v>16</v>
      </c>
      <c r="C550" s="76">
        <v>4</v>
      </c>
      <c r="D550" s="76">
        <v>2010</v>
      </c>
      <c r="E550" s="56">
        <v>0</v>
      </c>
      <c r="F550" s="53">
        <f>IF(E550&gt;0,1,0)</f>
        <v>0</v>
      </c>
      <c r="G550" s="53">
        <f>SUM(F549:F550)</f>
        <v>0</v>
      </c>
      <c r="H550" s="53">
        <f>IF(G550=1,IF(F549=1,1,-1),G550)</f>
        <v>0</v>
      </c>
      <c r="I550" s="53" t="str">
        <f>VLOOKUP(H550,codes,2,)</f>
        <v>dd</v>
      </c>
      <c r="J550" s="53"/>
    </row>
    <row r="551" spans="1:10" x14ac:dyDescent="0.25">
      <c r="A551" s="93">
        <v>40293</v>
      </c>
      <c r="B551" s="35">
        <f>C551+(D551-2009)*12</f>
        <v>16</v>
      </c>
      <c r="C551" s="76">
        <v>4</v>
      </c>
      <c r="D551" s="76">
        <v>2010</v>
      </c>
      <c r="E551" s="56">
        <v>0</v>
      </c>
      <c r="F551" s="53">
        <f>IF(E551&gt;0,1,0)</f>
        <v>0</v>
      </c>
      <c r="G551" s="53">
        <f>SUM(F550:F551)</f>
        <v>0</v>
      </c>
      <c r="H551" s="53">
        <f>IF(G551=1,IF(F550=1,1,-1),G551)</f>
        <v>0</v>
      </c>
      <c r="I551" s="53" t="str">
        <f>VLOOKUP(H551,codes,2,)</f>
        <v>dd</v>
      </c>
      <c r="J551" s="53"/>
    </row>
    <row r="552" spans="1:10" x14ac:dyDescent="0.25">
      <c r="A552" s="93">
        <v>40294</v>
      </c>
      <c r="B552" s="35">
        <f>C552+(D552-2009)*12</f>
        <v>16</v>
      </c>
      <c r="C552" s="76">
        <v>4</v>
      </c>
      <c r="D552" s="76">
        <v>2010</v>
      </c>
      <c r="E552" s="56">
        <v>0</v>
      </c>
      <c r="F552" s="53">
        <f>IF(E552&gt;0,1,0)</f>
        <v>0</v>
      </c>
      <c r="G552" s="53">
        <f>SUM(F551:F552)</f>
        <v>0</v>
      </c>
      <c r="H552" s="53">
        <f>IF(G552=1,IF(F551=1,1,-1),G552)</f>
        <v>0</v>
      </c>
      <c r="I552" s="53" t="str">
        <f>VLOOKUP(H552,codes,2,)</f>
        <v>dd</v>
      </c>
      <c r="J552" s="53"/>
    </row>
    <row r="553" spans="1:10" x14ac:dyDescent="0.25">
      <c r="A553" s="93">
        <v>40295</v>
      </c>
      <c r="B553" s="35">
        <f>C553+(D553-2009)*12</f>
        <v>16</v>
      </c>
      <c r="C553" s="76">
        <v>4</v>
      </c>
      <c r="D553" s="76">
        <v>2010</v>
      </c>
      <c r="E553" s="56">
        <v>0</v>
      </c>
      <c r="F553" s="53">
        <f>IF(E553&gt;0,1,0)</f>
        <v>0</v>
      </c>
      <c r="G553" s="53">
        <f>SUM(F552:F553)</f>
        <v>0</v>
      </c>
      <c r="H553" s="53">
        <f>IF(G553=1,IF(F552=1,1,-1),G553)</f>
        <v>0</v>
      </c>
      <c r="I553" s="53" t="str">
        <f>VLOOKUP(H553,codes,2,)</f>
        <v>dd</v>
      </c>
      <c r="J553" s="53"/>
    </row>
    <row r="554" spans="1:10" x14ac:dyDescent="0.25">
      <c r="A554" s="93">
        <v>40296</v>
      </c>
      <c r="B554" s="35">
        <f>C554+(D554-2009)*12</f>
        <v>16</v>
      </c>
      <c r="C554" s="76">
        <v>4</v>
      </c>
      <c r="D554" s="76">
        <v>2010</v>
      </c>
      <c r="E554" s="56">
        <v>0</v>
      </c>
      <c r="F554" s="53">
        <f>IF(E554&gt;0,1,0)</f>
        <v>0</v>
      </c>
      <c r="G554" s="53">
        <f>SUM(F553:F554)</f>
        <v>0</v>
      </c>
      <c r="H554" s="53">
        <f>IF(G554=1,IF(F553=1,1,-1),G554)</f>
        <v>0</v>
      </c>
      <c r="I554" s="53" t="str">
        <f>VLOOKUP(H554,codes,2,)</f>
        <v>dd</v>
      </c>
      <c r="J554" s="53"/>
    </row>
    <row r="555" spans="1:10" x14ac:dyDescent="0.25">
      <c r="A555" s="93">
        <v>40297</v>
      </c>
      <c r="B555" s="35">
        <f>C555+(D555-2009)*12</f>
        <v>16</v>
      </c>
      <c r="C555" s="76">
        <v>4</v>
      </c>
      <c r="D555" s="76">
        <v>2010</v>
      </c>
      <c r="E555" s="56">
        <v>0</v>
      </c>
      <c r="F555" s="53">
        <f>IF(E555&gt;0,1,0)</f>
        <v>0</v>
      </c>
      <c r="G555" s="53">
        <f>SUM(F554:F555)</f>
        <v>0</v>
      </c>
      <c r="H555" s="53">
        <f>IF(G555=1,IF(F554=1,1,-1),G555)</f>
        <v>0</v>
      </c>
      <c r="I555" s="53" t="str">
        <f>VLOOKUP(H555,codes,2,)</f>
        <v>dd</v>
      </c>
      <c r="J555" s="53"/>
    </row>
    <row r="556" spans="1:10" x14ac:dyDescent="0.25">
      <c r="A556" s="93">
        <v>40298</v>
      </c>
      <c r="B556" s="35">
        <f>C556+(D556-2009)*12</f>
        <v>16</v>
      </c>
      <c r="C556" s="76">
        <v>4</v>
      </c>
      <c r="D556" s="76">
        <v>2010</v>
      </c>
      <c r="E556" s="56">
        <v>0</v>
      </c>
      <c r="F556" s="53">
        <f>IF(E556&gt;0,1,0)</f>
        <v>0</v>
      </c>
      <c r="G556" s="53">
        <f>SUM(F555:F556)</f>
        <v>0</v>
      </c>
      <c r="H556" s="53">
        <f>IF(G556=1,IF(F555=1,1,-1),G556)</f>
        <v>0</v>
      </c>
      <c r="I556" s="53" t="str">
        <f>VLOOKUP(H556,codes,2,)</f>
        <v>dd</v>
      </c>
      <c r="J556" s="53"/>
    </row>
    <row r="557" spans="1:10" x14ac:dyDescent="0.25">
      <c r="A557" s="93">
        <v>40299</v>
      </c>
      <c r="B557" s="35">
        <f>C557+(D557-2009)*12</f>
        <v>16</v>
      </c>
      <c r="C557" s="76">
        <v>4</v>
      </c>
      <c r="D557" s="76">
        <v>2010</v>
      </c>
      <c r="E557" s="56">
        <v>6.6666666666666666E-2</v>
      </c>
      <c r="F557" s="53">
        <f>IF(E557&gt;0,1,0)</f>
        <v>1</v>
      </c>
      <c r="G557" s="53">
        <f>SUM(F556:F557)</f>
        <v>1</v>
      </c>
      <c r="H557" s="53">
        <f>IF(G557=1,IF(F556=1,1,-1),G557)</f>
        <v>-1</v>
      </c>
      <c r="I557" s="53" t="str">
        <f>VLOOKUP(H557,codes,2,)</f>
        <v>dw</v>
      </c>
      <c r="J557" s="53"/>
    </row>
    <row r="558" spans="1:10" x14ac:dyDescent="0.25">
      <c r="A558" s="93">
        <v>40635</v>
      </c>
      <c r="B558" s="35">
        <f>C558+(D558-2009)*12</f>
        <v>28</v>
      </c>
      <c r="C558" s="76">
        <v>4</v>
      </c>
      <c r="D558" s="76">
        <v>2011</v>
      </c>
      <c r="E558" s="56">
        <v>1.3999999999999997</v>
      </c>
      <c r="F558" s="53">
        <f>IF(E558&gt;0,1,0)</f>
        <v>1</v>
      </c>
      <c r="G558" s="53">
        <f>SUM(F557:F558)</f>
        <v>2</v>
      </c>
      <c r="H558" s="53">
        <f>IF(G558=1,IF(F557=1,1,-1),G558)</f>
        <v>2</v>
      </c>
      <c r="I558" s="53" t="str">
        <f>VLOOKUP(H558,codes,2,)</f>
        <v>ww</v>
      </c>
      <c r="J558" s="53"/>
    </row>
    <row r="559" spans="1:10" x14ac:dyDescent="0.25">
      <c r="A559" s="93">
        <v>40636</v>
      </c>
      <c r="B559" s="35">
        <f>C559+(D559-2009)*12</f>
        <v>28</v>
      </c>
      <c r="C559" s="76">
        <v>4</v>
      </c>
      <c r="D559" s="76">
        <v>2011</v>
      </c>
      <c r="E559" s="56">
        <v>0.13333333333333333</v>
      </c>
      <c r="F559" s="53">
        <f>IF(E559&gt;0,1,0)</f>
        <v>1</v>
      </c>
      <c r="G559" s="53">
        <f>SUM(F558:F559)</f>
        <v>2</v>
      </c>
      <c r="H559" s="53">
        <f>IF(G559=1,IF(F558=1,1,-1),G559)</f>
        <v>2</v>
      </c>
      <c r="I559" s="53" t="str">
        <f>VLOOKUP(H559,codes,2,)</f>
        <v>ww</v>
      </c>
      <c r="J559" s="53"/>
    </row>
    <row r="560" spans="1:10" x14ac:dyDescent="0.25">
      <c r="A560" s="93">
        <v>40637</v>
      </c>
      <c r="B560" s="35">
        <f>C560+(D560-2009)*12</f>
        <v>28</v>
      </c>
      <c r="C560" s="76">
        <v>4</v>
      </c>
      <c r="D560" s="76">
        <v>2011</v>
      </c>
      <c r="E560" s="56">
        <v>0.39999999999999997</v>
      </c>
      <c r="F560" s="53">
        <f>IF(E560&gt;0,1,0)</f>
        <v>1</v>
      </c>
      <c r="G560" s="53">
        <f>SUM(F559:F560)</f>
        <v>2</v>
      </c>
      <c r="H560" s="53">
        <f>IF(G560=1,IF(F559=1,1,-1),G560)</f>
        <v>2</v>
      </c>
      <c r="I560" s="53" t="str">
        <f>VLOOKUP(H560,codes,2,)</f>
        <v>ww</v>
      </c>
      <c r="J560" s="53"/>
    </row>
    <row r="561" spans="1:10" x14ac:dyDescent="0.25">
      <c r="A561" s="93">
        <v>40638</v>
      </c>
      <c r="B561" s="35">
        <f>C561+(D561-2009)*12</f>
        <v>28</v>
      </c>
      <c r="C561" s="76">
        <v>4</v>
      </c>
      <c r="D561" s="76">
        <v>2011</v>
      </c>
      <c r="E561" s="56">
        <v>0.26666666666666666</v>
      </c>
      <c r="F561" s="53">
        <f>IF(E561&gt;0,1,0)</f>
        <v>1</v>
      </c>
      <c r="G561" s="53">
        <f>SUM(F560:F561)</f>
        <v>2</v>
      </c>
      <c r="H561" s="53">
        <f>IF(G561=1,IF(F560=1,1,-1),G561)</f>
        <v>2</v>
      </c>
      <c r="I561" s="53" t="str">
        <f>VLOOKUP(H561,codes,2,)</f>
        <v>ww</v>
      </c>
      <c r="J561" s="53"/>
    </row>
    <row r="562" spans="1:10" x14ac:dyDescent="0.25">
      <c r="A562" s="93">
        <v>40639</v>
      </c>
      <c r="B562" s="35">
        <f>C562+(D562-2009)*12</f>
        <v>28</v>
      </c>
      <c r="C562" s="76">
        <v>4</v>
      </c>
      <c r="D562" s="76">
        <v>2011</v>
      </c>
      <c r="E562" s="56">
        <v>0</v>
      </c>
      <c r="F562" s="53">
        <f>IF(E562&gt;0,1,0)</f>
        <v>0</v>
      </c>
      <c r="G562" s="53">
        <f>SUM(F561:F562)</f>
        <v>1</v>
      </c>
      <c r="H562" s="53">
        <f>IF(G562=1,IF(F561=1,1,-1),G562)</f>
        <v>1</v>
      </c>
      <c r="I562" s="53" t="str">
        <f>VLOOKUP(H562,codes,2,)</f>
        <v>wd</v>
      </c>
      <c r="J562" s="53"/>
    </row>
    <row r="563" spans="1:10" x14ac:dyDescent="0.25">
      <c r="A563" s="93">
        <v>40640</v>
      </c>
      <c r="B563" s="35">
        <f>C563+(D563-2009)*12</f>
        <v>28</v>
      </c>
      <c r="C563" s="76">
        <v>4</v>
      </c>
      <c r="D563" s="76">
        <v>2011</v>
      </c>
      <c r="E563" s="56">
        <v>0</v>
      </c>
      <c r="F563" s="53">
        <f>IF(E563&gt;0,1,0)</f>
        <v>0</v>
      </c>
      <c r="G563" s="53">
        <f>SUM(F562:F563)</f>
        <v>0</v>
      </c>
      <c r="H563" s="53">
        <f>IF(G563=1,IF(F562=1,1,-1),G563)</f>
        <v>0</v>
      </c>
      <c r="I563" s="53" t="str">
        <f>VLOOKUP(H563,codes,2,)</f>
        <v>dd</v>
      </c>
      <c r="J563" s="53"/>
    </row>
    <row r="564" spans="1:10" x14ac:dyDescent="0.25">
      <c r="A564" s="93">
        <v>40641</v>
      </c>
      <c r="B564" s="35">
        <f>C564+(D564-2009)*12</f>
        <v>28</v>
      </c>
      <c r="C564" s="76">
        <v>4</v>
      </c>
      <c r="D564" s="76">
        <v>2011</v>
      </c>
      <c r="E564" s="56">
        <v>0</v>
      </c>
      <c r="F564" s="53">
        <f>IF(E564&gt;0,1,0)</f>
        <v>0</v>
      </c>
      <c r="G564" s="53">
        <f>SUM(F563:F564)</f>
        <v>0</v>
      </c>
      <c r="H564" s="53">
        <f>IF(G564=1,IF(F563=1,1,-1),G564)</f>
        <v>0</v>
      </c>
      <c r="I564" s="53" t="str">
        <f>VLOOKUP(H564,codes,2,)</f>
        <v>dd</v>
      </c>
      <c r="J564" s="53"/>
    </row>
    <row r="565" spans="1:10" x14ac:dyDescent="0.25">
      <c r="A565" s="93">
        <v>40642</v>
      </c>
      <c r="B565" s="35">
        <f>C565+(D565-2009)*12</f>
        <v>28</v>
      </c>
      <c r="C565" s="76">
        <v>4</v>
      </c>
      <c r="D565" s="76">
        <v>2011</v>
      </c>
      <c r="E565" s="56">
        <v>0</v>
      </c>
      <c r="F565" s="53">
        <f>IF(E565&gt;0,1,0)</f>
        <v>0</v>
      </c>
      <c r="G565" s="53">
        <f>SUM(F564:F565)</f>
        <v>0</v>
      </c>
      <c r="H565" s="53">
        <f>IF(G565=1,IF(F564=1,1,-1),G565)</f>
        <v>0</v>
      </c>
      <c r="I565" s="53" t="str">
        <f>VLOOKUP(H565,codes,2,)</f>
        <v>dd</v>
      </c>
      <c r="J565" s="53"/>
    </row>
    <row r="566" spans="1:10" x14ac:dyDescent="0.25">
      <c r="A566" s="93">
        <v>40643</v>
      </c>
      <c r="B566" s="35">
        <f>C566+(D566-2009)*12</f>
        <v>28</v>
      </c>
      <c r="C566" s="76">
        <v>4</v>
      </c>
      <c r="D566" s="76">
        <v>2011</v>
      </c>
      <c r="E566" s="56">
        <v>0</v>
      </c>
      <c r="F566" s="53">
        <f>IF(E566&gt;0,1,0)</f>
        <v>0</v>
      </c>
      <c r="G566" s="53">
        <f>SUM(F565:F566)</f>
        <v>0</v>
      </c>
      <c r="H566" s="53">
        <f>IF(G566=1,IF(F565=1,1,-1),G566)</f>
        <v>0</v>
      </c>
      <c r="I566" s="53" t="str">
        <f>VLOOKUP(H566,codes,2,)</f>
        <v>dd</v>
      </c>
      <c r="J566" s="53"/>
    </row>
    <row r="567" spans="1:10" x14ac:dyDescent="0.25">
      <c r="A567" s="93">
        <v>40644</v>
      </c>
      <c r="B567" s="35">
        <f>C567+(D567-2009)*12</f>
        <v>28</v>
      </c>
      <c r="C567" s="76">
        <v>4</v>
      </c>
      <c r="D567" s="76">
        <v>2011</v>
      </c>
      <c r="E567" s="56">
        <v>0</v>
      </c>
      <c r="F567" s="53">
        <f>IF(E567&gt;0,1,0)</f>
        <v>0</v>
      </c>
      <c r="G567" s="53">
        <f>SUM(F566:F567)</f>
        <v>0</v>
      </c>
      <c r="H567" s="53">
        <f>IF(G567=1,IF(F566=1,1,-1),G567)</f>
        <v>0</v>
      </c>
      <c r="I567" s="53" t="str">
        <f>VLOOKUP(H567,codes,2,)</f>
        <v>dd</v>
      </c>
      <c r="J567" s="53"/>
    </row>
    <row r="568" spans="1:10" x14ac:dyDescent="0.25">
      <c r="A568" s="93">
        <v>40645</v>
      </c>
      <c r="B568" s="35">
        <f>C568+(D568-2009)*12</f>
        <v>28</v>
      </c>
      <c r="C568" s="76">
        <v>4</v>
      </c>
      <c r="D568" s="76">
        <v>2011</v>
      </c>
      <c r="E568" s="56">
        <v>1</v>
      </c>
      <c r="F568" s="53">
        <f>IF(E568&gt;0,1,0)</f>
        <v>1</v>
      </c>
      <c r="G568" s="53">
        <f>SUM(F567:F568)</f>
        <v>1</v>
      </c>
      <c r="H568" s="53">
        <f>IF(G568=1,IF(F567=1,1,-1),G568)</f>
        <v>-1</v>
      </c>
      <c r="I568" s="53" t="str">
        <f>VLOOKUP(H568,codes,2,)</f>
        <v>dw</v>
      </c>
      <c r="J568" s="53"/>
    </row>
    <row r="569" spans="1:10" x14ac:dyDescent="0.25">
      <c r="A569" s="93">
        <v>40646</v>
      </c>
      <c r="B569" s="35">
        <f>C569+(D569-2009)*12</f>
        <v>28</v>
      </c>
      <c r="C569" s="76">
        <v>4</v>
      </c>
      <c r="D569" s="76">
        <v>2011</v>
      </c>
      <c r="E569" s="56">
        <v>0</v>
      </c>
      <c r="F569" s="53">
        <f>IF(E569&gt;0,1,0)</f>
        <v>0</v>
      </c>
      <c r="G569" s="53">
        <f>SUM(F568:F569)</f>
        <v>1</v>
      </c>
      <c r="H569" s="53">
        <f>IF(G569=1,IF(F568=1,1,-1),G569)</f>
        <v>1</v>
      </c>
      <c r="I569" s="53" t="str">
        <f>VLOOKUP(H569,codes,2,)</f>
        <v>wd</v>
      </c>
      <c r="J569" s="53"/>
    </row>
    <row r="570" spans="1:10" x14ac:dyDescent="0.25">
      <c r="A570" s="93">
        <v>40647</v>
      </c>
      <c r="B570" s="35">
        <f>C570+(D570-2009)*12</f>
        <v>28</v>
      </c>
      <c r="C570" s="76">
        <v>4</v>
      </c>
      <c r="D570" s="76">
        <v>2011</v>
      </c>
      <c r="E570" s="56">
        <v>0</v>
      </c>
      <c r="F570" s="53">
        <f>IF(E570&gt;0,1,0)</f>
        <v>0</v>
      </c>
      <c r="G570" s="53">
        <f>SUM(F569:F570)</f>
        <v>0</v>
      </c>
      <c r="H570" s="53">
        <f>IF(G570=1,IF(F569=1,1,-1),G570)</f>
        <v>0</v>
      </c>
      <c r="I570" s="53" t="str">
        <f>VLOOKUP(H570,codes,2,)</f>
        <v>dd</v>
      </c>
      <c r="J570" s="53"/>
    </row>
    <row r="571" spans="1:10" x14ac:dyDescent="0.25">
      <c r="A571" s="93">
        <v>40648</v>
      </c>
      <c r="B571" s="35">
        <f>C571+(D571-2009)*12</f>
        <v>28</v>
      </c>
      <c r="C571" s="76">
        <v>4</v>
      </c>
      <c r="D571" s="76">
        <v>2011</v>
      </c>
      <c r="E571" s="56">
        <v>0</v>
      </c>
      <c r="F571" s="53">
        <f>IF(E571&gt;0,1,0)</f>
        <v>0</v>
      </c>
      <c r="G571" s="53">
        <f>SUM(F570:F571)</f>
        <v>0</v>
      </c>
      <c r="H571" s="53">
        <f>IF(G571=1,IF(F570=1,1,-1),G571)</f>
        <v>0</v>
      </c>
      <c r="I571" s="53" t="str">
        <f>VLOOKUP(H571,codes,2,)</f>
        <v>dd</v>
      </c>
      <c r="J571" s="53"/>
    </row>
    <row r="572" spans="1:10" x14ac:dyDescent="0.25">
      <c r="A572" s="93">
        <v>40649</v>
      </c>
      <c r="B572" s="35">
        <f>C572+(D572-2009)*12</f>
        <v>28</v>
      </c>
      <c r="C572" s="76">
        <v>4</v>
      </c>
      <c r="D572" s="76">
        <v>2011</v>
      </c>
      <c r="E572" s="56">
        <v>0</v>
      </c>
      <c r="F572" s="53">
        <f>IF(E572&gt;0,1,0)</f>
        <v>0</v>
      </c>
      <c r="G572" s="53">
        <f>SUM(F571:F572)</f>
        <v>0</v>
      </c>
      <c r="H572" s="53">
        <f>IF(G572=1,IF(F571=1,1,-1),G572)</f>
        <v>0</v>
      </c>
      <c r="I572" s="53" t="str">
        <f>VLOOKUP(H572,codes,2,)</f>
        <v>dd</v>
      </c>
      <c r="J572" s="53"/>
    </row>
    <row r="573" spans="1:10" x14ac:dyDescent="0.25">
      <c r="A573" s="93">
        <v>40650</v>
      </c>
      <c r="B573" s="35">
        <f>C573+(D573-2009)*12</f>
        <v>28</v>
      </c>
      <c r="C573" s="76">
        <v>4</v>
      </c>
      <c r="D573" s="76">
        <v>2011</v>
      </c>
      <c r="E573" s="56">
        <v>0</v>
      </c>
      <c r="F573" s="53">
        <f>IF(E573&gt;0,1,0)</f>
        <v>0</v>
      </c>
      <c r="G573" s="53">
        <f>SUM(F572:F573)</f>
        <v>0</v>
      </c>
      <c r="H573" s="53">
        <f>IF(G573=1,IF(F572=1,1,-1),G573)</f>
        <v>0</v>
      </c>
      <c r="I573" s="53" t="str">
        <f>VLOOKUP(H573,codes,2,)</f>
        <v>dd</v>
      </c>
      <c r="J573" s="53"/>
    </row>
    <row r="574" spans="1:10" x14ac:dyDescent="0.25">
      <c r="A574" s="93">
        <v>40651</v>
      </c>
      <c r="B574" s="35">
        <f>C574+(D574-2009)*12</f>
        <v>28</v>
      </c>
      <c r="C574" s="76">
        <v>4</v>
      </c>
      <c r="D574" s="76">
        <v>2011</v>
      </c>
      <c r="E574" s="56">
        <v>0</v>
      </c>
      <c r="F574" s="53">
        <f>IF(E574&gt;0,1,0)</f>
        <v>0</v>
      </c>
      <c r="G574" s="53">
        <f>SUM(F573:F574)</f>
        <v>0</v>
      </c>
      <c r="H574" s="53">
        <f>IF(G574=1,IF(F573=1,1,-1),G574)</f>
        <v>0</v>
      </c>
      <c r="I574" s="53" t="str">
        <f>VLOOKUP(H574,codes,2,)</f>
        <v>dd</v>
      </c>
      <c r="J574" s="53"/>
    </row>
    <row r="575" spans="1:10" x14ac:dyDescent="0.25">
      <c r="A575" s="93">
        <v>40652</v>
      </c>
      <c r="B575" s="35">
        <f>C575+(D575-2009)*12</f>
        <v>28</v>
      </c>
      <c r="C575" s="76">
        <v>4</v>
      </c>
      <c r="D575" s="76">
        <v>2011</v>
      </c>
      <c r="E575" s="56">
        <v>0</v>
      </c>
      <c r="F575" s="53">
        <f>IF(E575&gt;0,1,0)</f>
        <v>0</v>
      </c>
      <c r="G575" s="53">
        <f>SUM(F574:F575)</f>
        <v>0</v>
      </c>
      <c r="H575" s="53">
        <f>IF(G575=1,IF(F574=1,1,-1),G575)</f>
        <v>0</v>
      </c>
      <c r="I575" s="53" t="str">
        <f>VLOOKUP(H575,codes,2,)</f>
        <v>dd</v>
      </c>
      <c r="J575" s="53"/>
    </row>
    <row r="576" spans="1:10" x14ac:dyDescent="0.25">
      <c r="A576" s="93">
        <v>40653</v>
      </c>
      <c r="B576" s="35">
        <f>C576+(D576-2009)*12</f>
        <v>28</v>
      </c>
      <c r="C576" s="76">
        <v>4</v>
      </c>
      <c r="D576" s="76">
        <v>2011</v>
      </c>
      <c r="E576" s="56">
        <v>0</v>
      </c>
      <c r="F576" s="53">
        <f>IF(E576&gt;0,1,0)</f>
        <v>0</v>
      </c>
      <c r="G576" s="53">
        <f>SUM(F575:F576)</f>
        <v>0</v>
      </c>
      <c r="H576" s="53">
        <f>IF(G576=1,IF(F575=1,1,-1),G576)</f>
        <v>0</v>
      </c>
      <c r="I576" s="53" t="str">
        <f>VLOOKUP(H576,codes,2,)</f>
        <v>dd</v>
      </c>
      <c r="J576" s="53"/>
    </row>
    <row r="577" spans="1:10" x14ac:dyDescent="0.25">
      <c r="A577" s="93">
        <v>40654</v>
      </c>
      <c r="B577" s="35">
        <f>C577+(D577-2009)*12</f>
        <v>28</v>
      </c>
      <c r="C577" s="76">
        <v>4</v>
      </c>
      <c r="D577" s="76">
        <v>2011</v>
      </c>
      <c r="E577" s="56">
        <v>0</v>
      </c>
      <c r="F577" s="53">
        <f>IF(E577&gt;0,1,0)</f>
        <v>0</v>
      </c>
      <c r="G577" s="53">
        <f>SUM(F576:F577)</f>
        <v>0</v>
      </c>
      <c r="H577" s="53">
        <f>IF(G577=1,IF(F576=1,1,-1),G577)</f>
        <v>0</v>
      </c>
      <c r="I577" s="53" t="str">
        <f>VLOOKUP(H577,codes,2,)</f>
        <v>dd</v>
      </c>
      <c r="J577" s="53"/>
    </row>
    <row r="578" spans="1:10" x14ac:dyDescent="0.25">
      <c r="A578" s="93">
        <v>40655</v>
      </c>
      <c r="B578" s="35">
        <f>C578+(D578-2009)*12</f>
        <v>28</v>
      </c>
      <c r="C578" s="76">
        <v>4</v>
      </c>
      <c r="D578" s="76">
        <v>2011</v>
      </c>
      <c r="E578" s="56">
        <v>0</v>
      </c>
      <c r="F578" s="53">
        <f>IF(E578&gt;0,1,0)</f>
        <v>0</v>
      </c>
      <c r="G578" s="53">
        <f>SUM(F577:F578)</f>
        <v>0</v>
      </c>
      <c r="H578" s="53">
        <f>IF(G578=1,IF(F577=1,1,-1),G578)</f>
        <v>0</v>
      </c>
      <c r="I578" s="53" t="str">
        <f>VLOOKUP(H578,codes,2,)</f>
        <v>dd</v>
      </c>
      <c r="J578" s="53"/>
    </row>
    <row r="579" spans="1:10" x14ac:dyDescent="0.25">
      <c r="A579" s="93">
        <v>40656</v>
      </c>
      <c r="B579" s="35">
        <f>C579+(D579-2009)*12</f>
        <v>28</v>
      </c>
      <c r="C579" s="76">
        <v>4</v>
      </c>
      <c r="D579" s="76">
        <v>2011</v>
      </c>
      <c r="E579" s="56">
        <v>0</v>
      </c>
      <c r="F579" s="53">
        <f>IF(E579&gt;0,1,0)</f>
        <v>0</v>
      </c>
      <c r="G579" s="53">
        <f>SUM(F578:F579)</f>
        <v>0</v>
      </c>
      <c r="H579" s="53">
        <f>IF(G579=1,IF(F578=1,1,-1),G579)</f>
        <v>0</v>
      </c>
      <c r="I579" s="53" t="str">
        <f>VLOOKUP(H579,codes,2,)</f>
        <v>dd</v>
      </c>
      <c r="J579" s="53"/>
    </row>
    <row r="580" spans="1:10" x14ac:dyDescent="0.25">
      <c r="A580" s="93">
        <v>40657</v>
      </c>
      <c r="B580" s="35">
        <f>C580+(D580-2009)*12</f>
        <v>28</v>
      </c>
      <c r="C580" s="76">
        <v>4</v>
      </c>
      <c r="D580" s="76">
        <v>2011</v>
      </c>
      <c r="E580" s="56">
        <v>2.6666666666666665</v>
      </c>
      <c r="F580" s="53">
        <f>IF(E580&gt;0,1,0)</f>
        <v>1</v>
      </c>
      <c r="G580" s="53">
        <f>SUM(F579:F580)</f>
        <v>1</v>
      </c>
      <c r="H580" s="53">
        <f>IF(G580=1,IF(F579=1,1,-1),G580)</f>
        <v>-1</v>
      </c>
      <c r="I580" s="53" t="str">
        <f>VLOOKUP(H580,codes,2,)</f>
        <v>dw</v>
      </c>
      <c r="J580" s="53"/>
    </row>
    <row r="581" spans="1:10" x14ac:dyDescent="0.25">
      <c r="A581" s="93">
        <v>40658</v>
      </c>
      <c r="B581" s="35">
        <f>C581+(D581-2009)*12</f>
        <v>28</v>
      </c>
      <c r="C581" s="76">
        <v>4</v>
      </c>
      <c r="D581" s="76">
        <v>2011</v>
      </c>
      <c r="E581" s="56">
        <v>0</v>
      </c>
      <c r="F581" s="53">
        <f>IF(E581&gt;0,1,0)</f>
        <v>0</v>
      </c>
      <c r="G581" s="53">
        <f>SUM(F580:F581)</f>
        <v>1</v>
      </c>
      <c r="H581" s="53">
        <f>IF(G581=1,IF(F580=1,1,-1),G581)</f>
        <v>1</v>
      </c>
      <c r="I581" s="53" t="str">
        <f>VLOOKUP(H581,codes,2,)</f>
        <v>wd</v>
      </c>
      <c r="J581" s="53"/>
    </row>
    <row r="582" spans="1:10" x14ac:dyDescent="0.25">
      <c r="A582" s="93">
        <v>40659</v>
      </c>
      <c r="B582" s="35">
        <f>C582+(D582-2009)*12</f>
        <v>28</v>
      </c>
      <c r="C582" s="76">
        <v>4</v>
      </c>
      <c r="D582" s="76">
        <v>2011</v>
      </c>
      <c r="E582" s="56">
        <v>0</v>
      </c>
      <c r="F582" s="53">
        <f>IF(E582&gt;0,1,0)</f>
        <v>0</v>
      </c>
      <c r="G582" s="53">
        <f>SUM(F581:F582)</f>
        <v>0</v>
      </c>
      <c r="H582" s="53">
        <f>IF(G582=1,IF(F581=1,1,-1),G582)</f>
        <v>0</v>
      </c>
      <c r="I582" s="53" t="str">
        <f>VLOOKUP(H582,codes,2,)</f>
        <v>dd</v>
      </c>
      <c r="J582" s="53"/>
    </row>
    <row r="583" spans="1:10" x14ac:dyDescent="0.25">
      <c r="A583" s="93">
        <v>40660</v>
      </c>
      <c r="B583" s="35">
        <f>C583+(D583-2009)*12</f>
        <v>28</v>
      </c>
      <c r="C583" s="76">
        <v>4</v>
      </c>
      <c r="D583" s="76">
        <v>2011</v>
      </c>
      <c r="E583" s="56">
        <v>0</v>
      </c>
      <c r="F583" s="53">
        <f>IF(E583&gt;0,1,0)</f>
        <v>0</v>
      </c>
      <c r="G583" s="53">
        <f>SUM(F582:F583)</f>
        <v>0</v>
      </c>
      <c r="H583" s="53">
        <f>IF(G583=1,IF(F582=1,1,-1),G583)</f>
        <v>0</v>
      </c>
      <c r="I583" s="53" t="str">
        <f>VLOOKUP(H583,codes,2,)</f>
        <v>dd</v>
      </c>
      <c r="J583" s="53"/>
    </row>
    <row r="584" spans="1:10" x14ac:dyDescent="0.25">
      <c r="A584" s="93">
        <v>40661</v>
      </c>
      <c r="B584" s="35">
        <f>C584+(D584-2009)*12</f>
        <v>28</v>
      </c>
      <c r="C584" s="76">
        <v>4</v>
      </c>
      <c r="D584" s="76">
        <v>2011</v>
      </c>
      <c r="E584" s="56">
        <v>0</v>
      </c>
      <c r="F584" s="53">
        <f>IF(E584&gt;0,1,0)</f>
        <v>0</v>
      </c>
      <c r="G584" s="53">
        <f>SUM(F583:F584)</f>
        <v>0</v>
      </c>
      <c r="H584" s="53">
        <f>IF(G584=1,IF(F583=1,1,-1),G584)</f>
        <v>0</v>
      </c>
      <c r="I584" s="53" t="str">
        <f>VLOOKUP(H584,codes,2,)</f>
        <v>dd</v>
      </c>
      <c r="J584" s="53"/>
    </row>
    <row r="585" spans="1:10" x14ac:dyDescent="0.25">
      <c r="A585" s="93">
        <v>40662</v>
      </c>
      <c r="B585" s="35">
        <f>C585+(D585-2009)*12</f>
        <v>28</v>
      </c>
      <c r="C585" s="76">
        <v>4</v>
      </c>
      <c r="D585" s="76">
        <v>2011</v>
      </c>
      <c r="E585" s="56">
        <v>0</v>
      </c>
      <c r="F585" s="53">
        <f>IF(E585&gt;0,1,0)</f>
        <v>0</v>
      </c>
      <c r="G585" s="53">
        <f>SUM(F584:F585)</f>
        <v>0</v>
      </c>
      <c r="H585" s="53">
        <f>IF(G585=1,IF(F584=1,1,-1),G585)</f>
        <v>0</v>
      </c>
      <c r="I585" s="53" t="str">
        <f>VLOOKUP(H585,codes,2,)</f>
        <v>dd</v>
      </c>
      <c r="J585" s="53"/>
    </row>
    <row r="586" spans="1:10" x14ac:dyDescent="0.25">
      <c r="A586" s="93">
        <v>40663</v>
      </c>
      <c r="B586" s="35">
        <f>C586+(D586-2009)*12</f>
        <v>28</v>
      </c>
      <c r="C586" s="76">
        <v>4</v>
      </c>
      <c r="D586" s="76">
        <v>2011</v>
      </c>
      <c r="E586" s="56">
        <v>0.20000000000000004</v>
      </c>
      <c r="F586" s="53">
        <f>IF(E586&gt;0,1,0)</f>
        <v>1</v>
      </c>
      <c r="G586" s="53">
        <f>SUM(F585:F586)</f>
        <v>1</v>
      </c>
      <c r="H586" s="53">
        <f>IF(G586=1,IF(F585=1,1,-1),G586)</f>
        <v>-1</v>
      </c>
      <c r="I586" s="53" t="str">
        <f>VLOOKUP(H586,codes,2,)</f>
        <v>dw</v>
      </c>
      <c r="J586" s="53"/>
    </row>
    <row r="587" spans="1:10" x14ac:dyDescent="0.25">
      <c r="A587" s="93">
        <v>40664</v>
      </c>
      <c r="B587" s="35">
        <f>C587+(D587-2009)*12</f>
        <v>28</v>
      </c>
      <c r="C587" s="76">
        <v>4</v>
      </c>
      <c r="D587" s="76">
        <v>2011</v>
      </c>
      <c r="E587" s="56">
        <v>0</v>
      </c>
      <c r="F587" s="53">
        <f>IF(E587&gt;0,1,0)</f>
        <v>0</v>
      </c>
      <c r="G587" s="53">
        <f>SUM(F586:F587)</f>
        <v>1</v>
      </c>
      <c r="H587" s="53">
        <f>IF(G587=1,IF(F586=1,1,-1),G587)</f>
        <v>1</v>
      </c>
      <c r="I587" s="53" t="str">
        <f>VLOOKUP(H587,codes,2,)</f>
        <v>wd</v>
      </c>
      <c r="J587" s="53"/>
    </row>
    <row r="588" spans="1:10" x14ac:dyDescent="0.25">
      <c r="A588" s="93">
        <v>41001</v>
      </c>
      <c r="B588" s="35">
        <f>C588+(D588-2009)*12</f>
        <v>40</v>
      </c>
      <c r="C588" s="76">
        <v>4</v>
      </c>
      <c r="D588" s="76">
        <v>2012</v>
      </c>
      <c r="E588" s="56">
        <v>0.20000000000000004</v>
      </c>
      <c r="F588" s="53">
        <f>IF(E588&gt;0,1,0)</f>
        <v>1</v>
      </c>
      <c r="G588" s="53">
        <f>SUM(F587:F588)</f>
        <v>1</v>
      </c>
      <c r="H588" s="53">
        <f>IF(G588=1,IF(F587=1,1,-1),G588)</f>
        <v>-1</v>
      </c>
      <c r="I588" s="53" t="str">
        <f>VLOOKUP(H588,codes,2,)</f>
        <v>dw</v>
      </c>
      <c r="J588" s="53"/>
    </row>
    <row r="589" spans="1:10" x14ac:dyDescent="0.25">
      <c r="A589" s="93">
        <v>41002</v>
      </c>
      <c r="B589" s="35">
        <f>C589+(D589-2009)*12</f>
        <v>40</v>
      </c>
      <c r="C589" s="76">
        <v>4</v>
      </c>
      <c r="D589" s="76">
        <v>2012</v>
      </c>
      <c r="E589" s="56">
        <v>2.6666666666666665</v>
      </c>
      <c r="F589" s="53">
        <f>IF(E589&gt;0,1,0)</f>
        <v>1</v>
      </c>
      <c r="G589" s="53">
        <f>SUM(F588:F589)</f>
        <v>2</v>
      </c>
      <c r="H589" s="53">
        <f>IF(G589=1,IF(F588=1,1,-1),G589)</f>
        <v>2</v>
      </c>
      <c r="I589" s="53" t="str">
        <f>VLOOKUP(H589,codes,2,)</f>
        <v>ww</v>
      </c>
      <c r="J589" s="53"/>
    </row>
    <row r="590" spans="1:10" x14ac:dyDescent="0.25">
      <c r="A590" s="93">
        <v>41003</v>
      </c>
      <c r="B590" s="35">
        <f>C590+(D590-2009)*12</f>
        <v>40</v>
      </c>
      <c r="C590" s="76">
        <v>4</v>
      </c>
      <c r="D590" s="76">
        <v>2012</v>
      </c>
      <c r="E590" s="56">
        <v>22.666666666666668</v>
      </c>
      <c r="F590" s="53">
        <f>IF(E590&gt;0,1,0)</f>
        <v>1</v>
      </c>
      <c r="G590" s="53">
        <f>SUM(F589:F590)</f>
        <v>2</v>
      </c>
      <c r="H590" s="53">
        <f>IF(G590=1,IF(F589=1,1,-1),G590)</f>
        <v>2</v>
      </c>
      <c r="I590" s="53" t="str">
        <f>VLOOKUP(H590,codes,2,)</f>
        <v>ww</v>
      </c>
      <c r="J590" s="53"/>
    </row>
    <row r="591" spans="1:10" x14ac:dyDescent="0.25">
      <c r="A591" s="93">
        <v>41004</v>
      </c>
      <c r="B591" s="35">
        <f>C591+(D591-2009)*12</f>
        <v>40</v>
      </c>
      <c r="C591" s="76">
        <v>4</v>
      </c>
      <c r="D591" s="76">
        <v>2012</v>
      </c>
      <c r="E591" s="56">
        <v>0</v>
      </c>
      <c r="F591" s="53">
        <f>IF(E591&gt;0,1,0)</f>
        <v>0</v>
      </c>
      <c r="G591" s="53">
        <f>SUM(F590:F591)</f>
        <v>1</v>
      </c>
      <c r="H591" s="53">
        <f>IF(G591=1,IF(F590=1,1,-1),G591)</f>
        <v>1</v>
      </c>
      <c r="I591" s="53" t="str">
        <f>VLOOKUP(H591,codes,2,)</f>
        <v>wd</v>
      </c>
      <c r="J591" s="53"/>
    </row>
    <row r="592" spans="1:10" x14ac:dyDescent="0.25">
      <c r="A592" s="93">
        <v>41005</v>
      </c>
      <c r="B592" s="35">
        <f>C592+(D592-2009)*12</f>
        <v>40</v>
      </c>
      <c r="C592" s="76">
        <v>4</v>
      </c>
      <c r="D592" s="76">
        <v>2012</v>
      </c>
      <c r="E592" s="56">
        <v>0</v>
      </c>
      <c r="F592" s="53">
        <f>IF(E592&gt;0,1,0)</f>
        <v>0</v>
      </c>
      <c r="G592" s="53">
        <f>SUM(F591:F592)</f>
        <v>0</v>
      </c>
      <c r="H592" s="53">
        <f>IF(G592=1,IF(F591=1,1,-1),G592)</f>
        <v>0</v>
      </c>
      <c r="I592" s="53" t="str">
        <f>VLOOKUP(H592,codes,2,)</f>
        <v>dd</v>
      </c>
      <c r="J592" s="53"/>
    </row>
    <row r="593" spans="1:10" x14ac:dyDescent="0.25">
      <c r="A593" s="93">
        <v>41006</v>
      </c>
      <c r="B593" s="35">
        <f>C593+(D593-2009)*12</f>
        <v>40</v>
      </c>
      <c r="C593" s="76">
        <v>4</v>
      </c>
      <c r="D593" s="76">
        <v>2012</v>
      </c>
      <c r="E593" s="56">
        <v>3.6666666666666665</v>
      </c>
      <c r="F593" s="53">
        <f>IF(E593&gt;0,1,0)</f>
        <v>1</v>
      </c>
      <c r="G593" s="53">
        <f>SUM(F592:F593)</f>
        <v>1</v>
      </c>
      <c r="H593" s="53">
        <f>IF(G593=1,IF(F592=1,1,-1),G593)</f>
        <v>-1</v>
      </c>
      <c r="I593" s="53" t="str">
        <f>VLOOKUP(H593,codes,2,)</f>
        <v>dw</v>
      </c>
      <c r="J593" s="53"/>
    </row>
    <row r="594" spans="1:10" x14ac:dyDescent="0.25">
      <c r="A594" s="93">
        <v>41007</v>
      </c>
      <c r="B594" s="35">
        <f>C594+(D594-2009)*12</f>
        <v>40</v>
      </c>
      <c r="C594" s="76">
        <v>4</v>
      </c>
      <c r="D594" s="76">
        <v>2012</v>
      </c>
      <c r="E594" s="56">
        <v>0.8666666666666667</v>
      </c>
      <c r="F594" s="53">
        <f>IF(E594&gt;0,1,0)</f>
        <v>1</v>
      </c>
      <c r="G594" s="53">
        <f>SUM(F593:F594)</f>
        <v>2</v>
      </c>
      <c r="H594" s="53">
        <f>IF(G594=1,IF(F593=1,1,-1),G594)</f>
        <v>2</v>
      </c>
      <c r="I594" s="53" t="str">
        <f>VLOOKUP(H594,codes,2,)</f>
        <v>ww</v>
      </c>
      <c r="J594" s="53"/>
    </row>
    <row r="595" spans="1:10" x14ac:dyDescent="0.25">
      <c r="A595" s="93">
        <v>41008</v>
      </c>
      <c r="B595" s="35">
        <f>C595+(D595-2009)*12</f>
        <v>40</v>
      </c>
      <c r="C595" s="76">
        <v>4</v>
      </c>
      <c r="D595" s="76">
        <v>2012</v>
      </c>
      <c r="E595" s="56">
        <v>6.6666666666666666E-2</v>
      </c>
      <c r="F595" s="53">
        <f>IF(E595&gt;0,1,0)</f>
        <v>1</v>
      </c>
      <c r="G595" s="53">
        <f>SUM(F594:F595)</f>
        <v>2</v>
      </c>
      <c r="H595" s="53">
        <f>IF(G595=1,IF(F594=1,1,-1),G595)</f>
        <v>2</v>
      </c>
      <c r="I595" s="53" t="str">
        <f>VLOOKUP(H595,codes,2,)</f>
        <v>ww</v>
      </c>
      <c r="J595" s="53"/>
    </row>
    <row r="596" spans="1:10" x14ac:dyDescent="0.25">
      <c r="A596" s="93">
        <v>41009</v>
      </c>
      <c r="B596" s="35">
        <f>C596+(D596-2009)*12</f>
        <v>40</v>
      </c>
      <c r="C596" s="76">
        <v>4</v>
      </c>
      <c r="D596" s="76">
        <v>2012</v>
      </c>
      <c r="E596" s="56">
        <v>3.6666666666666665</v>
      </c>
      <c r="F596" s="53">
        <f>IF(E596&gt;0,1,0)</f>
        <v>1</v>
      </c>
      <c r="G596" s="53">
        <f>SUM(F595:F596)</f>
        <v>2</v>
      </c>
      <c r="H596" s="53">
        <f>IF(G596=1,IF(F595=1,1,-1),G596)</f>
        <v>2</v>
      </c>
      <c r="I596" s="53" t="str">
        <f>VLOOKUP(H596,codes,2,)</f>
        <v>ww</v>
      </c>
      <c r="J596" s="53"/>
    </row>
    <row r="597" spans="1:10" x14ac:dyDescent="0.25">
      <c r="A597" s="93">
        <v>41010</v>
      </c>
      <c r="B597" s="35">
        <f>C597+(D597-2009)*12</f>
        <v>40</v>
      </c>
      <c r="C597" s="76">
        <v>4</v>
      </c>
      <c r="D597" s="76">
        <v>2012</v>
      </c>
      <c r="E597" s="56">
        <v>4.8</v>
      </c>
      <c r="F597" s="53">
        <f>IF(E597&gt;0,1,0)</f>
        <v>1</v>
      </c>
      <c r="G597" s="53">
        <f>SUM(F596:F597)</f>
        <v>2</v>
      </c>
      <c r="H597" s="53">
        <f>IF(G597=1,IF(F596=1,1,-1),G597)</f>
        <v>2</v>
      </c>
      <c r="I597" s="53" t="str">
        <f>VLOOKUP(H597,codes,2,)</f>
        <v>ww</v>
      </c>
      <c r="J597" s="53"/>
    </row>
    <row r="598" spans="1:10" x14ac:dyDescent="0.25">
      <c r="A598" s="93">
        <v>41011</v>
      </c>
      <c r="B598" s="35">
        <f>C598+(D598-2009)*12</f>
        <v>40</v>
      </c>
      <c r="C598" s="76">
        <v>4</v>
      </c>
      <c r="D598" s="76">
        <v>2012</v>
      </c>
      <c r="E598" s="56">
        <v>5.7333333333333334</v>
      </c>
      <c r="F598" s="53">
        <f>IF(E598&gt;0,1,0)</f>
        <v>1</v>
      </c>
      <c r="G598" s="53">
        <f>SUM(F597:F598)</f>
        <v>2</v>
      </c>
      <c r="H598" s="53">
        <f>IF(G598=1,IF(F597=1,1,-1),G598)</f>
        <v>2</v>
      </c>
      <c r="I598" s="53" t="str">
        <f>VLOOKUP(H598,codes,2,)</f>
        <v>ww</v>
      </c>
      <c r="J598" s="53"/>
    </row>
    <row r="599" spans="1:10" x14ac:dyDescent="0.25">
      <c r="A599" s="93">
        <v>41012</v>
      </c>
      <c r="B599" s="35">
        <f>C599+(D599-2009)*12</f>
        <v>40</v>
      </c>
      <c r="C599" s="76">
        <v>4</v>
      </c>
      <c r="D599" s="76">
        <v>2012</v>
      </c>
      <c r="E599" s="56">
        <v>1.4000000000000001</v>
      </c>
      <c r="F599" s="53">
        <f>IF(E599&gt;0,1,0)</f>
        <v>1</v>
      </c>
      <c r="G599" s="53">
        <f>SUM(F598:F599)</f>
        <v>2</v>
      </c>
      <c r="H599" s="53">
        <f>IF(G599=1,IF(F598=1,1,-1),G599)</f>
        <v>2</v>
      </c>
      <c r="I599" s="53" t="str">
        <f>VLOOKUP(H599,codes,2,)</f>
        <v>ww</v>
      </c>
      <c r="J599" s="53"/>
    </row>
    <row r="600" spans="1:10" x14ac:dyDescent="0.25">
      <c r="A600" s="93">
        <v>41013</v>
      </c>
      <c r="B600" s="35">
        <f>C600+(D600-2009)*12</f>
        <v>40</v>
      </c>
      <c r="C600" s="76">
        <v>4</v>
      </c>
      <c r="D600" s="76">
        <v>2012</v>
      </c>
      <c r="E600" s="56">
        <v>4.2</v>
      </c>
      <c r="F600" s="53">
        <f>IF(E600&gt;0,1,0)</f>
        <v>1</v>
      </c>
      <c r="G600" s="53">
        <f>SUM(F599:F600)</f>
        <v>2</v>
      </c>
      <c r="H600" s="53">
        <f>IF(G600=1,IF(F599=1,1,-1),G600)</f>
        <v>2</v>
      </c>
      <c r="I600" s="53" t="str">
        <f>VLOOKUP(H600,codes,2,)</f>
        <v>ww</v>
      </c>
      <c r="J600" s="53"/>
    </row>
    <row r="601" spans="1:10" x14ac:dyDescent="0.25">
      <c r="A601" s="93">
        <v>41014</v>
      </c>
      <c r="B601" s="35">
        <f>C601+(D601-2009)*12</f>
        <v>40</v>
      </c>
      <c r="C601" s="76">
        <v>4</v>
      </c>
      <c r="D601" s="76">
        <v>2012</v>
      </c>
      <c r="E601" s="56">
        <v>0.20000000000000004</v>
      </c>
      <c r="F601" s="53">
        <f>IF(E601&gt;0,1,0)</f>
        <v>1</v>
      </c>
      <c r="G601" s="53">
        <f>SUM(F600:F601)</f>
        <v>2</v>
      </c>
      <c r="H601" s="53">
        <f>IF(G601=1,IF(F600=1,1,-1),G601)</f>
        <v>2</v>
      </c>
      <c r="I601" s="53" t="str">
        <f>VLOOKUP(H601,codes,2,)</f>
        <v>ww</v>
      </c>
      <c r="J601" s="53"/>
    </row>
    <row r="602" spans="1:10" x14ac:dyDescent="0.25">
      <c r="A602" s="93">
        <v>41015</v>
      </c>
      <c r="B602" s="35">
        <f>C602+(D602-2009)*12</f>
        <v>40</v>
      </c>
      <c r="C602" s="76">
        <v>4</v>
      </c>
      <c r="D602" s="76">
        <v>2012</v>
      </c>
      <c r="E602" s="56">
        <v>0.79999999999999993</v>
      </c>
      <c r="F602" s="53">
        <f>IF(E602&gt;0,1,0)</f>
        <v>1</v>
      </c>
      <c r="G602" s="53">
        <f>SUM(F601:F602)</f>
        <v>2</v>
      </c>
      <c r="H602" s="53">
        <f>IF(G602=1,IF(F601=1,1,-1),G602)</f>
        <v>2</v>
      </c>
      <c r="I602" s="53" t="str">
        <f>VLOOKUP(H602,codes,2,)</f>
        <v>ww</v>
      </c>
      <c r="J602" s="53"/>
    </row>
    <row r="603" spans="1:10" x14ac:dyDescent="0.25">
      <c r="A603" s="93">
        <v>41016</v>
      </c>
      <c r="B603" s="35">
        <f>C603+(D603-2009)*12</f>
        <v>40</v>
      </c>
      <c r="C603" s="76">
        <v>4</v>
      </c>
      <c r="D603" s="76">
        <v>2012</v>
      </c>
      <c r="E603" s="56">
        <v>0.13333333333333333</v>
      </c>
      <c r="F603" s="53">
        <f>IF(E603&gt;0,1,0)</f>
        <v>1</v>
      </c>
      <c r="G603" s="53">
        <f>SUM(F602:F603)</f>
        <v>2</v>
      </c>
      <c r="H603" s="53">
        <f>IF(G603=1,IF(F602=1,1,-1),G603)</f>
        <v>2</v>
      </c>
      <c r="I603" s="53" t="str">
        <f>VLOOKUP(H603,codes,2,)</f>
        <v>ww</v>
      </c>
      <c r="J603" s="53"/>
    </row>
    <row r="604" spans="1:10" x14ac:dyDescent="0.25">
      <c r="A604" s="93">
        <v>41017</v>
      </c>
      <c r="B604" s="35">
        <f>C604+(D604-2009)*12</f>
        <v>40</v>
      </c>
      <c r="C604" s="76">
        <v>4</v>
      </c>
      <c r="D604" s="76">
        <v>2012</v>
      </c>
      <c r="E604" s="56">
        <v>0.13333333333333333</v>
      </c>
      <c r="F604" s="53">
        <f>IF(E604&gt;0,1,0)</f>
        <v>1</v>
      </c>
      <c r="G604" s="53">
        <f>SUM(F603:F604)</f>
        <v>2</v>
      </c>
      <c r="H604" s="53">
        <f>IF(G604=1,IF(F603=1,1,-1),G604)</f>
        <v>2</v>
      </c>
      <c r="I604" s="53" t="str">
        <f>VLOOKUP(H604,codes,2,)</f>
        <v>ww</v>
      </c>
      <c r="J604" s="53"/>
    </row>
    <row r="605" spans="1:10" x14ac:dyDescent="0.25">
      <c r="A605" s="93">
        <v>41018</v>
      </c>
      <c r="B605" s="35">
        <f>C605+(D605-2009)*12</f>
        <v>40</v>
      </c>
      <c r="C605" s="76">
        <v>4</v>
      </c>
      <c r="D605" s="76">
        <v>2012</v>
      </c>
      <c r="E605" s="56">
        <v>19.066666666666666</v>
      </c>
      <c r="F605" s="53">
        <f>IF(E605&gt;0,1,0)</f>
        <v>1</v>
      </c>
      <c r="G605" s="53">
        <f>SUM(F604:F605)</f>
        <v>2</v>
      </c>
      <c r="H605" s="53">
        <f>IF(G605=1,IF(F604=1,1,-1),G605)</f>
        <v>2</v>
      </c>
      <c r="I605" s="53" t="str">
        <f>VLOOKUP(H605,codes,2,)</f>
        <v>ww</v>
      </c>
      <c r="J605" s="53"/>
    </row>
    <row r="606" spans="1:10" x14ac:dyDescent="0.25">
      <c r="A606" s="93">
        <v>41019</v>
      </c>
      <c r="B606" s="35">
        <f>C606+(D606-2009)*12</f>
        <v>40</v>
      </c>
      <c r="C606" s="76">
        <v>4</v>
      </c>
      <c r="D606" s="76">
        <v>2012</v>
      </c>
      <c r="E606" s="56">
        <v>4.7333333333333334</v>
      </c>
      <c r="F606" s="53">
        <f>IF(E606&gt;0,1,0)</f>
        <v>1</v>
      </c>
      <c r="G606" s="53">
        <f>SUM(F605:F606)</f>
        <v>2</v>
      </c>
      <c r="H606" s="53">
        <f>IF(G606=1,IF(F605=1,1,-1),G606)</f>
        <v>2</v>
      </c>
      <c r="I606" s="53" t="str">
        <f>VLOOKUP(H606,codes,2,)</f>
        <v>ww</v>
      </c>
      <c r="J606" s="53"/>
    </row>
    <row r="607" spans="1:10" x14ac:dyDescent="0.25">
      <c r="A607" s="93">
        <v>41020</v>
      </c>
      <c r="B607" s="35">
        <f>C607+(D607-2009)*12</f>
        <v>40</v>
      </c>
      <c r="C607" s="76">
        <v>4</v>
      </c>
      <c r="D607" s="76">
        <v>2012</v>
      </c>
      <c r="E607" s="56">
        <v>5.7333333333333334</v>
      </c>
      <c r="F607" s="53">
        <f>IF(E607&gt;0,1,0)</f>
        <v>1</v>
      </c>
      <c r="G607" s="53">
        <f>SUM(F606:F607)</f>
        <v>2</v>
      </c>
      <c r="H607" s="53">
        <f>IF(G607=1,IF(F606=1,1,-1),G607)</f>
        <v>2</v>
      </c>
      <c r="I607" s="53" t="str">
        <f>VLOOKUP(H607,codes,2,)</f>
        <v>ww</v>
      </c>
      <c r="J607" s="53"/>
    </row>
    <row r="608" spans="1:10" x14ac:dyDescent="0.25">
      <c r="A608" s="93">
        <v>41021</v>
      </c>
      <c r="B608" s="35">
        <f>C608+(D608-2009)*12</f>
        <v>40</v>
      </c>
      <c r="C608" s="76">
        <v>4</v>
      </c>
      <c r="D608" s="76">
        <v>2012</v>
      </c>
      <c r="E608" s="56">
        <v>8.1333333333333329</v>
      </c>
      <c r="F608" s="53">
        <f>IF(E608&gt;0,1,0)</f>
        <v>1</v>
      </c>
      <c r="G608" s="53">
        <f>SUM(F607:F608)</f>
        <v>2</v>
      </c>
      <c r="H608" s="53">
        <f>IF(G608=1,IF(F607=1,1,-1),G608)</f>
        <v>2</v>
      </c>
      <c r="I608" s="53" t="str">
        <f>VLOOKUP(H608,codes,2,)</f>
        <v>ww</v>
      </c>
      <c r="J608" s="53"/>
    </row>
    <row r="609" spans="1:10" x14ac:dyDescent="0.25">
      <c r="A609" s="93">
        <v>41022</v>
      </c>
      <c r="B609" s="35">
        <f>C609+(D609-2009)*12</f>
        <v>40</v>
      </c>
      <c r="C609" s="76">
        <v>4</v>
      </c>
      <c r="D609" s="76">
        <v>2012</v>
      </c>
      <c r="E609" s="56">
        <v>1.7333333333333334</v>
      </c>
      <c r="F609" s="53">
        <f>IF(E609&gt;0,1,0)</f>
        <v>1</v>
      </c>
      <c r="G609" s="53">
        <f>SUM(F608:F609)</f>
        <v>2</v>
      </c>
      <c r="H609" s="53">
        <f>IF(G609=1,IF(F608=1,1,-1),G609)</f>
        <v>2</v>
      </c>
      <c r="I609" s="53" t="str">
        <f>VLOOKUP(H609,codes,2,)</f>
        <v>ww</v>
      </c>
      <c r="J609" s="53"/>
    </row>
    <row r="610" spans="1:10" x14ac:dyDescent="0.25">
      <c r="A610" s="93">
        <v>41023</v>
      </c>
      <c r="B610" s="35">
        <f>C610+(D610-2009)*12</f>
        <v>40</v>
      </c>
      <c r="C610" s="76">
        <v>4</v>
      </c>
      <c r="D610" s="76">
        <v>2012</v>
      </c>
      <c r="E610" s="56">
        <v>0.53333333333333333</v>
      </c>
      <c r="F610" s="53">
        <f>IF(E610&gt;0,1,0)</f>
        <v>1</v>
      </c>
      <c r="G610" s="53">
        <f>SUM(F609:F610)</f>
        <v>2</v>
      </c>
      <c r="H610" s="53">
        <f>IF(G610=1,IF(F609=1,1,-1),G610)</f>
        <v>2</v>
      </c>
      <c r="I610" s="53" t="str">
        <f>VLOOKUP(H610,codes,2,)</f>
        <v>ww</v>
      </c>
      <c r="J610" s="53"/>
    </row>
    <row r="611" spans="1:10" x14ac:dyDescent="0.25">
      <c r="A611" s="93">
        <v>41024</v>
      </c>
      <c r="B611" s="35">
        <f>C611+(D611-2009)*12</f>
        <v>40</v>
      </c>
      <c r="C611" s="76">
        <v>4</v>
      </c>
      <c r="D611" s="76">
        <v>2012</v>
      </c>
      <c r="E611" s="56">
        <v>1.1333333333333333</v>
      </c>
      <c r="F611" s="53">
        <f>IF(E611&gt;0,1,0)</f>
        <v>1</v>
      </c>
      <c r="G611" s="53">
        <f>SUM(F610:F611)</f>
        <v>2</v>
      </c>
      <c r="H611" s="53">
        <f>IF(G611=1,IF(F610=1,1,-1),G611)</f>
        <v>2</v>
      </c>
      <c r="I611" s="53" t="str">
        <f>VLOOKUP(H611,codes,2,)</f>
        <v>ww</v>
      </c>
      <c r="J611" s="53"/>
    </row>
    <row r="612" spans="1:10" x14ac:dyDescent="0.25">
      <c r="A612" s="93">
        <v>41025</v>
      </c>
      <c r="B612" s="35">
        <f>C612+(D612-2009)*12</f>
        <v>40</v>
      </c>
      <c r="C612" s="76">
        <v>4</v>
      </c>
      <c r="D612" s="76">
        <v>2012</v>
      </c>
      <c r="E612" s="56">
        <v>14.266666666666666</v>
      </c>
      <c r="F612" s="53">
        <f>IF(E612&gt;0,1,0)</f>
        <v>1</v>
      </c>
      <c r="G612" s="53">
        <f>SUM(F611:F612)</f>
        <v>2</v>
      </c>
      <c r="H612" s="53">
        <f>IF(G612=1,IF(F611=1,1,-1),G612)</f>
        <v>2</v>
      </c>
      <c r="I612" s="53" t="str">
        <f>VLOOKUP(H612,codes,2,)</f>
        <v>ww</v>
      </c>
      <c r="J612" s="53"/>
    </row>
    <row r="613" spans="1:10" x14ac:dyDescent="0.25">
      <c r="A613" s="93">
        <v>41026</v>
      </c>
      <c r="B613" s="35">
        <f>C613+(D613-2009)*12</f>
        <v>40</v>
      </c>
      <c r="C613" s="76">
        <v>4</v>
      </c>
      <c r="D613" s="76">
        <v>2012</v>
      </c>
      <c r="E613" s="56">
        <v>9.6</v>
      </c>
      <c r="F613" s="53">
        <f>IF(E613&gt;0,1,0)</f>
        <v>1</v>
      </c>
      <c r="G613" s="53">
        <f>SUM(F612:F613)</f>
        <v>2</v>
      </c>
      <c r="H613" s="53">
        <f>IF(G613=1,IF(F612=1,1,-1),G613)</f>
        <v>2</v>
      </c>
      <c r="I613" s="53" t="str">
        <f>VLOOKUP(H613,codes,2,)</f>
        <v>ww</v>
      </c>
      <c r="J613" s="53"/>
    </row>
    <row r="614" spans="1:10" x14ac:dyDescent="0.25">
      <c r="A614" s="93">
        <v>41027</v>
      </c>
      <c r="B614" s="35">
        <f>C614+(D614-2009)*12</f>
        <v>40</v>
      </c>
      <c r="C614" s="76">
        <v>4</v>
      </c>
      <c r="D614" s="76">
        <v>2012</v>
      </c>
      <c r="E614" s="56">
        <v>0.73333333333333328</v>
      </c>
      <c r="F614" s="53">
        <f>IF(E614&gt;0,1,0)</f>
        <v>1</v>
      </c>
      <c r="G614" s="53">
        <f>SUM(F613:F614)</f>
        <v>2</v>
      </c>
      <c r="H614" s="53">
        <f>IF(G614=1,IF(F613=1,1,-1),G614)</f>
        <v>2</v>
      </c>
      <c r="I614" s="53" t="str">
        <f>VLOOKUP(H614,codes,2,)</f>
        <v>ww</v>
      </c>
      <c r="J614" s="53"/>
    </row>
    <row r="615" spans="1:10" x14ac:dyDescent="0.25">
      <c r="A615" s="93">
        <v>41028</v>
      </c>
      <c r="B615" s="35">
        <f>C615+(D615-2009)*12</f>
        <v>40</v>
      </c>
      <c r="C615" s="76">
        <v>4</v>
      </c>
      <c r="D615" s="76">
        <v>2012</v>
      </c>
      <c r="E615" s="56">
        <v>6.6666666666666666E-2</v>
      </c>
      <c r="F615" s="53">
        <f>IF(E615&gt;0,1,0)</f>
        <v>1</v>
      </c>
      <c r="G615" s="53">
        <f>SUM(F614:F615)</f>
        <v>2</v>
      </c>
      <c r="H615" s="53">
        <f>IF(G615=1,IF(F614=1,1,-1),G615)</f>
        <v>2</v>
      </c>
      <c r="I615" s="53" t="str">
        <f>VLOOKUP(H615,codes,2,)</f>
        <v>ww</v>
      </c>
      <c r="J615" s="53"/>
    </row>
    <row r="616" spans="1:10" x14ac:dyDescent="0.25">
      <c r="A616" s="93">
        <v>41029</v>
      </c>
      <c r="B616" s="35">
        <f>C616+(D616-2009)*12</f>
        <v>40</v>
      </c>
      <c r="C616" s="76">
        <v>4</v>
      </c>
      <c r="D616" s="76">
        <v>2012</v>
      </c>
      <c r="E616" s="56">
        <v>11.733333333333334</v>
      </c>
      <c r="F616" s="53">
        <f>IF(E616&gt;0,1,0)</f>
        <v>1</v>
      </c>
      <c r="G616" s="53">
        <f>SUM(F615:F616)</f>
        <v>2</v>
      </c>
      <c r="H616" s="53">
        <f>IF(G616=1,IF(F615=1,1,-1),G616)</f>
        <v>2</v>
      </c>
      <c r="I616" s="53" t="str">
        <f>VLOOKUP(H616,codes,2,)</f>
        <v>ww</v>
      </c>
      <c r="J616" s="53"/>
    </row>
    <row r="617" spans="1:10" x14ac:dyDescent="0.25">
      <c r="A617" s="93">
        <v>41030</v>
      </c>
      <c r="B617" s="35">
        <f>C617+(D617-2009)*12</f>
        <v>40</v>
      </c>
      <c r="C617" s="76">
        <v>4</v>
      </c>
      <c r="D617" s="76">
        <v>2012</v>
      </c>
      <c r="E617" s="56">
        <v>0.13333333333333333</v>
      </c>
      <c r="F617" s="53">
        <f>IF(E617&gt;0,1,0)</f>
        <v>1</v>
      </c>
      <c r="G617" s="53">
        <f>SUM(F616:F617)</f>
        <v>2</v>
      </c>
      <c r="H617" s="53">
        <f>IF(G617=1,IF(F616=1,1,-1),G617)</f>
        <v>2</v>
      </c>
      <c r="I617" s="53" t="str">
        <f>VLOOKUP(H617,codes,2,)</f>
        <v>ww</v>
      </c>
      <c r="J617" s="53"/>
    </row>
    <row r="618" spans="1:10" x14ac:dyDescent="0.25">
      <c r="A618" s="93">
        <v>41366</v>
      </c>
      <c r="B618" s="35">
        <f>C618+(D618-2009)*12</f>
        <v>52</v>
      </c>
      <c r="C618" s="76">
        <v>4</v>
      </c>
      <c r="D618" s="76">
        <v>2013</v>
      </c>
      <c r="E618" s="56">
        <v>6.6666666666666666E-2</v>
      </c>
      <c r="F618" s="53">
        <f>IF(E618&gt;0,1,0)</f>
        <v>1</v>
      </c>
      <c r="G618" s="53">
        <f>SUM(F617:F618)</f>
        <v>2</v>
      </c>
      <c r="H618" s="53">
        <f>IF(G618=1,IF(F617=1,1,-1),G618)</f>
        <v>2</v>
      </c>
      <c r="I618" s="53" t="str">
        <f>VLOOKUP(H618,codes,2,)</f>
        <v>ww</v>
      </c>
      <c r="J618" s="53"/>
    </row>
    <row r="619" spans="1:10" x14ac:dyDescent="0.25">
      <c r="A619" s="93">
        <v>41367</v>
      </c>
      <c r="B619" s="35">
        <f>C619+(D619-2009)*12</f>
        <v>52</v>
      </c>
      <c r="C619" s="76">
        <v>4</v>
      </c>
      <c r="D619" s="76">
        <v>2013</v>
      </c>
      <c r="E619" s="56">
        <v>0.13333333333333333</v>
      </c>
      <c r="F619" s="53">
        <f>IF(E619&gt;0,1,0)</f>
        <v>1</v>
      </c>
      <c r="G619" s="53">
        <f>SUM(F618:F619)</f>
        <v>2</v>
      </c>
      <c r="H619" s="53">
        <f>IF(G619=1,IF(F618=1,1,-1),G619)</f>
        <v>2</v>
      </c>
      <c r="I619" s="53" t="str">
        <f>VLOOKUP(H619,codes,2,)</f>
        <v>ww</v>
      </c>
      <c r="J619" s="53"/>
    </row>
    <row r="620" spans="1:10" x14ac:dyDescent="0.25">
      <c r="A620" s="93">
        <v>41368</v>
      </c>
      <c r="B620" s="35">
        <f>C620+(D620-2009)*12</f>
        <v>52</v>
      </c>
      <c r="C620" s="76">
        <v>4</v>
      </c>
      <c r="D620" s="76">
        <v>2013</v>
      </c>
      <c r="E620" s="56">
        <v>0</v>
      </c>
      <c r="F620" s="53">
        <f>IF(E620&gt;0,1,0)</f>
        <v>0</v>
      </c>
      <c r="G620" s="53">
        <f>SUM(F619:F620)</f>
        <v>1</v>
      </c>
      <c r="H620" s="53">
        <f>IF(G620=1,IF(F619=1,1,-1),G620)</f>
        <v>1</v>
      </c>
      <c r="I620" s="53" t="str">
        <f>VLOOKUP(H620,codes,2,)</f>
        <v>wd</v>
      </c>
      <c r="J620" s="53"/>
    </row>
    <row r="621" spans="1:10" x14ac:dyDescent="0.25">
      <c r="A621" s="93">
        <v>41369</v>
      </c>
      <c r="B621" s="35">
        <f>C621+(D621-2009)*12</f>
        <v>52</v>
      </c>
      <c r="C621" s="76">
        <v>4</v>
      </c>
      <c r="D621" s="76">
        <v>2013</v>
      </c>
      <c r="E621" s="56">
        <v>1.2</v>
      </c>
      <c r="F621" s="53">
        <f>IF(E621&gt;0,1,0)</f>
        <v>1</v>
      </c>
      <c r="G621" s="53">
        <f>SUM(F620:F621)</f>
        <v>1</v>
      </c>
      <c r="H621" s="53">
        <f>IF(G621=1,IF(F620=1,1,-1),G621)</f>
        <v>-1</v>
      </c>
      <c r="I621" s="53" t="str">
        <f>VLOOKUP(H621,codes,2,)</f>
        <v>dw</v>
      </c>
      <c r="J621" s="53"/>
    </row>
    <row r="622" spans="1:10" x14ac:dyDescent="0.25">
      <c r="A622" s="93">
        <v>41370</v>
      </c>
      <c r="B622" s="35">
        <f>C622+(D622-2009)*12</f>
        <v>52</v>
      </c>
      <c r="C622" s="76">
        <v>4</v>
      </c>
      <c r="D622" s="76">
        <v>2013</v>
      </c>
      <c r="E622" s="56">
        <v>0</v>
      </c>
      <c r="F622" s="53">
        <f>IF(E622&gt;0,1,0)</f>
        <v>0</v>
      </c>
      <c r="G622" s="53">
        <f>SUM(F621:F622)</f>
        <v>1</v>
      </c>
      <c r="H622" s="53">
        <f>IF(G622=1,IF(F621=1,1,-1),G622)</f>
        <v>1</v>
      </c>
      <c r="I622" s="53" t="str">
        <f>VLOOKUP(H622,codes,2,)</f>
        <v>wd</v>
      </c>
      <c r="J622" s="53"/>
    </row>
    <row r="623" spans="1:10" x14ac:dyDescent="0.25">
      <c r="A623" s="93">
        <v>41371</v>
      </c>
      <c r="B623" s="35">
        <f>C623+(D623-2009)*12</f>
        <v>52</v>
      </c>
      <c r="C623" s="76">
        <v>4</v>
      </c>
      <c r="D623" s="76">
        <v>2013</v>
      </c>
      <c r="E623" s="56">
        <v>0</v>
      </c>
      <c r="F623" s="53">
        <f>IF(E623&gt;0,1,0)</f>
        <v>0</v>
      </c>
      <c r="G623" s="53">
        <f>SUM(F622:F623)</f>
        <v>0</v>
      </c>
      <c r="H623" s="53">
        <f>IF(G623=1,IF(F622=1,1,-1),G623)</f>
        <v>0</v>
      </c>
      <c r="I623" s="53" t="str">
        <f>VLOOKUP(H623,codes,2,)</f>
        <v>dd</v>
      </c>
      <c r="J623" s="53"/>
    </row>
    <row r="624" spans="1:10" x14ac:dyDescent="0.25">
      <c r="A624" s="93">
        <v>41372</v>
      </c>
      <c r="B624" s="35">
        <f>C624+(D624-2009)*12</f>
        <v>52</v>
      </c>
      <c r="C624" s="76">
        <v>4</v>
      </c>
      <c r="D624" s="76">
        <v>2013</v>
      </c>
      <c r="E624" s="56">
        <v>0</v>
      </c>
      <c r="F624" s="53">
        <f>IF(E624&gt;0,1,0)</f>
        <v>0</v>
      </c>
      <c r="G624" s="53">
        <f>SUM(F623:F624)</f>
        <v>0</v>
      </c>
      <c r="H624" s="53">
        <f>IF(G624=1,IF(F623=1,1,-1),G624)</f>
        <v>0</v>
      </c>
      <c r="I624" s="53" t="str">
        <f>VLOOKUP(H624,codes,2,)</f>
        <v>dd</v>
      </c>
      <c r="J624" s="53"/>
    </row>
    <row r="625" spans="1:10" x14ac:dyDescent="0.25">
      <c r="A625" s="93">
        <v>41373</v>
      </c>
      <c r="B625" s="35">
        <f>C625+(D625-2009)*12</f>
        <v>52</v>
      </c>
      <c r="C625" s="76">
        <v>4</v>
      </c>
      <c r="D625" s="76">
        <v>2013</v>
      </c>
      <c r="E625" s="56">
        <v>0</v>
      </c>
      <c r="F625" s="53">
        <f>IF(E625&gt;0,1,0)</f>
        <v>0</v>
      </c>
      <c r="G625" s="53">
        <f>SUM(F624:F625)</f>
        <v>0</v>
      </c>
      <c r="H625" s="53">
        <f>IF(G625=1,IF(F624=1,1,-1),G625)</f>
        <v>0</v>
      </c>
      <c r="I625" s="53" t="str">
        <f>VLOOKUP(H625,codes,2,)</f>
        <v>dd</v>
      </c>
      <c r="J625" s="53"/>
    </row>
    <row r="626" spans="1:10" x14ac:dyDescent="0.25">
      <c r="A626" s="93">
        <v>41374</v>
      </c>
      <c r="B626" s="35">
        <f>C626+(D626-2009)*12</f>
        <v>52</v>
      </c>
      <c r="C626" s="76">
        <v>4</v>
      </c>
      <c r="D626" s="76">
        <v>2013</v>
      </c>
      <c r="E626" s="56">
        <v>0</v>
      </c>
      <c r="F626" s="53">
        <f>IF(E626&gt;0,1,0)</f>
        <v>0</v>
      </c>
      <c r="G626" s="53">
        <f>SUM(F625:F626)</f>
        <v>0</v>
      </c>
      <c r="H626" s="53">
        <f>IF(G626=1,IF(F625=1,1,-1),G626)</f>
        <v>0</v>
      </c>
      <c r="I626" s="53" t="str">
        <f>VLOOKUP(H626,codes,2,)</f>
        <v>dd</v>
      </c>
      <c r="J626" s="53"/>
    </row>
    <row r="627" spans="1:10" x14ac:dyDescent="0.25">
      <c r="A627" s="93">
        <v>41375</v>
      </c>
      <c r="B627" s="35">
        <f>C627+(D627-2009)*12</f>
        <v>52</v>
      </c>
      <c r="C627" s="76">
        <v>4</v>
      </c>
      <c r="D627" s="76">
        <v>2013</v>
      </c>
      <c r="E627" s="56">
        <v>0</v>
      </c>
      <c r="F627" s="53">
        <f>IF(E627&gt;0,1,0)</f>
        <v>0</v>
      </c>
      <c r="G627" s="53">
        <f>SUM(F626:F627)</f>
        <v>0</v>
      </c>
      <c r="H627" s="53">
        <f>IF(G627=1,IF(F626=1,1,-1),G627)</f>
        <v>0</v>
      </c>
      <c r="I627" s="53" t="str">
        <f>VLOOKUP(H627,codes,2,)</f>
        <v>dd</v>
      </c>
      <c r="J627" s="53"/>
    </row>
    <row r="628" spans="1:10" x14ac:dyDescent="0.25">
      <c r="A628" s="93">
        <v>41376</v>
      </c>
      <c r="B628" s="35">
        <f>C628+(D628-2009)*12</f>
        <v>52</v>
      </c>
      <c r="C628" s="76">
        <v>4</v>
      </c>
      <c r="D628" s="76">
        <v>2013</v>
      </c>
      <c r="E628" s="56">
        <v>1.3999999999999997</v>
      </c>
      <c r="F628" s="53">
        <f>IF(E628&gt;0,1,0)</f>
        <v>1</v>
      </c>
      <c r="G628" s="53">
        <f>SUM(F627:F628)</f>
        <v>1</v>
      </c>
      <c r="H628" s="53">
        <f>IF(G628=1,IF(F627=1,1,-1),G628)</f>
        <v>-1</v>
      </c>
      <c r="I628" s="53" t="str">
        <f>VLOOKUP(H628,codes,2,)</f>
        <v>dw</v>
      </c>
      <c r="J628" s="53"/>
    </row>
    <row r="629" spans="1:10" x14ac:dyDescent="0.25">
      <c r="A629" s="93">
        <v>41377</v>
      </c>
      <c r="B629" s="35">
        <f>C629+(D629-2009)*12</f>
        <v>52</v>
      </c>
      <c r="C629" s="76">
        <v>4</v>
      </c>
      <c r="D629" s="76">
        <v>2013</v>
      </c>
      <c r="E629" s="56">
        <v>0.26666666666666666</v>
      </c>
      <c r="F629" s="53">
        <f>IF(E629&gt;0,1,0)</f>
        <v>1</v>
      </c>
      <c r="G629" s="53">
        <f>SUM(F628:F629)</f>
        <v>2</v>
      </c>
      <c r="H629" s="53">
        <f>IF(G629=1,IF(F628=1,1,-1),G629)</f>
        <v>2</v>
      </c>
      <c r="I629" s="53" t="str">
        <f>VLOOKUP(H629,codes,2,)</f>
        <v>ww</v>
      </c>
      <c r="J629" s="53"/>
    </row>
    <row r="630" spans="1:10" x14ac:dyDescent="0.25">
      <c r="A630" s="93">
        <v>41378</v>
      </c>
      <c r="B630" s="35">
        <f>C630+(D630-2009)*12</f>
        <v>52</v>
      </c>
      <c r="C630" s="76">
        <v>4</v>
      </c>
      <c r="D630" s="76">
        <v>2013</v>
      </c>
      <c r="E630" s="56">
        <v>0.13333333333333333</v>
      </c>
      <c r="F630" s="53">
        <f>IF(E630&gt;0,1,0)</f>
        <v>1</v>
      </c>
      <c r="G630" s="53">
        <f>SUM(F629:F630)</f>
        <v>2</v>
      </c>
      <c r="H630" s="53">
        <f>IF(G630=1,IF(F629=1,1,-1),G630)</f>
        <v>2</v>
      </c>
      <c r="I630" s="53" t="str">
        <f>VLOOKUP(H630,codes,2,)</f>
        <v>ww</v>
      </c>
      <c r="J630" s="53"/>
    </row>
    <row r="631" spans="1:10" x14ac:dyDescent="0.25">
      <c r="A631" s="93">
        <v>41379</v>
      </c>
      <c r="B631" s="35">
        <f>C631+(D631-2009)*12</f>
        <v>52</v>
      </c>
      <c r="C631" s="76">
        <v>4</v>
      </c>
      <c r="D631" s="76">
        <v>2013</v>
      </c>
      <c r="E631" s="56">
        <v>0</v>
      </c>
      <c r="F631" s="53">
        <f>IF(E631&gt;0,1,0)</f>
        <v>0</v>
      </c>
      <c r="G631" s="53">
        <f>SUM(F630:F631)</f>
        <v>1</v>
      </c>
      <c r="H631" s="53">
        <f>IF(G631=1,IF(F630=1,1,-1),G631)</f>
        <v>1</v>
      </c>
      <c r="I631" s="53" t="str">
        <f>VLOOKUP(H631,codes,2,)</f>
        <v>wd</v>
      </c>
      <c r="J631" s="53"/>
    </row>
    <row r="632" spans="1:10" x14ac:dyDescent="0.25">
      <c r="A632" s="93">
        <v>41380</v>
      </c>
      <c r="B632" s="35">
        <f>C632+(D632-2009)*12</f>
        <v>52</v>
      </c>
      <c r="C632" s="76">
        <v>4</v>
      </c>
      <c r="D632" s="76">
        <v>2013</v>
      </c>
      <c r="E632" s="56">
        <v>0.8666666666666667</v>
      </c>
      <c r="F632" s="53">
        <f>IF(E632&gt;0,1,0)</f>
        <v>1</v>
      </c>
      <c r="G632" s="53">
        <f>SUM(F631:F632)</f>
        <v>1</v>
      </c>
      <c r="H632" s="53">
        <f>IF(G632=1,IF(F631=1,1,-1),G632)</f>
        <v>-1</v>
      </c>
      <c r="I632" s="53" t="str">
        <f>VLOOKUP(H632,codes,2,)</f>
        <v>dw</v>
      </c>
      <c r="J632" s="53"/>
    </row>
    <row r="633" spans="1:10" x14ac:dyDescent="0.25">
      <c r="A633" s="93">
        <v>41381</v>
      </c>
      <c r="B633" s="35">
        <f>C633+(D633-2009)*12</f>
        <v>52</v>
      </c>
      <c r="C633" s="76">
        <v>4</v>
      </c>
      <c r="D633" s="76">
        <v>2013</v>
      </c>
      <c r="E633" s="56">
        <v>0.40000000000000008</v>
      </c>
      <c r="F633" s="53">
        <f>IF(E633&gt;0,1,0)</f>
        <v>1</v>
      </c>
      <c r="G633" s="53">
        <f>SUM(F632:F633)</f>
        <v>2</v>
      </c>
      <c r="H633" s="53">
        <f>IF(G633=1,IF(F632=1,1,-1),G633)</f>
        <v>2</v>
      </c>
      <c r="I633" s="53" t="str">
        <f>VLOOKUP(H633,codes,2,)</f>
        <v>ww</v>
      </c>
      <c r="J633" s="53"/>
    </row>
    <row r="634" spans="1:10" x14ac:dyDescent="0.25">
      <c r="A634" s="93">
        <v>41382</v>
      </c>
      <c r="B634" s="35">
        <f>C634+(D634-2009)*12</f>
        <v>52</v>
      </c>
      <c r="C634" s="76">
        <v>4</v>
      </c>
      <c r="D634" s="76">
        <v>2013</v>
      </c>
      <c r="E634" s="56">
        <v>0.33333333333333331</v>
      </c>
      <c r="F634" s="53">
        <f>IF(E634&gt;0,1,0)</f>
        <v>1</v>
      </c>
      <c r="G634" s="53">
        <f>SUM(F633:F634)</f>
        <v>2</v>
      </c>
      <c r="H634" s="53">
        <f>IF(G634=1,IF(F633=1,1,-1),G634)</f>
        <v>2</v>
      </c>
      <c r="I634" s="53" t="str">
        <f>VLOOKUP(H634,codes,2,)</f>
        <v>ww</v>
      </c>
      <c r="J634" s="53"/>
    </row>
    <row r="635" spans="1:10" x14ac:dyDescent="0.25">
      <c r="A635" s="93">
        <v>41383</v>
      </c>
      <c r="B635" s="35">
        <f>C635+(D635-2009)*12</f>
        <v>52</v>
      </c>
      <c r="C635" s="76">
        <v>4</v>
      </c>
      <c r="D635" s="76">
        <v>2013</v>
      </c>
      <c r="E635" s="56">
        <v>3.1333333333333329</v>
      </c>
      <c r="F635" s="53">
        <f>IF(E635&gt;0,1,0)</f>
        <v>1</v>
      </c>
      <c r="G635" s="53">
        <f>SUM(F634:F635)</f>
        <v>2</v>
      </c>
      <c r="H635" s="53">
        <f>IF(G635=1,IF(F634=1,1,-1),G635)</f>
        <v>2</v>
      </c>
      <c r="I635" s="53" t="str">
        <f>VLOOKUP(H635,codes,2,)</f>
        <v>ww</v>
      </c>
      <c r="J635" s="53"/>
    </row>
    <row r="636" spans="1:10" x14ac:dyDescent="0.25">
      <c r="A636" s="93">
        <v>41384</v>
      </c>
      <c r="B636" s="35">
        <f>C636+(D636-2009)*12</f>
        <v>52</v>
      </c>
      <c r="C636" s="76">
        <v>4</v>
      </c>
      <c r="D636" s="76">
        <v>2013</v>
      </c>
      <c r="E636" s="56">
        <v>6.6666666666666666E-2</v>
      </c>
      <c r="F636" s="53">
        <f>IF(E636&gt;0,1,0)</f>
        <v>1</v>
      </c>
      <c r="G636" s="53">
        <f>SUM(F635:F636)</f>
        <v>2</v>
      </c>
      <c r="H636" s="53">
        <f>IF(G636=1,IF(F635=1,1,-1),G636)</f>
        <v>2</v>
      </c>
      <c r="I636" s="53" t="str">
        <f>VLOOKUP(H636,codes,2,)</f>
        <v>ww</v>
      </c>
      <c r="J636" s="53"/>
    </row>
    <row r="637" spans="1:10" x14ac:dyDescent="0.25">
      <c r="A637" s="93">
        <v>41385</v>
      </c>
      <c r="B637" s="35">
        <f>C637+(D637-2009)*12</f>
        <v>52</v>
      </c>
      <c r="C637" s="76">
        <v>4</v>
      </c>
      <c r="D637" s="76">
        <v>2013</v>
      </c>
      <c r="E637" s="56">
        <v>0</v>
      </c>
      <c r="F637" s="53">
        <f>IF(E637&gt;0,1,0)</f>
        <v>0</v>
      </c>
      <c r="G637" s="53">
        <f>SUM(F636:F637)</f>
        <v>1</v>
      </c>
      <c r="H637" s="53">
        <f>IF(G637=1,IF(F636=1,1,-1),G637)</f>
        <v>1</v>
      </c>
      <c r="I637" s="53" t="str">
        <f>VLOOKUP(H637,codes,2,)</f>
        <v>wd</v>
      </c>
      <c r="J637" s="53"/>
    </row>
    <row r="638" spans="1:10" x14ac:dyDescent="0.25">
      <c r="A638" s="93">
        <v>41386</v>
      </c>
      <c r="B638" s="35">
        <f>C638+(D638-2009)*12</f>
        <v>52</v>
      </c>
      <c r="C638" s="76">
        <v>4</v>
      </c>
      <c r="D638" s="76">
        <v>2013</v>
      </c>
      <c r="E638" s="56">
        <v>0.26666666666666666</v>
      </c>
      <c r="F638" s="53">
        <f>IF(E638&gt;0,1,0)</f>
        <v>1</v>
      </c>
      <c r="G638" s="53">
        <f>SUM(F637:F638)</f>
        <v>1</v>
      </c>
      <c r="H638" s="53">
        <f>IF(G638=1,IF(F637=1,1,-1),G638)</f>
        <v>-1</v>
      </c>
      <c r="I638" s="53" t="str">
        <f>VLOOKUP(H638,codes,2,)</f>
        <v>dw</v>
      </c>
      <c r="J638" s="53"/>
    </row>
    <row r="639" spans="1:10" x14ac:dyDescent="0.25">
      <c r="A639" s="93">
        <v>41387</v>
      </c>
      <c r="B639" s="35">
        <f>C639+(D639-2009)*12</f>
        <v>52</v>
      </c>
      <c r="C639" s="76">
        <v>4</v>
      </c>
      <c r="D639" s="76">
        <v>2013</v>
      </c>
      <c r="E639" s="56">
        <v>0</v>
      </c>
      <c r="F639" s="53">
        <f>IF(E639&gt;0,1,0)</f>
        <v>0</v>
      </c>
      <c r="G639" s="53">
        <f>SUM(F638:F639)</f>
        <v>1</v>
      </c>
      <c r="H639" s="53">
        <f>IF(G639=1,IF(F638=1,1,-1),G639)</f>
        <v>1</v>
      </c>
      <c r="I639" s="53" t="str">
        <f>VLOOKUP(H639,codes,2,)</f>
        <v>wd</v>
      </c>
      <c r="J639" s="53"/>
    </row>
    <row r="640" spans="1:10" x14ac:dyDescent="0.25">
      <c r="A640" s="93">
        <v>41388</v>
      </c>
      <c r="B640" s="35">
        <f>C640+(D640-2009)*12</f>
        <v>52</v>
      </c>
      <c r="C640" s="76">
        <v>4</v>
      </c>
      <c r="D640" s="76">
        <v>2013</v>
      </c>
      <c r="E640" s="56">
        <v>0</v>
      </c>
      <c r="F640" s="53">
        <f>IF(E640&gt;0,1,0)</f>
        <v>0</v>
      </c>
      <c r="G640" s="53">
        <f>SUM(F639:F640)</f>
        <v>0</v>
      </c>
      <c r="H640" s="53">
        <f>IF(G640=1,IF(F639=1,1,-1),G640)</f>
        <v>0</v>
      </c>
      <c r="I640" s="53" t="str">
        <f>VLOOKUP(H640,codes,2,)</f>
        <v>dd</v>
      </c>
      <c r="J640" s="53"/>
    </row>
    <row r="641" spans="1:10" x14ac:dyDescent="0.25">
      <c r="A641" s="93">
        <v>41389</v>
      </c>
      <c r="B641" s="35">
        <f>C641+(D641-2009)*12</f>
        <v>52</v>
      </c>
      <c r="C641" s="76">
        <v>4</v>
      </c>
      <c r="D641" s="76">
        <v>2013</v>
      </c>
      <c r="E641" s="56">
        <v>1.8</v>
      </c>
      <c r="F641" s="53">
        <f>IF(E641&gt;0,1,0)</f>
        <v>1</v>
      </c>
      <c r="G641" s="53">
        <f>SUM(F640:F641)</f>
        <v>1</v>
      </c>
      <c r="H641" s="53">
        <f>IF(G641=1,IF(F640=1,1,-1),G641)</f>
        <v>-1</v>
      </c>
      <c r="I641" s="53" t="str">
        <f>VLOOKUP(H641,codes,2,)</f>
        <v>dw</v>
      </c>
      <c r="J641" s="53"/>
    </row>
    <row r="642" spans="1:10" x14ac:dyDescent="0.25">
      <c r="A642" s="93">
        <v>41390</v>
      </c>
      <c r="B642" s="35">
        <f>C642+(D642-2009)*12</f>
        <v>52</v>
      </c>
      <c r="C642" s="76">
        <v>4</v>
      </c>
      <c r="D642" s="76">
        <v>2013</v>
      </c>
      <c r="E642" s="56">
        <v>1.6666666666666667</v>
      </c>
      <c r="F642" s="53">
        <f>IF(E642&gt;0,1,0)</f>
        <v>1</v>
      </c>
      <c r="G642" s="53">
        <f>SUM(F641:F642)</f>
        <v>2</v>
      </c>
      <c r="H642" s="53">
        <f>IF(G642=1,IF(F641=1,1,-1),G642)</f>
        <v>2</v>
      </c>
      <c r="I642" s="53" t="str">
        <f>VLOOKUP(H642,codes,2,)</f>
        <v>ww</v>
      </c>
      <c r="J642" s="53"/>
    </row>
    <row r="643" spans="1:10" x14ac:dyDescent="0.25">
      <c r="A643" s="93">
        <v>41391</v>
      </c>
      <c r="B643" s="35">
        <f>C643+(D643-2009)*12</f>
        <v>52</v>
      </c>
      <c r="C643" s="76">
        <v>4</v>
      </c>
      <c r="D643" s="76">
        <v>2013</v>
      </c>
      <c r="E643" s="56">
        <v>2.2666666666666671</v>
      </c>
      <c r="F643" s="53">
        <f>IF(E643&gt;0,1,0)</f>
        <v>1</v>
      </c>
      <c r="G643" s="53">
        <f>SUM(F642:F643)</f>
        <v>2</v>
      </c>
      <c r="H643" s="53">
        <f>IF(G643=1,IF(F642=1,1,-1),G643)</f>
        <v>2</v>
      </c>
      <c r="I643" s="53" t="str">
        <f>VLOOKUP(H643,codes,2,)</f>
        <v>ww</v>
      </c>
      <c r="J643" s="53"/>
    </row>
    <row r="644" spans="1:10" x14ac:dyDescent="0.25">
      <c r="A644" s="93">
        <v>41392</v>
      </c>
      <c r="B644" s="35">
        <f>C644+(D644-2009)*12</f>
        <v>52</v>
      </c>
      <c r="C644" s="76">
        <v>4</v>
      </c>
      <c r="D644" s="76">
        <v>2013</v>
      </c>
      <c r="E644" s="56">
        <v>0</v>
      </c>
      <c r="F644" s="53">
        <f>IF(E644&gt;0,1,0)</f>
        <v>0</v>
      </c>
      <c r="G644" s="53">
        <f>SUM(F643:F644)</f>
        <v>1</v>
      </c>
      <c r="H644" s="53">
        <f>IF(G644=1,IF(F643=1,1,-1),G644)</f>
        <v>1</v>
      </c>
      <c r="I644" s="53" t="str">
        <f>VLOOKUP(H644,codes,2,)</f>
        <v>wd</v>
      </c>
      <c r="J644" s="53"/>
    </row>
    <row r="645" spans="1:10" x14ac:dyDescent="0.25">
      <c r="A645" s="93">
        <v>41393</v>
      </c>
      <c r="B645" s="35">
        <f>C645+(D645-2009)*12</f>
        <v>52</v>
      </c>
      <c r="C645" s="76">
        <v>4</v>
      </c>
      <c r="D645" s="76">
        <v>2013</v>
      </c>
      <c r="E645" s="56">
        <v>0.53333333333333333</v>
      </c>
      <c r="F645" s="53">
        <f>IF(E645&gt;0,1,0)</f>
        <v>1</v>
      </c>
      <c r="G645" s="53">
        <f>SUM(F644:F645)</f>
        <v>1</v>
      </c>
      <c r="H645" s="53">
        <f>IF(G645=1,IF(F644=1,1,-1),G645)</f>
        <v>-1</v>
      </c>
      <c r="I645" s="53" t="str">
        <f>VLOOKUP(H645,codes,2,)</f>
        <v>dw</v>
      </c>
      <c r="J645" s="53"/>
    </row>
    <row r="646" spans="1:10" x14ac:dyDescent="0.25">
      <c r="A646" s="93">
        <v>41394</v>
      </c>
      <c r="B646" s="35">
        <f>C646+(D646-2009)*12</f>
        <v>52</v>
      </c>
      <c r="C646" s="76">
        <v>4</v>
      </c>
      <c r="D646" s="76">
        <v>2013</v>
      </c>
      <c r="E646" s="56">
        <v>0.46666666666666662</v>
      </c>
      <c r="F646" s="53">
        <f>IF(E646&gt;0,1,0)</f>
        <v>1</v>
      </c>
      <c r="G646" s="53">
        <f>SUM(F645:F646)</f>
        <v>2</v>
      </c>
      <c r="H646" s="53">
        <f>IF(G646=1,IF(F645=1,1,-1),G646)</f>
        <v>2</v>
      </c>
      <c r="I646" s="53" t="str">
        <f>VLOOKUP(H646,codes,2,)</f>
        <v>ww</v>
      </c>
      <c r="J646" s="53"/>
    </row>
    <row r="647" spans="1:10" x14ac:dyDescent="0.25">
      <c r="A647" s="93">
        <v>41395</v>
      </c>
      <c r="B647" s="35">
        <f>C647+(D647-2009)*12</f>
        <v>52</v>
      </c>
      <c r="C647" s="76">
        <v>4</v>
      </c>
      <c r="D647" s="76">
        <v>2013</v>
      </c>
      <c r="E647" s="56">
        <v>0</v>
      </c>
      <c r="F647" s="53">
        <f>IF(E647&gt;0,1,0)</f>
        <v>0</v>
      </c>
      <c r="G647" s="53">
        <f>SUM(F646:F647)</f>
        <v>1</v>
      </c>
      <c r="H647" s="53">
        <f>IF(G647=1,IF(F646=1,1,-1),G647)</f>
        <v>1</v>
      </c>
      <c r="I647" s="53" t="str">
        <f>VLOOKUP(H647,codes,2,)</f>
        <v>wd</v>
      </c>
      <c r="J647" s="53"/>
    </row>
    <row r="648" spans="1:10" x14ac:dyDescent="0.25">
      <c r="A648" s="93">
        <v>41732</v>
      </c>
      <c r="B648" s="35">
        <f>C648+(D648-2009)*12</f>
        <v>64</v>
      </c>
      <c r="C648" s="76">
        <v>4</v>
      </c>
      <c r="D648" s="76">
        <v>2014</v>
      </c>
      <c r="E648" s="56">
        <v>0.79999999999999993</v>
      </c>
      <c r="F648" s="53">
        <f>IF(E648&gt;0,1,0)</f>
        <v>1</v>
      </c>
      <c r="G648" s="53">
        <f>SUM(F647:F648)</f>
        <v>1</v>
      </c>
      <c r="H648" s="53">
        <f>IF(G648=1,IF(F647=1,1,-1),G648)</f>
        <v>-1</v>
      </c>
      <c r="I648" s="53" t="str">
        <f>VLOOKUP(H648,codes,2,)</f>
        <v>dw</v>
      </c>
      <c r="J648" s="53"/>
    </row>
    <row r="649" spans="1:10" x14ac:dyDescent="0.25">
      <c r="A649" s="93">
        <v>41733</v>
      </c>
      <c r="B649" s="35">
        <f>C649+(D649-2009)*12</f>
        <v>64</v>
      </c>
      <c r="C649" s="76">
        <v>4</v>
      </c>
      <c r="D649" s="76">
        <v>2014</v>
      </c>
      <c r="E649" s="56">
        <v>0.46666666666666662</v>
      </c>
      <c r="F649" s="53">
        <f>IF(E649&gt;0,1,0)</f>
        <v>1</v>
      </c>
      <c r="G649" s="53">
        <f>SUM(F648:F649)</f>
        <v>2</v>
      </c>
      <c r="H649" s="53">
        <f>IF(G649=1,IF(F648=1,1,-1),G649)</f>
        <v>2</v>
      </c>
      <c r="I649" s="53" t="str">
        <f>VLOOKUP(H649,codes,2,)</f>
        <v>ww</v>
      </c>
      <c r="J649" s="53"/>
    </row>
    <row r="650" spans="1:10" x14ac:dyDescent="0.25">
      <c r="A650" s="93">
        <v>41734</v>
      </c>
      <c r="B650" s="35">
        <f>C650+(D650-2009)*12</f>
        <v>64</v>
      </c>
      <c r="C650" s="76">
        <v>4</v>
      </c>
      <c r="D650" s="76">
        <v>2014</v>
      </c>
      <c r="E650" s="56">
        <v>0.20000000000000004</v>
      </c>
      <c r="F650" s="53">
        <f>IF(E650&gt;0,1,0)</f>
        <v>1</v>
      </c>
      <c r="G650" s="53">
        <f>SUM(F649:F650)</f>
        <v>2</v>
      </c>
      <c r="H650" s="53">
        <f>IF(G650=1,IF(F649=1,1,-1),G650)</f>
        <v>2</v>
      </c>
      <c r="I650" s="53" t="str">
        <f>VLOOKUP(H650,codes,2,)</f>
        <v>ww</v>
      </c>
      <c r="J650" s="53"/>
    </row>
    <row r="651" spans="1:10" x14ac:dyDescent="0.25">
      <c r="A651" s="93">
        <v>41735</v>
      </c>
      <c r="B651" s="35">
        <f>C651+(D651-2009)*12</f>
        <v>64</v>
      </c>
      <c r="C651" s="76">
        <v>4</v>
      </c>
      <c r="D651" s="76">
        <v>2014</v>
      </c>
      <c r="E651" s="56">
        <v>2.7333333333333329</v>
      </c>
      <c r="F651" s="53">
        <f>IF(E651&gt;0,1,0)</f>
        <v>1</v>
      </c>
      <c r="G651" s="53">
        <f>SUM(F650:F651)</f>
        <v>2</v>
      </c>
      <c r="H651" s="53">
        <f>IF(G651=1,IF(F650=1,1,-1),G651)</f>
        <v>2</v>
      </c>
      <c r="I651" s="53" t="str">
        <f>VLOOKUP(H651,codes,2,)</f>
        <v>ww</v>
      </c>
      <c r="J651" s="53"/>
    </row>
    <row r="652" spans="1:10" x14ac:dyDescent="0.25">
      <c r="A652" s="93">
        <v>41736</v>
      </c>
      <c r="B652" s="35">
        <f>C652+(D652-2009)*12</f>
        <v>64</v>
      </c>
      <c r="C652" s="76">
        <v>4</v>
      </c>
      <c r="D652" s="76">
        <v>2014</v>
      </c>
      <c r="E652" s="56">
        <v>0.20000000000000004</v>
      </c>
      <c r="F652" s="53">
        <f>IF(E652&gt;0,1,0)</f>
        <v>1</v>
      </c>
      <c r="G652" s="53">
        <f>SUM(F651:F652)</f>
        <v>2</v>
      </c>
      <c r="H652" s="53">
        <f>IF(G652=1,IF(F651=1,1,-1),G652)</f>
        <v>2</v>
      </c>
      <c r="I652" s="53" t="str">
        <f>VLOOKUP(H652,codes,2,)</f>
        <v>ww</v>
      </c>
      <c r="J652" s="53"/>
    </row>
    <row r="653" spans="1:10" x14ac:dyDescent="0.25">
      <c r="A653" s="93">
        <v>41737</v>
      </c>
      <c r="B653" s="35">
        <f>C653+(D653-2009)*12</f>
        <v>64</v>
      </c>
      <c r="C653" s="76">
        <v>4</v>
      </c>
      <c r="D653" s="76">
        <v>2014</v>
      </c>
      <c r="E653" s="56">
        <v>2.4666666666666668</v>
      </c>
      <c r="F653" s="53">
        <f>IF(E653&gt;0,1,0)</f>
        <v>1</v>
      </c>
      <c r="G653" s="53">
        <f>SUM(F652:F653)</f>
        <v>2</v>
      </c>
      <c r="H653" s="53">
        <f>IF(G653=1,IF(F652=1,1,-1),G653)</f>
        <v>2</v>
      </c>
      <c r="I653" s="53" t="str">
        <f>VLOOKUP(H653,codes,2,)</f>
        <v>ww</v>
      </c>
      <c r="J653" s="53"/>
    </row>
    <row r="654" spans="1:10" x14ac:dyDescent="0.25">
      <c r="A654" s="93">
        <v>41738</v>
      </c>
      <c r="B654" s="35">
        <f>C654+(D654-2009)*12</f>
        <v>64</v>
      </c>
      <c r="C654" s="76">
        <v>4</v>
      </c>
      <c r="D654" s="76">
        <v>2014</v>
      </c>
      <c r="E654" s="56">
        <v>0</v>
      </c>
      <c r="F654" s="53">
        <f>IF(E654&gt;0,1,0)</f>
        <v>0</v>
      </c>
      <c r="G654" s="53">
        <f>SUM(F653:F654)</f>
        <v>1</v>
      </c>
      <c r="H654" s="53">
        <f>IF(G654=1,IF(F653=1,1,-1),G654)</f>
        <v>1</v>
      </c>
      <c r="I654" s="53" t="str">
        <f>VLOOKUP(H654,codes,2,)</f>
        <v>wd</v>
      </c>
      <c r="J654" s="53"/>
    </row>
    <row r="655" spans="1:10" x14ac:dyDescent="0.25">
      <c r="A655" s="93">
        <v>41739</v>
      </c>
      <c r="B655" s="35">
        <f>C655+(D655-2009)*12</f>
        <v>64</v>
      </c>
      <c r="C655" s="76">
        <v>4</v>
      </c>
      <c r="D655" s="76">
        <v>2014</v>
      </c>
      <c r="E655" s="56">
        <v>0.19999999999999998</v>
      </c>
      <c r="F655" s="53">
        <f>IF(E655&gt;0,1,0)</f>
        <v>1</v>
      </c>
      <c r="G655" s="53">
        <f>SUM(F654:F655)</f>
        <v>1</v>
      </c>
      <c r="H655" s="53">
        <f>IF(G655=1,IF(F654=1,1,-1),G655)</f>
        <v>-1</v>
      </c>
      <c r="I655" s="53" t="str">
        <f>VLOOKUP(H655,codes,2,)</f>
        <v>dw</v>
      </c>
      <c r="J655" s="53"/>
    </row>
    <row r="656" spans="1:10" x14ac:dyDescent="0.25">
      <c r="A656" s="93">
        <v>41740</v>
      </c>
      <c r="B656" s="35">
        <f>C656+(D656-2009)*12</f>
        <v>64</v>
      </c>
      <c r="C656" s="76">
        <v>4</v>
      </c>
      <c r="D656" s="76">
        <v>2014</v>
      </c>
      <c r="E656" s="56">
        <v>6.6666666666666666E-2</v>
      </c>
      <c r="F656" s="53">
        <f>IF(E656&gt;0,1,0)</f>
        <v>1</v>
      </c>
      <c r="G656" s="53">
        <f>SUM(F655:F656)</f>
        <v>2</v>
      </c>
      <c r="H656" s="53">
        <f>IF(G656=1,IF(F655=1,1,-1),G656)</f>
        <v>2</v>
      </c>
      <c r="I656" s="53" t="str">
        <f>VLOOKUP(H656,codes,2,)</f>
        <v>ww</v>
      </c>
      <c r="J656" s="53"/>
    </row>
    <row r="657" spans="1:10" x14ac:dyDescent="0.25">
      <c r="A657" s="93">
        <v>41741</v>
      </c>
      <c r="B657" s="35">
        <f>C657+(D657-2009)*12</f>
        <v>64</v>
      </c>
      <c r="C657" s="76">
        <v>4</v>
      </c>
      <c r="D657" s="76">
        <v>2014</v>
      </c>
      <c r="E657" s="56">
        <v>0</v>
      </c>
      <c r="F657" s="53">
        <f>IF(E657&gt;0,1,0)</f>
        <v>0</v>
      </c>
      <c r="G657" s="53">
        <f>SUM(F656:F657)</f>
        <v>1</v>
      </c>
      <c r="H657" s="53">
        <f>IF(G657=1,IF(F656=1,1,-1),G657)</f>
        <v>1</v>
      </c>
      <c r="I657" s="53" t="str">
        <f>VLOOKUP(H657,codes,2,)</f>
        <v>wd</v>
      </c>
      <c r="J657" s="53"/>
    </row>
    <row r="658" spans="1:10" x14ac:dyDescent="0.25">
      <c r="A658" s="93">
        <v>41742</v>
      </c>
      <c r="B658" s="35">
        <f>C658+(D658-2009)*12</f>
        <v>64</v>
      </c>
      <c r="C658" s="76">
        <v>4</v>
      </c>
      <c r="D658" s="76">
        <v>2014</v>
      </c>
      <c r="E658" s="56">
        <v>0.33333333333333331</v>
      </c>
      <c r="F658" s="53">
        <f>IF(E658&gt;0,1,0)</f>
        <v>1</v>
      </c>
      <c r="G658" s="53">
        <f>SUM(F657:F658)</f>
        <v>1</v>
      </c>
      <c r="H658" s="53">
        <f>IF(G658=1,IF(F657=1,1,-1),G658)</f>
        <v>-1</v>
      </c>
      <c r="I658" s="53" t="str">
        <f>VLOOKUP(H658,codes,2,)</f>
        <v>dw</v>
      </c>
      <c r="J658" s="53"/>
    </row>
    <row r="659" spans="1:10" x14ac:dyDescent="0.25">
      <c r="A659" s="93">
        <v>41743</v>
      </c>
      <c r="B659" s="35">
        <f>C659+(D659-2009)*12</f>
        <v>64</v>
      </c>
      <c r="C659" s="76">
        <v>4</v>
      </c>
      <c r="D659" s="76">
        <v>2014</v>
      </c>
      <c r="E659" s="56">
        <v>0</v>
      </c>
      <c r="F659" s="53">
        <f>IF(E659&gt;0,1,0)</f>
        <v>0</v>
      </c>
      <c r="G659" s="53">
        <f>SUM(F658:F659)</f>
        <v>1</v>
      </c>
      <c r="H659" s="53">
        <f>IF(G659=1,IF(F658=1,1,-1),G659)</f>
        <v>1</v>
      </c>
      <c r="I659" s="53" t="str">
        <f>VLOOKUP(H659,codes,2,)</f>
        <v>wd</v>
      </c>
      <c r="J659" s="53"/>
    </row>
    <row r="660" spans="1:10" x14ac:dyDescent="0.25">
      <c r="A660" s="93">
        <v>41744</v>
      </c>
      <c r="B660" s="35">
        <f>C660+(D660-2009)*12</f>
        <v>64</v>
      </c>
      <c r="C660" s="76">
        <v>4</v>
      </c>
      <c r="D660" s="76">
        <v>2014</v>
      </c>
      <c r="E660" s="56">
        <v>0</v>
      </c>
      <c r="F660" s="53">
        <f>IF(E660&gt;0,1,0)</f>
        <v>0</v>
      </c>
      <c r="G660" s="53">
        <f>SUM(F659:F660)</f>
        <v>0</v>
      </c>
      <c r="H660" s="53">
        <f>IF(G660=1,IF(F659=1,1,-1),G660)</f>
        <v>0</v>
      </c>
      <c r="I660" s="53" t="str">
        <f>VLOOKUP(H660,codes,2,)</f>
        <v>dd</v>
      </c>
      <c r="J660" s="53"/>
    </row>
    <row r="661" spans="1:10" x14ac:dyDescent="0.25">
      <c r="A661" s="93">
        <v>41745</v>
      </c>
      <c r="B661" s="35">
        <f>C661+(D661-2009)*12</f>
        <v>64</v>
      </c>
      <c r="C661" s="76">
        <v>4</v>
      </c>
      <c r="D661" s="76">
        <v>2014</v>
      </c>
      <c r="E661" s="56">
        <v>0</v>
      </c>
      <c r="F661" s="53">
        <f>IF(E661&gt;0,1,0)</f>
        <v>0</v>
      </c>
      <c r="G661" s="53">
        <f>SUM(F660:F661)</f>
        <v>0</v>
      </c>
      <c r="H661" s="53">
        <f>IF(G661=1,IF(F660=1,1,-1),G661)</f>
        <v>0</v>
      </c>
      <c r="I661" s="53" t="str">
        <f>VLOOKUP(H661,codes,2,)</f>
        <v>dd</v>
      </c>
      <c r="J661" s="53"/>
    </row>
    <row r="662" spans="1:10" x14ac:dyDescent="0.25">
      <c r="A662" s="93">
        <v>41746</v>
      </c>
      <c r="B662" s="35">
        <f>C662+(D662-2009)*12</f>
        <v>64</v>
      </c>
      <c r="C662" s="76">
        <v>4</v>
      </c>
      <c r="D662" s="76">
        <v>2014</v>
      </c>
      <c r="E662" s="56">
        <v>0</v>
      </c>
      <c r="F662" s="53">
        <f>IF(E662&gt;0,1,0)</f>
        <v>0</v>
      </c>
      <c r="G662" s="53">
        <f>SUM(F661:F662)</f>
        <v>0</v>
      </c>
      <c r="H662" s="53">
        <f>IF(G662=1,IF(F661=1,1,-1),G662)</f>
        <v>0</v>
      </c>
      <c r="I662" s="53" t="str">
        <f>VLOOKUP(H662,codes,2,)</f>
        <v>dd</v>
      </c>
      <c r="J662" s="53"/>
    </row>
    <row r="663" spans="1:10" x14ac:dyDescent="0.25">
      <c r="A663" s="93">
        <v>41747</v>
      </c>
      <c r="B663" s="35">
        <f>C663+(D663-2009)*12</f>
        <v>64</v>
      </c>
      <c r="C663" s="76">
        <v>4</v>
      </c>
      <c r="D663" s="76">
        <v>2014</v>
      </c>
      <c r="E663" s="56">
        <v>6.6666666666666666E-2</v>
      </c>
      <c r="F663" s="53">
        <f>IF(E663&gt;0,1,0)</f>
        <v>1</v>
      </c>
      <c r="G663" s="53">
        <f>SUM(F662:F663)</f>
        <v>1</v>
      </c>
      <c r="H663" s="53">
        <f>IF(G663=1,IF(F662=1,1,-1),G663)</f>
        <v>-1</v>
      </c>
      <c r="I663" s="53" t="str">
        <f>VLOOKUP(H663,codes,2,)</f>
        <v>dw</v>
      </c>
      <c r="J663" s="53"/>
    </row>
    <row r="664" spans="1:10" x14ac:dyDescent="0.25">
      <c r="A664" s="93">
        <v>41748</v>
      </c>
      <c r="B664" s="35">
        <f>C664+(D664-2009)*12</f>
        <v>64</v>
      </c>
      <c r="C664" s="76">
        <v>4</v>
      </c>
      <c r="D664" s="76">
        <v>2014</v>
      </c>
      <c r="E664" s="56">
        <v>6.6666666666666666E-2</v>
      </c>
      <c r="F664" s="53">
        <f>IF(E664&gt;0,1,0)</f>
        <v>1</v>
      </c>
      <c r="G664" s="53">
        <f>SUM(F663:F664)</f>
        <v>2</v>
      </c>
      <c r="H664" s="53">
        <f>IF(G664=1,IF(F663=1,1,-1),G664)</f>
        <v>2</v>
      </c>
      <c r="I664" s="53" t="str">
        <f>VLOOKUP(H664,codes,2,)</f>
        <v>ww</v>
      </c>
      <c r="J664" s="53"/>
    </row>
    <row r="665" spans="1:10" x14ac:dyDescent="0.25">
      <c r="A665" s="93">
        <v>41749</v>
      </c>
      <c r="B665" s="35">
        <f>C665+(D665-2009)*12</f>
        <v>64</v>
      </c>
      <c r="C665" s="76">
        <v>4</v>
      </c>
      <c r="D665" s="76">
        <v>2014</v>
      </c>
      <c r="E665" s="56">
        <v>0</v>
      </c>
      <c r="F665" s="53">
        <f>IF(E665&gt;0,1,0)</f>
        <v>0</v>
      </c>
      <c r="G665" s="53">
        <f>SUM(F664:F665)</f>
        <v>1</v>
      </c>
      <c r="H665" s="53">
        <f>IF(G665=1,IF(F664=1,1,-1),G665)</f>
        <v>1</v>
      </c>
      <c r="I665" s="53" t="str">
        <f>VLOOKUP(H665,codes,2,)</f>
        <v>wd</v>
      </c>
      <c r="J665" s="53"/>
    </row>
    <row r="666" spans="1:10" x14ac:dyDescent="0.25">
      <c r="A666" s="93">
        <v>41750</v>
      </c>
      <c r="B666" s="35">
        <f>C666+(D666-2009)*12</f>
        <v>64</v>
      </c>
      <c r="C666" s="76">
        <v>4</v>
      </c>
      <c r="D666" s="76">
        <v>2014</v>
      </c>
      <c r="E666" s="56">
        <v>0</v>
      </c>
      <c r="F666" s="53">
        <f>IF(E666&gt;0,1,0)</f>
        <v>0</v>
      </c>
      <c r="G666" s="53">
        <f>SUM(F665:F666)</f>
        <v>0</v>
      </c>
      <c r="H666" s="53">
        <f>IF(G666=1,IF(F665=1,1,-1),G666)</f>
        <v>0</v>
      </c>
      <c r="I666" s="53" t="str">
        <f>VLOOKUP(H666,codes,2,)</f>
        <v>dd</v>
      </c>
      <c r="J666" s="53"/>
    </row>
    <row r="667" spans="1:10" x14ac:dyDescent="0.25">
      <c r="A667" s="93">
        <v>41751</v>
      </c>
      <c r="B667" s="35">
        <f>C667+(D667-2009)*12</f>
        <v>64</v>
      </c>
      <c r="C667" s="76">
        <v>4</v>
      </c>
      <c r="D667" s="76">
        <v>2014</v>
      </c>
      <c r="E667" s="56">
        <v>0</v>
      </c>
      <c r="F667" s="53">
        <f>IF(E667&gt;0,1,0)</f>
        <v>0</v>
      </c>
      <c r="G667" s="53">
        <f>SUM(F666:F667)</f>
        <v>0</v>
      </c>
      <c r="H667" s="53">
        <f>IF(G667=1,IF(F666=1,1,-1),G667)</f>
        <v>0</v>
      </c>
      <c r="I667" s="53" t="str">
        <f>VLOOKUP(H667,codes,2,)</f>
        <v>dd</v>
      </c>
      <c r="J667" s="53"/>
    </row>
    <row r="668" spans="1:10" x14ac:dyDescent="0.25">
      <c r="A668" s="93">
        <v>41752</v>
      </c>
      <c r="B668" s="35">
        <f>C668+(D668-2009)*12</f>
        <v>64</v>
      </c>
      <c r="C668" s="76">
        <v>4</v>
      </c>
      <c r="D668" s="76">
        <v>2014</v>
      </c>
      <c r="E668" s="56">
        <v>2.4666666666666668</v>
      </c>
      <c r="F668" s="53">
        <f>IF(E668&gt;0,1,0)</f>
        <v>1</v>
      </c>
      <c r="G668" s="53">
        <f>SUM(F667:F668)</f>
        <v>1</v>
      </c>
      <c r="H668" s="53">
        <f>IF(G668=1,IF(F667=1,1,-1),G668)</f>
        <v>-1</v>
      </c>
      <c r="I668" s="53" t="str">
        <f>VLOOKUP(H668,codes,2,)</f>
        <v>dw</v>
      </c>
      <c r="J668" s="53"/>
    </row>
    <row r="669" spans="1:10" x14ac:dyDescent="0.25">
      <c r="A669" s="93">
        <v>41753</v>
      </c>
      <c r="B669" s="35">
        <f>C669+(D669-2009)*12</f>
        <v>64</v>
      </c>
      <c r="C669" s="76">
        <v>4</v>
      </c>
      <c r="D669" s="76">
        <v>2014</v>
      </c>
      <c r="E669" s="56">
        <v>7.2666666666666657</v>
      </c>
      <c r="F669" s="53">
        <f>IF(E669&gt;0,1,0)</f>
        <v>1</v>
      </c>
      <c r="G669" s="53">
        <f>SUM(F668:F669)</f>
        <v>2</v>
      </c>
      <c r="H669" s="53">
        <f>IF(G669=1,IF(F668=1,1,-1),G669)</f>
        <v>2</v>
      </c>
      <c r="I669" s="53" t="str">
        <f>VLOOKUP(H669,codes,2,)</f>
        <v>ww</v>
      </c>
      <c r="J669" s="53"/>
    </row>
    <row r="670" spans="1:10" x14ac:dyDescent="0.25">
      <c r="A670" s="93">
        <v>41754</v>
      </c>
      <c r="B670" s="35">
        <f>C670+(D670-2009)*12</f>
        <v>64</v>
      </c>
      <c r="C670" s="76">
        <v>4</v>
      </c>
      <c r="D670" s="76">
        <v>2014</v>
      </c>
      <c r="E670" s="56">
        <v>0.33333333333333331</v>
      </c>
      <c r="F670" s="53">
        <f>IF(E670&gt;0,1,0)</f>
        <v>1</v>
      </c>
      <c r="G670" s="53">
        <f>SUM(F669:F670)</f>
        <v>2</v>
      </c>
      <c r="H670" s="53">
        <f>IF(G670=1,IF(F669=1,1,-1),G670)</f>
        <v>2</v>
      </c>
      <c r="I670" s="53" t="str">
        <f>VLOOKUP(H670,codes,2,)</f>
        <v>ww</v>
      </c>
      <c r="J670" s="53"/>
    </row>
    <row r="671" spans="1:10" x14ac:dyDescent="0.25">
      <c r="A671" s="93">
        <v>41755</v>
      </c>
      <c r="B671" s="35">
        <f>C671+(D671-2009)*12</f>
        <v>64</v>
      </c>
      <c r="C671" s="76">
        <v>4</v>
      </c>
      <c r="D671" s="76">
        <v>2014</v>
      </c>
      <c r="E671" s="56">
        <v>14.666666666666666</v>
      </c>
      <c r="F671" s="53">
        <f>IF(E671&gt;0,1,0)</f>
        <v>1</v>
      </c>
      <c r="G671" s="53">
        <f>SUM(F670:F671)</f>
        <v>2</v>
      </c>
      <c r="H671" s="53">
        <f>IF(G671=1,IF(F670=1,1,-1),G671)</f>
        <v>2</v>
      </c>
      <c r="I671" s="53" t="str">
        <f>VLOOKUP(H671,codes,2,)</f>
        <v>ww</v>
      </c>
      <c r="J671" s="53"/>
    </row>
    <row r="672" spans="1:10" x14ac:dyDescent="0.25">
      <c r="A672" s="93">
        <v>41756</v>
      </c>
      <c r="B672" s="35">
        <f>C672+(D672-2009)*12</f>
        <v>64</v>
      </c>
      <c r="C672" s="76">
        <v>4</v>
      </c>
      <c r="D672" s="76">
        <v>2014</v>
      </c>
      <c r="E672" s="56">
        <v>1.3333333333333333</v>
      </c>
      <c r="F672" s="53">
        <f>IF(E672&gt;0,1,0)</f>
        <v>1</v>
      </c>
      <c r="G672" s="53">
        <f>SUM(F671:F672)</f>
        <v>2</v>
      </c>
      <c r="H672" s="53">
        <f>IF(G672=1,IF(F671=1,1,-1),G672)</f>
        <v>2</v>
      </c>
      <c r="I672" s="53" t="str">
        <f>VLOOKUP(H672,codes,2,)</f>
        <v>ww</v>
      </c>
      <c r="J672" s="53"/>
    </row>
    <row r="673" spans="1:10" x14ac:dyDescent="0.25">
      <c r="A673" s="93">
        <v>41757</v>
      </c>
      <c r="B673" s="35">
        <f>C673+(D673-2009)*12</f>
        <v>64</v>
      </c>
      <c r="C673" s="76">
        <v>4</v>
      </c>
      <c r="D673" s="76">
        <v>2014</v>
      </c>
      <c r="E673" s="56">
        <v>6.1333333333333329</v>
      </c>
      <c r="F673" s="53">
        <f>IF(E673&gt;0,1,0)</f>
        <v>1</v>
      </c>
      <c r="G673" s="53">
        <f>SUM(F672:F673)</f>
        <v>2</v>
      </c>
      <c r="H673" s="53">
        <f>IF(G673=1,IF(F672=1,1,-1),G673)</f>
        <v>2</v>
      </c>
      <c r="I673" s="53" t="str">
        <f>VLOOKUP(H673,codes,2,)</f>
        <v>ww</v>
      </c>
      <c r="J673" s="53"/>
    </row>
    <row r="674" spans="1:10" x14ac:dyDescent="0.25">
      <c r="A674" s="93">
        <v>41758</v>
      </c>
      <c r="B674" s="35">
        <f>C674+(D674-2009)*12</f>
        <v>64</v>
      </c>
      <c r="C674" s="76">
        <v>4</v>
      </c>
      <c r="D674" s="76">
        <v>2014</v>
      </c>
      <c r="E674" s="56">
        <v>0.13333333333333333</v>
      </c>
      <c r="F674" s="53">
        <f>IF(E674&gt;0,1,0)</f>
        <v>1</v>
      </c>
      <c r="G674" s="53">
        <f>SUM(F673:F674)</f>
        <v>2</v>
      </c>
      <c r="H674" s="53">
        <f>IF(G674=1,IF(F673=1,1,-1),G674)</f>
        <v>2</v>
      </c>
      <c r="I674" s="53" t="str">
        <f>VLOOKUP(H674,codes,2,)</f>
        <v>ww</v>
      </c>
      <c r="J674" s="53"/>
    </row>
    <row r="675" spans="1:10" x14ac:dyDescent="0.25">
      <c r="A675" s="93">
        <v>41759</v>
      </c>
      <c r="B675" s="35">
        <f>C675+(D675-2009)*12</f>
        <v>64</v>
      </c>
      <c r="C675" s="76">
        <v>4</v>
      </c>
      <c r="D675" s="76">
        <v>2014</v>
      </c>
      <c r="E675" s="56">
        <v>6.6666666666666666E-2</v>
      </c>
      <c r="F675" s="53">
        <f>IF(E675&gt;0,1,0)</f>
        <v>1</v>
      </c>
      <c r="G675" s="53">
        <f>SUM(F674:F675)</f>
        <v>2</v>
      </c>
      <c r="H675" s="53">
        <f>IF(G675=1,IF(F674=1,1,-1),G675)</f>
        <v>2</v>
      </c>
      <c r="I675" s="53" t="str">
        <f>VLOOKUP(H675,codes,2,)</f>
        <v>ww</v>
      </c>
      <c r="J675" s="53"/>
    </row>
    <row r="676" spans="1:10" x14ac:dyDescent="0.25">
      <c r="A676" s="93">
        <v>41760</v>
      </c>
      <c r="B676" s="35">
        <f>C676+(D676-2009)*12</f>
        <v>64</v>
      </c>
      <c r="C676" s="76">
        <v>4</v>
      </c>
      <c r="D676" s="76">
        <v>2014</v>
      </c>
      <c r="E676" s="56">
        <v>12</v>
      </c>
      <c r="F676" s="53">
        <f>IF(E676&gt;0,1,0)</f>
        <v>1</v>
      </c>
      <c r="G676" s="53">
        <f>SUM(F675:F676)</f>
        <v>2</v>
      </c>
      <c r="H676" s="53">
        <f>IF(G676=1,IF(F675=1,1,-1),G676)</f>
        <v>2</v>
      </c>
      <c r="I676" s="53" t="str">
        <f>VLOOKUP(H676,codes,2,)</f>
        <v>ww</v>
      </c>
      <c r="J676" s="53"/>
    </row>
    <row r="677" spans="1:10" x14ac:dyDescent="0.25">
      <c r="A677" s="93">
        <v>41761</v>
      </c>
      <c r="B677" s="35">
        <f>C677+(D677-2009)*12</f>
        <v>64</v>
      </c>
      <c r="C677" s="76">
        <v>4</v>
      </c>
      <c r="D677" s="76">
        <v>2014</v>
      </c>
      <c r="E677" s="56">
        <v>2</v>
      </c>
      <c r="F677" s="53">
        <f>IF(E677&gt;0,1,0)</f>
        <v>1</v>
      </c>
      <c r="G677" s="53">
        <f>SUM(F676:F677)</f>
        <v>2</v>
      </c>
      <c r="H677" s="53">
        <f>IF(G677=1,IF(F676=1,1,-1),G677)</f>
        <v>2</v>
      </c>
      <c r="I677" s="53" t="str">
        <f>VLOOKUP(H677,codes,2,)</f>
        <v>ww</v>
      </c>
      <c r="J677" s="53"/>
    </row>
    <row r="678" spans="1:10" x14ac:dyDescent="0.25">
      <c r="A678" s="93">
        <v>42097</v>
      </c>
      <c r="B678" s="35">
        <f>C678+(D678-2009)*12</f>
        <v>76</v>
      </c>
      <c r="C678" s="76">
        <v>4</v>
      </c>
      <c r="D678" s="76">
        <v>2015</v>
      </c>
      <c r="E678" s="56">
        <v>1.7333333333333332</v>
      </c>
      <c r="F678" s="53">
        <f>IF(E678&gt;0,1,0)</f>
        <v>1</v>
      </c>
      <c r="G678" s="53">
        <f>SUM(F677:F678)</f>
        <v>2</v>
      </c>
      <c r="H678" s="53">
        <f>IF(G678=1,IF(F677=1,1,-1),G678)</f>
        <v>2</v>
      </c>
      <c r="I678" s="53" t="str">
        <f>VLOOKUP(H678,codes,2,)</f>
        <v>ww</v>
      </c>
      <c r="J678" s="53"/>
    </row>
    <row r="679" spans="1:10" x14ac:dyDescent="0.25">
      <c r="A679" s="93">
        <v>42098</v>
      </c>
      <c r="B679" s="35">
        <f>C679+(D679-2009)*12</f>
        <v>76</v>
      </c>
      <c r="C679" s="76">
        <v>4</v>
      </c>
      <c r="D679" s="76">
        <v>2015</v>
      </c>
      <c r="E679" s="56">
        <v>2.4</v>
      </c>
      <c r="F679" s="53">
        <f>IF(E679&gt;0,1,0)</f>
        <v>1</v>
      </c>
      <c r="G679" s="53">
        <f>SUM(F678:F679)</f>
        <v>2</v>
      </c>
      <c r="H679" s="53">
        <f>IF(G679=1,IF(F678=1,1,-1),G679)</f>
        <v>2</v>
      </c>
      <c r="I679" s="53" t="str">
        <f>VLOOKUP(H679,codes,2,)</f>
        <v>ww</v>
      </c>
      <c r="J679" s="53"/>
    </row>
    <row r="680" spans="1:10" x14ac:dyDescent="0.25">
      <c r="A680" s="93">
        <v>42099</v>
      </c>
      <c r="B680" s="35">
        <f>C680+(D680-2009)*12</f>
        <v>76</v>
      </c>
      <c r="C680" s="76">
        <v>4</v>
      </c>
      <c r="D680" s="76">
        <v>2015</v>
      </c>
      <c r="E680" s="56">
        <v>6.6666666666666666E-2</v>
      </c>
      <c r="F680" s="53">
        <f>IF(E680&gt;0,1,0)</f>
        <v>1</v>
      </c>
      <c r="G680" s="53">
        <f>SUM(F679:F680)</f>
        <v>2</v>
      </c>
      <c r="H680" s="53">
        <f>IF(G680=1,IF(F679=1,1,-1),G680)</f>
        <v>2</v>
      </c>
      <c r="I680" s="53" t="str">
        <f>VLOOKUP(H680,codes,2,)</f>
        <v>ww</v>
      </c>
      <c r="J680" s="53"/>
    </row>
    <row r="681" spans="1:10" x14ac:dyDescent="0.25">
      <c r="A681" s="93">
        <v>42100</v>
      </c>
      <c r="B681" s="35">
        <f>C681+(D681-2009)*12</f>
        <v>76</v>
      </c>
      <c r="C681" s="76">
        <v>4</v>
      </c>
      <c r="D681" s="76">
        <v>2015</v>
      </c>
      <c r="E681" s="56">
        <v>0</v>
      </c>
      <c r="F681" s="53">
        <f>IF(E681&gt;0,1,0)</f>
        <v>0</v>
      </c>
      <c r="G681" s="53">
        <f>SUM(F680:F681)</f>
        <v>1</v>
      </c>
      <c r="H681" s="53">
        <f>IF(G681=1,IF(F680=1,1,-1),G681)</f>
        <v>1</v>
      </c>
      <c r="I681" s="53" t="str">
        <f>VLOOKUP(H681,codes,2,)</f>
        <v>wd</v>
      </c>
      <c r="J681" s="53"/>
    </row>
    <row r="682" spans="1:10" x14ac:dyDescent="0.25">
      <c r="A682" s="93">
        <v>42101</v>
      </c>
      <c r="B682" s="35">
        <f>C682+(D682-2009)*12</f>
        <v>76</v>
      </c>
      <c r="C682" s="76">
        <v>4</v>
      </c>
      <c r="D682" s="76">
        <v>2015</v>
      </c>
      <c r="E682" s="56">
        <v>0</v>
      </c>
      <c r="F682" s="53">
        <f>IF(E682&gt;0,1,0)</f>
        <v>0</v>
      </c>
      <c r="G682" s="53">
        <f>SUM(F681:F682)</f>
        <v>0</v>
      </c>
      <c r="H682" s="53">
        <f>IF(G682=1,IF(F681=1,1,-1),G682)</f>
        <v>0</v>
      </c>
      <c r="I682" s="53" t="str">
        <f>VLOOKUP(H682,codes,2,)</f>
        <v>dd</v>
      </c>
      <c r="J682" s="53"/>
    </row>
    <row r="683" spans="1:10" x14ac:dyDescent="0.25">
      <c r="A683" s="93">
        <v>42102</v>
      </c>
      <c r="B683" s="35">
        <f>C683+(D683-2009)*12</f>
        <v>76</v>
      </c>
      <c r="C683" s="76">
        <v>4</v>
      </c>
      <c r="D683" s="76">
        <v>2015</v>
      </c>
      <c r="E683" s="56">
        <v>0</v>
      </c>
      <c r="F683" s="53">
        <f>IF(E683&gt;0,1,0)</f>
        <v>0</v>
      </c>
      <c r="G683" s="53">
        <f>SUM(F682:F683)</f>
        <v>0</v>
      </c>
      <c r="H683" s="53">
        <f>IF(G683=1,IF(F682=1,1,-1),G683)</f>
        <v>0</v>
      </c>
      <c r="I683" s="53" t="str">
        <f>VLOOKUP(H683,codes,2,)</f>
        <v>dd</v>
      </c>
      <c r="J683" s="53"/>
    </row>
    <row r="684" spans="1:10" x14ac:dyDescent="0.25">
      <c r="A684" s="93">
        <v>42103</v>
      </c>
      <c r="B684" s="35">
        <f>C684+(D684-2009)*12</f>
        <v>76</v>
      </c>
      <c r="C684" s="76">
        <v>4</v>
      </c>
      <c r="D684" s="76">
        <v>2015</v>
      </c>
      <c r="E684" s="56">
        <v>0</v>
      </c>
      <c r="F684" s="53">
        <f>IF(E684&gt;0,1,0)</f>
        <v>0</v>
      </c>
      <c r="G684" s="53">
        <f>SUM(F683:F684)</f>
        <v>0</v>
      </c>
      <c r="H684" s="53">
        <f>IF(G684=1,IF(F683=1,1,-1),G684)</f>
        <v>0</v>
      </c>
      <c r="I684" s="53" t="str">
        <f>VLOOKUP(H684,codes,2,)</f>
        <v>dd</v>
      </c>
      <c r="J684" s="53"/>
    </row>
    <row r="685" spans="1:10" x14ac:dyDescent="0.25">
      <c r="A685" s="93">
        <v>42104</v>
      </c>
      <c r="B685" s="35">
        <f>C685+(D685-2009)*12</f>
        <v>76</v>
      </c>
      <c r="C685" s="76">
        <v>4</v>
      </c>
      <c r="D685" s="76">
        <v>2015</v>
      </c>
      <c r="E685" s="56">
        <v>0</v>
      </c>
      <c r="F685" s="53">
        <f>IF(E685&gt;0,1,0)</f>
        <v>0</v>
      </c>
      <c r="G685" s="53">
        <f>SUM(F684:F685)</f>
        <v>0</v>
      </c>
      <c r="H685" s="53">
        <f>IF(G685=1,IF(F684=1,1,-1),G685)</f>
        <v>0</v>
      </c>
      <c r="I685" s="53" t="str">
        <f>VLOOKUP(H685,codes,2,)</f>
        <v>dd</v>
      </c>
      <c r="J685" s="53"/>
    </row>
    <row r="686" spans="1:10" x14ac:dyDescent="0.25">
      <c r="A686" s="93">
        <v>42105</v>
      </c>
      <c r="B686" s="35">
        <f>C686+(D686-2009)*12</f>
        <v>76</v>
      </c>
      <c r="C686" s="76">
        <v>4</v>
      </c>
      <c r="D686" s="76">
        <v>2015</v>
      </c>
      <c r="E686" s="56">
        <v>0</v>
      </c>
      <c r="F686" s="53">
        <f>IF(E686&gt;0,1,0)</f>
        <v>0</v>
      </c>
      <c r="G686" s="53">
        <f>SUM(F685:F686)</f>
        <v>0</v>
      </c>
      <c r="H686" s="53">
        <f>IF(G686=1,IF(F685=1,1,-1),G686)</f>
        <v>0</v>
      </c>
      <c r="I686" s="53" t="str">
        <f>VLOOKUP(H686,codes,2,)</f>
        <v>dd</v>
      </c>
      <c r="J686" s="53"/>
    </row>
    <row r="687" spans="1:10" x14ac:dyDescent="0.25">
      <c r="A687" s="93">
        <v>42106</v>
      </c>
      <c r="B687" s="35">
        <f>C687+(D687-2009)*12</f>
        <v>76</v>
      </c>
      <c r="C687" s="76">
        <v>4</v>
      </c>
      <c r="D687" s="76">
        <v>2015</v>
      </c>
      <c r="E687" s="56">
        <v>0</v>
      </c>
      <c r="F687" s="53">
        <f>IF(E687&gt;0,1,0)</f>
        <v>0</v>
      </c>
      <c r="G687" s="53">
        <f>SUM(F686:F687)</f>
        <v>0</v>
      </c>
      <c r="H687" s="53">
        <f>IF(G687=1,IF(F686=1,1,-1),G687)</f>
        <v>0</v>
      </c>
      <c r="I687" s="53" t="str">
        <f>VLOOKUP(H687,codes,2,)</f>
        <v>dd</v>
      </c>
      <c r="J687" s="53"/>
    </row>
    <row r="688" spans="1:10" x14ac:dyDescent="0.25">
      <c r="A688" s="93">
        <v>42107</v>
      </c>
      <c r="B688" s="35">
        <f>C688+(D688-2009)*12</f>
        <v>76</v>
      </c>
      <c r="C688" s="76">
        <v>4</v>
      </c>
      <c r="D688" s="76">
        <v>2015</v>
      </c>
      <c r="E688" s="56">
        <v>8.5333333333333332</v>
      </c>
      <c r="F688" s="53">
        <f>IF(E688&gt;0,1,0)</f>
        <v>1</v>
      </c>
      <c r="G688" s="53">
        <f>SUM(F687:F688)</f>
        <v>1</v>
      </c>
      <c r="H688" s="53">
        <f>IF(G688=1,IF(F687=1,1,-1),G688)</f>
        <v>-1</v>
      </c>
      <c r="I688" s="53" t="str">
        <f>VLOOKUP(H688,codes,2,)</f>
        <v>dw</v>
      </c>
      <c r="J688" s="53"/>
    </row>
    <row r="689" spans="1:10" x14ac:dyDescent="0.25">
      <c r="A689" s="93">
        <v>42108</v>
      </c>
      <c r="B689" s="35">
        <f>C689+(D689-2009)*12</f>
        <v>76</v>
      </c>
      <c r="C689" s="76">
        <v>4</v>
      </c>
      <c r="D689" s="76">
        <v>2015</v>
      </c>
      <c r="E689" s="56">
        <v>6.6666666666666666E-2</v>
      </c>
      <c r="F689" s="53">
        <f>IF(E689&gt;0,1,0)</f>
        <v>1</v>
      </c>
      <c r="G689" s="53">
        <f>SUM(F688:F689)</f>
        <v>2</v>
      </c>
      <c r="H689" s="53">
        <f>IF(G689=1,IF(F688=1,1,-1),G689)</f>
        <v>2</v>
      </c>
      <c r="I689" s="53" t="str">
        <f>VLOOKUP(H689,codes,2,)</f>
        <v>ww</v>
      </c>
      <c r="J689" s="53"/>
    </row>
    <row r="690" spans="1:10" x14ac:dyDescent="0.25">
      <c r="A690" s="93">
        <v>42109</v>
      </c>
      <c r="B690" s="35">
        <f>C690+(D690-2009)*12</f>
        <v>76</v>
      </c>
      <c r="C690" s="76">
        <v>4</v>
      </c>
      <c r="D690" s="76">
        <v>2015</v>
      </c>
      <c r="E690" s="56">
        <v>0</v>
      </c>
      <c r="F690" s="53">
        <f>IF(E690&gt;0,1,0)</f>
        <v>0</v>
      </c>
      <c r="G690" s="53">
        <f>SUM(F689:F690)</f>
        <v>1</v>
      </c>
      <c r="H690" s="53">
        <f>IF(G690=1,IF(F689=1,1,-1),G690)</f>
        <v>1</v>
      </c>
      <c r="I690" s="53" t="str">
        <f>VLOOKUP(H690,codes,2,)</f>
        <v>wd</v>
      </c>
      <c r="J690" s="53"/>
    </row>
    <row r="691" spans="1:10" x14ac:dyDescent="0.25">
      <c r="A691" s="93">
        <v>42110</v>
      </c>
      <c r="B691" s="35">
        <f>C691+(D691-2009)*12</f>
        <v>76</v>
      </c>
      <c r="C691" s="76">
        <v>4</v>
      </c>
      <c r="D691" s="76">
        <v>2015</v>
      </c>
      <c r="E691" s="56">
        <v>0</v>
      </c>
      <c r="F691" s="53">
        <f>IF(E691&gt;0,1,0)</f>
        <v>0</v>
      </c>
      <c r="G691" s="53">
        <f>SUM(F690:F691)</f>
        <v>0</v>
      </c>
      <c r="H691" s="53">
        <f>IF(G691=1,IF(F690=1,1,-1),G691)</f>
        <v>0</v>
      </c>
      <c r="I691" s="53" t="str">
        <f>VLOOKUP(H691,codes,2,)</f>
        <v>dd</v>
      </c>
      <c r="J691" s="53"/>
    </row>
    <row r="692" spans="1:10" x14ac:dyDescent="0.25">
      <c r="A692" s="93">
        <v>42111</v>
      </c>
      <c r="B692" s="35">
        <f>C692+(D692-2009)*12</f>
        <v>76</v>
      </c>
      <c r="C692" s="76">
        <v>4</v>
      </c>
      <c r="D692" s="76">
        <v>2015</v>
      </c>
      <c r="E692" s="56">
        <v>0</v>
      </c>
      <c r="F692" s="53">
        <f>IF(E692&gt;0,1,0)</f>
        <v>0</v>
      </c>
      <c r="G692" s="53">
        <f>SUM(F691:F692)</f>
        <v>0</v>
      </c>
      <c r="H692" s="53">
        <f>IF(G692=1,IF(F691=1,1,-1),G692)</f>
        <v>0</v>
      </c>
      <c r="I692" s="53" t="str">
        <f>VLOOKUP(H692,codes,2,)</f>
        <v>dd</v>
      </c>
      <c r="J692" s="53"/>
    </row>
    <row r="693" spans="1:10" x14ac:dyDescent="0.25">
      <c r="A693" s="93">
        <v>42112</v>
      </c>
      <c r="B693" s="35">
        <f>C693+(D693-2009)*12</f>
        <v>76</v>
      </c>
      <c r="C693" s="76">
        <v>4</v>
      </c>
      <c r="D693" s="76">
        <v>2015</v>
      </c>
      <c r="E693" s="56">
        <v>0</v>
      </c>
      <c r="F693" s="53">
        <f>IF(E693&gt;0,1,0)</f>
        <v>0</v>
      </c>
      <c r="G693" s="53">
        <f>SUM(F692:F693)</f>
        <v>0</v>
      </c>
      <c r="H693" s="53">
        <f>IF(G693=1,IF(F692=1,1,-1),G693)</f>
        <v>0</v>
      </c>
      <c r="I693" s="53" t="str">
        <f>VLOOKUP(H693,codes,2,)</f>
        <v>dd</v>
      </c>
      <c r="J693" s="53"/>
    </row>
    <row r="694" spans="1:10" x14ac:dyDescent="0.25">
      <c r="A694" s="93">
        <v>42113</v>
      </c>
      <c r="B694" s="35">
        <f>C694+(D694-2009)*12</f>
        <v>76</v>
      </c>
      <c r="C694" s="76">
        <v>4</v>
      </c>
      <c r="D694" s="76">
        <v>2015</v>
      </c>
      <c r="E694" s="56">
        <v>6.6666666666666666E-2</v>
      </c>
      <c r="F694" s="53">
        <f>IF(E694&gt;0,1,0)</f>
        <v>1</v>
      </c>
      <c r="G694" s="53">
        <f>SUM(F693:F694)</f>
        <v>1</v>
      </c>
      <c r="H694" s="53">
        <f>IF(G694=1,IF(F693=1,1,-1),G694)</f>
        <v>-1</v>
      </c>
      <c r="I694" s="53" t="str">
        <f>VLOOKUP(H694,codes,2,)</f>
        <v>dw</v>
      </c>
      <c r="J694" s="53"/>
    </row>
    <row r="695" spans="1:10" x14ac:dyDescent="0.25">
      <c r="A695" s="93">
        <v>42114</v>
      </c>
      <c r="B695" s="35">
        <f>C695+(D695-2009)*12</f>
        <v>76</v>
      </c>
      <c r="C695" s="76">
        <v>4</v>
      </c>
      <c r="D695" s="76">
        <v>2015</v>
      </c>
      <c r="E695" s="56">
        <v>0</v>
      </c>
      <c r="F695" s="53">
        <f>IF(E695&gt;0,1,0)</f>
        <v>0</v>
      </c>
      <c r="G695" s="53">
        <f>SUM(F694:F695)</f>
        <v>1</v>
      </c>
      <c r="H695" s="53">
        <f>IF(G695=1,IF(F694=1,1,-1),G695)</f>
        <v>1</v>
      </c>
      <c r="I695" s="53" t="str">
        <f>VLOOKUP(H695,codes,2,)</f>
        <v>wd</v>
      </c>
      <c r="J695" s="53"/>
    </row>
    <row r="696" spans="1:10" x14ac:dyDescent="0.25">
      <c r="A696" s="93">
        <v>42115</v>
      </c>
      <c r="B696" s="35">
        <f>C696+(D696-2009)*12</f>
        <v>76</v>
      </c>
      <c r="C696" s="76">
        <v>4</v>
      </c>
      <c r="D696" s="76">
        <v>2015</v>
      </c>
      <c r="E696" s="56">
        <v>0</v>
      </c>
      <c r="F696" s="53">
        <f>IF(E696&gt;0,1,0)</f>
        <v>0</v>
      </c>
      <c r="G696" s="53">
        <f>SUM(F695:F696)</f>
        <v>0</v>
      </c>
      <c r="H696" s="53">
        <f>IF(G696=1,IF(F695=1,1,-1),G696)</f>
        <v>0</v>
      </c>
      <c r="I696" s="53" t="str">
        <f>VLOOKUP(H696,codes,2,)</f>
        <v>dd</v>
      </c>
      <c r="J696" s="53"/>
    </row>
    <row r="697" spans="1:10" x14ac:dyDescent="0.25">
      <c r="A697" s="93">
        <v>42116</v>
      </c>
      <c r="B697" s="35">
        <f>C697+(D697-2009)*12</f>
        <v>76</v>
      </c>
      <c r="C697" s="76">
        <v>4</v>
      </c>
      <c r="D697" s="76">
        <v>2015</v>
      </c>
      <c r="E697" s="56">
        <v>0</v>
      </c>
      <c r="F697" s="53">
        <f>IF(E697&gt;0,1,0)</f>
        <v>0</v>
      </c>
      <c r="G697" s="53">
        <f>SUM(F696:F697)</f>
        <v>0</v>
      </c>
      <c r="H697" s="53">
        <f>IF(G697=1,IF(F696=1,1,-1),G697)</f>
        <v>0</v>
      </c>
      <c r="I697" s="53" t="str">
        <f>VLOOKUP(H697,codes,2,)</f>
        <v>dd</v>
      </c>
      <c r="J697" s="53"/>
    </row>
    <row r="698" spans="1:10" x14ac:dyDescent="0.25">
      <c r="A698" s="93">
        <v>42117</v>
      </c>
      <c r="B698" s="35">
        <f>C698+(D698-2009)*12</f>
        <v>76</v>
      </c>
      <c r="C698" s="76">
        <v>4</v>
      </c>
      <c r="D698" s="76">
        <v>2015</v>
      </c>
      <c r="E698" s="56">
        <v>0</v>
      </c>
      <c r="F698" s="53">
        <f>IF(E698&gt;0,1,0)</f>
        <v>0</v>
      </c>
      <c r="G698" s="53">
        <f>SUM(F697:F698)</f>
        <v>0</v>
      </c>
      <c r="H698" s="53">
        <f>IF(G698=1,IF(F697=1,1,-1),G698)</f>
        <v>0</v>
      </c>
      <c r="I698" s="53" t="str">
        <f>VLOOKUP(H698,codes,2,)</f>
        <v>dd</v>
      </c>
      <c r="J698" s="53"/>
    </row>
    <row r="699" spans="1:10" x14ac:dyDescent="0.25">
      <c r="A699" s="93">
        <v>42118</v>
      </c>
      <c r="B699" s="35">
        <f>C699+(D699-2009)*12</f>
        <v>76</v>
      </c>
      <c r="C699" s="76">
        <v>4</v>
      </c>
      <c r="D699" s="76">
        <v>2015</v>
      </c>
      <c r="E699" s="56">
        <v>6.6666666666666666E-2</v>
      </c>
      <c r="F699" s="53">
        <f>IF(E699&gt;0,1,0)</f>
        <v>1</v>
      </c>
      <c r="G699" s="53">
        <f>SUM(F698:F699)</f>
        <v>1</v>
      </c>
      <c r="H699" s="53">
        <f>IF(G699=1,IF(F698=1,1,-1),G699)</f>
        <v>-1</v>
      </c>
      <c r="I699" s="53" t="str">
        <f>VLOOKUP(H699,codes,2,)</f>
        <v>dw</v>
      </c>
      <c r="J699" s="53"/>
    </row>
    <row r="700" spans="1:10" x14ac:dyDescent="0.25">
      <c r="A700" s="93">
        <v>42119</v>
      </c>
      <c r="B700" s="35">
        <f>C700+(D700-2009)*12</f>
        <v>76</v>
      </c>
      <c r="C700" s="76">
        <v>4</v>
      </c>
      <c r="D700" s="76">
        <v>2015</v>
      </c>
      <c r="E700" s="56">
        <v>0.53333333333333333</v>
      </c>
      <c r="F700" s="53">
        <f>IF(E700&gt;0,1,0)</f>
        <v>1</v>
      </c>
      <c r="G700" s="53">
        <f>SUM(F699:F700)</f>
        <v>2</v>
      </c>
      <c r="H700" s="53">
        <f>IF(G700=1,IF(F699=1,1,-1),G700)</f>
        <v>2</v>
      </c>
      <c r="I700" s="53" t="str">
        <f>VLOOKUP(H700,codes,2,)</f>
        <v>ww</v>
      </c>
      <c r="J700" s="53"/>
    </row>
    <row r="701" spans="1:10" x14ac:dyDescent="0.25">
      <c r="A701" s="93">
        <v>42120</v>
      </c>
      <c r="B701" s="35">
        <f>C701+(D701-2009)*12</f>
        <v>76</v>
      </c>
      <c r="C701" s="76">
        <v>4</v>
      </c>
      <c r="D701" s="76">
        <v>2015</v>
      </c>
      <c r="E701" s="56">
        <v>1.9333333333333333</v>
      </c>
      <c r="F701" s="53">
        <f>IF(E701&gt;0,1,0)</f>
        <v>1</v>
      </c>
      <c r="G701" s="53">
        <f>SUM(F700:F701)</f>
        <v>2</v>
      </c>
      <c r="H701" s="53">
        <f>IF(G701=1,IF(F700=1,1,-1),G701)</f>
        <v>2</v>
      </c>
      <c r="I701" s="53" t="str">
        <f>VLOOKUP(H701,codes,2,)</f>
        <v>ww</v>
      </c>
      <c r="J701" s="53"/>
    </row>
    <row r="702" spans="1:10" x14ac:dyDescent="0.25">
      <c r="A702" s="93">
        <v>42121</v>
      </c>
      <c r="B702" s="35">
        <f>C702+(D702-2009)*12</f>
        <v>76</v>
      </c>
      <c r="C702" s="76">
        <v>4</v>
      </c>
      <c r="D702" s="76">
        <v>2015</v>
      </c>
      <c r="E702" s="56">
        <v>0</v>
      </c>
      <c r="F702" s="53">
        <f>IF(E702&gt;0,1,0)</f>
        <v>0</v>
      </c>
      <c r="G702" s="53">
        <f>SUM(F701:F702)</f>
        <v>1</v>
      </c>
      <c r="H702" s="53">
        <f>IF(G702=1,IF(F701=1,1,-1),G702)</f>
        <v>1</v>
      </c>
      <c r="I702" s="53" t="str">
        <f>VLOOKUP(H702,codes,2,)</f>
        <v>wd</v>
      </c>
      <c r="J702" s="53"/>
    </row>
    <row r="703" spans="1:10" x14ac:dyDescent="0.25">
      <c r="A703" s="93">
        <v>42122</v>
      </c>
      <c r="B703" s="35">
        <f>C703+(D703-2009)*12</f>
        <v>76</v>
      </c>
      <c r="C703" s="76">
        <v>4</v>
      </c>
      <c r="D703" s="76">
        <v>2015</v>
      </c>
      <c r="E703" s="56">
        <v>0.26666666666666666</v>
      </c>
      <c r="F703" s="53">
        <f>IF(E703&gt;0,1,0)</f>
        <v>1</v>
      </c>
      <c r="G703" s="53">
        <f>SUM(F702:F703)</f>
        <v>1</v>
      </c>
      <c r="H703" s="53">
        <f>IF(G703=1,IF(F702=1,1,-1),G703)</f>
        <v>-1</v>
      </c>
      <c r="I703" s="53" t="str">
        <f>VLOOKUP(H703,codes,2,)</f>
        <v>dw</v>
      </c>
      <c r="J703" s="53"/>
    </row>
    <row r="704" spans="1:10" x14ac:dyDescent="0.25">
      <c r="A704" s="93">
        <v>42123</v>
      </c>
      <c r="B704" s="35">
        <f>C704+(D704-2009)*12</f>
        <v>76</v>
      </c>
      <c r="C704" s="76">
        <v>4</v>
      </c>
      <c r="D704" s="76">
        <v>2015</v>
      </c>
      <c r="E704" s="56">
        <v>2.8000000000000003</v>
      </c>
      <c r="F704" s="53">
        <f>IF(E704&gt;0,1,0)</f>
        <v>1</v>
      </c>
      <c r="G704" s="53">
        <f>SUM(F703:F704)</f>
        <v>2</v>
      </c>
      <c r="H704" s="53">
        <f>IF(G704=1,IF(F703=1,1,-1),G704)</f>
        <v>2</v>
      </c>
      <c r="I704" s="53" t="str">
        <f>VLOOKUP(H704,codes,2,)</f>
        <v>ww</v>
      </c>
      <c r="J704" s="53"/>
    </row>
    <row r="705" spans="1:10" x14ac:dyDescent="0.25">
      <c r="A705" s="93">
        <v>42124</v>
      </c>
      <c r="B705" s="35">
        <f>C705+(D705-2009)*12</f>
        <v>76</v>
      </c>
      <c r="C705" s="76">
        <v>4</v>
      </c>
      <c r="D705" s="76">
        <v>2015</v>
      </c>
      <c r="E705" s="56">
        <v>0.73333333333333339</v>
      </c>
      <c r="F705" s="53">
        <f>IF(E705&gt;0,1,0)</f>
        <v>1</v>
      </c>
      <c r="G705" s="53">
        <f>SUM(F704:F705)</f>
        <v>2</v>
      </c>
      <c r="H705" s="53">
        <f>IF(G705=1,IF(F704=1,1,-1),G705)</f>
        <v>2</v>
      </c>
      <c r="I705" s="53" t="str">
        <f>VLOOKUP(H705,codes,2,)</f>
        <v>ww</v>
      </c>
      <c r="J705" s="53"/>
    </row>
    <row r="706" spans="1:10" x14ac:dyDescent="0.25">
      <c r="A706" s="93">
        <v>42125</v>
      </c>
      <c r="B706" s="35">
        <f>C706+(D706-2009)*12</f>
        <v>76</v>
      </c>
      <c r="C706" s="76">
        <v>4</v>
      </c>
      <c r="D706" s="76">
        <v>2015</v>
      </c>
      <c r="E706" s="56">
        <v>0.6</v>
      </c>
      <c r="F706" s="53">
        <f>IF(E706&gt;0,1,0)</f>
        <v>1</v>
      </c>
      <c r="G706" s="53">
        <f>SUM(F705:F706)</f>
        <v>2</v>
      </c>
      <c r="H706" s="53">
        <f>IF(G706=1,IF(F705=1,1,-1),G706)</f>
        <v>2</v>
      </c>
      <c r="I706" s="53" t="str">
        <f>VLOOKUP(H706,codes,2,)</f>
        <v>ww</v>
      </c>
      <c r="J706" s="53"/>
    </row>
    <row r="707" spans="1:10" x14ac:dyDescent="0.25">
      <c r="A707" s="93">
        <v>42126</v>
      </c>
      <c r="B707" s="35">
        <f>C707+(D707-2009)*12</f>
        <v>76</v>
      </c>
      <c r="C707" s="76">
        <v>4</v>
      </c>
      <c r="D707" s="76">
        <v>2015</v>
      </c>
      <c r="E707" s="56">
        <v>0</v>
      </c>
      <c r="F707" s="53">
        <f>IF(E707&gt;0,1,0)</f>
        <v>0</v>
      </c>
      <c r="G707" s="53">
        <f>SUM(F706:F707)</f>
        <v>1</v>
      </c>
      <c r="H707" s="53">
        <f>IF(G707=1,IF(F706=1,1,-1),G707)</f>
        <v>1</v>
      </c>
      <c r="I707" s="53" t="str">
        <f>VLOOKUP(H707,codes,2,)</f>
        <v>wd</v>
      </c>
      <c r="J707" s="53"/>
    </row>
    <row r="708" spans="1:10" x14ac:dyDescent="0.25">
      <c r="A708" s="93">
        <v>42463</v>
      </c>
      <c r="B708" s="35">
        <f>C708+(D708-2009)*12</f>
        <v>88</v>
      </c>
      <c r="C708" s="76">
        <v>4</v>
      </c>
      <c r="D708" s="76">
        <v>2016</v>
      </c>
      <c r="E708" s="56">
        <v>2.4</v>
      </c>
      <c r="F708" s="53">
        <f>IF(E708&gt;0,1,0)</f>
        <v>1</v>
      </c>
      <c r="G708" s="53">
        <f>SUM(F707:F708)</f>
        <v>1</v>
      </c>
      <c r="H708" s="53">
        <f>IF(G708=1,IF(F707=1,1,-1),G708)</f>
        <v>-1</v>
      </c>
      <c r="I708" s="53" t="str">
        <f>VLOOKUP(H708,codes,2,)</f>
        <v>dw</v>
      </c>
      <c r="J708" s="53"/>
    </row>
    <row r="709" spans="1:10" x14ac:dyDescent="0.25">
      <c r="A709" s="93">
        <v>42464</v>
      </c>
      <c r="B709" s="35">
        <f>C709+(D709-2009)*12</f>
        <v>88</v>
      </c>
      <c r="C709" s="76">
        <v>4</v>
      </c>
      <c r="D709" s="76">
        <v>2016</v>
      </c>
      <c r="E709" s="56">
        <v>1.2666666666666668</v>
      </c>
      <c r="F709" s="53">
        <f>IF(E709&gt;0,1,0)</f>
        <v>1</v>
      </c>
      <c r="G709" s="53">
        <f>SUM(F708:F709)</f>
        <v>2</v>
      </c>
      <c r="H709" s="53">
        <f>IF(G709=1,IF(F708=1,1,-1),G709)</f>
        <v>2</v>
      </c>
      <c r="I709" s="53" t="str">
        <f>VLOOKUP(H709,codes,2,)</f>
        <v>ww</v>
      </c>
      <c r="J709" s="53"/>
    </row>
    <row r="710" spans="1:10" x14ac:dyDescent="0.25">
      <c r="A710" s="93">
        <v>42465</v>
      </c>
      <c r="B710" s="35">
        <f>C710+(D710-2009)*12</f>
        <v>88</v>
      </c>
      <c r="C710" s="76">
        <v>4</v>
      </c>
      <c r="D710" s="76">
        <v>2016</v>
      </c>
      <c r="E710" s="56">
        <v>2.1333333333333333</v>
      </c>
      <c r="F710" s="53">
        <f>IF(E710&gt;0,1,0)</f>
        <v>1</v>
      </c>
      <c r="G710" s="53">
        <f>SUM(F709:F710)</f>
        <v>2</v>
      </c>
      <c r="H710" s="53">
        <f>IF(G710=1,IF(F709=1,1,-1),G710)</f>
        <v>2</v>
      </c>
      <c r="I710" s="53" t="str">
        <f>VLOOKUP(H710,codes,2,)</f>
        <v>ww</v>
      </c>
      <c r="J710" s="53"/>
    </row>
    <row r="711" spans="1:10" x14ac:dyDescent="0.25">
      <c r="A711" s="93">
        <v>42466</v>
      </c>
      <c r="B711" s="35">
        <f>C711+(D711-2009)*12</f>
        <v>88</v>
      </c>
      <c r="C711" s="76">
        <v>4</v>
      </c>
      <c r="D711" s="76">
        <v>2016</v>
      </c>
      <c r="E711" s="56">
        <v>1.2666666666666666</v>
      </c>
      <c r="F711" s="53">
        <f>IF(E711&gt;0,1,0)</f>
        <v>1</v>
      </c>
      <c r="G711" s="53">
        <f>SUM(F710:F711)</f>
        <v>2</v>
      </c>
      <c r="H711" s="53">
        <f>IF(G711=1,IF(F710=1,1,-1),G711)</f>
        <v>2</v>
      </c>
      <c r="I711" s="53" t="str">
        <f>VLOOKUP(H711,codes,2,)</f>
        <v>ww</v>
      </c>
      <c r="J711" s="53"/>
    </row>
    <row r="712" spans="1:10" x14ac:dyDescent="0.25">
      <c r="A712" s="93">
        <v>42467</v>
      </c>
      <c r="B712" s="35">
        <f>C712+(D712-2009)*12</f>
        <v>88</v>
      </c>
      <c r="C712" s="76">
        <v>4</v>
      </c>
      <c r="D712" s="76">
        <v>2016</v>
      </c>
      <c r="E712" s="56">
        <v>0.66666666666666663</v>
      </c>
      <c r="F712" s="53">
        <f>IF(E712&gt;0,1,0)</f>
        <v>1</v>
      </c>
      <c r="G712" s="53">
        <f>SUM(F711:F712)</f>
        <v>2</v>
      </c>
      <c r="H712" s="53">
        <f>IF(G712=1,IF(F711=1,1,-1),G712)</f>
        <v>2</v>
      </c>
      <c r="I712" s="53" t="str">
        <f>VLOOKUP(H712,codes,2,)</f>
        <v>ww</v>
      </c>
      <c r="J712" s="53"/>
    </row>
    <row r="713" spans="1:10" x14ac:dyDescent="0.25">
      <c r="A713" s="93">
        <v>42468</v>
      </c>
      <c r="B713" s="35">
        <f>C713+(D713-2009)*12</f>
        <v>88</v>
      </c>
      <c r="C713" s="76">
        <v>4</v>
      </c>
      <c r="D713" s="76">
        <v>2016</v>
      </c>
      <c r="E713" s="56">
        <v>0.6</v>
      </c>
      <c r="F713" s="53">
        <f>IF(E713&gt;0,1,0)</f>
        <v>1</v>
      </c>
      <c r="G713" s="53">
        <f>SUM(F712:F713)</f>
        <v>2</v>
      </c>
      <c r="H713" s="53">
        <f>IF(G713=1,IF(F712=1,1,-1),G713)</f>
        <v>2</v>
      </c>
      <c r="I713" s="53" t="str">
        <f>VLOOKUP(H713,codes,2,)</f>
        <v>ww</v>
      </c>
      <c r="J713" s="53"/>
    </row>
    <row r="714" spans="1:10" x14ac:dyDescent="0.25">
      <c r="A714" s="93">
        <v>42469</v>
      </c>
      <c r="B714" s="35">
        <f>C714+(D714-2009)*12</f>
        <v>88</v>
      </c>
      <c r="C714" s="76">
        <v>4</v>
      </c>
      <c r="D714" s="76">
        <v>2016</v>
      </c>
      <c r="E714" s="56">
        <v>4.666666666666667</v>
      </c>
      <c r="F714" s="53">
        <f>IF(E714&gt;0,1,0)</f>
        <v>1</v>
      </c>
      <c r="G714" s="53">
        <f>SUM(F713:F714)</f>
        <v>2</v>
      </c>
      <c r="H714" s="53">
        <f>IF(G714=1,IF(F713=1,1,-1),G714)</f>
        <v>2</v>
      </c>
      <c r="I714" s="53" t="str">
        <f>VLOOKUP(H714,codes,2,)</f>
        <v>ww</v>
      </c>
      <c r="J714" s="53"/>
    </row>
    <row r="715" spans="1:10" x14ac:dyDescent="0.25">
      <c r="A715" s="93">
        <v>42470</v>
      </c>
      <c r="B715" s="35">
        <f>C715+(D715-2009)*12</f>
        <v>88</v>
      </c>
      <c r="C715" s="76">
        <v>4</v>
      </c>
      <c r="D715" s="76">
        <v>2016</v>
      </c>
      <c r="E715" s="56">
        <v>2.1333333333333333</v>
      </c>
      <c r="F715" s="53">
        <f>IF(E715&gt;0,1,0)</f>
        <v>1</v>
      </c>
      <c r="G715" s="53">
        <f>SUM(F714:F715)</f>
        <v>2</v>
      </c>
      <c r="H715" s="53">
        <f>IF(G715=1,IF(F714=1,1,-1),G715)</f>
        <v>2</v>
      </c>
      <c r="I715" s="53" t="str">
        <f>VLOOKUP(H715,codes,2,)</f>
        <v>ww</v>
      </c>
      <c r="J715" s="53"/>
    </row>
    <row r="716" spans="1:10" x14ac:dyDescent="0.25">
      <c r="A716" s="93">
        <v>42471</v>
      </c>
      <c r="B716" s="35">
        <f>C716+(D716-2009)*12</f>
        <v>88</v>
      </c>
      <c r="C716" s="76">
        <v>4</v>
      </c>
      <c r="D716" s="76">
        <v>2016</v>
      </c>
      <c r="E716" s="56">
        <v>6.6666666666666666E-2</v>
      </c>
      <c r="F716" s="53">
        <f>IF(E716&gt;0,1,0)</f>
        <v>1</v>
      </c>
      <c r="G716" s="53">
        <f>SUM(F715:F716)</f>
        <v>2</v>
      </c>
      <c r="H716" s="53">
        <f>IF(G716=1,IF(F715=1,1,-1),G716)</f>
        <v>2</v>
      </c>
      <c r="I716" s="53" t="str">
        <f>VLOOKUP(H716,codes,2,)</f>
        <v>ww</v>
      </c>
      <c r="J716" s="53"/>
    </row>
    <row r="717" spans="1:10" x14ac:dyDescent="0.25">
      <c r="A717" s="93">
        <v>42472</v>
      </c>
      <c r="B717" s="35">
        <f>C717+(D717-2009)*12</f>
        <v>88</v>
      </c>
      <c r="C717" s="76">
        <v>4</v>
      </c>
      <c r="D717" s="76">
        <v>2016</v>
      </c>
      <c r="E717" s="56">
        <v>4.333333333333333</v>
      </c>
      <c r="F717" s="53">
        <f>IF(E717&gt;0,1,0)</f>
        <v>1</v>
      </c>
      <c r="G717" s="53">
        <f>SUM(F716:F717)</f>
        <v>2</v>
      </c>
      <c r="H717" s="53">
        <f>IF(G717=1,IF(F716=1,1,-1),G717)</f>
        <v>2</v>
      </c>
      <c r="I717" s="53" t="str">
        <f>VLOOKUP(H717,codes,2,)</f>
        <v>ww</v>
      </c>
      <c r="J717" s="53"/>
    </row>
    <row r="718" spans="1:10" x14ac:dyDescent="0.25">
      <c r="A718" s="93">
        <v>42473</v>
      </c>
      <c r="B718" s="35">
        <f>C718+(D718-2009)*12</f>
        <v>88</v>
      </c>
      <c r="C718" s="76">
        <v>4</v>
      </c>
      <c r="D718" s="76">
        <v>2016</v>
      </c>
      <c r="E718" s="56">
        <v>11.666666666666666</v>
      </c>
      <c r="F718" s="53">
        <f>IF(E718&gt;0,1,0)</f>
        <v>1</v>
      </c>
      <c r="G718" s="53">
        <f>SUM(F717:F718)</f>
        <v>2</v>
      </c>
      <c r="H718" s="53">
        <f>IF(G718=1,IF(F717=1,1,-1),G718)</f>
        <v>2</v>
      </c>
      <c r="I718" s="53" t="str">
        <f>VLOOKUP(H718,codes,2,)</f>
        <v>ww</v>
      </c>
      <c r="J718" s="53"/>
    </row>
    <row r="719" spans="1:10" x14ac:dyDescent="0.25">
      <c r="A719" s="93">
        <v>42474</v>
      </c>
      <c r="B719" s="35">
        <f>C719+(D719-2009)*12</f>
        <v>88</v>
      </c>
      <c r="C719" s="76">
        <v>4</v>
      </c>
      <c r="D719" s="76">
        <v>2016</v>
      </c>
      <c r="E719" s="56">
        <v>1.6666666666666667</v>
      </c>
      <c r="F719" s="53">
        <f>IF(E719&gt;0,1,0)</f>
        <v>1</v>
      </c>
      <c r="G719" s="53">
        <f>SUM(F718:F719)</f>
        <v>2</v>
      </c>
      <c r="H719" s="53">
        <f>IF(G719=1,IF(F718=1,1,-1),G719)</f>
        <v>2</v>
      </c>
      <c r="I719" s="53" t="str">
        <f>VLOOKUP(H719,codes,2,)</f>
        <v>ww</v>
      </c>
      <c r="J719" s="53"/>
    </row>
    <row r="720" spans="1:10" x14ac:dyDescent="0.25">
      <c r="A720" s="93">
        <v>42475</v>
      </c>
      <c r="B720" s="35">
        <f>C720+(D720-2009)*12</f>
        <v>88</v>
      </c>
      <c r="C720" s="76">
        <v>4</v>
      </c>
      <c r="D720" s="76">
        <v>2016</v>
      </c>
      <c r="E720" s="56">
        <v>0</v>
      </c>
      <c r="F720" s="53">
        <f>IF(E720&gt;0,1,0)</f>
        <v>0</v>
      </c>
      <c r="G720" s="53">
        <f>SUM(F719:F720)</f>
        <v>1</v>
      </c>
      <c r="H720" s="53">
        <f>IF(G720=1,IF(F719=1,1,-1),G720)</f>
        <v>1</v>
      </c>
      <c r="I720" s="53" t="str">
        <f>VLOOKUP(H720,codes,2,)</f>
        <v>wd</v>
      </c>
      <c r="J720" s="53"/>
    </row>
    <row r="721" spans="1:10" x14ac:dyDescent="0.25">
      <c r="A721" s="93">
        <v>42476</v>
      </c>
      <c r="B721" s="35">
        <f>C721+(D721-2009)*12</f>
        <v>88</v>
      </c>
      <c r="C721" s="76">
        <v>4</v>
      </c>
      <c r="D721" s="76">
        <v>2016</v>
      </c>
      <c r="E721" s="56">
        <v>9.5333333333333332</v>
      </c>
      <c r="F721" s="53">
        <f>IF(E721&gt;0,1,0)</f>
        <v>1</v>
      </c>
      <c r="G721" s="53">
        <f>SUM(F720:F721)</f>
        <v>1</v>
      </c>
      <c r="H721" s="53">
        <f>IF(G721=1,IF(F720=1,1,-1),G721)</f>
        <v>-1</v>
      </c>
      <c r="I721" s="53" t="str">
        <f>VLOOKUP(H721,codes,2,)</f>
        <v>dw</v>
      </c>
      <c r="J721" s="53"/>
    </row>
    <row r="722" spans="1:10" x14ac:dyDescent="0.25">
      <c r="A722" s="93">
        <v>42477</v>
      </c>
      <c r="B722" s="35">
        <f>C722+(D722-2009)*12</f>
        <v>88</v>
      </c>
      <c r="C722" s="76">
        <v>4</v>
      </c>
      <c r="D722" s="76">
        <v>2016</v>
      </c>
      <c r="E722" s="56">
        <v>2.1999999999999997</v>
      </c>
      <c r="F722" s="53">
        <f>IF(E722&gt;0,1,0)</f>
        <v>1</v>
      </c>
      <c r="G722" s="53">
        <f>SUM(F721:F722)</f>
        <v>2</v>
      </c>
      <c r="H722" s="53">
        <f>IF(G722=1,IF(F721=1,1,-1),G722)</f>
        <v>2</v>
      </c>
      <c r="I722" s="53" t="str">
        <f>VLOOKUP(H722,codes,2,)</f>
        <v>ww</v>
      </c>
      <c r="J722" s="53"/>
    </row>
    <row r="723" spans="1:10" x14ac:dyDescent="0.25">
      <c r="A723" s="93">
        <v>42478</v>
      </c>
      <c r="B723" s="35">
        <f>C723+(D723-2009)*12</f>
        <v>88</v>
      </c>
      <c r="C723" s="76">
        <v>4</v>
      </c>
      <c r="D723" s="76">
        <v>2016</v>
      </c>
      <c r="E723" s="56">
        <v>0</v>
      </c>
      <c r="F723" s="53">
        <f>IF(E723&gt;0,1,0)</f>
        <v>0</v>
      </c>
      <c r="G723" s="53">
        <f>SUM(F722:F723)</f>
        <v>1</v>
      </c>
      <c r="H723" s="53">
        <f>IF(G723=1,IF(F722=1,1,-1),G723)</f>
        <v>1</v>
      </c>
      <c r="I723" s="53" t="str">
        <f>VLOOKUP(H723,codes,2,)</f>
        <v>wd</v>
      </c>
      <c r="J723" s="53"/>
    </row>
    <row r="724" spans="1:10" x14ac:dyDescent="0.25">
      <c r="A724" s="93">
        <v>42479</v>
      </c>
      <c r="B724" s="35">
        <f>C724+(D724-2009)*12</f>
        <v>88</v>
      </c>
      <c r="C724" s="76">
        <v>4</v>
      </c>
      <c r="D724" s="76">
        <v>2016</v>
      </c>
      <c r="E724" s="56">
        <v>6.6666666666666666E-2</v>
      </c>
      <c r="F724" s="53">
        <f>IF(E724&gt;0,1,0)</f>
        <v>1</v>
      </c>
      <c r="G724" s="53">
        <f>SUM(F723:F724)</f>
        <v>1</v>
      </c>
      <c r="H724" s="53">
        <f>IF(G724=1,IF(F723=1,1,-1),G724)</f>
        <v>-1</v>
      </c>
      <c r="I724" s="53" t="str">
        <f>VLOOKUP(H724,codes,2,)</f>
        <v>dw</v>
      </c>
      <c r="J724" s="53"/>
    </row>
    <row r="725" spans="1:10" x14ac:dyDescent="0.25">
      <c r="A725" s="93">
        <v>42480</v>
      </c>
      <c r="B725" s="35">
        <f>C725+(D725-2009)*12</f>
        <v>88</v>
      </c>
      <c r="C725" s="76">
        <v>4</v>
      </c>
      <c r="D725" s="76">
        <v>2016</v>
      </c>
      <c r="E725" s="56">
        <v>0</v>
      </c>
      <c r="F725" s="53">
        <f>IF(E725&gt;0,1,0)</f>
        <v>0</v>
      </c>
      <c r="G725" s="53">
        <f>SUM(F724:F725)</f>
        <v>1</v>
      </c>
      <c r="H725" s="53">
        <f>IF(G725=1,IF(F724=1,1,-1),G725)</f>
        <v>1</v>
      </c>
      <c r="I725" s="53" t="str">
        <f>VLOOKUP(H725,codes,2,)</f>
        <v>wd</v>
      </c>
      <c r="J725" s="53"/>
    </row>
    <row r="726" spans="1:10" x14ac:dyDescent="0.25">
      <c r="A726" s="93">
        <v>42481</v>
      </c>
      <c r="B726" s="35">
        <f>C726+(D726-2009)*12</f>
        <v>88</v>
      </c>
      <c r="C726" s="76">
        <v>4</v>
      </c>
      <c r="D726" s="76">
        <v>2016</v>
      </c>
      <c r="E726" s="56">
        <v>0</v>
      </c>
      <c r="F726" s="53">
        <f>IF(E726&gt;0,1,0)</f>
        <v>0</v>
      </c>
      <c r="G726" s="53">
        <f>SUM(F725:F726)</f>
        <v>0</v>
      </c>
      <c r="H726" s="53">
        <f>IF(G726=1,IF(F725=1,1,-1),G726)</f>
        <v>0</v>
      </c>
      <c r="I726" s="53" t="str">
        <f>VLOOKUP(H726,codes,2,)</f>
        <v>dd</v>
      </c>
      <c r="J726" s="53"/>
    </row>
    <row r="727" spans="1:10" x14ac:dyDescent="0.25">
      <c r="A727" s="93">
        <v>42482</v>
      </c>
      <c r="B727" s="35">
        <f>C727+(D727-2009)*12</f>
        <v>88</v>
      </c>
      <c r="C727" s="76">
        <v>4</v>
      </c>
      <c r="D727" s="76">
        <v>2016</v>
      </c>
      <c r="E727" s="56">
        <v>0</v>
      </c>
      <c r="F727" s="53">
        <f>IF(E727&gt;0,1,0)</f>
        <v>0</v>
      </c>
      <c r="G727" s="53">
        <f>SUM(F726:F727)</f>
        <v>0</v>
      </c>
      <c r="H727" s="53">
        <f>IF(G727=1,IF(F726=1,1,-1),G727)</f>
        <v>0</v>
      </c>
      <c r="I727" s="53" t="str">
        <f>VLOOKUP(H727,codes,2,)</f>
        <v>dd</v>
      </c>
      <c r="J727" s="53"/>
    </row>
    <row r="728" spans="1:10" x14ac:dyDescent="0.25">
      <c r="A728" s="93">
        <v>42483</v>
      </c>
      <c r="B728" s="35">
        <f>C728+(D728-2009)*12</f>
        <v>88</v>
      </c>
      <c r="C728" s="76">
        <v>4</v>
      </c>
      <c r="D728" s="76">
        <v>2016</v>
      </c>
      <c r="E728" s="56">
        <v>0.19999999999999998</v>
      </c>
      <c r="F728" s="53">
        <f>IF(E728&gt;0,1,0)</f>
        <v>1</v>
      </c>
      <c r="G728" s="53">
        <f>SUM(F727:F728)</f>
        <v>1</v>
      </c>
      <c r="H728" s="53">
        <f>IF(G728=1,IF(F727=1,1,-1),G728)</f>
        <v>-1</v>
      </c>
      <c r="I728" s="53" t="str">
        <f>VLOOKUP(H728,codes,2,)</f>
        <v>dw</v>
      </c>
      <c r="J728" s="53"/>
    </row>
    <row r="729" spans="1:10" x14ac:dyDescent="0.25">
      <c r="A729" s="93">
        <v>42484</v>
      </c>
      <c r="B729" s="35">
        <f>C729+(D729-2009)*12</f>
        <v>88</v>
      </c>
      <c r="C729" s="76">
        <v>4</v>
      </c>
      <c r="D729" s="76">
        <v>2016</v>
      </c>
      <c r="E729" s="56">
        <v>0</v>
      </c>
      <c r="F729" s="53">
        <f>IF(E729&gt;0,1,0)</f>
        <v>0</v>
      </c>
      <c r="G729" s="53">
        <f>SUM(F728:F729)</f>
        <v>1</v>
      </c>
      <c r="H729" s="53">
        <f>IF(G729=1,IF(F728=1,1,-1),G729)</f>
        <v>1</v>
      </c>
      <c r="I729" s="53" t="str">
        <f>VLOOKUP(H729,codes,2,)</f>
        <v>wd</v>
      </c>
      <c r="J729" s="53"/>
    </row>
    <row r="730" spans="1:10" x14ac:dyDescent="0.25">
      <c r="A730" s="93">
        <v>42485</v>
      </c>
      <c r="B730" s="35">
        <f>C730+(D730-2009)*12</f>
        <v>88</v>
      </c>
      <c r="C730" s="76">
        <v>4</v>
      </c>
      <c r="D730" s="76">
        <v>2016</v>
      </c>
      <c r="E730" s="56">
        <v>0.13333333333333333</v>
      </c>
      <c r="F730" s="53">
        <f>IF(E730&gt;0,1,0)</f>
        <v>1</v>
      </c>
      <c r="G730" s="53">
        <f>SUM(F729:F730)</f>
        <v>1</v>
      </c>
      <c r="H730" s="53">
        <f>IF(G730=1,IF(F729=1,1,-1),G730)</f>
        <v>-1</v>
      </c>
      <c r="I730" s="53" t="str">
        <f>VLOOKUP(H730,codes,2,)</f>
        <v>dw</v>
      </c>
      <c r="J730" s="53"/>
    </row>
    <row r="731" spans="1:10" x14ac:dyDescent="0.25">
      <c r="A731" s="93">
        <v>42486</v>
      </c>
      <c r="B731" s="35">
        <f>C731+(D731-2009)*12</f>
        <v>88</v>
      </c>
      <c r="C731" s="76">
        <v>4</v>
      </c>
      <c r="D731" s="76">
        <v>2016</v>
      </c>
      <c r="E731" s="56">
        <v>2.3333333333333335</v>
      </c>
      <c r="F731" s="53">
        <f>IF(E731&gt;0,1,0)</f>
        <v>1</v>
      </c>
      <c r="G731" s="53">
        <f>SUM(F730:F731)</f>
        <v>2</v>
      </c>
      <c r="H731" s="53">
        <f>IF(G731=1,IF(F730=1,1,-1),G731)</f>
        <v>2</v>
      </c>
      <c r="I731" s="53" t="str">
        <f>VLOOKUP(H731,codes,2,)</f>
        <v>ww</v>
      </c>
      <c r="J731" s="53"/>
    </row>
    <row r="732" spans="1:10" x14ac:dyDescent="0.25">
      <c r="A732" s="93">
        <v>42487</v>
      </c>
      <c r="B732" s="35">
        <f>C732+(D732-2009)*12</f>
        <v>88</v>
      </c>
      <c r="C732" s="76">
        <v>4</v>
      </c>
      <c r="D732" s="76">
        <v>2016</v>
      </c>
      <c r="E732" s="56">
        <v>8</v>
      </c>
      <c r="F732" s="53">
        <f>IF(E732&gt;0,1,0)</f>
        <v>1</v>
      </c>
      <c r="G732" s="53">
        <f>SUM(F731:F732)</f>
        <v>2</v>
      </c>
      <c r="H732" s="53">
        <f>IF(G732=1,IF(F731=1,1,-1),G732)</f>
        <v>2</v>
      </c>
      <c r="I732" s="53" t="str">
        <f>VLOOKUP(H732,codes,2,)</f>
        <v>ww</v>
      </c>
      <c r="J732" s="53"/>
    </row>
    <row r="733" spans="1:10" x14ac:dyDescent="0.25">
      <c r="A733" s="93">
        <v>42488</v>
      </c>
      <c r="B733" s="35">
        <f>C733+(D733-2009)*12</f>
        <v>88</v>
      </c>
      <c r="C733" s="76">
        <v>4</v>
      </c>
      <c r="D733" s="76">
        <v>2016</v>
      </c>
      <c r="E733" s="56">
        <v>4</v>
      </c>
      <c r="F733" s="53">
        <f>IF(E733&gt;0,1,0)</f>
        <v>1</v>
      </c>
      <c r="G733" s="53">
        <f>SUM(F732:F733)</f>
        <v>2</v>
      </c>
      <c r="H733" s="53">
        <f>IF(G733=1,IF(F732=1,1,-1),G733)</f>
        <v>2</v>
      </c>
      <c r="I733" s="53" t="str">
        <f>VLOOKUP(H733,codes,2,)</f>
        <v>ww</v>
      </c>
      <c r="J733" s="53"/>
    </row>
    <row r="734" spans="1:10" x14ac:dyDescent="0.25">
      <c r="A734" s="93">
        <v>42489</v>
      </c>
      <c r="B734" s="35">
        <f>C734+(D734-2009)*12</f>
        <v>88</v>
      </c>
      <c r="C734" s="76">
        <v>4</v>
      </c>
      <c r="D734" s="76">
        <v>2016</v>
      </c>
      <c r="E734" s="56">
        <v>5.2</v>
      </c>
      <c r="F734" s="53">
        <f>IF(E734&gt;0,1,0)</f>
        <v>1</v>
      </c>
      <c r="G734" s="53">
        <f>SUM(F733:F734)</f>
        <v>2</v>
      </c>
      <c r="H734" s="53">
        <f>IF(G734=1,IF(F733=1,1,-1),G734)</f>
        <v>2</v>
      </c>
      <c r="I734" s="53" t="str">
        <f>VLOOKUP(H734,codes,2,)</f>
        <v>ww</v>
      </c>
      <c r="J734" s="53"/>
    </row>
    <row r="735" spans="1:10" x14ac:dyDescent="0.25">
      <c r="A735" s="93">
        <v>42490</v>
      </c>
      <c r="B735" s="35">
        <f>C735+(D735-2009)*12</f>
        <v>88</v>
      </c>
      <c r="C735" s="76">
        <v>4</v>
      </c>
      <c r="D735" s="76">
        <v>2016</v>
      </c>
      <c r="E735" s="56">
        <v>2.6666666666666665</v>
      </c>
      <c r="F735" s="53">
        <f>IF(E735&gt;0,1,0)</f>
        <v>1</v>
      </c>
      <c r="G735" s="53">
        <f>SUM(F734:F735)</f>
        <v>2</v>
      </c>
      <c r="H735" s="53">
        <f>IF(G735=1,IF(F734=1,1,-1),G735)</f>
        <v>2</v>
      </c>
      <c r="I735" s="53" t="str">
        <f>VLOOKUP(H735,codes,2,)</f>
        <v>ww</v>
      </c>
      <c r="J735" s="53"/>
    </row>
    <row r="736" spans="1:10" x14ac:dyDescent="0.25">
      <c r="A736" s="93">
        <v>42491</v>
      </c>
      <c r="B736" s="35">
        <f>C736+(D736-2009)*12</f>
        <v>88</v>
      </c>
      <c r="C736" s="76">
        <v>4</v>
      </c>
      <c r="D736" s="76">
        <v>2016</v>
      </c>
      <c r="E736" s="56">
        <v>1.2</v>
      </c>
      <c r="F736" s="53">
        <f>IF(E736&gt;0,1,0)</f>
        <v>1</v>
      </c>
      <c r="G736" s="53">
        <f>SUM(F735:F736)</f>
        <v>2</v>
      </c>
      <c r="H736" s="53">
        <f>IF(G736=1,IF(F735=1,1,-1),G736)</f>
        <v>2</v>
      </c>
      <c r="I736" s="53" t="str">
        <f>VLOOKUP(H736,codes,2,)</f>
        <v>ww</v>
      </c>
      <c r="J736" s="53"/>
    </row>
    <row r="737" spans="1:10" x14ac:dyDescent="0.25">
      <c r="A737" s="93">
        <v>42492</v>
      </c>
      <c r="B737" s="35">
        <f>C737+(D737-2009)*12</f>
        <v>88</v>
      </c>
      <c r="C737" s="76">
        <v>4</v>
      </c>
      <c r="D737" s="76">
        <v>2016</v>
      </c>
      <c r="E737" s="56">
        <v>1.8</v>
      </c>
      <c r="F737" s="53">
        <f>IF(E737&gt;0,1,0)</f>
        <v>1</v>
      </c>
      <c r="G737" s="53">
        <f>SUM(F736:F737)</f>
        <v>2</v>
      </c>
      <c r="H737" s="53">
        <f>IF(G737=1,IF(F736=1,1,-1),G737)</f>
        <v>2</v>
      </c>
      <c r="I737" s="53" t="str">
        <f>VLOOKUP(H737,codes,2,)</f>
        <v>ww</v>
      </c>
      <c r="J737" s="53"/>
    </row>
    <row r="738" spans="1:10" x14ac:dyDescent="0.25">
      <c r="A738" s="93">
        <v>42828</v>
      </c>
      <c r="B738" s="35">
        <f>C738+(D738-2009)*12</f>
        <v>100</v>
      </c>
      <c r="C738" s="76">
        <v>4</v>
      </c>
      <c r="D738" s="76">
        <v>2017</v>
      </c>
      <c r="E738" s="56">
        <v>0</v>
      </c>
      <c r="F738" s="53">
        <f>IF(E738&gt;0,1,0)</f>
        <v>0</v>
      </c>
      <c r="G738" s="53">
        <f>SUM(F737:F738)</f>
        <v>1</v>
      </c>
      <c r="H738" s="53">
        <f>IF(G738=1,IF(F737=1,1,-1),G738)</f>
        <v>1</v>
      </c>
      <c r="I738" s="53" t="str">
        <f>VLOOKUP(H738,codes,2,)</f>
        <v>wd</v>
      </c>
      <c r="J738" s="53"/>
    </row>
    <row r="739" spans="1:10" x14ac:dyDescent="0.25">
      <c r="A739" s="93">
        <v>42829</v>
      </c>
      <c r="B739" s="35">
        <f>C739+(D739-2009)*12</f>
        <v>100</v>
      </c>
      <c r="C739" s="76">
        <v>4</v>
      </c>
      <c r="D739" s="76">
        <v>2017</v>
      </c>
      <c r="E739" s="56">
        <v>0.46666666666666662</v>
      </c>
      <c r="F739" s="53">
        <f>IF(E739&gt;0,1,0)</f>
        <v>1</v>
      </c>
      <c r="G739" s="53">
        <f>SUM(F738:F739)</f>
        <v>1</v>
      </c>
      <c r="H739" s="53">
        <f>IF(G739=1,IF(F738=1,1,-1),G739)</f>
        <v>-1</v>
      </c>
      <c r="I739" s="53" t="str">
        <f>VLOOKUP(H739,codes,2,)</f>
        <v>dw</v>
      </c>
      <c r="J739" s="53"/>
    </row>
    <row r="740" spans="1:10" x14ac:dyDescent="0.25">
      <c r="A740" s="93">
        <v>42830</v>
      </c>
      <c r="B740" s="35">
        <f>C740+(D740-2009)*12</f>
        <v>100</v>
      </c>
      <c r="C740" s="76">
        <v>4</v>
      </c>
      <c r="D740" s="76">
        <v>2017</v>
      </c>
      <c r="E740" s="56">
        <v>0</v>
      </c>
      <c r="F740" s="53">
        <f>IF(E740&gt;0,1,0)</f>
        <v>0</v>
      </c>
      <c r="G740" s="53">
        <f>SUM(F739:F740)</f>
        <v>1</v>
      </c>
      <c r="H740" s="53">
        <f>IF(G740=1,IF(F739=1,1,-1),G740)</f>
        <v>1</v>
      </c>
      <c r="I740" s="53" t="str">
        <f>VLOOKUP(H740,codes,2,)</f>
        <v>wd</v>
      </c>
      <c r="J740" s="53"/>
    </row>
    <row r="741" spans="1:10" x14ac:dyDescent="0.25">
      <c r="A741" s="93">
        <v>42831</v>
      </c>
      <c r="B741" s="35">
        <f>C741+(D741-2009)*12</f>
        <v>100</v>
      </c>
      <c r="C741" s="76">
        <v>4</v>
      </c>
      <c r="D741" s="76">
        <v>2017</v>
      </c>
      <c r="E741" s="56">
        <v>0</v>
      </c>
      <c r="F741" s="53">
        <f>IF(E741&gt;0,1,0)</f>
        <v>0</v>
      </c>
      <c r="G741" s="53">
        <f>SUM(F740:F741)</f>
        <v>0</v>
      </c>
      <c r="H741" s="53">
        <f>IF(G741=1,IF(F740=1,1,-1),G741)</f>
        <v>0</v>
      </c>
      <c r="I741" s="53" t="str">
        <f>VLOOKUP(H741,codes,2,)</f>
        <v>dd</v>
      </c>
      <c r="J741" s="53"/>
    </row>
    <row r="742" spans="1:10" x14ac:dyDescent="0.25">
      <c r="A742" s="93">
        <v>42832</v>
      </c>
      <c r="B742" s="35">
        <f>C742+(D742-2009)*12</f>
        <v>100</v>
      </c>
      <c r="C742" s="76">
        <v>4</v>
      </c>
      <c r="D742" s="76">
        <v>2017</v>
      </c>
      <c r="E742" s="56">
        <v>0</v>
      </c>
      <c r="F742" s="53">
        <f>IF(E742&gt;0,1,0)</f>
        <v>0</v>
      </c>
      <c r="G742" s="53">
        <f>SUM(F741:F742)</f>
        <v>0</v>
      </c>
      <c r="H742" s="53">
        <f>IF(G742=1,IF(F741=1,1,-1),G742)</f>
        <v>0</v>
      </c>
      <c r="I742" s="53" t="str">
        <f>VLOOKUP(H742,codes,2,)</f>
        <v>dd</v>
      </c>
      <c r="J742" s="53"/>
    </row>
    <row r="743" spans="1:10" x14ac:dyDescent="0.25">
      <c r="A743" s="93">
        <v>42833</v>
      </c>
      <c r="B743" s="35">
        <f>C743+(D743-2009)*12</f>
        <v>100</v>
      </c>
      <c r="C743" s="76">
        <v>4</v>
      </c>
      <c r="D743" s="76">
        <v>2017</v>
      </c>
      <c r="E743" s="56">
        <v>0</v>
      </c>
      <c r="F743" s="53">
        <f>IF(E743&gt;0,1,0)</f>
        <v>0</v>
      </c>
      <c r="G743" s="53">
        <f>SUM(F742:F743)</f>
        <v>0</v>
      </c>
      <c r="H743" s="53">
        <f>IF(G743=1,IF(F742=1,1,-1),G743)</f>
        <v>0</v>
      </c>
      <c r="I743" s="53" t="str">
        <f>VLOOKUP(H743,codes,2,)</f>
        <v>dd</v>
      </c>
      <c r="J743" s="53"/>
    </row>
    <row r="744" spans="1:10" x14ac:dyDescent="0.25">
      <c r="A744" s="93">
        <v>42834</v>
      </c>
      <c r="B744" s="35">
        <f>C744+(D744-2009)*12</f>
        <v>100</v>
      </c>
      <c r="C744" s="76">
        <v>4</v>
      </c>
      <c r="D744" s="76">
        <v>2017</v>
      </c>
      <c r="E744" s="56">
        <v>0</v>
      </c>
      <c r="F744" s="53">
        <f>IF(E744&gt;0,1,0)</f>
        <v>0</v>
      </c>
      <c r="G744" s="53">
        <f>SUM(F743:F744)</f>
        <v>0</v>
      </c>
      <c r="H744" s="53">
        <f>IF(G744=1,IF(F743=1,1,-1),G744)</f>
        <v>0</v>
      </c>
      <c r="I744" s="53" t="str">
        <f>VLOOKUP(H744,codes,2,)</f>
        <v>dd</v>
      </c>
      <c r="J744" s="53"/>
    </row>
    <row r="745" spans="1:10" x14ac:dyDescent="0.25">
      <c r="A745" s="93">
        <v>42835</v>
      </c>
      <c r="B745" s="35">
        <f>C745+(D745-2009)*12</f>
        <v>100</v>
      </c>
      <c r="C745" s="76">
        <v>4</v>
      </c>
      <c r="D745" s="76">
        <v>2017</v>
      </c>
      <c r="E745" s="56">
        <v>0</v>
      </c>
      <c r="F745" s="53">
        <f>IF(E745&gt;0,1,0)</f>
        <v>0</v>
      </c>
      <c r="G745" s="53">
        <f>SUM(F744:F745)</f>
        <v>0</v>
      </c>
      <c r="H745" s="53">
        <f>IF(G745=1,IF(F744=1,1,-1),G745)</f>
        <v>0</v>
      </c>
      <c r="I745" s="53" t="str">
        <f>VLOOKUP(H745,codes,2,)</f>
        <v>dd</v>
      </c>
      <c r="J745" s="53"/>
    </row>
    <row r="746" spans="1:10" x14ac:dyDescent="0.25">
      <c r="A746" s="93">
        <v>42836</v>
      </c>
      <c r="B746" s="35">
        <f>C746+(D746-2009)*12</f>
        <v>100</v>
      </c>
      <c r="C746" s="76">
        <v>4</v>
      </c>
      <c r="D746" s="76">
        <v>2017</v>
      </c>
      <c r="E746" s="56">
        <v>0.13333333333333333</v>
      </c>
      <c r="F746" s="53">
        <f>IF(E746&gt;0,1,0)</f>
        <v>1</v>
      </c>
      <c r="G746" s="53">
        <f>SUM(F745:F746)</f>
        <v>1</v>
      </c>
      <c r="H746" s="53">
        <f>IF(G746=1,IF(F745=1,1,-1),G746)</f>
        <v>-1</v>
      </c>
      <c r="I746" s="53" t="str">
        <f>VLOOKUP(H746,codes,2,)</f>
        <v>dw</v>
      </c>
      <c r="J746" s="53"/>
    </row>
    <row r="747" spans="1:10" x14ac:dyDescent="0.25">
      <c r="A747" s="93">
        <v>42837</v>
      </c>
      <c r="B747" s="35">
        <f>C747+(D747-2009)*12</f>
        <v>100</v>
      </c>
      <c r="C747" s="76">
        <v>4</v>
      </c>
      <c r="D747" s="76">
        <v>2017</v>
      </c>
      <c r="E747" s="56">
        <v>0</v>
      </c>
      <c r="F747" s="53">
        <f>IF(E747&gt;0,1,0)</f>
        <v>0</v>
      </c>
      <c r="G747" s="53">
        <f>SUM(F746:F747)</f>
        <v>1</v>
      </c>
      <c r="H747" s="53">
        <f>IF(G747=1,IF(F746=1,1,-1),G747)</f>
        <v>1</v>
      </c>
      <c r="I747" s="53" t="str">
        <f>VLOOKUP(H747,codes,2,)</f>
        <v>wd</v>
      </c>
      <c r="J747" s="53"/>
    </row>
    <row r="748" spans="1:10" x14ac:dyDescent="0.25">
      <c r="A748" s="93">
        <v>42838</v>
      </c>
      <c r="B748" s="35">
        <f>C748+(D748-2009)*12</f>
        <v>100</v>
      </c>
      <c r="C748" s="76">
        <v>4</v>
      </c>
      <c r="D748" s="76">
        <v>2017</v>
      </c>
      <c r="E748" s="56">
        <v>0</v>
      </c>
      <c r="F748" s="53">
        <f>IF(E748&gt;0,1,0)</f>
        <v>0</v>
      </c>
      <c r="G748" s="53">
        <f>SUM(F747:F748)</f>
        <v>0</v>
      </c>
      <c r="H748" s="53">
        <f>IF(G748=1,IF(F747=1,1,-1),G748)</f>
        <v>0</v>
      </c>
      <c r="I748" s="53" t="str">
        <f>VLOOKUP(H748,codes,2,)</f>
        <v>dd</v>
      </c>
      <c r="J748" s="53"/>
    </row>
    <row r="749" spans="1:10" x14ac:dyDescent="0.25">
      <c r="A749" s="93">
        <v>42839</v>
      </c>
      <c r="B749" s="35">
        <f>C749+(D749-2009)*12</f>
        <v>100</v>
      </c>
      <c r="C749" s="76">
        <v>4</v>
      </c>
      <c r="D749" s="76">
        <v>2017</v>
      </c>
      <c r="E749" s="56">
        <v>6.6666666666666666E-2</v>
      </c>
      <c r="F749" s="53">
        <f>IF(E749&gt;0,1,0)</f>
        <v>1</v>
      </c>
      <c r="G749" s="53">
        <f>SUM(F748:F749)</f>
        <v>1</v>
      </c>
      <c r="H749" s="53">
        <f>IF(G749=1,IF(F748=1,1,-1),G749)</f>
        <v>-1</v>
      </c>
      <c r="I749" s="53" t="str">
        <f>VLOOKUP(H749,codes,2,)</f>
        <v>dw</v>
      </c>
      <c r="J749" s="53"/>
    </row>
    <row r="750" spans="1:10" x14ac:dyDescent="0.25">
      <c r="A750" s="93">
        <v>42840</v>
      </c>
      <c r="B750" s="35">
        <f>C750+(D750-2009)*12</f>
        <v>100</v>
      </c>
      <c r="C750" s="76">
        <v>4</v>
      </c>
      <c r="D750" s="76">
        <v>2017</v>
      </c>
      <c r="E750" s="56">
        <v>0.6</v>
      </c>
      <c r="F750" s="53">
        <f>IF(E750&gt;0,1,0)</f>
        <v>1</v>
      </c>
      <c r="G750" s="53">
        <f>SUM(F749:F750)</f>
        <v>2</v>
      </c>
      <c r="H750" s="53">
        <f>IF(G750=1,IF(F749=1,1,-1),G750)</f>
        <v>2</v>
      </c>
      <c r="I750" s="53" t="str">
        <f>VLOOKUP(H750,codes,2,)</f>
        <v>ww</v>
      </c>
      <c r="J750" s="53"/>
    </row>
    <row r="751" spans="1:10" x14ac:dyDescent="0.25">
      <c r="A751" s="93">
        <v>42841</v>
      </c>
      <c r="B751" s="35">
        <f>C751+(D751-2009)*12</f>
        <v>100</v>
      </c>
      <c r="C751" s="76">
        <v>4</v>
      </c>
      <c r="D751" s="76">
        <v>2017</v>
      </c>
      <c r="E751" s="56">
        <v>0</v>
      </c>
      <c r="F751" s="53">
        <f>IF(E751&gt;0,1,0)</f>
        <v>0</v>
      </c>
      <c r="G751" s="53">
        <f>SUM(F750:F751)</f>
        <v>1</v>
      </c>
      <c r="H751" s="53">
        <f>IF(G751=1,IF(F750=1,1,-1),G751)</f>
        <v>1</v>
      </c>
      <c r="I751" s="53" t="str">
        <f>VLOOKUP(H751,codes,2,)</f>
        <v>wd</v>
      </c>
      <c r="J751" s="53"/>
    </row>
    <row r="752" spans="1:10" x14ac:dyDescent="0.25">
      <c r="A752" s="93">
        <v>42842</v>
      </c>
      <c r="B752" s="35">
        <f>C752+(D752-2009)*12</f>
        <v>100</v>
      </c>
      <c r="C752" s="76">
        <v>4</v>
      </c>
      <c r="D752" s="76">
        <v>2017</v>
      </c>
      <c r="E752" s="56">
        <v>4.0666666666666673</v>
      </c>
      <c r="F752" s="53">
        <f>IF(E752&gt;0,1,0)</f>
        <v>1</v>
      </c>
      <c r="G752" s="53">
        <f>SUM(F751:F752)</f>
        <v>1</v>
      </c>
      <c r="H752" s="53">
        <f>IF(G752=1,IF(F751=1,1,-1),G752)</f>
        <v>-1</v>
      </c>
      <c r="I752" s="53" t="str">
        <f>VLOOKUP(H752,codes,2,)</f>
        <v>dw</v>
      </c>
      <c r="J752" s="53"/>
    </row>
    <row r="753" spans="1:10" x14ac:dyDescent="0.25">
      <c r="A753" s="93">
        <v>42843</v>
      </c>
      <c r="B753" s="35">
        <f>C753+(D753-2009)*12</f>
        <v>100</v>
      </c>
      <c r="C753" s="76">
        <v>4</v>
      </c>
      <c r="D753" s="76">
        <v>2017</v>
      </c>
      <c r="E753" s="56">
        <v>0.79999999999999993</v>
      </c>
      <c r="F753" s="53">
        <f>IF(E753&gt;0,1,0)</f>
        <v>1</v>
      </c>
      <c r="G753" s="53">
        <f>SUM(F752:F753)</f>
        <v>2</v>
      </c>
      <c r="H753" s="53">
        <f>IF(G753=1,IF(F752=1,1,-1),G753)</f>
        <v>2</v>
      </c>
      <c r="I753" s="53" t="str">
        <f>VLOOKUP(H753,codes,2,)</f>
        <v>ww</v>
      </c>
      <c r="J753" s="53"/>
    </row>
    <row r="754" spans="1:10" x14ac:dyDescent="0.25">
      <c r="A754" s="93">
        <v>42844</v>
      </c>
      <c r="B754" s="35">
        <f>C754+(D754-2009)*12</f>
        <v>100</v>
      </c>
      <c r="C754" s="76">
        <v>4</v>
      </c>
      <c r="D754" s="76">
        <v>2017</v>
      </c>
      <c r="E754" s="56">
        <v>0</v>
      </c>
      <c r="F754" s="53">
        <f>IF(E754&gt;0,1,0)</f>
        <v>0</v>
      </c>
      <c r="G754" s="53">
        <f>SUM(F753:F754)</f>
        <v>1</v>
      </c>
      <c r="H754" s="53">
        <f>IF(G754=1,IF(F753=1,1,-1),G754)</f>
        <v>1</v>
      </c>
      <c r="I754" s="53" t="str">
        <f>VLOOKUP(H754,codes,2,)</f>
        <v>wd</v>
      </c>
      <c r="J754" s="53"/>
    </row>
    <row r="755" spans="1:10" x14ac:dyDescent="0.25">
      <c r="A755" s="93">
        <v>42845</v>
      </c>
      <c r="B755" s="35">
        <f>C755+(D755-2009)*12</f>
        <v>100</v>
      </c>
      <c r="C755" s="76">
        <v>4</v>
      </c>
      <c r="D755" s="76">
        <v>2017</v>
      </c>
      <c r="E755" s="56">
        <v>0</v>
      </c>
      <c r="F755" s="53">
        <f>IF(E755&gt;0,1,0)</f>
        <v>0</v>
      </c>
      <c r="G755" s="53">
        <f>SUM(F754:F755)</f>
        <v>0</v>
      </c>
      <c r="H755" s="53">
        <f>IF(G755=1,IF(F754=1,1,-1),G755)</f>
        <v>0</v>
      </c>
      <c r="I755" s="53" t="str">
        <f>VLOOKUP(H755,codes,2,)</f>
        <v>dd</v>
      </c>
      <c r="J755" s="53"/>
    </row>
    <row r="756" spans="1:10" x14ac:dyDescent="0.25">
      <c r="A756" s="93">
        <v>42846</v>
      </c>
      <c r="B756" s="35">
        <f>C756+(D756-2009)*12</f>
        <v>100</v>
      </c>
      <c r="C756" s="76">
        <v>4</v>
      </c>
      <c r="D756" s="76">
        <v>2017</v>
      </c>
      <c r="E756" s="56">
        <v>0</v>
      </c>
      <c r="F756" s="53">
        <f>IF(E756&gt;0,1,0)</f>
        <v>0</v>
      </c>
      <c r="G756" s="53">
        <f>SUM(F755:F756)</f>
        <v>0</v>
      </c>
      <c r="H756" s="53">
        <f>IF(G756=1,IF(F755=1,1,-1),G756)</f>
        <v>0</v>
      </c>
      <c r="I756" s="53" t="str">
        <f>VLOOKUP(H756,codes,2,)</f>
        <v>dd</v>
      </c>
      <c r="J756" s="53"/>
    </row>
    <row r="757" spans="1:10" x14ac:dyDescent="0.25">
      <c r="A757" s="93">
        <v>42847</v>
      </c>
      <c r="B757" s="35">
        <f>C757+(D757-2009)*12</f>
        <v>100</v>
      </c>
      <c r="C757" s="76">
        <v>4</v>
      </c>
      <c r="D757" s="76">
        <v>2017</v>
      </c>
      <c r="E757" s="56">
        <v>3.2000000000000006</v>
      </c>
      <c r="F757" s="53">
        <f>IF(E757&gt;0,1,0)</f>
        <v>1</v>
      </c>
      <c r="G757" s="53">
        <f>SUM(F756:F757)</f>
        <v>1</v>
      </c>
      <c r="H757" s="53">
        <f>IF(G757=1,IF(F756=1,1,-1),G757)</f>
        <v>-1</v>
      </c>
      <c r="I757" s="53" t="str">
        <f>VLOOKUP(H757,codes,2,)</f>
        <v>dw</v>
      </c>
      <c r="J757" s="53"/>
    </row>
    <row r="758" spans="1:10" x14ac:dyDescent="0.25">
      <c r="A758" s="93">
        <v>42848</v>
      </c>
      <c r="B758" s="35">
        <f>C758+(D758-2009)*12</f>
        <v>100</v>
      </c>
      <c r="C758" s="76">
        <v>4</v>
      </c>
      <c r="D758" s="76">
        <v>2017</v>
      </c>
      <c r="E758" s="56">
        <v>0</v>
      </c>
      <c r="F758" s="53">
        <f>IF(E758&gt;0,1,0)</f>
        <v>0</v>
      </c>
      <c r="G758" s="53">
        <f>SUM(F757:F758)</f>
        <v>1</v>
      </c>
      <c r="H758" s="53">
        <f>IF(G758=1,IF(F757=1,1,-1),G758)</f>
        <v>1</v>
      </c>
      <c r="I758" s="53" t="str">
        <f>VLOOKUP(H758,codes,2,)</f>
        <v>wd</v>
      </c>
      <c r="J758" s="53"/>
    </row>
    <row r="759" spans="1:10" x14ac:dyDescent="0.25">
      <c r="A759" s="93">
        <v>42849</v>
      </c>
      <c r="B759" s="35">
        <f>C759+(D759-2009)*12</f>
        <v>100</v>
      </c>
      <c r="C759" s="76">
        <v>4</v>
      </c>
      <c r="D759" s="76">
        <v>2017</v>
      </c>
      <c r="E759" s="56">
        <v>1.8666666666666665</v>
      </c>
      <c r="F759" s="53">
        <f>IF(E759&gt;0,1,0)</f>
        <v>1</v>
      </c>
      <c r="G759" s="53">
        <f>SUM(F758:F759)</f>
        <v>1</v>
      </c>
      <c r="H759" s="53">
        <f>IF(G759=1,IF(F758=1,1,-1),G759)</f>
        <v>-1</v>
      </c>
      <c r="I759" s="53" t="str">
        <f>VLOOKUP(H759,codes,2,)</f>
        <v>dw</v>
      </c>
      <c r="J759" s="53"/>
    </row>
    <row r="760" spans="1:10" x14ac:dyDescent="0.25">
      <c r="A760" s="93">
        <v>42850</v>
      </c>
      <c r="B760" s="35">
        <f>C760+(D760-2009)*12</f>
        <v>100</v>
      </c>
      <c r="C760" s="76">
        <v>4</v>
      </c>
      <c r="D760" s="76">
        <v>2017</v>
      </c>
      <c r="E760" s="56">
        <v>1.2</v>
      </c>
      <c r="F760" s="53">
        <f>IF(E760&gt;0,1,0)</f>
        <v>1</v>
      </c>
      <c r="G760" s="53">
        <f>SUM(F759:F760)</f>
        <v>2</v>
      </c>
      <c r="H760" s="53">
        <f>IF(G760=1,IF(F759=1,1,-1),G760)</f>
        <v>2</v>
      </c>
      <c r="I760" s="53" t="str">
        <f>VLOOKUP(H760,codes,2,)</f>
        <v>ww</v>
      </c>
      <c r="J760" s="53"/>
    </row>
    <row r="761" spans="1:10" x14ac:dyDescent="0.25">
      <c r="A761" s="93">
        <v>42851</v>
      </c>
      <c r="B761" s="35">
        <f>C761+(D761-2009)*12</f>
        <v>100</v>
      </c>
      <c r="C761" s="76">
        <v>4</v>
      </c>
      <c r="D761" s="76">
        <v>2017</v>
      </c>
      <c r="E761" s="56">
        <v>6</v>
      </c>
      <c r="F761" s="53">
        <f>IF(E761&gt;0,1,0)</f>
        <v>1</v>
      </c>
      <c r="G761" s="53">
        <f>SUM(F760:F761)</f>
        <v>2</v>
      </c>
      <c r="H761" s="53">
        <f>IF(G761=1,IF(F760=1,1,-1),G761)</f>
        <v>2</v>
      </c>
      <c r="I761" s="53" t="str">
        <f>VLOOKUP(H761,codes,2,)</f>
        <v>ww</v>
      </c>
      <c r="J761" s="53"/>
    </row>
    <row r="762" spans="1:10" x14ac:dyDescent="0.25">
      <c r="A762" s="93">
        <v>42852</v>
      </c>
      <c r="B762" s="35">
        <f>C762+(D762-2009)*12</f>
        <v>100</v>
      </c>
      <c r="C762" s="76">
        <v>4</v>
      </c>
      <c r="D762" s="76">
        <v>2017</v>
      </c>
      <c r="E762" s="56">
        <v>0.46666666666666662</v>
      </c>
      <c r="F762" s="53">
        <f>IF(E762&gt;0,1,0)</f>
        <v>1</v>
      </c>
      <c r="G762" s="53">
        <f>SUM(F761:F762)</f>
        <v>2</v>
      </c>
      <c r="H762" s="53">
        <f>IF(G762=1,IF(F761=1,1,-1),G762)</f>
        <v>2</v>
      </c>
      <c r="I762" s="53" t="str">
        <f>VLOOKUP(H762,codes,2,)</f>
        <v>ww</v>
      </c>
      <c r="J762" s="53"/>
    </row>
    <row r="763" spans="1:10" x14ac:dyDescent="0.25">
      <c r="A763" s="93">
        <v>42853</v>
      </c>
      <c r="B763" s="35">
        <f>C763+(D763-2009)*12</f>
        <v>100</v>
      </c>
      <c r="C763" s="76">
        <v>4</v>
      </c>
      <c r="D763" s="76">
        <v>2017</v>
      </c>
      <c r="E763" s="56">
        <v>0.73333333333333339</v>
      </c>
      <c r="F763" s="53">
        <f>IF(E763&gt;0,1,0)</f>
        <v>1</v>
      </c>
      <c r="G763" s="53">
        <f>SUM(F762:F763)</f>
        <v>2</v>
      </c>
      <c r="H763" s="53">
        <f>IF(G763=1,IF(F762=1,1,-1),G763)</f>
        <v>2</v>
      </c>
      <c r="I763" s="53" t="str">
        <f>VLOOKUP(H763,codes,2,)</f>
        <v>ww</v>
      </c>
      <c r="J763" s="53"/>
    </row>
    <row r="764" spans="1:10" x14ac:dyDescent="0.25">
      <c r="A764" s="93">
        <v>42854</v>
      </c>
      <c r="B764" s="35">
        <f>C764+(D764-2009)*12</f>
        <v>100</v>
      </c>
      <c r="C764" s="76">
        <v>4</v>
      </c>
      <c r="D764" s="76">
        <v>2017</v>
      </c>
      <c r="E764" s="56">
        <v>0</v>
      </c>
      <c r="F764" s="53">
        <f>IF(E764&gt;0,1,0)</f>
        <v>0</v>
      </c>
      <c r="G764" s="53">
        <f>SUM(F763:F764)</f>
        <v>1</v>
      </c>
      <c r="H764" s="53">
        <f>IF(G764=1,IF(F763=1,1,-1),G764)</f>
        <v>1</v>
      </c>
      <c r="I764" s="53" t="str">
        <f>VLOOKUP(H764,codes,2,)</f>
        <v>wd</v>
      </c>
      <c r="J764" s="53"/>
    </row>
    <row r="765" spans="1:10" x14ac:dyDescent="0.25">
      <c r="A765" s="93">
        <v>42855</v>
      </c>
      <c r="B765" s="35">
        <f>C765+(D765-2009)*12</f>
        <v>100</v>
      </c>
      <c r="C765" s="76">
        <v>4</v>
      </c>
      <c r="D765" s="76">
        <v>2017</v>
      </c>
      <c r="E765" s="56">
        <v>0</v>
      </c>
      <c r="F765" s="53">
        <f>IF(E765&gt;0,1,0)</f>
        <v>0</v>
      </c>
      <c r="G765" s="53">
        <f>SUM(F764:F765)</f>
        <v>0</v>
      </c>
      <c r="H765" s="53">
        <f>IF(G765=1,IF(F764=1,1,-1),G765)</f>
        <v>0</v>
      </c>
      <c r="I765" s="53" t="str">
        <f>VLOOKUP(H765,codes,2,)</f>
        <v>dd</v>
      </c>
      <c r="J765" s="53"/>
    </row>
    <row r="766" spans="1:10" x14ac:dyDescent="0.25">
      <c r="A766" s="93">
        <v>42856</v>
      </c>
      <c r="B766" s="35">
        <f>C766+(D766-2009)*12</f>
        <v>100</v>
      </c>
      <c r="C766" s="76">
        <v>4</v>
      </c>
      <c r="D766" s="76">
        <v>2017</v>
      </c>
      <c r="E766" s="56">
        <v>0</v>
      </c>
      <c r="F766" s="53">
        <f>IF(E766&gt;0,1,0)</f>
        <v>0</v>
      </c>
      <c r="G766" s="53">
        <f>SUM(F765:F766)</f>
        <v>0</v>
      </c>
      <c r="H766" s="53">
        <f>IF(G766=1,IF(F765=1,1,-1),G766)</f>
        <v>0</v>
      </c>
      <c r="I766" s="53" t="str">
        <f>VLOOKUP(H766,codes,2,)</f>
        <v>dd</v>
      </c>
      <c r="J766" s="53"/>
    </row>
    <row r="767" spans="1:10" x14ac:dyDescent="0.25">
      <c r="A767" s="93">
        <v>42857</v>
      </c>
      <c r="B767" s="35">
        <f>C767+(D767-2009)*12</f>
        <v>100</v>
      </c>
      <c r="C767" s="76">
        <v>4</v>
      </c>
      <c r="D767" s="76">
        <v>2017</v>
      </c>
      <c r="E767" s="56">
        <v>0</v>
      </c>
      <c r="F767" s="53">
        <f>IF(E767&gt;0,1,0)</f>
        <v>0</v>
      </c>
      <c r="G767" s="53">
        <f>SUM(F766:F767)</f>
        <v>0</v>
      </c>
      <c r="H767" s="53">
        <f>IF(G767=1,IF(F766=1,1,-1),G767)</f>
        <v>0</v>
      </c>
      <c r="I767" s="53" t="str">
        <f>VLOOKUP(H767,codes,2,)</f>
        <v>dd</v>
      </c>
      <c r="J767" s="53"/>
    </row>
    <row r="768" spans="1:10" x14ac:dyDescent="0.25">
      <c r="A768" s="93">
        <v>43194</v>
      </c>
      <c r="B768" s="35">
        <f>C768+(D768-2009)*12</f>
        <v>112</v>
      </c>
      <c r="C768" s="76">
        <v>4</v>
      </c>
      <c r="D768" s="76">
        <v>2018</v>
      </c>
      <c r="E768" s="56">
        <v>4</v>
      </c>
      <c r="F768" s="53">
        <f>IF(E768&gt;0,1,0)</f>
        <v>1</v>
      </c>
      <c r="G768" s="53">
        <f>SUM(F767:F768)</f>
        <v>1</v>
      </c>
      <c r="H768" s="53">
        <f>IF(G768=1,IF(F767=1,1,-1),G768)</f>
        <v>-1</v>
      </c>
      <c r="I768" s="53" t="str">
        <f>VLOOKUP(H768,codes,2,)</f>
        <v>dw</v>
      </c>
      <c r="J768" s="53"/>
    </row>
    <row r="769" spans="1:10" x14ac:dyDescent="0.25">
      <c r="A769" s="93">
        <v>43195</v>
      </c>
      <c r="B769" s="35">
        <f>C769+(D769-2009)*12</f>
        <v>112</v>
      </c>
      <c r="C769" s="76">
        <v>4</v>
      </c>
      <c r="D769" s="76">
        <v>2018</v>
      </c>
      <c r="E769" s="56">
        <v>14</v>
      </c>
      <c r="F769" s="53">
        <f>IF(E769&gt;0,1,0)</f>
        <v>1</v>
      </c>
      <c r="G769" s="53">
        <f>SUM(F768:F769)</f>
        <v>2</v>
      </c>
      <c r="H769" s="53">
        <f>IF(G769=1,IF(F768=1,1,-1),G769)</f>
        <v>2</v>
      </c>
      <c r="I769" s="53" t="str">
        <f>VLOOKUP(H769,codes,2,)</f>
        <v>ww</v>
      </c>
      <c r="J769" s="53"/>
    </row>
    <row r="770" spans="1:10" x14ac:dyDescent="0.25">
      <c r="A770" s="93">
        <v>43196</v>
      </c>
      <c r="B770" s="35">
        <f>C770+(D770-2009)*12</f>
        <v>112</v>
      </c>
      <c r="C770" s="76">
        <v>4</v>
      </c>
      <c r="D770" s="76">
        <v>2018</v>
      </c>
      <c r="E770" s="56">
        <v>6.6666666666666666E-2</v>
      </c>
      <c r="F770" s="53">
        <f>IF(E770&gt;0,1,0)</f>
        <v>1</v>
      </c>
      <c r="G770" s="53">
        <f>SUM(F769:F770)</f>
        <v>2</v>
      </c>
      <c r="H770" s="53">
        <f>IF(G770=1,IF(F769=1,1,-1),G770)</f>
        <v>2</v>
      </c>
      <c r="I770" s="53" t="str">
        <f>VLOOKUP(H770,codes,2,)</f>
        <v>ww</v>
      </c>
      <c r="J770" s="53"/>
    </row>
    <row r="771" spans="1:10" x14ac:dyDescent="0.25">
      <c r="A771" s="93">
        <v>43197</v>
      </c>
      <c r="B771" s="35">
        <f>C771+(D771-2009)*12</f>
        <v>112</v>
      </c>
      <c r="C771" s="76">
        <v>4</v>
      </c>
      <c r="D771" s="76">
        <v>2018</v>
      </c>
      <c r="E771" s="56">
        <v>0</v>
      </c>
      <c r="F771" s="53">
        <f>IF(E771&gt;0,1,0)</f>
        <v>0</v>
      </c>
      <c r="G771" s="53">
        <f>SUM(F770:F771)</f>
        <v>1</v>
      </c>
      <c r="H771" s="53">
        <f>IF(G771=1,IF(F770=1,1,-1),G771)</f>
        <v>1</v>
      </c>
      <c r="I771" s="53" t="str">
        <f>VLOOKUP(H771,codes,2,)</f>
        <v>wd</v>
      </c>
      <c r="J771" s="53"/>
    </row>
    <row r="772" spans="1:10" x14ac:dyDescent="0.25">
      <c r="A772" s="93">
        <v>43198</v>
      </c>
      <c r="B772" s="35">
        <f>C772+(D772-2009)*12</f>
        <v>112</v>
      </c>
      <c r="C772" s="76">
        <v>4</v>
      </c>
      <c r="D772" s="76">
        <v>2018</v>
      </c>
      <c r="E772" s="56">
        <v>3.6666666666666665</v>
      </c>
      <c r="F772" s="53">
        <f>IF(E772&gt;0,1,0)</f>
        <v>1</v>
      </c>
      <c r="G772" s="53">
        <f>SUM(F771:F772)</f>
        <v>1</v>
      </c>
      <c r="H772" s="53">
        <f>IF(G772=1,IF(F771=1,1,-1),G772)</f>
        <v>-1</v>
      </c>
      <c r="I772" s="53" t="str">
        <f>VLOOKUP(H772,codes,2,)</f>
        <v>dw</v>
      </c>
      <c r="J772" s="53"/>
    </row>
    <row r="773" spans="1:10" x14ac:dyDescent="0.25">
      <c r="A773" s="93">
        <v>43199</v>
      </c>
      <c r="B773" s="35">
        <f>C773+(D773-2009)*12</f>
        <v>112</v>
      </c>
      <c r="C773" s="76">
        <v>4</v>
      </c>
      <c r="D773" s="76">
        <v>2018</v>
      </c>
      <c r="E773" s="56">
        <v>0</v>
      </c>
      <c r="F773" s="53">
        <f>IF(E773&gt;0,1,0)</f>
        <v>0</v>
      </c>
      <c r="G773" s="53">
        <f>SUM(F772:F773)</f>
        <v>1</v>
      </c>
      <c r="H773" s="53">
        <f>IF(G773=1,IF(F772=1,1,-1),G773)</f>
        <v>1</v>
      </c>
      <c r="I773" s="53" t="str">
        <f>VLOOKUP(H773,codes,2,)</f>
        <v>wd</v>
      </c>
      <c r="J773" s="53"/>
    </row>
    <row r="774" spans="1:10" x14ac:dyDescent="0.25">
      <c r="A774" s="93">
        <v>43200</v>
      </c>
      <c r="B774" s="35">
        <f>C774+(D774-2009)*12</f>
        <v>112</v>
      </c>
      <c r="C774" s="76">
        <v>4</v>
      </c>
      <c r="D774" s="76">
        <v>2018</v>
      </c>
      <c r="E774" s="56">
        <v>11.066666666666668</v>
      </c>
      <c r="F774" s="53">
        <f>IF(E774&gt;0,1,0)</f>
        <v>1</v>
      </c>
      <c r="G774" s="53">
        <f>SUM(F773:F774)</f>
        <v>1</v>
      </c>
      <c r="H774" s="53">
        <f>IF(G774=1,IF(F773=1,1,-1),G774)</f>
        <v>-1</v>
      </c>
      <c r="I774" s="53" t="str">
        <f>VLOOKUP(H774,codes,2,)</f>
        <v>dw</v>
      </c>
      <c r="J774" s="53"/>
    </row>
    <row r="775" spans="1:10" x14ac:dyDescent="0.25">
      <c r="A775" s="93">
        <v>43201</v>
      </c>
      <c r="B775" s="35">
        <f>C775+(D775-2009)*12</f>
        <v>112</v>
      </c>
      <c r="C775" s="76">
        <v>4</v>
      </c>
      <c r="D775" s="76">
        <v>2018</v>
      </c>
      <c r="E775" s="56">
        <v>7.666666666666667</v>
      </c>
      <c r="F775" s="53">
        <f>IF(E775&gt;0,1,0)</f>
        <v>1</v>
      </c>
      <c r="G775" s="53">
        <f>SUM(F774:F775)</f>
        <v>2</v>
      </c>
      <c r="H775" s="53">
        <f>IF(G775=1,IF(F774=1,1,-1),G775)</f>
        <v>2</v>
      </c>
      <c r="I775" s="53" t="str">
        <f>VLOOKUP(H775,codes,2,)</f>
        <v>ww</v>
      </c>
      <c r="J775" s="53"/>
    </row>
    <row r="776" spans="1:10" x14ac:dyDescent="0.25">
      <c r="A776" s="93">
        <v>43202</v>
      </c>
      <c r="B776" s="35">
        <f>C776+(D776-2009)*12</f>
        <v>112</v>
      </c>
      <c r="C776" s="76">
        <v>4</v>
      </c>
      <c r="D776" s="76">
        <v>2018</v>
      </c>
      <c r="E776" s="56">
        <v>0</v>
      </c>
      <c r="F776" s="53">
        <f>IF(E776&gt;0,1,0)</f>
        <v>0</v>
      </c>
      <c r="G776" s="53">
        <f>SUM(F775:F776)</f>
        <v>1</v>
      </c>
      <c r="H776" s="53">
        <f>IF(G776=1,IF(F775=1,1,-1),G776)</f>
        <v>1</v>
      </c>
      <c r="I776" s="53" t="str">
        <f>VLOOKUP(H776,codes,2,)</f>
        <v>wd</v>
      </c>
      <c r="J776" s="53"/>
    </row>
    <row r="777" spans="1:10" x14ac:dyDescent="0.25">
      <c r="A777" s="93">
        <v>43203</v>
      </c>
      <c r="B777" s="35">
        <f>C777+(D777-2009)*12</f>
        <v>112</v>
      </c>
      <c r="C777" s="76">
        <v>4</v>
      </c>
      <c r="D777" s="76">
        <v>2018</v>
      </c>
      <c r="E777" s="56">
        <v>4.7333333333333334</v>
      </c>
      <c r="F777" s="53">
        <f>IF(E777&gt;0,1,0)</f>
        <v>1</v>
      </c>
      <c r="G777" s="53">
        <f>SUM(F776:F777)</f>
        <v>1</v>
      </c>
      <c r="H777" s="53">
        <f>IF(G777=1,IF(F776=1,1,-1),G777)</f>
        <v>-1</v>
      </c>
      <c r="I777" s="53" t="str">
        <f>VLOOKUP(H777,codes,2,)</f>
        <v>dw</v>
      </c>
      <c r="J777" s="53"/>
    </row>
    <row r="778" spans="1:10" x14ac:dyDescent="0.25">
      <c r="A778" s="93">
        <v>43204</v>
      </c>
      <c r="B778" s="35">
        <f>C778+(D778-2009)*12</f>
        <v>112</v>
      </c>
      <c r="C778" s="76">
        <v>4</v>
      </c>
      <c r="D778" s="76">
        <v>2018</v>
      </c>
      <c r="E778" s="56">
        <v>0</v>
      </c>
      <c r="F778" s="53">
        <f>IF(E778&gt;0,1,0)</f>
        <v>0</v>
      </c>
      <c r="G778" s="53">
        <f>SUM(F777:F778)</f>
        <v>1</v>
      </c>
      <c r="H778" s="53">
        <f>IF(G778=1,IF(F777=1,1,-1),G778)</f>
        <v>1</v>
      </c>
      <c r="I778" s="53" t="str">
        <f>VLOOKUP(H778,codes,2,)</f>
        <v>wd</v>
      </c>
      <c r="J778" s="53"/>
    </row>
    <row r="779" spans="1:10" x14ac:dyDescent="0.25">
      <c r="A779" s="93">
        <v>43205</v>
      </c>
      <c r="B779" s="35">
        <f>C779+(D779-2009)*12</f>
        <v>112</v>
      </c>
      <c r="C779" s="76">
        <v>4</v>
      </c>
      <c r="D779" s="76">
        <v>2018</v>
      </c>
      <c r="E779" s="56">
        <v>6.6666666666666666E-2</v>
      </c>
      <c r="F779" s="53">
        <f>IF(E779&gt;0,1,0)</f>
        <v>1</v>
      </c>
      <c r="G779" s="53">
        <f>SUM(F778:F779)</f>
        <v>1</v>
      </c>
      <c r="H779" s="53">
        <f>IF(G779=1,IF(F778=1,1,-1),G779)</f>
        <v>-1</v>
      </c>
      <c r="I779" s="53" t="str">
        <f>VLOOKUP(H779,codes,2,)</f>
        <v>dw</v>
      </c>
      <c r="J779" s="53"/>
    </row>
    <row r="780" spans="1:10" x14ac:dyDescent="0.25">
      <c r="A780" s="93">
        <v>43206</v>
      </c>
      <c r="B780" s="35">
        <f>C780+(D780-2009)*12</f>
        <v>112</v>
      </c>
      <c r="C780" s="76">
        <v>4</v>
      </c>
      <c r="D780" s="76">
        <v>2018</v>
      </c>
      <c r="E780" s="56">
        <v>0.86666666666666659</v>
      </c>
      <c r="F780" s="53">
        <f>IF(E780&gt;0,1,0)</f>
        <v>1</v>
      </c>
      <c r="G780" s="53">
        <f>SUM(F779:F780)</f>
        <v>2</v>
      </c>
      <c r="H780" s="53">
        <f>IF(G780=1,IF(F779=1,1,-1),G780)</f>
        <v>2</v>
      </c>
      <c r="I780" s="53" t="str">
        <f>VLOOKUP(H780,codes,2,)</f>
        <v>ww</v>
      </c>
      <c r="J780" s="53"/>
    </row>
    <row r="781" spans="1:10" x14ac:dyDescent="0.25">
      <c r="A781" s="93">
        <v>43207</v>
      </c>
      <c r="B781" s="35">
        <f>C781+(D781-2009)*12</f>
        <v>112</v>
      </c>
      <c r="C781" s="76">
        <v>4</v>
      </c>
      <c r="D781" s="76">
        <v>2018</v>
      </c>
      <c r="E781" s="56">
        <v>0.33333333333333331</v>
      </c>
      <c r="F781" s="53">
        <f>IF(E781&gt;0,1,0)</f>
        <v>1</v>
      </c>
      <c r="G781" s="53">
        <f>SUM(F780:F781)</f>
        <v>2</v>
      </c>
      <c r="H781" s="53">
        <f>IF(G781=1,IF(F780=1,1,-1),G781)</f>
        <v>2</v>
      </c>
      <c r="I781" s="53" t="str">
        <f>VLOOKUP(H781,codes,2,)</f>
        <v>ww</v>
      </c>
      <c r="J781" s="53"/>
    </row>
    <row r="782" spans="1:10" x14ac:dyDescent="0.25">
      <c r="A782" s="93">
        <v>43208</v>
      </c>
      <c r="B782" s="35">
        <f>C782+(D782-2009)*12</f>
        <v>112</v>
      </c>
      <c r="C782" s="76">
        <v>4</v>
      </c>
      <c r="D782" s="76">
        <v>2018</v>
      </c>
      <c r="E782" s="56">
        <v>0</v>
      </c>
      <c r="F782" s="53">
        <f>IF(E782&gt;0,1,0)</f>
        <v>0</v>
      </c>
      <c r="G782" s="53">
        <f>SUM(F781:F782)</f>
        <v>1</v>
      </c>
      <c r="H782" s="53">
        <f>IF(G782=1,IF(F781=1,1,-1),G782)</f>
        <v>1</v>
      </c>
      <c r="I782" s="53" t="str">
        <f>VLOOKUP(H782,codes,2,)</f>
        <v>wd</v>
      </c>
      <c r="J782" s="53"/>
    </row>
    <row r="783" spans="1:10" x14ac:dyDescent="0.25">
      <c r="A783" s="93">
        <v>43209</v>
      </c>
      <c r="B783" s="35">
        <f>C783+(D783-2009)*12</f>
        <v>112</v>
      </c>
      <c r="C783" s="76">
        <v>4</v>
      </c>
      <c r="D783" s="76">
        <v>2018</v>
      </c>
      <c r="E783" s="56">
        <v>0</v>
      </c>
      <c r="F783" s="53">
        <f>IF(E783&gt;0,1,0)</f>
        <v>0</v>
      </c>
      <c r="G783" s="53">
        <f>SUM(F782:F783)</f>
        <v>0</v>
      </c>
      <c r="H783" s="53">
        <f>IF(G783=1,IF(F782=1,1,-1),G783)</f>
        <v>0</v>
      </c>
      <c r="I783" s="53" t="str">
        <f>VLOOKUP(H783,codes,2,)</f>
        <v>dd</v>
      </c>
      <c r="J783" s="53"/>
    </row>
    <row r="784" spans="1:10" x14ac:dyDescent="0.25">
      <c r="A784" s="93">
        <v>43210</v>
      </c>
      <c r="B784" s="35">
        <f>C784+(D784-2009)*12</f>
        <v>112</v>
      </c>
      <c r="C784" s="76">
        <v>4</v>
      </c>
      <c r="D784" s="76">
        <v>2018</v>
      </c>
      <c r="E784" s="56">
        <v>0</v>
      </c>
      <c r="F784" s="53">
        <f>IF(E784&gt;0,1,0)</f>
        <v>0</v>
      </c>
      <c r="G784" s="53">
        <f>SUM(F783:F784)</f>
        <v>0</v>
      </c>
      <c r="H784" s="53">
        <f>IF(G784=1,IF(F783=1,1,-1),G784)</f>
        <v>0</v>
      </c>
      <c r="I784" s="53" t="str">
        <f>VLOOKUP(H784,codes,2,)</f>
        <v>dd</v>
      </c>
      <c r="J784" s="53"/>
    </row>
    <row r="785" spans="1:10" x14ac:dyDescent="0.25">
      <c r="A785" s="93">
        <v>43211</v>
      </c>
      <c r="B785" s="35">
        <f>C785+(D785-2009)*12</f>
        <v>112</v>
      </c>
      <c r="C785" s="76">
        <v>4</v>
      </c>
      <c r="D785" s="76">
        <v>2018</v>
      </c>
      <c r="E785" s="56">
        <v>0</v>
      </c>
      <c r="F785" s="53">
        <f>IF(E785&gt;0,1,0)</f>
        <v>0</v>
      </c>
      <c r="G785" s="53">
        <f>SUM(F784:F785)</f>
        <v>0</v>
      </c>
      <c r="H785" s="53">
        <f>IF(G785=1,IF(F784=1,1,-1),G785)</f>
        <v>0</v>
      </c>
      <c r="I785" s="53" t="str">
        <f>VLOOKUP(H785,codes,2,)</f>
        <v>dd</v>
      </c>
      <c r="J785" s="53"/>
    </row>
    <row r="786" spans="1:10" x14ac:dyDescent="0.25">
      <c r="A786" s="93">
        <v>43212</v>
      </c>
      <c r="B786" s="35">
        <f>C786+(D786-2009)*12</f>
        <v>112</v>
      </c>
      <c r="C786" s="76">
        <v>4</v>
      </c>
      <c r="D786" s="76">
        <v>2018</v>
      </c>
      <c r="E786" s="56">
        <v>0.6</v>
      </c>
      <c r="F786" s="53">
        <f>IF(E786&gt;0,1,0)</f>
        <v>1</v>
      </c>
      <c r="G786" s="53">
        <f>SUM(F785:F786)</f>
        <v>1</v>
      </c>
      <c r="H786" s="53">
        <f>IF(G786=1,IF(F785=1,1,-1),G786)</f>
        <v>-1</v>
      </c>
      <c r="I786" s="53" t="str">
        <f>VLOOKUP(H786,codes,2,)</f>
        <v>dw</v>
      </c>
      <c r="J786" s="53"/>
    </row>
    <row r="787" spans="1:10" x14ac:dyDescent="0.25">
      <c r="A787" s="93">
        <v>43213</v>
      </c>
      <c r="B787" s="35">
        <f>C787+(D787-2009)*12</f>
        <v>112</v>
      </c>
      <c r="C787" s="76">
        <v>4</v>
      </c>
      <c r="D787" s="76">
        <v>2018</v>
      </c>
      <c r="E787" s="56">
        <v>0.73333333333333339</v>
      </c>
      <c r="F787" s="53">
        <f>IF(E787&gt;0,1,0)</f>
        <v>1</v>
      </c>
      <c r="G787" s="53">
        <f>SUM(F786:F787)</f>
        <v>2</v>
      </c>
      <c r="H787" s="53">
        <f>IF(G787=1,IF(F786=1,1,-1),G787)</f>
        <v>2</v>
      </c>
      <c r="I787" s="53" t="str">
        <f>VLOOKUP(H787,codes,2,)</f>
        <v>ww</v>
      </c>
      <c r="J787" s="53"/>
    </row>
    <row r="788" spans="1:10" x14ac:dyDescent="0.25">
      <c r="A788" s="93">
        <v>43214</v>
      </c>
      <c r="B788" s="35">
        <f>C788+(D788-2009)*12</f>
        <v>112</v>
      </c>
      <c r="C788" s="76">
        <v>4</v>
      </c>
      <c r="D788" s="76">
        <v>2018</v>
      </c>
      <c r="E788" s="56">
        <v>6.6666666666666666E-2</v>
      </c>
      <c r="F788" s="53">
        <f>IF(E788&gt;0,1,0)</f>
        <v>1</v>
      </c>
      <c r="G788" s="53">
        <f>SUM(F787:F788)</f>
        <v>2</v>
      </c>
      <c r="H788" s="53">
        <f>IF(G788=1,IF(F787=1,1,-1),G788)</f>
        <v>2</v>
      </c>
      <c r="I788" s="53" t="str">
        <f>VLOOKUP(H788,codes,2,)</f>
        <v>ww</v>
      </c>
      <c r="J788" s="53"/>
    </row>
    <row r="789" spans="1:10" x14ac:dyDescent="0.25">
      <c r="A789" s="93">
        <v>43215</v>
      </c>
      <c r="B789" s="35">
        <f>C789+(D789-2009)*12</f>
        <v>112</v>
      </c>
      <c r="C789" s="76">
        <v>4</v>
      </c>
      <c r="D789" s="76">
        <v>2018</v>
      </c>
      <c r="E789" s="56">
        <v>6.0666666666666664</v>
      </c>
      <c r="F789" s="53">
        <f>IF(E789&gt;0,1,0)</f>
        <v>1</v>
      </c>
      <c r="G789" s="53">
        <f>SUM(F788:F789)</f>
        <v>2</v>
      </c>
      <c r="H789" s="53">
        <f>IF(G789=1,IF(F788=1,1,-1),G789)</f>
        <v>2</v>
      </c>
      <c r="I789" s="53" t="str">
        <f>VLOOKUP(H789,codes,2,)</f>
        <v>ww</v>
      </c>
      <c r="J789" s="53"/>
    </row>
    <row r="790" spans="1:10" x14ac:dyDescent="0.25">
      <c r="A790" s="93">
        <v>43216</v>
      </c>
      <c r="B790" s="35">
        <f>C790+(D790-2009)*12</f>
        <v>112</v>
      </c>
      <c r="C790" s="76">
        <v>4</v>
      </c>
      <c r="D790" s="76">
        <v>2018</v>
      </c>
      <c r="E790" s="56">
        <v>0.13333333333333333</v>
      </c>
      <c r="F790" s="53">
        <f>IF(E790&gt;0,1,0)</f>
        <v>1</v>
      </c>
      <c r="G790" s="53">
        <f>SUM(F789:F790)</f>
        <v>2</v>
      </c>
      <c r="H790" s="53">
        <f>IF(G790=1,IF(F789=1,1,-1),G790)</f>
        <v>2</v>
      </c>
      <c r="I790" s="53" t="str">
        <f>VLOOKUP(H790,codes,2,)</f>
        <v>ww</v>
      </c>
      <c r="J790" s="53"/>
    </row>
    <row r="791" spans="1:10" x14ac:dyDescent="0.25">
      <c r="A791" s="93">
        <v>43217</v>
      </c>
      <c r="B791" s="35">
        <f>C791+(D791-2009)*12</f>
        <v>112</v>
      </c>
      <c r="C791" s="76">
        <v>4</v>
      </c>
      <c r="D791" s="76">
        <v>2018</v>
      </c>
      <c r="E791" s="56">
        <v>0</v>
      </c>
      <c r="F791" s="53">
        <f>IF(E791&gt;0,1,0)</f>
        <v>0</v>
      </c>
      <c r="G791" s="53">
        <f>SUM(F790:F791)</f>
        <v>1</v>
      </c>
      <c r="H791" s="53">
        <f>IF(G791=1,IF(F790=1,1,-1),G791)</f>
        <v>1</v>
      </c>
      <c r="I791" s="53" t="str">
        <f>VLOOKUP(H791,codes,2,)</f>
        <v>wd</v>
      </c>
      <c r="J791" s="53"/>
    </row>
    <row r="792" spans="1:10" x14ac:dyDescent="0.25">
      <c r="A792" s="93">
        <v>43218</v>
      </c>
      <c r="B792" s="35">
        <f>C792+(D792-2009)*12</f>
        <v>112</v>
      </c>
      <c r="C792" s="76">
        <v>4</v>
      </c>
      <c r="D792" s="76">
        <v>2018</v>
      </c>
      <c r="E792" s="56">
        <v>0</v>
      </c>
      <c r="F792" s="53">
        <f>IF(E792&gt;0,1,0)</f>
        <v>0</v>
      </c>
      <c r="G792" s="53">
        <f>SUM(F791:F792)</f>
        <v>0</v>
      </c>
      <c r="H792" s="53">
        <f>IF(G792=1,IF(F791=1,1,-1),G792)</f>
        <v>0</v>
      </c>
      <c r="I792" s="53" t="str">
        <f>VLOOKUP(H792,codes,2,)</f>
        <v>dd</v>
      </c>
      <c r="J792" s="53"/>
    </row>
    <row r="793" spans="1:10" x14ac:dyDescent="0.25">
      <c r="A793" s="93">
        <v>43219</v>
      </c>
      <c r="B793" s="35">
        <f>C793+(D793-2009)*12</f>
        <v>112</v>
      </c>
      <c r="C793" s="76">
        <v>4</v>
      </c>
      <c r="D793" s="76">
        <v>2018</v>
      </c>
      <c r="E793" s="56">
        <v>0.73333333333333339</v>
      </c>
      <c r="F793" s="53">
        <f>IF(E793&gt;0,1,0)</f>
        <v>1</v>
      </c>
      <c r="G793" s="53">
        <f>SUM(F792:F793)</f>
        <v>1</v>
      </c>
      <c r="H793" s="53">
        <f>IF(G793=1,IF(F792=1,1,-1),G793)</f>
        <v>-1</v>
      </c>
      <c r="I793" s="53" t="str">
        <f>VLOOKUP(H793,codes,2,)</f>
        <v>dw</v>
      </c>
      <c r="J793" s="53"/>
    </row>
    <row r="794" spans="1:10" x14ac:dyDescent="0.25">
      <c r="A794" s="93">
        <v>43220</v>
      </c>
      <c r="B794" s="35">
        <f>C794+(D794-2009)*12</f>
        <v>112</v>
      </c>
      <c r="C794" s="76">
        <v>4</v>
      </c>
      <c r="D794" s="76">
        <v>2018</v>
      </c>
      <c r="E794" s="56">
        <v>0.46666666666666662</v>
      </c>
      <c r="F794" s="53">
        <f>IF(E794&gt;0,1,0)</f>
        <v>1</v>
      </c>
      <c r="G794" s="53">
        <f>SUM(F793:F794)</f>
        <v>2</v>
      </c>
      <c r="H794" s="53">
        <f>IF(G794=1,IF(F793=1,1,-1),G794)</f>
        <v>2</v>
      </c>
      <c r="I794" s="53" t="str">
        <f>VLOOKUP(H794,codes,2,)</f>
        <v>ww</v>
      </c>
      <c r="J794" s="53"/>
    </row>
    <row r="795" spans="1:10" x14ac:dyDescent="0.25">
      <c r="A795" s="93">
        <v>43221</v>
      </c>
      <c r="B795" s="35">
        <f>C795+(D795-2009)*12</f>
        <v>112</v>
      </c>
      <c r="C795" s="76">
        <v>4</v>
      </c>
      <c r="D795" s="76">
        <v>2018</v>
      </c>
      <c r="E795" s="56">
        <v>0</v>
      </c>
      <c r="F795" s="53">
        <f>IF(E795&gt;0,1,0)</f>
        <v>0</v>
      </c>
      <c r="G795" s="53">
        <f>SUM(F794:F795)</f>
        <v>1</v>
      </c>
      <c r="H795" s="53">
        <f>IF(G795=1,IF(F794=1,1,-1),G795)</f>
        <v>1</v>
      </c>
      <c r="I795" s="53" t="str">
        <f>VLOOKUP(H795,codes,2,)</f>
        <v>wd</v>
      </c>
      <c r="J795" s="53"/>
    </row>
    <row r="796" spans="1:10" x14ac:dyDescent="0.25">
      <c r="A796" s="93">
        <v>43222</v>
      </c>
      <c r="B796" s="35">
        <f>C796+(D796-2009)*12</f>
        <v>112</v>
      </c>
      <c r="C796" s="76">
        <v>4</v>
      </c>
      <c r="D796" s="76">
        <v>2018</v>
      </c>
      <c r="E796" s="56">
        <v>0</v>
      </c>
      <c r="F796" s="53">
        <f>IF(E796&gt;0,1,0)</f>
        <v>0</v>
      </c>
      <c r="G796" s="53">
        <f>SUM(F795:F796)</f>
        <v>0</v>
      </c>
      <c r="H796" s="53">
        <f>IF(G796=1,IF(F795=1,1,-1),G796)</f>
        <v>0</v>
      </c>
      <c r="I796" s="53" t="str">
        <f>VLOOKUP(H796,codes,2,)</f>
        <v>dd</v>
      </c>
      <c r="J796" s="53"/>
    </row>
    <row r="797" spans="1:10" x14ac:dyDescent="0.25">
      <c r="A797" s="93">
        <v>43223</v>
      </c>
      <c r="B797" s="35">
        <f>C797+(D797-2009)*12</f>
        <v>112</v>
      </c>
      <c r="C797" s="76">
        <v>4</v>
      </c>
      <c r="D797" s="76">
        <v>2018</v>
      </c>
      <c r="E797" s="56">
        <v>6.6666666666666666E-2</v>
      </c>
      <c r="F797" s="53">
        <f>IF(E797&gt;0,1,0)</f>
        <v>1</v>
      </c>
      <c r="G797" s="53">
        <f>SUM(F796:F797)</f>
        <v>1</v>
      </c>
      <c r="H797" s="53">
        <f>IF(G797=1,IF(F796=1,1,-1),G797)</f>
        <v>-1</v>
      </c>
      <c r="I797" s="53" t="str">
        <f>VLOOKUP(H797,codes,2,)</f>
        <v>dw</v>
      </c>
      <c r="J797" s="53"/>
    </row>
    <row r="798" spans="1:10" x14ac:dyDescent="0.25">
      <c r="A798" s="93">
        <v>43556</v>
      </c>
      <c r="B798" s="35">
        <f>C798+(D798-2009)*12</f>
        <v>124</v>
      </c>
      <c r="C798" s="76">
        <v>4</v>
      </c>
      <c r="D798" s="76">
        <v>2019</v>
      </c>
      <c r="E798" s="56">
        <v>0.73333333333333339</v>
      </c>
      <c r="F798" s="53">
        <f>IF(E798&gt;0,1,0)</f>
        <v>1</v>
      </c>
      <c r="G798" s="53">
        <f>SUM(F797:F798)</f>
        <v>2</v>
      </c>
      <c r="H798" s="53">
        <f>IF(G798=1,IF(F797=1,1,-1),G798)</f>
        <v>2</v>
      </c>
      <c r="I798" s="53" t="str">
        <f>VLOOKUP(H798,codes,2,)</f>
        <v>ww</v>
      </c>
      <c r="J798" s="53"/>
    </row>
    <row r="799" spans="1:10" x14ac:dyDescent="0.25">
      <c r="A799" s="93">
        <v>43557</v>
      </c>
      <c r="B799" s="35">
        <f>C799+(D799-2009)*12</f>
        <v>124</v>
      </c>
      <c r="C799" s="76">
        <v>4</v>
      </c>
      <c r="D799" s="76">
        <v>2019</v>
      </c>
      <c r="E799" s="56">
        <v>4.4666666666666659</v>
      </c>
      <c r="F799" s="53">
        <f>IF(E799&gt;0,1,0)</f>
        <v>1</v>
      </c>
      <c r="G799" s="53">
        <f>SUM(F798:F799)</f>
        <v>2</v>
      </c>
      <c r="H799" s="53">
        <f>IF(G799=1,IF(F798=1,1,-1),G799)</f>
        <v>2</v>
      </c>
      <c r="I799" s="53" t="str">
        <f>VLOOKUP(H799,codes,2,)</f>
        <v>ww</v>
      </c>
      <c r="J799" s="53"/>
    </row>
    <row r="800" spans="1:10" x14ac:dyDescent="0.25">
      <c r="A800" s="93">
        <v>43558</v>
      </c>
      <c r="B800" s="35">
        <f>C800+(D800-2009)*12</f>
        <v>124</v>
      </c>
      <c r="C800" s="76">
        <v>4</v>
      </c>
      <c r="D800" s="76">
        <v>2019</v>
      </c>
      <c r="E800" s="56">
        <v>6.5333333333333341</v>
      </c>
      <c r="F800" s="53">
        <f>IF(E800&gt;0,1,0)</f>
        <v>1</v>
      </c>
      <c r="G800" s="53">
        <f>SUM(F799:F800)</f>
        <v>2</v>
      </c>
      <c r="H800" s="53">
        <f>IF(G800=1,IF(F799=1,1,-1),G800)</f>
        <v>2</v>
      </c>
      <c r="I800" s="53" t="str">
        <f>VLOOKUP(H800,codes,2,)</f>
        <v>ww</v>
      </c>
      <c r="J800" s="53"/>
    </row>
    <row r="801" spans="1:10" x14ac:dyDescent="0.25">
      <c r="A801" s="93">
        <v>43559</v>
      </c>
      <c r="B801" s="35">
        <f>C801+(D801-2009)*12</f>
        <v>124</v>
      </c>
      <c r="C801" s="76">
        <v>4</v>
      </c>
      <c r="D801" s="76">
        <v>2019</v>
      </c>
      <c r="E801" s="56">
        <v>5.5333333333333341</v>
      </c>
      <c r="F801" s="53">
        <f>IF(E801&gt;0,1,0)</f>
        <v>1</v>
      </c>
      <c r="G801" s="53">
        <f>SUM(F800:F801)</f>
        <v>2</v>
      </c>
      <c r="H801" s="53">
        <f>IF(G801=1,IF(F800=1,1,-1),G801)</f>
        <v>2</v>
      </c>
      <c r="I801" s="53" t="str">
        <f>VLOOKUP(H801,codes,2,)</f>
        <v>ww</v>
      </c>
      <c r="J801" s="53"/>
    </row>
    <row r="802" spans="1:10" x14ac:dyDescent="0.25">
      <c r="A802" s="93">
        <v>43560</v>
      </c>
      <c r="B802" s="35">
        <f>C802+(D802-2009)*12</f>
        <v>124</v>
      </c>
      <c r="C802" s="76">
        <v>4</v>
      </c>
      <c r="D802" s="76">
        <v>2019</v>
      </c>
      <c r="E802" s="56">
        <v>2.7333333333333329</v>
      </c>
      <c r="F802" s="53">
        <f>IF(E802&gt;0,1,0)</f>
        <v>1</v>
      </c>
      <c r="G802" s="53">
        <f>SUM(F801:F802)</f>
        <v>2</v>
      </c>
      <c r="H802" s="53">
        <f>IF(G802=1,IF(F801=1,1,-1),G802)</f>
        <v>2</v>
      </c>
      <c r="I802" s="53" t="str">
        <f>VLOOKUP(H802,codes,2,)</f>
        <v>ww</v>
      </c>
      <c r="J802" s="53"/>
    </row>
    <row r="803" spans="1:10" x14ac:dyDescent="0.25">
      <c r="A803" s="93">
        <v>43561</v>
      </c>
      <c r="B803" s="35">
        <f>C803+(D803-2009)*12</f>
        <v>124</v>
      </c>
      <c r="C803" s="76">
        <v>4</v>
      </c>
      <c r="D803" s="76">
        <v>2019</v>
      </c>
      <c r="E803" s="56">
        <v>6.6666666666666666E-2</v>
      </c>
      <c r="F803" s="53">
        <f>IF(E803&gt;0,1,0)</f>
        <v>1</v>
      </c>
      <c r="G803" s="53">
        <f>SUM(F802:F803)</f>
        <v>2</v>
      </c>
      <c r="H803" s="53">
        <f>IF(G803=1,IF(F802=1,1,-1),G803)</f>
        <v>2</v>
      </c>
      <c r="I803" s="53" t="str">
        <f>VLOOKUP(H803,codes,2,)</f>
        <v>ww</v>
      </c>
      <c r="J803" s="53"/>
    </row>
    <row r="804" spans="1:10" x14ac:dyDescent="0.25">
      <c r="A804" s="93">
        <v>43562</v>
      </c>
      <c r="B804" s="35">
        <f>C804+(D804-2009)*12</f>
        <v>124</v>
      </c>
      <c r="C804" s="76">
        <v>4</v>
      </c>
      <c r="D804" s="76">
        <v>2019</v>
      </c>
      <c r="E804" s="56">
        <v>0.13333333333333333</v>
      </c>
      <c r="F804" s="53">
        <f>IF(E804&gt;0,1,0)</f>
        <v>1</v>
      </c>
      <c r="G804" s="53">
        <f>SUM(F803:F804)</f>
        <v>2</v>
      </c>
      <c r="H804" s="53">
        <f>IF(G804=1,IF(F803=1,1,-1),G804)</f>
        <v>2</v>
      </c>
      <c r="I804" s="53" t="str">
        <f>VLOOKUP(H804,codes,2,)</f>
        <v>ww</v>
      </c>
      <c r="J804" s="53"/>
    </row>
    <row r="805" spans="1:10" x14ac:dyDescent="0.25">
      <c r="A805" s="93">
        <v>43563</v>
      </c>
      <c r="B805" s="35">
        <f>C805+(D805-2009)*12</f>
        <v>124</v>
      </c>
      <c r="C805" s="76">
        <v>4</v>
      </c>
      <c r="D805" s="76">
        <v>2019</v>
      </c>
      <c r="E805" s="56">
        <v>0.19999999999999998</v>
      </c>
      <c r="F805" s="53">
        <f>IF(E805&gt;0,1,0)</f>
        <v>1</v>
      </c>
      <c r="G805" s="53">
        <f>SUM(F804:F805)</f>
        <v>2</v>
      </c>
      <c r="H805" s="53">
        <f>IF(G805=1,IF(F804=1,1,-1),G805)</f>
        <v>2</v>
      </c>
      <c r="I805" s="53" t="str">
        <f>VLOOKUP(H805,codes,2,)</f>
        <v>ww</v>
      </c>
      <c r="J805" s="53"/>
    </row>
    <row r="806" spans="1:10" x14ac:dyDescent="0.25">
      <c r="A806" s="93">
        <v>43564</v>
      </c>
      <c r="B806" s="35">
        <f>C806+(D806-2009)*12</f>
        <v>124</v>
      </c>
      <c r="C806" s="76">
        <v>4</v>
      </c>
      <c r="D806" s="76">
        <v>2019</v>
      </c>
      <c r="E806" s="56">
        <v>0</v>
      </c>
      <c r="F806" s="53">
        <f>IF(E806&gt;0,1,0)</f>
        <v>0</v>
      </c>
      <c r="G806" s="53">
        <f>SUM(F805:F806)</f>
        <v>1</v>
      </c>
      <c r="H806" s="53">
        <f>IF(G806=1,IF(F805=1,1,-1),G806)</f>
        <v>1</v>
      </c>
      <c r="I806" s="53" t="str">
        <f>VLOOKUP(H806,codes,2,)</f>
        <v>wd</v>
      </c>
      <c r="J806" s="53"/>
    </row>
    <row r="807" spans="1:10" x14ac:dyDescent="0.25">
      <c r="A807" s="93">
        <v>43565</v>
      </c>
      <c r="B807" s="35">
        <f>C807+(D807-2009)*12</f>
        <v>124</v>
      </c>
      <c r="C807" s="76">
        <v>4</v>
      </c>
      <c r="D807" s="76">
        <v>2019</v>
      </c>
      <c r="E807" s="56">
        <v>0</v>
      </c>
      <c r="F807" s="53">
        <f>IF(E807&gt;0,1,0)</f>
        <v>0</v>
      </c>
      <c r="G807" s="53">
        <f>SUM(F806:F807)</f>
        <v>0</v>
      </c>
      <c r="H807" s="53">
        <f>IF(G807=1,IF(F806=1,1,-1),G807)</f>
        <v>0</v>
      </c>
      <c r="I807" s="53" t="str">
        <f>VLOOKUP(H807,codes,2,)</f>
        <v>dd</v>
      </c>
      <c r="J807" s="53"/>
    </row>
    <row r="808" spans="1:10" x14ac:dyDescent="0.25">
      <c r="A808" s="93">
        <v>43566</v>
      </c>
      <c r="B808" s="35">
        <f>C808+(D808-2009)*12</f>
        <v>124</v>
      </c>
      <c r="C808" s="76">
        <v>4</v>
      </c>
      <c r="D808" s="76">
        <v>2019</v>
      </c>
      <c r="E808" s="56">
        <v>0</v>
      </c>
      <c r="F808" s="53">
        <f>IF(E808&gt;0,1,0)</f>
        <v>0</v>
      </c>
      <c r="G808" s="53">
        <f>SUM(F807:F808)</f>
        <v>0</v>
      </c>
      <c r="H808" s="53">
        <f>IF(G808=1,IF(F807=1,1,-1),G808)</f>
        <v>0</v>
      </c>
      <c r="I808" s="53" t="str">
        <f>VLOOKUP(H808,codes,2,)</f>
        <v>dd</v>
      </c>
      <c r="J808" s="53"/>
    </row>
    <row r="809" spans="1:10" x14ac:dyDescent="0.25">
      <c r="A809" s="93">
        <v>43567</v>
      </c>
      <c r="B809" s="35">
        <f>C809+(D809-2009)*12</f>
        <v>124</v>
      </c>
      <c r="C809" s="76">
        <v>4</v>
      </c>
      <c r="D809" s="76">
        <v>2019</v>
      </c>
      <c r="E809" s="56">
        <v>0</v>
      </c>
      <c r="F809" s="53">
        <f>IF(E809&gt;0,1,0)</f>
        <v>0</v>
      </c>
      <c r="G809" s="53">
        <f>SUM(F808:F809)</f>
        <v>0</v>
      </c>
      <c r="H809" s="53">
        <f>IF(G809=1,IF(F808=1,1,-1),G809)</f>
        <v>0</v>
      </c>
      <c r="I809" s="53" t="str">
        <f>VLOOKUP(H809,codes,2,)</f>
        <v>dd</v>
      </c>
      <c r="J809" s="53"/>
    </row>
    <row r="810" spans="1:10" x14ac:dyDescent="0.25">
      <c r="A810" s="93">
        <v>43568</v>
      </c>
      <c r="B810" s="35">
        <f>C810+(D810-2009)*12</f>
        <v>124</v>
      </c>
      <c r="C810" s="76">
        <v>4</v>
      </c>
      <c r="D810" s="76">
        <v>2019</v>
      </c>
      <c r="E810" s="56">
        <v>0</v>
      </c>
      <c r="F810" s="53">
        <f>IF(E810&gt;0,1,0)</f>
        <v>0</v>
      </c>
      <c r="G810" s="53">
        <f>SUM(F809:F810)</f>
        <v>0</v>
      </c>
      <c r="H810" s="53">
        <f>IF(G810=1,IF(F809=1,1,-1),G810)</f>
        <v>0</v>
      </c>
      <c r="I810" s="53" t="str">
        <f>VLOOKUP(H810,codes,2,)</f>
        <v>dd</v>
      </c>
      <c r="J810" s="53"/>
    </row>
    <row r="811" spans="1:10" x14ac:dyDescent="0.25">
      <c r="A811" s="93">
        <v>43569</v>
      </c>
      <c r="B811" s="35">
        <f>C811+(D811-2009)*12</f>
        <v>124</v>
      </c>
      <c r="C811" s="76">
        <v>4</v>
      </c>
      <c r="D811" s="76">
        <v>2019</v>
      </c>
      <c r="E811" s="56">
        <v>0</v>
      </c>
      <c r="F811" s="53">
        <f>IF(E811&gt;0,1,0)</f>
        <v>0</v>
      </c>
      <c r="G811" s="53">
        <f>SUM(F810:F811)</f>
        <v>0</v>
      </c>
      <c r="H811" s="53">
        <f>IF(G811=1,IF(F810=1,1,-1),G811)</f>
        <v>0</v>
      </c>
      <c r="I811" s="53" t="str">
        <f>VLOOKUP(H811,codes,2,)</f>
        <v>dd</v>
      </c>
      <c r="J811" s="53"/>
    </row>
    <row r="812" spans="1:10" x14ac:dyDescent="0.25">
      <c r="A812" s="93">
        <v>43570</v>
      </c>
      <c r="B812" s="35">
        <f>C812+(D812-2009)*12</f>
        <v>124</v>
      </c>
      <c r="C812" s="76">
        <v>4</v>
      </c>
      <c r="D812" s="76">
        <v>2019</v>
      </c>
      <c r="E812" s="56">
        <v>0</v>
      </c>
      <c r="F812" s="53">
        <f>IF(E812&gt;0,1,0)</f>
        <v>0</v>
      </c>
      <c r="G812" s="53">
        <f>SUM(F811:F812)</f>
        <v>0</v>
      </c>
      <c r="H812" s="53">
        <f>IF(G812=1,IF(F811=1,1,-1),G812)</f>
        <v>0</v>
      </c>
      <c r="I812" s="53" t="str">
        <f>VLOOKUP(H812,codes,2,)</f>
        <v>dd</v>
      </c>
      <c r="J812" s="53"/>
    </row>
    <row r="813" spans="1:10" x14ac:dyDescent="0.25">
      <c r="A813" s="93">
        <v>43571</v>
      </c>
      <c r="B813" s="35">
        <f>C813+(D813-2009)*12</f>
        <v>124</v>
      </c>
      <c r="C813" s="76">
        <v>4</v>
      </c>
      <c r="D813" s="76">
        <v>2019</v>
      </c>
      <c r="E813" s="56">
        <v>6.6666666666666666E-2</v>
      </c>
      <c r="F813" s="53">
        <f>IF(E813&gt;0,1,0)</f>
        <v>1</v>
      </c>
      <c r="G813" s="53">
        <f>SUM(F812:F813)</f>
        <v>1</v>
      </c>
      <c r="H813" s="53">
        <f>IF(G813=1,IF(F812=1,1,-1),G813)</f>
        <v>-1</v>
      </c>
      <c r="I813" s="53" t="str">
        <f>VLOOKUP(H813,codes,2,)</f>
        <v>dw</v>
      </c>
      <c r="J813" s="53"/>
    </row>
    <row r="814" spans="1:10" x14ac:dyDescent="0.25">
      <c r="A814" s="93">
        <v>43572</v>
      </c>
      <c r="B814" s="35">
        <f>C814+(D814-2009)*12</f>
        <v>124</v>
      </c>
      <c r="C814" s="76">
        <v>4</v>
      </c>
      <c r="D814" s="76">
        <v>2019</v>
      </c>
      <c r="E814" s="56">
        <v>0</v>
      </c>
      <c r="F814" s="53">
        <f>IF(E814&gt;0,1,0)</f>
        <v>0</v>
      </c>
      <c r="G814" s="53">
        <f>SUM(F813:F814)</f>
        <v>1</v>
      </c>
      <c r="H814" s="53">
        <f>IF(G814=1,IF(F813=1,1,-1),G814)</f>
        <v>1</v>
      </c>
      <c r="I814" s="53" t="str">
        <f>VLOOKUP(H814,codes,2,)</f>
        <v>wd</v>
      </c>
      <c r="J814" s="53"/>
    </row>
    <row r="815" spans="1:10" x14ac:dyDescent="0.25">
      <c r="A815" s="93">
        <v>43573</v>
      </c>
      <c r="B815" s="35">
        <f>C815+(D815-2009)*12</f>
        <v>124</v>
      </c>
      <c r="C815" s="76">
        <v>4</v>
      </c>
      <c r="D815" s="76">
        <v>2019</v>
      </c>
      <c r="E815" s="56">
        <v>0</v>
      </c>
      <c r="F815" s="53">
        <f>IF(E815&gt;0,1,0)</f>
        <v>0</v>
      </c>
      <c r="G815" s="53">
        <f>SUM(F814:F815)</f>
        <v>0</v>
      </c>
      <c r="H815" s="53">
        <f>IF(G815=1,IF(F814=1,1,-1),G815)</f>
        <v>0</v>
      </c>
      <c r="I815" s="53" t="str">
        <f>VLOOKUP(H815,codes,2,)</f>
        <v>dd</v>
      </c>
      <c r="J815" s="53"/>
    </row>
    <row r="816" spans="1:10" x14ac:dyDescent="0.25">
      <c r="A816" s="93">
        <v>43574</v>
      </c>
      <c r="B816" s="35">
        <f>C816+(D816-2009)*12</f>
        <v>124</v>
      </c>
      <c r="C816" s="76">
        <v>4</v>
      </c>
      <c r="D816" s="76">
        <v>2019</v>
      </c>
      <c r="E816" s="56">
        <v>0</v>
      </c>
      <c r="F816" s="53">
        <f>IF(E816&gt;0,1,0)</f>
        <v>0</v>
      </c>
      <c r="G816" s="53">
        <f>SUM(F815:F816)</f>
        <v>0</v>
      </c>
      <c r="H816" s="53">
        <f>IF(G816=1,IF(F815=1,1,-1),G816)</f>
        <v>0</v>
      </c>
      <c r="I816" s="53" t="str">
        <f>VLOOKUP(H816,codes,2,)</f>
        <v>dd</v>
      </c>
      <c r="J816" s="53"/>
    </row>
    <row r="817" spans="1:10" x14ac:dyDescent="0.25">
      <c r="A817" s="93">
        <v>43575</v>
      </c>
      <c r="B817" s="35">
        <f>C817+(D817-2009)*12</f>
        <v>124</v>
      </c>
      <c r="C817" s="76">
        <v>4</v>
      </c>
      <c r="D817" s="76">
        <v>2019</v>
      </c>
      <c r="E817" s="56">
        <v>0</v>
      </c>
      <c r="F817" s="53">
        <f>IF(E817&gt;0,1,0)</f>
        <v>0</v>
      </c>
      <c r="G817" s="53">
        <f>SUM(F816:F817)</f>
        <v>0</v>
      </c>
      <c r="H817" s="53">
        <f>IF(G817=1,IF(F816=1,1,-1),G817)</f>
        <v>0</v>
      </c>
      <c r="I817" s="53" t="str">
        <f>VLOOKUP(H817,codes,2,)</f>
        <v>dd</v>
      </c>
      <c r="J817" s="53"/>
    </row>
    <row r="818" spans="1:10" x14ac:dyDescent="0.25">
      <c r="A818" s="93">
        <v>43576</v>
      </c>
      <c r="B818" s="35">
        <f>C818+(D818-2009)*12</f>
        <v>124</v>
      </c>
      <c r="C818" s="76">
        <v>4</v>
      </c>
      <c r="D818" s="76">
        <v>2019</v>
      </c>
      <c r="E818" s="56">
        <v>0</v>
      </c>
      <c r="F818" s="53">
        <f>IF(E818&gt;0,1,0)</f>
        <v>0</v>
      </c>
      <c r="G818" s="53">
        <f>SUM(F817:F818)</f>
        <v>0</v>
      </c>
      <c r="H818" s="53">
        <f>IF(G818=1,IF(F817=1,1,-1),G818)</f>
        <v>0</v>
      </c>
      <c r="I818" s="53" t="str">
        <f>VLOOKUP(H818,codes,2,)</f>
        <v>dd</v>
      </c>
      <c r="J818" s="53"/>
    </row>
    <row r="819" spans="1:10" x14ac:dyDescent="0.25">
      <c r="A819" s="93">
        <v>43577</v>
      </c>
      <c r="B819" s="35">
        <f>C819+(D819-2009)*12</f>
        <v>124</v>
      </c>
      <c r="C819" s="76">
        <v>4</v>
      </c>
      <c r="D819" s="76">
        <v>2019</v>
      </c>
      <c r="E819" s="56">
        <v>0</v>
      </c>
      <c r="F819" s="53">
        <f>IF(E819&gt;0,1,0)</f>
        <v>0</v>
      </c>
      <c r="G819" s="53">
        <f>SUM(F818:F819)</f>
        <v>0</v>
      </c>
      <c r="H819" s="53">
        <f>IF(G819=1,IF(F818=1,1,-1),G819)</f>
        <v>0</v>
      </c>
      <c r="I819" s="53" t="str">
        <f>VLOOKUP(H819,codes,2,)</f>
        <v>dd</v>
      </c>
      <c r="J819" s="53"/>
    </row>
    <row r="820" spans="1:10" x14ac:dyDescent="0.25">
      <c r="A820" s="93">
        <v>43578</v>
      </c>
      <c r="B820" s="35">
        <f>C820+(D820-2009)*12</f>
        <v>124</v>
      </c>
      <c r="C820" s="76">
        <v>4</v>
      </c>
      <c r="D820" s="76">
        <v>2019</v>
      </c>
      <c r="E820" s="56">
        <v>0</v>
      </c>
      <c r="F820" s="53">
        <f>IF(E820&gt;0,1,0)</f>
        <v>0</v>
      </c>
      <c r="G820" s="53">
        <f>SUM(F819:F820)</f>
        <v>0</v>
      </c>
      <c r="H820" s="53">
        <f>IF(G820=1,IF(F819=1,1,-1),G820)</f>
        <v>0</v>
      </c>
      <c r="I820" s="53" t="str">
        <f>VLOOKUP(H820,codes,2,)</f>
        <v>dd</v>
      </c>
      <c r="J820" s="53"/>
    </row>
    <row r="821" spans="1:10" x14ac:dyDescent="0.25">
      <c r="A821" s="93">
        <v>43579</v>
      </c>
      <c r="B821" s="35">
        <f>C821+(D821-2009)*12</f>
        <v>124</v>
      </c>
      <c r="C821" s="76">
        <v>4</v>
      </c>
      <c r="D821" s="76">
        <v>2019</v>
      </c>
      <c r="E821" s="56">
        <v>0</v>
      </c>
      <c r="F821" s="53">
        <f>IF(E821&gt;0,1,0)</f>
        <v>0</v>
      </c>
      <c r="G821" s="53">
        <f>SUM(F820:F821)</f>
        <v>0</v>
      </c>
      <c r="H821" s="53">
        <f>IF(G821=1,IF(F820=1,1,-1),G821)</f>
        <v>0</v>
      </c>
      <c r="I821" s="53" t="str">
        <f>VLOOKUP(H821,codes,2,)</f>
        <v>dd</v>
      </c>
      <c r="J821" s="53"/>
    </row>
    <row r="822" spans="1:10" x14ac:dyDescent="0.25">
      <c r="A822" s="93">
        <v>43580</v>
      </c>
      <c r="B822" s="35">
        <f>C822+(D822-2009)*12</f>
        <v>124</v>
      </c>
      <c r="C822" s="76">
        <v>4</v>
      </c>
      <c r="D822" s="76">
        <v>2019</v>
      </c>
      <c r="E822" s="56">
        <v>0</v>
      </c>
      <c r="F822" s="53">
        <f>IF(E822&gt;0,1,0)</f>
        <v>0</v>
      </c>
      <c r="G822" s="53">
        <f>SUM(F821:F822)</f>
        <v>0</v>
      </c>
      <c r="H822" s="53">
        <f>IF(G822=1,IF(F821=1,1,-1),G822)</f>
        <v>0</v>
      </c>
      <c r="I822" s="53" t="str">
        <f>VLOOKUP(H822,codes,2,)</f>
        <v>dd</v>
      </c>
      <c r="J822" s="53"/>
    </row>
    <row r="823" spans="1:10" x14ac:dyDescent="0.25">
      <c r="A823" s="93">
        <v>43581</v>
      </c>
      <c r="B823" s="35">
        <f>C823+(D823-2009)*12</f>
        <v>124</v>
      </c>
      <c r="C823" s="76">
        <v>4</v>
      </c>
      <c r="D823" s="76">
        <v>2019</v>
      </c>
      <c r="E823" s="56">
        <v>1.4000000000000001</v>
      </c>
      <c r="F823" s="53">
        <f>IF(E823&gt;0,1,0)</f>
        <v>1</v>
      </c>
      <c r="G823" s="53">
        <f>SUM(F822:F823)</f>
        <v>1</v>
      </c>
      <c r="H823" s="53">
        <f>IF(G823=1,IF(F822=1,1,-1),G823)</f>
        <v>-1</v>
      </c>
      <c r="I823" s="53" t="str">
        <f>VLOOKUP(H823,codes,2,)</f>
        <v>dw</v>
      </c>
      <c r="J823" s="53"/>
    </row>
    <row r="824" spans="1:10" x14ac:dyDescent="0.25">
      <c r="A824" s="93">
        <v>43582</v>
      </c>
      <c r="B824" s="35">
        <f>C824+(D824-2009)*12</f>
        <v>124</v>
      </c>
      <c r="C824" s="76">
        <v>4</v>
      </c>
      <c r="D824" s="76">
        <v>2019</v>
      </c>
      <c r="E824" s="56">
        <v>2.1333333333333333</v>
      </c>
      <c r="F824" s="53">
        <f>IF(E824&gt;0,1,0)</f>
        <v>1</v>
      </c>
      <c r="G824" s="53">
        <f>SUM(F823:F824)</f>
        <v>2</v>
      </c>
      <c r="H824" s="53">
        <f>IF(G824=1,IF(F823=1,1,-1),G824)</f>
        <v>2</v>
      </c>
      <c r="I824" s="53" t="str">
        <f>VLOOKUP(H824,codes,2,)</f>
        <v>ww</v>
      </c>
      <c r="J824" s="53"/>
    </row>
    <row r="825" spans="1:10" x14ac:dyDescent="0.25">
      <c r="A825" s="93">
        <v>43583</v>
      </c>
      <c r="B825" s="35">
        <f>C825+(D825-2009)*12</f>
        <v>124</v>
      </c>
      <c r="C825" s="76">
        <v>4</v>
      </c>
      <c r="D825" s="76">
        <v>2019</v>
      </c>
      <c r="E825" s="56">
        <v>6.6666666666666666E-2</v>
      </c>
      <c r="F825" s="53">
        <f>IF(E825&gt;0,1,0)</f>
        <v>1</v>
      </c>
      <c r="G825" s="53">
        <f>SUM(F824:F825)</f>
        <v>2</v>
      </c>
      <c r="H825" s="53">
        <f>IF(G825=1,IF(F824=1,1,-1),G825)</f>
        <v>2</v>
      </c>
      <c r="I825" s="53" t="str">
        <f>VLOOKUP(H825,codes,2,)</f>
        <v>ww</v>
      </c>
      <c r="J825" s="53"/>
    </row>
    <row r="826" spans="1:10" x14ac:dyDescent="0.25">
      <c r="A826" s="93">
        <v>43584</v>
      </c>
      <c r="B826" s="35">
        <f>C826+(D826-2009)*12</f>
        <v>124</v>
      </c>
      <c r="C826" s="76">
        <v>4</v>
      </c>
      <c r="D826" s="76">
        <v>2019</v>
      </c>
      <c r="E826" s="56">
        <v>6.6666666666666666E-2</v>
      </c>
      <c r="F826" s="53">
        <f>IF(E826&gt;0,1,0)</f>
        <v>1</v>
      </c>
      <c r="G826" s="53">
        <f>SUM(F825:F826)</f>
        <v>2</v>
      </c>
      <c r="H826" s="53">
        <f>IF(G826=1,IF(F825=1,1,-1),G826)</f>
        <v>2</v>
      </c>
      <c r="I826" s="53" t="str">
        <f>VLOOKUP(H826,codes,2,)</f>
        <v>ww</v>
      </c>
      <c r="J826" s="53"/>
    </row>
    <row r="827" spans="1:10" x14ac:dyDescent="0.25">
      <c r="A827" s="93">
        <v>43585</v>
      </c>
      <c r="B827" s="35">
        <f>C827+(D827-2009)*12</f>
        <v>124</v>
      </c>
      <c r="C827" s="76">
        <v>4</v>
      </c>
      <c r="D827" s="76">
        <v>2019</v>
      </c>
      <c r="E827" s="56">
        <v>0</v>
      </c>
      <c r="F827" s="53">
        <f>IF(E827&gt;0,1,0)</f>
        <v>0</v>
      </c>
      <c r="G827" s="53">
        <f>SUM(F826:F827)</f>
        <v>1</v>
      </c>
      <c r="H827" s="53">
        <f>IF(G827=1,IF(F826=1,1,-1),G827)</f>
        <v>1</v>
      </c>
      <c r="I827" s="53" t="str">
        <f>VLOOKUP(H827,codes,2,)</f>
        <v>wd</v>
      </c>
      <c r="J827" s="53"/>
    </row>
    <row r="828" spans="1:10" x14ac:dyDescent="0.25">
      <c r="A828" s="93">
        <v>43922</v>
      </c>
      <c r="B828" s="35">
        <f>C828+(D828-2009)*12</f>
        <v>136</v>
      </c>
      <c r="C828" s="76">
        <v>4</v>
      </c>
      <c r="D828" s="53">
        <v>2020</v>
      </c>
      <c r="E828" s="56">
        <v>0</v>
      </c>
      <c r="F828" s="53">
        <f>IF(E828&gt;0,1,0)</f>
        <v>0</v>
      </c>
      <c r="G828" s="53">
        <f>SUM(F827:F828)</f>
        <v>0</v>
      </c>
      <c r="H828" s="53">
        <f>IF(G828=1,IF(F827=1,1,-1),G828)</f>
        <v>0</v>
      </c>
      <c r="I828" s="53" t="str">
        <f>VLOOKUP(H828,codes,2,)</f>
        <v>dd</v>
      </c>
      <c r="J828" s="53"/>
    </row>
    <row r="829" spans="1:10" x14ac:dyDescent="0.25">
      <c r="A829" s="93">
        <v>43923</v>
      </c>
      <c r="B829" s="35">
        <f>C829+(D829-2009)*12</f>
        <v>136</v>
      </c>
      <c r="C829" s="76">
        <v>4</v>
      </c>
      <c r="D829" s="53">
        <v>2020</v>
      </c>
      <c r="E829" s="56">
        <v>0</v>
      </c>
      <c r="F829" s="53">
        <f>IF(E829&gt;0,1,0)</f>
        <v>0</v>
      </c>
      <c r="G829" s="53">
        <f>SUM(F828:F829)</f>
        <v>0</v>
      </c>
      <c r="H829" s="53">
        <f>IF(G829=1,IF(F828=1,1,-1),G829)</f>
        <v>0</v>
      </c>
      <c r="I829" s="53" t="str">
        <f>VLOOKUP(H829,codes,2,)</f>
        <v>dd</v>
      </c>
      <c r="J829" s="53"/>
    </row>
    <row r="830" spans="1:10" x14ac:dyDescent="0.25">
      <c r="A830" s="93">
        <v>43924</v>
      </c>
      <c r="B830" s="35">
        <f>C830+(D830-2009)*12</f>
        <v>136</v>
      </c>
      <c r="C830" s="76">
        <v>4</v>
      </c>
      <c r="D830" s="53">
        <v>2020</v>
      </c>
      <c r="E830" s="56">
        <v>0</v>
      </c>
      <c r="F830" s="53">
        <f>IF(E830&gt;0,1,0)</f>
        <v>0</v>
      </c>
      <c r="G830" s="53">
        <f>SUM(F829:F830)</f>
        <v>0</v>
      </c>
      <c r="H830" s="53">
        <f>IF(G830=1,IF(F829=1,1,-1),G830)</f>
        <v>0</v>
      </c>
      <c r="I830" s="53" t="str">
        <f>VLOOKUP(H830,codes,2,)</f>
        <v>dd</v>
      </c>
      <c r="J830" s="53"/>
    </row>
    <row r="831" spans="1:10" x14ac:dyDescent="0.25">
      <c r="A831" s="93">
        <v>43925</v>
      </c>
      <c r="B831" s="35">
        <f>C831+(D831-2009)*12</f>
        <v>136</v>
      </c>
      <c r="C831" s="76">
        <v>4</v>
      </c>
      <c r="D831" s="53">
        <v>2020</v>
      </c>
      <c r="E831" s="56">
        <v>0.26666666666666666</v>
      </c>
      <c r="F831" s="53">
        <f>IF(E831&gt;0,1,0)</f>
        <v>1</v>
      </c>
      <c r="G831" s="53">
        <f>SUM(F830:F831)</f>
        <v>1</v>
      </c>
      <c r="H831" s="53">
        <f>IF(G831=1,IF(F830=1,1,-1),G831)</f>
        <v>-1</v>
      </c>
      <c r="I831" s="53" t="str">
        <f>VLOOKUP(H831,codes,2,)</f>
        <v>dw</v>
      </c>
      <c r="J831" s="53"/>
    </row>
    <row r="832" spans="1:10" x14ac:dyDescent="0.25">
      <c r="A832" s="93">
        <v>43926</v>
      </c>
      <c r="B832" s="35">
        <f>C832+(D832-2009)*12</f>
        <v>136</v>
      </c>
      <c r="C832" s="76">
        <v>4</v>
      </c>
      <c r="D832" s="53">
        <v>2020</v>
      </c>
      <c r="E832" s="56">
        <v>0</v>
      </c>
      <c r="F832" s="53">
        <f>IF(E832&gt;0,1,0)</f>
        <v>0</v>
      </c>
      <c r="G832" s="53">
        <f>SUM(F831:F832)</f>
        <v>1</v>
      </c>
      <c r="H832" s="53">
        <f>IF(G832=1,IF(F831=1,1,-1),G832)</f>
        <v>1</v>
      </c>
      <c r="I832" s="53" t="str">
        <f>VLOOKUP(H832,codes,2,)</f>
        <v>wd</v>
      </c>
      <c r="J832" s="53"/>
    </row>
    <row r="833" spans="1:10" x14ac:dyDescent="0.25">
      <c r="A833" s="93">
        <v>43927</v>
      </c>
      <c r="B833" s="35">
        <f>C833+(D833-2009)*12</f>
        <v>136</v>
      </c>
      <c r="C833" s="76">
        <v>4</v>
      </c>
      <c r="D833" s="53">
        <v>2020</v>
      </c>
      <c r="E833" s="56">
        <v>0</v>
      </c>
      <c r="F833" s="53">
        <f>IF(E833&gt;0,1,0)</f>
        <v>0</v>
      </c>
      <c r="G833" s="53">
        <f>SUM(F832:F833)</f>
        <v>0</v>
      </c>
      <c r="H833" s="53">
        <f>IF(G833=1,IF(F832=1,1,-1),G833)</f>
        <v>0</v>
      </c>
      <c r="I833" s="53" t="str">
        <f>VLOOKUP(H833,codes,2,)</f>
        <v>dd</v>
      </c>
      <c r="J833" s="53"/>
    </row>
    <row r="834" spans="1:10" x14ac:dyDescent="0.25">
      <c r="A834" s="93">
        <v>43928</v>
      </c>
      <c r="B834" s="35">
        <f>C834+(D834-2009)*12</f>
        <v>136</v>
      </c>
      <c r="C834" s="76">
        <v>4</v>
      </c>
      <c r="D834" s="53">
        <v>2020</v>
      </c>
      <c r="E834" s="56">
        <v>0</v>
      </c>
      <c r="F834" s="53">
        <f>IF(E834&gt;0,1,0)</f>
        <v>0</v>
      </c>
      <c r="G834" s="53">
        <f>SUM(F833:F834)</f>
        <v>0</v>
      </c>
      <c r="H834" s="53">
        <f>IF(G834=1,IF(F833=1,1,-1),G834)</f>
        <v>0</v>
      </c>
      <c r="I834" s="53" t="str">
        <f>VLOOKUP(H834,codes,2,)</f>
        <v>dd</v>
      </c>
      <c r="J834" s="53"/>
    </row>
    <row r="835" spans="1:10" x14ac:dyDescent="0.25">
      <c r="A835" s="93">
        <v>43929</v>
      </c>
      <c r="B835" s="35">
        <f>C835+(D835-2009)*12</f>
        <v>136</v>
      </c>
      <c r="C835" s="76">
        <v>4</v>
      </c>
      <c r="D835" s="53">
        <v>2020</v>
      </c>
      <c r="E835" s="56">
        <v>0</v>
      </c>
      <c r="F835" s="53">
        <f>IF(E835&gt;0,1,0)</f>
        <v>0</v>
      </c>
      <c r="G835" s="53">
        <f>SUM(F834:F835)</f>
        <v>0</v>
      </c>
      <c r="H835" s="53">
        <f>IF(G835=1,IF(F834=1,1,-1),G835)</f>
        <v>0</v>
      </c>
      <c r="I835" s="53" t="str">
        <f>VLOOKUP(H835,codes,2,)</f>
        <v>dd</v>
      </c>
      <c r="J835" s="53"/>
    </row>
    <row r="836" spans="1:10" x14ac:dyDescent="0.25">
      <c r="A836" s="93">
        <v>43930</v>
      </c>
      <c r="B836" s="35">
        <f>C836+(D836-2009)*12</f>
        <v>136</v>
      </c>
      <c r="C836" s="76">
        <v>4</v>
      </c>
      <c r="D836" s="53">
        <v>2020</v>
      </c>
      <c r="E836" s="56">
        <v>6.6666666666666666E-2</v>
      </c>
      <c r="F836" s="53">
        <f>IF(E836&gt;0,1,0)</f>
        <v>1</v>
      </c>
      <c r="G836" s="53">
        <f>SUM(F835:F836)</f>
        <v>1</v>
      </c>
      <c r="H836" s="53">
        <f>IF(G836=1,IF(F835=1,1,-1),G836)</f>
        <v>-1</v>
      </c>
      <c r="I836" s="53" t="str">
        <f>VLOOKUP(H836,codes,2,)</f>
        <v>dw</v>
      </c>
      <c r="J836" s="53"/>
    </row>
    <row r="837" spans="1:10" x14ac:dyDescent="0.25">
      <c r="A837" s="93">
        <v>43931</v>
      </c>
      <c r="B837" s="35">
        <f>C837+(D837-2009)*12</f>
        <v>136</v>
      </c>
      <c r="C837" s="76">
        <v>4</v>
      </c>
      <c r="D837" s="53">
        <v>2020</v>
      </c>
      <c r="E837" s="56">
        <v>0</v>
      </c>
      <c r="F837" s="53">
        <f>IF(E837&gt;0,1,0)</f>
        <v>0</v>
      </c>
      <c r="G837" s="53">
        <f>SUM(F836:F837)</f>
        <v>1</v>
      </c>
      <c r="H837" s="53">
        <f>IF(G837=1,IF(F836=1,1,-1),G837)</f>
        <v>1</v>
      </c>
      <c r="I837" s="53" t="str">
        <f>VLOOKUP(H837,codes,2,)</f>
        <v>wd</v>
      </c>
      <c r="J837" s="53"/>
    </row>
    <row r="838" spans="1:10" x14ac:dyDescent="0.25">
      <c r="A838" s="93">
        <v>43932</v>
      </c>
      <c r="B838" s="35">
        <f>C838+(D838-2009)*12</f>
        <v>136</v>
      </c>
      <c r="C838" s="76">
        <v>4</v>
      </c>
      <c r="D838" s="53">
        <v>2020</v>
      </c>
      <c r="E838" s="56">
        <v>0.66666666666666663</v>
      </c>
      <c r="F838" s="53">
        <f>IF(E838&gt;0,1,0)</f>
        <v>1</v>
      </c>
      <c r="G838" s="53">
        <f>SUM(F837:F838)</f>
        <v>1</v>
      </c>
      <c r="H838" s="53">
        <f>IF(G838=1,IF(F837=1,1,-1),G838)</f>
        <v>-1</v>
      </c>
      <c r="I838" s="53" t="str">
        <f>VLOOKUP(H838,codes,2,)</f>
        <v>dw</v>
      </c>
      <c r="J838" s="53"/>
    </row>
    <row r="839" spans="1:10" x14ac:dyDescent="0.25">
      <c r="A839" s="93">
        <v>43933</v>
      </c>
      <c r="B839" s="35">
        <f>C839+(D839-2009)*12</f>
        <v>136</v>
      </c>
      <c r="C839" s="76">
        <v>4</v>
      </c>
      <c r="D839" s="53">
        <v>2020</v>
      </c>
      <c r="E839" s="56">
        <v>0</v>
      </c>
      <c r="F839" s="53">
        <f>IF(E839&gt;0,1,0)</f>
        <v>0</v>
      </c>
      <c r="G839" s="53">
        <f>SUM(F838:F839)</f>
        <v>1</v>
      </c>
      <c r="H839" s="53">
        <f>IF(G839=1,IF(F838=1,1,-1),G839)</f>
        <v>1</v>
      </c>
      <c r="I839" s="53" t="str">
        <f>VLOOKUP(H839,codes,2,)</f>
        <v>wd</v>
      </c>
      <c r="J839" s="53"/>
    </row>
    <row r="840" spans="1:10" x14ac:dyDescent="0.25">
      <c r="A840" s="93">
        <v>43934</v>
      </c>
      <c r="B840" s="35">
        <f>C840+(D840-2009)*12</f>
        <v>136</v>
      </c>
      <c r="C840" s="76">
        <v>4</v>
      </c>
      <c r="D840" s="53">
        <v>2020</v>
      </c>
      <c r="E840" s="56">
        <v>0</v>
      </c>
      <c r="F840" s="53">
        <f>IF(E840&gt;0,1,0)</f>
        <v>0</v>
      </c>
      <c r="G840" s="53">
        <f>SUM(F839:F840)</f>
        <v>0</v>
      </c>
      <c r="H840" s="53">
        <f>IF(G840=1,IF(F839=1,1,-1),G840)</f>
        <v>0</v>
      </c>
      <c r="I840" s="53" t="str">
        <f>VLOOKUP(H840,codes,2,)</f>
        <v>dd</v>
      </c>
      <c r="J840" s="53"/>
    </row>
    <row r="841" spans="1:10" x14ac:dyDescent="0.25">
      <c r="A841" s="93">
        <v>43935</v>
      </c>
      <c r="B841" s="35">
        <f>C841+(D841-2009)*12</f>
        <v>136</v>
      </c>
      <c r="C841" s="76">
        <v>4</v>
      </c>
      <c r="D841" s="53">
        <v>2020</v>
      </c>
      <c r="E841" s="56">
        <v>0</v>
      </c>
      <c r="F841" s="53">
        <f>IF(E841&gt;0,1,0)</f>
        <v>0</v>
      </c>
      <c r="G841" s="53">
        <f>SUM(F840:F841)</f>
        <v>0</v>
      </c>
      <c r="H841" s="53">
        <f>IF(G841=1,IF(F840=1,1,-1),G841)</f>
        <v>0</v>
      </c>
      <c r="I841" s="53" t="str">
        <f>VLOOKUP(H841,codes,2,)</f>
        <v>dd</v>
      </c>
      <c r="J841" s="53"/>
    </row>
    <row r="842" spans="1:10" x14ac:dyDescent="0.25">
      <c r="A842" s="93">
        <v>43936</v>
      </c>
      <c r="B842" s="35">
        <f>C842+(D842-2009)*12</f>
        <v>136</v>
      </c>
      <c r="C842" s="76">
        <v>4</v>
      </c>
      <c r="D842" s="53">
        <v>2020</v>
      </c>
      <c r="E842" s="56">
        <v>0</v>
      </c>
      <c r="F842" s="53">
        <f>IF(E842&gt;0,1,0)</f>
        <v>0</v>
      </c>
      <c r="G842" s="53">
        <f>SUM(F841:F842)</f>
        <v>0</v>
      </c>
      <c r="H842" s="53">
        <f>IF(G842=1,IF(F841=1,1,-1),G842)</f>
        <v>0</v>
      </c>
      <c r="I842" s="53" t="str">
        <f>VLOOKUP(H842,codes,2,)</f>
        <v>dd</v>
      </c>
      <c r="J842" s="53"/>
    </row>
    <row r="843" spans="1:10" x14ac:dyDescent="0.25">
      <c r="A843" s="93">
        <v>43937</v>
      </c>
      <c r="B843" s="35">
        <f>C843+(D843-2009)*12</f>
        <v>136</v>
      </c>
      <c r="C843" s="76">
        <v>4</v>
      </c>
      <c r="D843" s="53">
        <v>2020</v>
      </c>
      <c r="E843" s="56">
        <v>0</v>
      </c>
      <c r="F843" s="53">
        <f>IF(E843&gt;0,1,0)</f>
        <v>0</v>
      </c>
      <c r="G843" s="53">
        <f>SUM(F842:F843)</f>
        <v>0</v>
      </c>
      <c r="H843" s="53">
        <f>IF(G843=1,IF(F842=1,1,-1),G843)</f>
        <v>0</v>
      </c>
      <c r="I843" s="53" t="str">
        <f>VLOOKUP(H843,codes,2,)</f>
        <v>dd</v>
      </c>
      <c r="J843" s="53"/>
    </row>
    <row r="844" spans="1:10" x14ac:dyDescent="0.25">
      <c r="A844" s="93">
        <v>43938</v>
      </c>
      <c r="B844" s="35">
        <f>C844+(D844-2009)*12</f>
        <v>136</v>
      </c>
      <c r="C844" s="76">
        <v>4</v>
      </c>
      <c r="D844" s="53">
        <v>2020</v>
      </c>
      <c r="E844" s="56">
        <v>0</v>
      </c>
      <c r="F844" s="53">
        <f>IF(E844&gt;0,1,0)</f>
        <v>0</v>
      </c>
      <c r="G844" s="53">
        <f>SUM(F843:F844)</f>
        <v>0</v>
      </c>
      <c r="H844" s="53">
        <f>IF(G844=1,IF(F843=1,1,-1),G844)</f>
        <v>0</v>
      </c>
      <c r="I844" s="53" t="str">
        <f>VLOOKUP(H844,codes,2,)</f>
        <v>dd</v>
      </c>
      <c r="J844" s="53"/>
    </row>
    <row r="845" spans="1:10" x14ac:dyDescent="0.25">
      <c r="A845" s="93">
        <v>43939</v>
      </c>
      <c r="B845" s="35">
        <f>C845+(D845-2009)*12</f>
        <v>136</v>
      </c>
      <c r="C845" s="76">
        <v>4</v>
      </c>
      <c r="D845" s="53">
        <v>2020</v>
      </c>
      <c r="E845" s="56">
        <v>0</v>
      </c>
      <c r="F845" s="53">
        <f>IF(E845&gt;0,1,0)</f>
        <v>0</v>
      </c>
      <c r="G845" s="53">
        <f>SUM(F844:F845)</f>
        <v>0</v>
      </c>
      <c r="H845" s="53">
        <f>IF(G845=1,IF(F844=1,1,-1),G845)</f>
        <v>0</v>
      </c>
      <c r="I845" s="53" t="str">
        <f>VLOOKUP(H845,codes,2,)</f>
        <v>dd</v>
      </c>
      <c r="J845" s="53"/>
    </row>
    <row r="846" spans="1:10" x14ac:dyDescent="0.25">
      <c r="A846" s="93">
        <v>43940</v>
      </c>
      <c r="B846" s="35">
        <f>C846+(D846-2009)*12</f>
        <v>136</v>
      </c>
      <c r="C846" s="76">
        <v>4</v>
      </c>
      <c r="D846" s="53">
        <v>2020</v>
      </c>
      <c r="E846" s="56">
        <v>0</v>
      </c>
      <c r="F846" s="53">
        <f>IF(E846&gt;0,1,0)</f>
        <v>0</v>
      </c>
      <c r="G846" s="53">
        <f>SUM(F845:F846)</f>
        <v>0</v>
      </c>
      <c r="H846" s="53">
        <f>IF(G846=1,IF(F845=1,1,-1),G846)</f>
        <v>0</v>
      </c>
      <c r="I846" s="53" t="str">
        <f>VLOOKUP(H846,codes,2,)</f>
        <v>dd</v>
      </c>
      <c r="J846" s="53"/>
    </row>
    <row r="847" spans="1:10" x14ac:dyDescent="0.25">
      <c r="A847" s="93">
        <v>43941</v>
      </c>
      <c r="B847" s="35">
        <f>C847+(D847-2009)*12</f>
        <v>136</v>
      </c>
      <c r="C847" s="76">
        <v>4</v>
      </c>
      <c r="D847" s="53">
        <v>2020</v>
      </c>
      <c r="E847" s="56">
        <v>0</v>
      </c>
      <c r="F847" s="53">
        <f>IF(E847&gt;0,1,0)</f>
        <v>0</v>
      </c>
      <c r="G847" s="53">
        <f>SUM(F846:F847)</f>
        <v>0</v>
      </c>
      <c r="H847" s="53">
        <f>IF(G847=1,IF(F846=1,1,-1),G847)</f>
        <v>0</v>
      </c>
      <c r="I847" s="53" t="str">
        <f>VLOOKUP(H847,codes,2,)</f>
        <v>dd</v>
      </c>
      <c r="J847" s="53"/>
    </row>
    <row r="848" spans="1:10" x14ac:dyDescent="0.25">
      <c r="A848" s="93">
        <v>43942</v>
      </c>
      <c r="B848" s="35">
        <f>C848+(D848-2009)*12</f>
        <v>136</v>
      </c>
      <c r="C848" s="76">
        <v>4</v>
      </c>
      <c r="D848" s="53">
        <v>2020</v>
      </c>
      <c r="E848" s="56">
        <v>0</v>
      </c>
      <c r="F848" s="53">
        <f>IF(E848&gt;0,1,0)</f>
        <v>0</v>
      </c>
      <c r="G848" s="53">
        <f>SUM(F847:F848)</f>
        <v>0</v>
      </c>
      <c r="H848" s="53">
        <f>IF(G848=1,IF(F847=1,1,-1),G848)</f>
        <v>0</v>
      </c>
      <c r="I848" s="53" t="str">
        <f>VLOOKUP(H848,codes,2,)</f>
        <v>dd</v>
      </c>
      <c r="J848" s="53"/>
    </row>
    <row r="849" spans="1:10" x14ac:dyDescent="0.25">
      <c r="A849" s="93">
        <v>43943</v>
      </c>
      <c r="B849" s="35">
        <f>C849+(D849-2009)*12</f>
        <v>136</v>
      </c>
      <c r="C849" s="76">
        <v>4</v>
      </c>
      <c r="D849" s="53">
        <v>2020</v>
      </c>
      <c r="E849" s="56">
        <v>0</v>
      </c>
      <c r="F849" s="53">
        <f>IF(E849&gt;0,1,0)</f>
        <v>0</v>
      </c>
      <c r="G849" s="53">
        <f>SUM(F848:F849)</f>
        <v>0</v>
      </c>
      <c r="H849" s="53">
        <f>IF(G849=1,IF(F848=1,1,-1),G849)</f>
        <v>0</v>
      </c>
      <c r="I849" s="53" t="str">
        <f>VLOOKUP(H849,codes,2,)</f>
        <v>dd</v>
      </c>
      <c r="J849" s="53"/>
    </row>
    <row r="850" spans="1:10" x14ac:dyDescent="0.25">
      <c r="A850" s="93">
        <v>43944</v>
      </c>
      <c r="B850" s="35">
        <f>C850+(D850-2009)*12</f>
        <v>136</v>
      </c>
      <c r="C850" s="76">
        <v>4</v>
      </c>
      <c r="D850" s="53">
        <v>2020</v>
      </c>
      <c r="E850" s="56">
        <v>0</v>
      </c>
      <c r="F850" s="53">
        <f>IF(E850&gt;0,1,0)</f>
        <v>0</v>
      </c>
      <c r="G850" s="53">
        <f>SUM(F849:F850)</f>
        <v>0</v>
      </c>
      <c r="H850" s="53">
        <f>IF(G850=1,IF(F849=1,1,-1),G850)</f>
        <v>0</v>
      </c>
      <c r="I850" s="53" t="str">
        <f>VLOOKUP(H850,codes,2,)</f>
        <v>dd</v>
      </c>
      <c r="J850" s="53"/>
    </row>
    <row r="851" spans="1:10" x14ac:dyDescent="0.25">
      <c r="A851" s="93">
        <v>43945</v>
      </c>
      <c r="B851" s="35">
        <f>C851+(D851-2009)*12</f>
        <v>136</v>
      </c>
      <c r="C851" s="76">
        <v>4</v>
      </c>
      <c r="D851" s="53">
        <v>2020</v>
      </c>
      <c r="E851" s="56">
        <v>0</v>
      </c>
      <c r="F851" s="53">
        <f>IF(E851&gt;0,1,0)</f>
        <v>0</v>
      </c>
      <c r="G851" s="53">
        <f>SUM(F850:F851)</f>
        <v>0</v>
      </c>
      <c r="H851" s="53">
        <f>IF(G851=1,IF(F850=1,1,-1),G851)</f>
        <v>0</v>
      </c>
      <c r="I851" s="53" t="str">
        <f>VLOOKUP(H851,codes,2,)</f>
        <v>dd</v>
      </c>
      <c r="J851" s="53"/>
    </row>
    <row r="852" spans="1:10" x14ac:dyDescent="0.25">
      <c r="A852" s="93">
        <v>43946</v>
      </c>
      <c r="B852" s="35">
        <f>C852+(D852-2009)*12</f>
        <v>136</v>
      </c>
      <c r="C852" s="76">
        <v>4</v>
      </c>
      <c r="D852" s="53">
        <v>2020</v>
      </c>
      <c r="E852" s="56">
        <v>0</v>
      </c>
      <c r="F852" s="53">
        <f>IF(E852&gt;0,1,0)</f>
        <v>0</v>
      </c>
      <c r="G852" s="53">
        <f>SUM(F851:F852)</f>
        <v>0</v>
      </c>
      <c r="H852" s="53">
        <f>IF(G852=1,IF(F851=1,1,-1),G852)</f>
        <v>0</v>
      </c>
      <c r="I852" s="53" t="str">
        <f>VLOOKUP(H852,codes,2,)</f>
        <v>dd</v>
      </c>
      <c r="J852" s="53"/>
    </row>
    <row r="853" spans="1:10" x14ac:dyDescent="0.25">
      <c r="A853" s="93">
        <v>43947</v>
      </c>
      <c r="B853" s="35">
        <f>C853+(D853-2009)*12</f>
        <v>136</v>
      </c>
      <c r="C853" s="76">
        <v>4</v>
      </c>
      <c r="D853" s="53">
        <v>2020</v>
      </c>
      <c r="E853" s="56">
        <v>0</v>
      </c>
      <c r="F853" s="53">
        <f>IF(E853&gt;0,1,0)</f>
        <v>0</v>
      </c>
      <c r="G853" s="53">
        <f>SUM(F852:F853)</f>
        <v>0</v>
      </c>
      <c r="H853" s="53">
        <f>IF(G853=1,IF(F852=1,1,-1),G853)</f>
        <v>0</v>
      </c>
      <c r="I853" s="53" t="str">
        <f>VLOOKUP(H853,codes,2,)</f>
        <v>dd</v>
      </c>
      <c r="J853" s="53"/>
    </row>
    <row r="854" spans="1:10" x14ac:dyDescent="0.25">
      <c r="A854" s="93">
        <v>43948</v>
      </c>
      <c r="B854" s="35">
        <f>C854+(D854-2009)*12</f>
        <v>136</v>
      </c>
      <c r="C854" s="76">
        <v>4</v>
      </c>
      <c r="D854" s="53">
        <v>2020</v>
      </c>
      <c r="E854" s="56">
        <v>0</v>
      </c>
      <c r="F854" s="53">
        <f>IF(E854&gt;0,1,0)</f>
        <v>0</v>
      </c>
      <c r="G854" s="53">
        <f>SUM(F853:F854)</f>
        <v>0</v>
      </c>
      <c r="H854" s="53">
        <f>IF(G854=1,IF(F853=1,1,-1),G854)</f>
        <v>0</v>
      </c>
      <c r="I854" s="53" t="str">
        <f>VLOOKUP(H854,codes,2,)</f>
        <v>dd</v>
      </c>
      <c r="J854" s="53"/>
    </row>
    <row r="855" spans="1:10" x14ac:dyDescent="0.25">
      <c r="A855" s="93">
        <v>43949</v>
      </c>
      <c r="B855" s="35">
        <f>C855+(D855-2009)*12</f>
        <v>136</v>
      </c>
      <c r="C855" s="76">
        <v>4</v>
      </c>
      <c r="D855" s="53">
        <v>2020</v>
      </c>
      <c r="E855" s="56">
        <v>0</v>
      </c>
      <c r="F855" s="53">
        <f>IF(E855&gt;0,1,0)</f>
        <v>0</v>
      </c>
      <c r="G855" s="53">
        <f>SUM(F854:F855)</f>
        <v>0</v>
      </c>
      <c r="H855" s="53">
        <f>IF(G855=1,IF(F854=1,1,-1),G855)</f>
        <v>0</v>
      </c>
      <c r="I855" s="53" t="str">
        <f>VLOOKUP(H855,codes,2,)</f>
        <v>dd</v>
      </c>
      <c r="J855" s="53"/>
    </row>
    <row r="856" spans="1:10" x14ac:dyDescent="0.25">
      <c r="A856" s="93">
        <v>43950</v>
      </c>
      <c r="B856" s="35">
        <f>C856+(D856-2009)*12</f>
        <v>136</v>
      </c>
      <c r="C856" s="76">
        <v>4</v>
      </c>
      <c r="D856" s="53">
        <v>2020</v>
      </c>
      <c r="E856" s="56">
        <v>0</v>
      </c>
      <c r="F856" s="53">
        <f>IF(E856&gt;0,1,0)</f>
        <v>0</v>
      </c>
      <c r="G856" s="53">
        <f>SUM(F855:F856)</f>
        <v>0</v>
      </c>
      <c r="H856" s="53">
        <f>IF(G856=1,IF(F855=1,1,-1),G856)</f>
        <v>0</v>
      </c>
      <c r="I856" s="53" t="str">
        <f>VLOOKUP(H856,codes,2,)</f>
        <v>dd</v>
      </c>
      <c r="J856" s="53"/>
    </row>
    <row r="857" spans="1:10" x14ac:dyDescent="0.25">
      <c r="A857" s="93">
        <v>43951</v>
      </c>
      <c r="B857" s="35">
        <f>C857+(D857-2009)*12</f>
        <v>136</v>
      </c>
      <c r="C857" s="76">
        <v>4</v>
      </c>
      <c r="D857" s="53">
        <v>2020</v>
      </c>
      <c r="E857" s="56">
        <v>0.80000000000000016</v>
      </c>
      <c r="F857" s="53">
        <f>IF(E857&gt;0,1,0)</f>
        <v>1</v>
      </c>
      <c r="G857" s="53">
        <f>SUM(F856:F857)</f>
        <v>1</v>
      </c>
      <c r="H857" s="53">
        <f>IF(G857=1,IF(F856=1,1,-1),G857)</f>
        <v>-1</v>
      </c>
      <c r="I857" s="53" t="str">
        <f>VLOOKUP(H857,codes,2,)</f>
        <v>dw</v>
      </c>
      <c r="J857" s="53"/>
    </row>
    <row r="858" spans="1:10" x14ac:dyDescent="0.25">
      <c r="A858" s="93">
        <v>44287</v>
      </c>
      <c r="B858" s="35">
        <f>C858+(D858-2009)*12</f>
        <v>148</v>
      </c>
      <c r="C858" s="76">
        <v>4</v>
      </c>
      <c r="D858" s="53">
        <v>2021</v>
      </c>
      <c r="E858" s="56">
        <v>0.60000000000000009</v>
      </c>
      <c r="F858" s="53">
        <f>IF(E858&gt;0,1,0)</f>
        <v>1</v>
      </c>
      <c r="G858" s="53">
        <f>SUM(F857:F858)</f>
        <v>2</v>
      </c>
      <c r="H858" s="53">
        <f>IF(G858=1,IF(F857=1,1,-1),G858)</f>
        <v>2</v>
      </c>
      <c r="I858" s="53" t="str">
        <f>VLOOKUP(H858,codes,2,)</f>
        <v>ww</v>
      </c>
      <c r="J858" s="53"/>
    </row>
    <row r="859" spans="1:10" x14ac:dyDescent="0.25">
      <c r="A859" s="93">
        <v>44288</v>
      </c>
      <c r="B859" s="35">
        <f>C859+(D859-2009)*12</f>
        <v>148</v>
      </c>
      <c r="C859" s="76">
        <v>4</v>
      </c>
      <c r="D859" s="53">
        <v>2021</v>
      </c>
      <c r="E859" s="56">
        <v>0</v>
      </c>
      <c r="F859" s="53">
        <f>IF(E859&gt;0,1,0)</f>
        <v>0</v>
      </c>
      <c r="G859" s="53">
        <f>SUM(F858:F859)</f>
        <v>1</v>
      </c>
      <c r="H859" s="53">
        <f>IF(G859=1,IF(F858=1,1,-1),G859)</f>
        <v>1</v>
      </c>
      <c r="I859" s="53" t="str">
        <f>VLOOKUP(H859,codes,2,)</f>
        <v>wd</v>
      </c>
      <c r="J859" s="53"/>
    </row>
    <row r="860" spans="1:10" x14ac:dyDescent="0.25">
      <c r="A860" s="93">
        <v>44289</v>
      </c>
      <c r="B860" s="35">
        <f>C860+(D860-2009)*12</f>
        <v>148</v>
      </c>
      <c r="C860" s="76">
        <v>4</v>
      </c>
      <c r="D860" s="53">
        <v>2021</v>
      </c>
      <c r="E860" s="56">
        <v>0</v>
      </c>
      <c r="F860" s="53">
        <f>IF(E860&gt;0,1,0)</f>
        <v>0</v>
      </c>
      <c r="G860" s="53">
        <f>SUM(F859:F860)</f>
        <v>0</v>
      </c>
      <c r="H860" s="53">
        <f>IF(G860=1,IF(F859=1,1,-1),G860)</f>
        <v>0</v>
      </c>
      <c r="I860" s="53" t="str">
        <f>VLOOKUP(H860,codes,2,)</f>
        <v>dd</v>
      </c>
      <c r="J860" s="53"/>
    </row>
    <row r="861" spans="1:10" x14ac:dyDescent="0.25">
      <c r="A861" s="93">
        <v>44290</v>
      </c>
      <c r="B861" s="35">
        <f>C861+(D861-2009)*12</f>
        <v>148</v>
      </c>
      <c r="C861" s="76">
        <v>4</v>
      </c>
      <c r="D861" s="53">
        <v>2021</v>
      </c>
      <c r="E861" s="56">
        <v>0</v>
      </c>
      <c r="F861" s="53">
        <f>IF(E861&gt;0,1,0)</f>
        <v>0</v>
      </c>
      <c r="G861" s="53">
        <f>SUM(F860:F861)</f>
        <v>0</v>
      </c>
      <c r="H861" s="53">
        <f>IF(G861=1,IF(F860=1,1,-1),G861)</f>
        <v>0</v>
      </c>
      <c r="I861" s="53" t="str">
        <f>VLOOKUP(H861,codes,2,)</f>
        <v>dd</v>
      </c>
      <c r="J861" s="53"/>
    </row>
    <row r="862" spans="1:10" x14ac:dyDescent="0.25">
      <c r="A862" s="93">
        <v>44291</v>
      </c>
      <c r="B862" s="35">
        <f>C862+(D862-2009)*12</f>
        <v>148</v>
      </c>
      <c r="C862" s="76">
        <v>4</v>
      </c>
      <c r="D862" s="53">
        <v>2021</v>
      </c>
      <c r="E862" s="56">
        <v>0.8666666666666667</v>
      </c>
      <c r="F862" s="53">
        <f>IF(E862&gt;0,1,0)</f>
        <v>1</v>
      </c>
      <c r="G862" s="53">
        <f>SUM(F861:F862)</f>
        <v>1</v>
      </c>
      <c r="H862" s="53">
        <f>IF(G862=1,IF(F861=1,1,-1),G862)</f>
        <v>-1</v>
      </c>
      <c r="I862" s="53" t="str">
        <f>VLOOKUP(H862,codes,2,)</f>
        <v>dw</v>
      </c>
      <c r="J862" s="53"/>
    </row>
    <row r="863" spans="1:10" x14ac:dyDescent="0.25">
      <c r="A863" s="93">
        <v>44292</v>
      </c>
      <c r="B863" s="35">
        <f>C863+(D863-2009)*12</f>
        <v>148</v>
      </c>
      <c r="C863" s="76">
        <v>4</v>
      </c>
      <c r="D863" s="53">
        <v>2021</v>
      </c>
      <c r="E863" s="56">
        <v>0</v>
      </c>
      <c r="F863" s="53">
        <f>IF(E863&gt;0,1,0)</f>
        <v>0</v>
      </c>
      <c r="G863" s="53">
        <f>SUM(F862:F863)</f>
        <v>1</v>
      </c>
      <c r="H863" s="53">
        <f>IF(G863=1,IF(F862=1,1,-1),G863)</f>
        <v>1</v>
      </c>
      <c r="I863" s="53" t="str">
        <f>VLOOKUP(H863,codes,2,)</f>
        <v>wd</v>
      </c>
      <c r="J863" s="53"/>
    </row>
    <row r="864" spans="1:10" x14ac:dyDescent="0.25">
      <c r="A864" s="93">
        <v>44293</v>
      </c>
      <c r="B864" s="35">
        <f>C864+(D864-2009)*12</f>
        <v>148</v>
      </c>
      <c r="C864" s="76">
        <v>4</v>
      </c>
      <c r="D864" s="53">
        <v>2021</v>
      </c>
      <c r="E864" s="56">
        <v>0.20000000000000004</v>
      </c>
      <c r="F864" s="53">
        <f>IF(E864&gt;0,1,0)</f>
        <v>1</v>
      </c>
      <c r="G864" s="53">
        <f>SUM(F863:F864)</f>
        <v>1</v>
      </c>
      <c r="H864" s="53">
        <f>IF(G864=1,IF(F863=1,1,-1),G864)</f>
        <v>-1</v>
      </c>
      <c r="I864" s="53" t="str">
        <f>VLOOKUP(H864,codes,2,)</f>
        <v>dw</v>
      </c>
      <c r="J864" s="53"/>
    </row>
    <row r="865" spans="1:10" x14ac:dyDescent="0.25">
      <c r="A865" s="93">
        <v>44294</v>
      </c>
      <c r="B865" s="35">
        <f>C865+(D865-2009)*12</f>
        <v>148</v>
      </c>
      <c r="C865" s="76">
        <v>4</v>
      </c>
      <c r="D865" s="53">
        <v>2021</v>
      </c>
      <c r="E865" s="56">
        <v>0</v>
      </c>
      <c r="F865" s="53">
        <f>IF(E865&gt;0,1,0)</f>
        <v>0</v>
      </c>
      <c r="G865" s="53">
        <f>SUM(F864:F865)</f>
        <v>1</v>
      </c>
      <c r="H865" s="53">
        <f>IF(G865=1,IF(F864=1,1,-1),G865)</f>
        <v>1</v>
      </c>
      <c r="I865" s="53" t="str">
        <f>VLOOKUP(H865,codes,2,)</f>
        <v>wd</v>
      </c>
      <c r="J865" s="53"/>
    </row>
    <row r="866" spans="1:10" x14ac:dyDescent="0.25">
      <c r="A866" s="93">
        <v>44295</v>
      </c>
      <c r="B866" s="35">
        <f>C866+(D866-2009)*12</f>
        <v>148</v>
      </c>
      <c r="C866" s="76">
        <v>4</v>
      </c>
      <c r="D866" s="53">
        <v>2021</v>
      </c>
      <c r="E866" s="56">
        <v>0.33333333333333331</v>
      </c>
      <c r="F866" s="53">
        <f>IF(E866&gt;0,1,0)</f>
        <v>1</v>
      </c>
      <c r="G866" s="53">
        <f>SUM(F865:F866)</f>
        <v>1</v>
      </c>
      <c r="H866" s="53">
        <f>IF(G866=1,IF(F865=1,1,-1),G866)</f>
        <v>-1</v>
      </c>
      <c r="I866" s="53" t="str">
        <f>VLOOKUP(H866,codes,2,)</f>
        <v>dw</v>
      </c>
      <c r="J866" s="53"/>
    </row>
    <row r="867" spans="1:10" x14ac:dyDescent="0.25">
      <c r="A867" s="93">
        <v>44296</v>
      </c>
      <c r="B867" s="35">
        <f>C867+(D867-2009)*12</f>
        <v>148</v>
      </c>
      <c r="C867" s="76">
        <v>4</v>
      </c>
      <c r="D867" s="53">
        <v>2021</v>
      </c>
      <c r="E867" s="56">
        <v>0.19999999999999998</v>
      </c>
      <c r="F867" s="53">
        <f>IF(E867&gt;0,1,0)</f>
        <v>1</v>
      </c>
      <c r="G867" s="53">
        <f>SUM(F866:F867)</f>
        <v>2</v>
      </c>
      <c r="H867" s="53">
        <f>IF(G867=1,IF(F866=1,1,-1),G867)</f>
        <v>2</v>
      </c>
      <c r="I867" s="53" t="str">
        <f>VLOOKUP(H867,codes,2,)</f>
        <v>ww</v>
      </c>
      <c r="J867" s="53"/>
    </row>
    <row r="868" spans="1:10" x14ac:dyDescent="0.25">
      <c r="A868" s="93">
        <v>44297</v>
      </c>
      <c r="B868" s="35">
        <f>C868+(D868-2009)*12</f>
        <v>148</v>
      </c>
      <c r="C868" s="76">
        <v>4</v>
      </c>
      <c r="D868" s="53">
        <v>2021</v>
      </c>
      <c r="E868" s="56">
        <v>0.26666666666666666</v>
      </c>
      <c r="F868" s="53">
        <f>IF(E868&gt;0,1,0)</f>
        <v>1</v>
      </c>
      <c r="G868" s="53">
        <f>SUM(F867:F868)</f>
        <v>2</v>
      </c>
      <c r="H868" s="53">
        <f>IF(G868=1,IF(F867=1,1,-1),G868)</f>
        <v>2</v>
      </c>
      <c r="I868" s="53" t="str">
        <f>VLOOKUP(H868,codes,2,)</f>
        <v>ww</v>
      </c>
      <c r="J868" s="53"/>
    </row>
    <row r="869" spans="1:10" x14ac:dyDescent="0.25">
      <c r="A869" s="93">
        <v>44298</v>
      </c>
      <c r="B869" s="35">
        <f>C869+(D869-2009)*12</f>
        <v>148</v>
      </c>
      <c r="C869" s="76">
        <v>4</v>
      </c>
      <c r="D869" s="53">
        <v>2021</v>
      </c>
      <c r="E869" s="56">
        <v>0.46666666666666662</v>
      </c>
      <c r="F869" s="53">
        <f>IF(E869&gt;0,1,0)</f>
        <v>1</v>
      </c>
      <c r="G869" s="53">
        <f>SUM(F868:F869)</f>
        <v>2</v>
      </c>
      <c r="H869" s="53">
        <f>IF(G869=1,IF(F868=1,1,-1),G869)</f>
        <v>2</v>
      </c>
      <c r="I869" s="53" t="str">
        <f>VLOOKUP(H869,codes,2,)</f>
        <v>ww</v>
      </c>
      <c r="J869" s="53"/>
    </row>
    <row r="870" spans="1:10" x14ac:dyDescent="0.25">
      <c r="A870" s="93">
        <v>44299</v>
      </c>
      <c r="B870" s="35">
        <f>C870+(D870-2009)*12</f>
        <v>148</v>
      </c>
      <c r="C870" s="76">
        <v>4</v>
      </c>
      <c r="D870" s="53">
        <v>2021</v>
      </c>
      <c r="E870" s="56">
        <v>0</v>
      </c>
      <c r="F870" s="53">
        <f>IF(E870&gt;0,1,0)</f>
        <v>0</v>
      </c>
      <c r="G870" s="53">
        <f>SUM(F869:F870)</f>
        <v>1</v>
      </c>
      <c r="H870" s="53">
        <f>IF(G870=1,IF(F869=1,1,-1),G870)</f>
        <v>1</v>
      </c>
      <c r="I870" s="53" t="str">
        <f>VLOOKUP(H870,codes,2,)</f>
        <v>wd</v>
      </c>
      <c r="J870" s="53"/>
    </row>
    <row r="871" spans="1:10" x14ac:dyDescent="0.25">
      <c r="A871" s="93">
        <v>44300</v>
      </c>
      <c r="B871" s="35">
        <f>C871+(D871-2009)*12</f>
        <v>148</v>
      </c>
      <c r="C871" s="76">
        <v>4</v>
      </c>
      <c r="D871" s="53">
        <v>2021</v>
      </c>
      <c r="E871" s="56">
        <v>0</v>
      </c>
      <c r="F871" s="53">
        <f>IF(E871&gt;0,1,0)</f>
        <v>0</v>
      </c>
      <c r="G871" s="53">
        <f>SUM(F870:F871)</f>
        <v>0</v>
      </c>
      <c r="H871" s="53">
        <f>IF(G871=1,IF(F870=1,1,-1),G871)</f>
        <v>0</v>
      </c>
      <c r="I871" s="53" t="str">
        <f>VLOOKUP(H871,codes,2,)</f>
        <v>dd</v>
      </c>
      <c r="J871" s="53"/>
    </row>
    <row r="872" spans="1:10" x14ac:dyDescent="0.25">
      <c r="A872" s="93">
        <v>44301</v>
      </c>
      <c r="B872" s="35">
        <f>C872+(D872-2009)*12</f>
        <v>148</v>
      </c>
      <c r="C872" s="76">
        <v>4</v>
      </c>
      <c r="D872" s="53">
        <v>2021</v>
      </c>
      <c r="E872" s="56">
        <v>0</v>
      </c>
      <c r="F872" s="53">
        <f>IF(E872&gt;0,1,0)</f>
        <v>0</v>
      </c>
      <c r="G872" s="53">
        <f>SUM(F871:F872)</f>
        <v>0</v>
      </c>
      <c r="H872" s="53">
        <f>IF(G872=1,IF(F871=1,1,-1),G872)</f>
        <v>0</v>
      </c>
      <c r="I872" s="53" t="str">
        <f>VLOOKUP(H872,codes,2,)</f>
        <v>dd</v>
      </c>
      <c r="J872" s="53"/>
    </row>
    <row r="873" spans="1:10" x14ac:dyDescent="0.25">
      <c r="A873" s="93">
        <v>44302</v>
      </c>
      <c r="B873" s="35">
        <f>C873+(D873-2009)*12</f>
        <v>148</v>
      </c>
      <c r="C873" s="76">
        <v>4</v>
      </c>
      <c r="D873" s="53">
        <v>2021</v>
      </c>
      <c r="E873" s="56">
        <v>0</v>
      </c>
      <c r="F873" s="53">
        <f>IF(E873&gt;0,1,0)</f>
        <v>0</v>
      </c>
      <c r="G873" s="53">
        <f>SUM(F872:F873)</f>
        <v>0</v>
      </c>
      <c r="H873" s="53">
        <f>IF(G873=1,IF(F872=1,1,-1),G873)</f>
        <v>0</v>
      </c>
      <c r="I873" s="53" t="str">
        <f>VLOOKUP(H873,codes,2,)</f>
        <v>dd</v>
      </c>
      <c r="J873" s="53"/>
    </row>
    <row r="874" spans="1:10" x14ac:dyDescent="0.25">
      <c r="A874" s="93">
        <v>44303</v>
      </c>
      <c r="B874" s="35">
        <f>C874+(D874-2009)*12</f>
        <v>148</v>
      </c>
      <c r="C874" s="76">
        <v>4</v>
      </c>
      <c r="D874" s="53">
        <v>2021</v>
      </c>
      <c r="E874" s="56">
        <v>6.6666666666666666E-2</v>
      </c>
      <c r="F874" s="53">
        <f>IF(E874&gt;0,1,0)</f>
        <v>1</v>
      </c>
      <c r="G874" s="53">
        <f>SUM(F873:F874)</f>
        <v>1</v>
      </c>
      <c r="H874" s="53">
        <f>IF(G874=1,IF(F873=1,1,-1),G874)</f>
        <v>-1</v>
      </c>
      <c r="I874" s="53" t="str">
        <f>VLOOKUP(H874,codes,2,)</f>
        <v>dw</v>
      </c>
      <c r="J874" s="53"/>
    </row>
    <row r="875" spans="1:10" x14ac:dyDescent="0.25">
      <c r="A875" s="93">
        <v>44304</v>
      </c>
      <c r="B875" s="35">
        <f>C875+(D875-2009)*12</f>
        <v>148</v>
      </c>
      <c r="C875" s="76">
        <v>4</v>
      </c>
      <c r="D875" s="53">
        <v>2021</v>
      </c>
      <c r="E875" s="56">
        <v>0</v>
      </c>
      <c r="F875" s="53">
        <f>IF(E875&gt;0,1,0)</f>
        <v>0</v>
      </c>
      <c r="G875" s="53">
        <f>SUM(F874:F875)</f>
        <v>1</v>
      </c>
      <c r="H875" s="53">
        <f>IF(G875=1,IF(F874=1,1,-1),G875)</f>
        <v>1</v>
      </c>
      <c r="I875" s="53" t="str">
        <f>VLOOKUP(H875,codes,2,)</f>
        <v>wd</v>
      </c>
      <c r="J875" s="53"/>
    </row>
    <row r="876" spans="1:10" x14ac:dyDescent="0.25">
      <c r="A876" s="93">
        <v>44305</v>
      </c>
      <c r="B876" s="35">
        <f>C876+(D876-2009)*12</f>
        <v>148</v>
      </c>
      <c r="C876" s="76">
        <v>4</v>
      </c>
      <c r="D876" s="53">
        <v>2021</v>
      </c>
      <c r="E876" s="56">
        <v>0</v>
      </c>
      <c r="F876" s="53">
        <f>IF(E876&gt;0,1,0)</f>
        <v>0</v>
      </c>
      <c r="G876" s="53">
        <f>SUM(F875:F876)</f>
        <v>0</v>
      </c>
      <c r="H876" s="53">
        <f>IF(G876=1,IF(F875=1,1,-1),G876)</f>
        <v>0</v>
      </c>
      <c r="I876" s="53" t="str">
        <f>VLOOKUP(H876,codes,2,)</f>
        <v>dd</v>
      </c>
      <c r="J876" s="53"/>
    </row>
    <row r="877" spans="1:10" x14ac:dyDescent="0.25">
      <c r="A877" s="93">
        <v>44306</v>
      </c>
      <c r="B877" s="35">
        <f>C877+(D877-2009)*12</f>
        <v>148</v>
      </c>
      <c r="C877" s="76">
        <v>4</v>
      </c>
      <c r="D877" s="53">
        <v>2021</v>
      </c>
      <c r="E877" s="56">
        <v>0</v>
      </c>
      <c r="F877" s="53">
        <f>IF(E877&gt;0,1,0)</f>
        <v>0</v>
      </c>
      <c r="G877" s="53">
        <f>SUM(F876:F877)</f>
        <v>0</v>
      </c>
      <c r="H877" s="53">
        <f>IF(G877=1,IF(F876=1,1,-1),G877)</f>
        <v>0</v>
      </c>
      <c r="I877" s="53" t="str">
        <f>VLOOKUP(H877,codes,2,)</f>
        <v>dd</v>
      </c>
      <c r="J877" s="53"/>
    </row>
    <row r="878" spans="1:10" x14ac:dyDescent="0.25">
      <c r="A878" s="93">
        <v>44307</v>
      </c>
      <c r="B878" s="35">
        <f>C878+(D878-2009)*12</f>
        <v>148</v>
      </c>
      <c r="C878" s="76">
        <v>4</v>
      </c>
      <c r="D878" s="53">
        <v>2021</v>
      </c>
      <c r="E878" s="56">
        <v>0</v>
      </c>
      <c r="F878" s="53">
        <f>IF(E878&gt;0,1,0)</f>
        <v>0</v>
      </c>
      <c r="G878" s="53">
        <f>SUM(F877:F878)</f>
        <v>0</v>
      </c>
      <c r="H878" s="53">
        <f>IF(G878=1,IF(F877=1,1,-1),G878)</f>
        <v>0</v>
      </c>
      <c r="I878" s="53" t="str">
        <f>VLOOKUP(H878,codes,2,)</f>
        <v>dd</v>
      </c>
      <c r="J878" s="53"/>
    </row>
    <row r="879" spans="1:10" x14ac:dyDescent="0.25">
      <c r="A879" s="93">
        <v>44308</v>
      </c>
      <c r="B879" s="35">
        <f>C879+(D879-2009)*12</f>
        <v>148</v>
      </c>
      <c r="C879" s="76">
        <v>4</v>
      </c>
      <c r="D879" s="53">
        <v>2021</v>
      </c>
      <c r="E879" s="56">
        <v>0</v>
      </c>
      <c r="F879" s="53">
        <f>IF(E879&gt;0,1,0)</f>
        <v>0</v>
      </c>
      <c r="G879" s="53">
        <f>SUM(F878:F879)</f>
        <v>0</v>
      </c>
      <c r="H879" s="53">
        <f>IF(G879=1,IF(F878=1,1,-1),G879)</f>
        <v>0</v>
      </c>
      <c r="I879" s="53" t="str">
        <f>VLOOKUP(H879,codes,2,)</f>
        <v>dd</v>
      </c>
      <c r="J879" s="53"/>
    </row>
    <row r="880" spans="1:10" x14ac:dyDescent="0.25">
      <c r="A880" s="93">
        <v>44309</v>
      </c>
      <c r="B880" s="35">
        <f>C880+(D880-2009)*12</f>
        <v>148</v>
      </c>
      <c r="C880" s="76">
        <v>4</v>
      </c>
      <c r="D880" s="53">
        <v>2021</v>
      </c>
      <c r="E880" s="56">
        <v>0</v>
      </c>
      <c r="F880" s="53">
        <f>IF(E880&gt;0,1,0)</f>
        <v>0</v>
      </c>
      <c r="G880" s="53">
        <f>SUM(F879:F880)</f>
        <v>0</v>
      </c>
      <c r="H880" s="53">
        <f>IF(G880=1,IF(F879=1,1,-1),G880)</f>
        <v>0</v>
      </c>
      <c r="I880" s="53" t="str">
        <f>VLOOKUP(H880,codes,2,)</f>
        <v>dd</v>
      </c>
      <c r="J880" s="53"/>
    </row>
    <row r="881" spans="1:10" x14ac:dyDescent="0.25">
      <c r="A881" s="93">
        <v>44310</v>
      </c>
      <c r="B881" s="35">
        <f>C881+(D881-2009)*12</f>
        <v>148</v>
      </c>
      <c r="C881" s="76">
        <v>4</v>
      </c>
      <c r="D881" s="53">
        <v>2021</v>
      </c>
      <c r="E881" s="56">
        <v>0</v>
      </c>
      <c r="F881" s="53">
        <f>IF(E881&gt;0,1,0)</f>
        <v>0</v>
      </c>
      <c r="G881" s="53">
        <f>SUM(F880:F881)</f>
        <v>0</v>
      </c>
      <c r="H881" s="53">
        <f>IF(G881=1,IF(F880=1,1,-1),G881)</f>
        <v>0</v>
      </c>
      <c r="I881" s="53" t="str">
        <f>VLOOKUP(H881,codes,2,)</f>
        <v>dd</v>
      </c>
      <c r="J881" s="53"/>
    </row>
    <row r="882" spans="1:10" x14ac:dyDescent="0.25">
      <c r="A882" s="93">
        <v>44311</v>
      </c>
      <c r="B882" s="35">
        <f>C882+(D882-2009)*12</f>
        <v>148</v>
      </c>
      <c r="C882" s="76">
        <v>4</v>
      </c>
      <c r="D882" s="53">
        <v>2021</v>
      </c>
      <c r="E882" s="56">
        <v>0</v>
      </c>
      <c r="F882" s="53">
        <f>IF(E882&gt;0,1,0)</f>
        <v>0</v>
      </c>
      <c r="G882" s="53">
        <f>SUM(F881:F882)</f>
        <v>0</v>
      </c>
      <c r="H882" s="53">
        <f>IF(G882=1,IF(F881=1,1,-1),G882)</f>
        <v>0</v>
      </c>
      <c r="I882" s="53" t="str">
        <f>VLOOKUP(H882,codes,2,)</f>
        <v>dd</v>
      </c>
      <c r="J882" s="53"/>
    </row>
    <row r="883" spans="1:10" x14ac:dyDescent="0.25">
      <c r="A883" s="93">
        <v>44312</v>
      </c>
      <c r="B883" s="35">
        <f>C883+(D883-2009)*12</f>
        <v>148</v>
      </c>
      <c r="C883" s="76">
        <v>4</v>
      </c>
      <c r="D883" s="53">
        <v>2021</v>
      </c>
      <c r="E883" s="56">
        <v>0</v>
      </c>
      <c r="F883" s="53">
        <f>IF(E883&gt;0,1,0)</f>
        <v>0</v>
      </c>
      <c r="G883" s="53">
        <f>SUM(F882:F883)</f>
        <v>0</v>
      </c>
      <c r="H883" s="53">
        <f>IF(G883=1,IF(F882=1,1,-1),G883)</f>
        <v>0</v>
      </c>
      <c r="I883" s="53" t="str">
        <f>VLOOKUP(H883,codes,2,)</f>
        <v>dd</v>
      </c>
      <c r="J883" s="53"/>
    </row>
    <row r="884" spans="1:10" x14ac:dyDescent="0.25">
      <c r="A884" s="93">
        <v>44313</v>
      </c>
      <c r="B884" s="35">
        <f>C884+(D884-2009)*12</f>
        <v>148</v>
      </c>
      <c r="C884" s="76">
        <v>4</v>
      </c>
      <c r="D884" s="53">
        <v>2021</v>
      </c>
      <c r="E884" s="56">
        <v>0.73333333333333339</v>
      </c>
      <c r="F884" s="53">
        <f>IF(E884&gt;0,1,0)</f>
        <v>1</v>
      </c>
      <c r="G884" s="53">
        <f>SUM(F883:F884)</f>
        <v>1</v>
      </c>
      <c r="H884" s="53">
        <f>IF(G884=1,IF(F883=1,1,-1),G884)</f>
        <v>-1</v>
      </c>
      <c r="I884" s="53" t="str">
        <f>VLOOKUP(H884,codes,2,)</f>
        <v>dw</v>
      </c>
      <c r="J884" s="53"/>
    </row>
    <row r="885" spans="1:10" x14ac:dyDescent="0.25">
      <c r="A885" s="93">
        <v>44314</v>
      </c>
      <c r="B885" s="35">
        <f>C885+(D885-2009)*12</f>
        <v>148</v>
      </c>
      <c r="C885" s="76">
        <v>4</v>
      </c>
      <c r="D885" s="53">
        <v>2021</v>
      </c>
      <c r="E885" s="56">
        <v>4.9333333333333336</v>
      </c>
      <c r="F885" s="53">
        <f>IF(E885&gt;0,1,0)</f>
        <v>1</v>
      </c>
      <c r="G885" s="53">
        <f>SUM(F884:F885)</f>
        <v>2</v>
      </c>
      <c r="H885" s="53">
        <f>IF(G885=1,IF(F884=1,1,-1),G885)</f>
        <v>2</v>
      </c>
      <c r="I885" s="53" t="str">
        <f>VLOOKUP(H885,codes,2,)</f>
        <v>ww</v>
      </c>
      <c r="J885" s="53"/>
    </row>
    <row r="886" spans="1:10" x14ac:dyDescent="0.25">
      <c r="A886" s="93">
        <v>44315</v>
      </c>
      <c r="B886" s="35">
        <f>C886+(D886-2009)*12</f>
        <v>148</v>
      </c>
      <c r="C886" s="76">
        <v>4</v>
      </c>
      <c r="D886" s="53">
        <v>2021</v>
      </c>
      <c r="E886" s="56">
        <v>2.1999999999999997</v>
      </c>
      <c r="F886" s="53">
        <f>IF(E886&gt;0,1,0)</f>
        <v>1</v>
      </c>
      <c r="G886" s="53">
        <f>SUM(F885:F886)</f>
        <v>2</v>
      </c>
      <c r="H886" s="53">
        <f>IF(G886=1,IF(F885=1,1,-1),G886)</f>
        <v>2</v>
      </c>
      <c r="I886" s="53" t="str">
        <f>VLOOKUP(H886,codes,2,)</f>
        <v>ww</v>
      </c>
      <c r="J886" s="53"/>
    </row>
    <row r="887" spans="1:10" x14ac:dyDescent="0.25">
      <c r="A887" s="93">
        <v>44316</v>
      </c>
      <c r="B887" s="35">
        <f>C887+(D887-2009)*12</f>
        <v>148</v>
      </c>
      <c r="C887" s="76">
        <v>4</v>
      </c>
      <c r="D887" s="53">
        <v>2021</v>
      </c>
      <c r="E887" s="56">
        <v>0.26666666666666666</v>
      </c>
      <c r="F887" s="53">
        <f>IF(E887&gt;0,1,0)</f>
        <v>1</v>
      </c>
      <c r="G887" s="53">
        <f>SUM(F886:F887)</f>
        <v>2</v>
      </c>
      <c r="H887" s="53">
        <f>IF(G887=1,IF(F886=1,1,-1),G887)</f>
        <v>2</v>
      </c>
      <c r="I887" s="53" t="str">
        <f>VLOOKUP(H887,codes,2,)</f>
        <v>ww</v>
      </c>
      <c r="J887" s="53"/>
    </row>
    <row r="888" spans="1:10" x14ac:dyDescent="0.25">
      <c r="A888" s="93">
        <v>44652</v>
      </c>
      <c r="B888" s="35">
        <f>C888+(D888-2009)*12</f>
        <v>160</v>
      </c>
      <c r="C888" s="76">
        <v>4</v>
      </c>
      <c r="D888" s="53">
        <v>2022</v>
      </c>
      <c r="E888" s="56">
        <v>4.9333333333333336</v>
      </c>
      <c r="F888" s="53">
        <f>IF(E888&gt;0,1,0)</f>
        <v>1</v>
      </c>
      <c r="G888" s="53">
        <f>SUM(F887:F888)</f>
        <v>2</v>
      </c>
      <c r="H888" s="53">
        <f>IF(G888=1,IF(F887=1,1,-1),G888)</f>
        <v>2</v>
      </c>
      <c r="I888" s="53" t="str">
        <f>VLOOKUP(H888,codes,2,)</f>
        <v>ww</v>
      </c>
      <c r="J888" s="53"/>
    </row>
    <row r="889" spans="1:10" x14ac:dyDescent="0.25">
      <c r="A889" s="93">
        <v>44653</v>
      </c>
      <c r="B889" s="35">
        <f>C889+(D889-2009)*12</f>
        <v>160</v>
      </c>
      <c r="C889" s="76">
        <v>4</v>
      </c>
      <c r="D889" s="53">
        <v>2022</v>
      </c>
      <c r="E889" s="56">
        <v>1.1333333333333333</v>
      </c>
      <c r="F889" s="53">
        <f>IF(E889&gt;0,1,0)</f>
        <v>1</v>
      </c>
      <c r="G889" s="53">
        <f>SUM(F888:F889)</f>
        <v>2</v>
      </c>
      <c r="H889" s="53">
        <f>IF(G889=1,IF(F888=1,1,-1),G889)</f>
        <v>2</v>
      </c>
      <c r="I889" s="53" t="str">
        <f>VLOOKUP(H889,codes,2,)</f>
        <v>ww</v>
      </c>
      <c r="J889" s="53"/>
    </row>
    <row r="890" spans="1:10" x14ac:dyDescent="0.25">
      <c r="A890" s="93">
        <v>44654</v>
      </c>
      <c r="B890" s="35">
        <f>C890+(D890-2009)*12</f>
        <v>160</v>
      </c>
      <c r="C890" s="76">
        <v>4</v>
      </c>
      <c r="D890" s="53">
        <v>2022</v>
      </c>
      <c r="E890" s="56">
        <v>0</v>
      </c>
      <c r="F890" s="53">
        <f>IF(E890&gt;0,1,0)</f>
        <v>0</v>
      </c>
      <c r="G890" s="53">
        <f>SUM(F889:F890)</f>
        <v>1</v>
      </c>
      <c r="H890" s="53">
        <f>IF(G890=1,IF(F889=1,1,-1),G890)</f>
        <v>1</v>
      </c>
      <c r="I890" s="53" t="str">
        <f>VLOOKUP(H890,codes,2,)</f>
        <v>wd</v>
      </c>
      <c r="J890" s="53"/>
    </row>
    <row r="891" spans="1:10" x14ac:dyDescent="0.25">
      <c r="A891" s="93">
        <v>44655</v>
      </c>
      <c r="B891" s="35">
        <f>C891+(D891-2009)*12</f>
        <v>160</v>
      </c>
      <c r="C891" s="76">
        <v>4</v>
      </c>
      <c r="D891" s="53">
        <v>2022</v>
      </c>
      <c r="E891" s="56">
        <v>1.4000000000000001</v>
      </c>
      <c r="F891" s="53">
        <f>IF(E891&gt;0,1,0)</f>
        <v>1</v>
      </c>
      <c r="G891" s="53">
        <f>SUM(F890:F891)</f>
        <v>1</v>
      </c>
      <c r="H891" s="53">
        <f>IF(G891=1,IF(F890=1,1,-1),G891)</f>
        <v>-1</v>
      </c>
      <c r="I891" s="53" t="str">
        <f>VLOOKUP(H891,codes,2,)</f>
        <v>dw</v>
      </c>
      <c r="J891" s="53"/>
    </row>
    <row r="892" spans="1:10" x14ac:dyDescent="0.25">
      <c r="A892" s="93">
        <v>44656</v>
      </c>
      <c r="B892" s="35">
        <f>C892+(D892-2009)*12</f>
        <v>160</v>
      </c>
      <c r="C892" s="76">
        <v>4</v>
      </c>
      <c r="D892" s="53">
        <v>2022</v>
      </c>
      <c r="E892" s="56">
        <v>2</v>
      </c>
      <c r="F892" s="53">
        <f>IF(E892&gt;0,1,0)</f>
        <v>1</v>
      </c>
      <c r="G892" s="53">
        <f>SUM(F891:F892)</f>
        <v>2</v>
      </c>
      <c r="H892" s="53">
        <f>IF(G892=1,IF(F891=1,1,-1),G892)</f>
        <v>2</v>
      </c>
      <c r="I892" s="53" t="str">
        <f>VLOOKUP(H892,codes,2,)</f>
        <v>ww</v>
      </c>
      <c r="J892" s="53"/>
    </row>
    <row r="893" spans="1:10" x14ac:dyDescent="0.25">
      <c r="A893" s="93">
        <v>44657</v>
      </c>
      <c r="B893" s="35">
        <f>C893+(D893-2009)*12</f>
        <v>160</v>
      </c>
      <c r="C893" s="76">
        <v>4</v>
      </c>
      <c r="D893" s="53">
        <v>2022</v>
      </c>
      <c r="E893" s="56">
        <v>6.6666666666666666E-2</v>
      </c>
      <c r="F893" s="53">
        <f>IF(E893&gt;0,1,0)</f>
        <v>1</v>
      </c>
      <c r="G893" s="53">
        <f>SUM(F892:F893)</f>
        <v>2</v>
      </c>
      <c r="H893" s="53">
        <f>IF(G893=1,IF(F892=1,1,-1),G893)</f>
        <v>2</v>
      </c>
      <c r="I893" s="53" t="str">
        <f>VLOOKUP(H893,codes,2,)</f>
        <v>ww</v>
      </c>
      <c r="J893" s="53"/>
    </row>
    <row r="894" spans="1:10" x14ac:dyDescent="0.25">
      <c r="A894" s="93">
        <v>44658</v>
      </c>
      <c r="B894" s="35">
        <f>C894+(D894-2009)*12</f>
        <v>160</v>
      </c>
      <c r="C894" s="76">
        <v>4</v>
      </c>
      <c r="D894" s="53">
        <v>2022</v>
      </c>
      <c r="E894" s="56">
        <v>6.2</v>
      </c>
      <c r="F894" s="53">
        <f>IF(E894&gt;0,1,0)</f>
        <v>1</v>
      </c>
      <c r="G894" s="53">
        <f>SUM(F893:F894)</f>
        <v>2</v>
      </c>
      <c r="H894" s="53">
        <f>IF(G894=1,IF(F893=1,1,-1),G894)</f>
        <v>2</v>
      </c>
      <c r="I894" s="53" t="str">
        <f>VLOOKUP(H894,codes,2,)</f>
        <v>ww</v>
      </c>
      <c r="J894" s="53"/>
    </row>
    <row r="895" spans="1:10" x14ac:dyDescent="0.25">
      <c r="A895" s="93">
        <v>44659</v>
      </c>
      <c r="B895" s="35">
        <f>C895+(D895-2009)*12</f>
        <v>160</v>
      </c>
      <c r="C895" s="76">
        <v>4</v>
      </c>
      <c r="D895" s="53">
        <v>2022</v>
      </c>
      <c r="E895" s="56">
        <v>0.79999999999999993</v>
      </c>
      <c r="F895" s="53">
        <f>IF(E895&gt;0,1,0)</f>
        <v>1</v>
      </c>
      <c r="G895" s="53">
        <f>SUM(F894:F895)</f>
        <v>2</v>
      </c>
      <c r="H895" s="53">
        <f>IF(G895=1,IF(F894=1,1,-1),G895)</f>
        <v>2</v>
      </c>
      <c r="I895" s="53" t="str">
        <f>VLOOKUP(H895,codes,2,)</f>
        <v>ww</v>
      </c>
      <c r="J895" s="53"/>
    </row>
    <row r="896" spans="1:10" x14ac:dyDescent="0.25">
      <c r="A896" s="93">
        <v>44660</v>
      </c>
      <c r="B896" s="35">
        <f>C896+(D896-2009)*12</f>
        <v>160</v>
      </c>
      <c r="C896" s="76">
        <v>4</v>
      </c>
      <c r="D896" s="53">
        <v>2022</v>
      </c>
      <c r="E896" s="56">
        <v>0</v>
      </c>
      <c r="F896" s="53">
        <f>IF(E896&gt;0,1,0)</f>
        <v>0</v>
      </c>
      <c r="G896" s="53">
        <f>SUM(F895:F896)</f>
        <v>1</v>
      </c>
      <c r="H896" s="53">
        <f>IF(G896=1,IF(F895=1,1,-1),G896)</f>
        <v>1</v>
      </c>
      <c r="I896" s="53" t="str">
        <f>VLOOKUP(H896,codes,2,)</f>
        <v>wd</v>
      </c>
      <c r="J896" s="53"/>
    </row>
    <row r="897" spans="1:10" x14ac:dyDescent="0.25">
      <c r="A897" s="93">
        <v>44661</v>
      </c>
      <c r="B897" s="35">
        <f>C897+(D897-2009)*12</f>
        <v>160</v>
      </c>
      <c r="C897" s="76">
        <v>4</v>
      </c>
      <c r="D897" s="53">
        <v>2022</v>
      </c>
      <c r="E897" s="56">
        <v>0</v>
      </c>
      <c r="F897" s="53">
        <f>IF(E897&gt;0,1,0)</f>
        <v>0</v>
      </c>
      <c r="G897" s="53">
        <f>SUM(F896:F897)</f>
        <v>0</v>
      </c>
      <c r="H897" s="53">
        <f>IF(G897=1,IF(F896=1,1,-1),G897)</f>
        <v>0</v>
      </c>
      <c r="I897" s="53" t="str">
        <f>VLOOKUP(H897,codes,2,)</f>
        <v>dd</v>
      </c>
      <c r="J897" s="53"/>
    </row>
    <row r="898" spans="1:10" x14ac:dyDescent="0.25">
      <c r="A898" s="93">
        <v>44662</v>
      </c>
      <c r="B898" s="35">
        <f>C898+(D898-2009)*12</f>
        <v>160</v>
      </c>
      <c r="C898" s="76">
        <v>4</v>
      </c>
      <c r="D898" s="53">
        <v>2022</v>
      </c>
      <c r="E898" s="56">
        <v>0</v>
      </c>
      <c r="F898" s="53">
        <f>IF(E898&gt;0,1,0)</f>
        <v>0</v>
      </c>
      <c r="G898" s="53">
        <f>SUM(F897:F898)</f>
        <v>0</v>
      </c>
      <c r="H898" s="53">
        <f>IF(G898=1,IF(F897=1,1,-1),G898)</f>
        <v>0</v>
      </c>
      <c r="I898" s="53" t="str">
        <f>VLOOKUP(H898,codes,2,)</f>
        <v>dd</v>
      </c>
      <c r="J898" s="53"/>
    </row>
    <row r="899" spans="1:10" x14ac:dyDescent="0.25">
      <c r="A899" s="93">
        <v>44663</v>
      </c>
      <c r="B899" s="35">
        <f>C899+(D899-2009)*12</f>
        <v>160</v>
      </c>
      <c r="C899" s="76">
        <v>4</v>
      </c>
      <c r="D899" s="53">
        <v>2022</v>
      </c>
      <c r="E899" s="56">
        <v>0.53333333333333333</v>
      </c>
      <c r="F899" s="53">
        <f>IF(E899&gt;0,1,0)</f>
        <v>1</v>
      </c>
      <c r="G899" s="53">
        <f>SUM(F898:F899)</f>
        <v>1</v>
      </c>
      <c r="H899" s="53">
        <f>IF(G899=1,IF(F898=1,1,-1),G899)</f>
        <v>-1</v>
      </c>
      <c r="I899" s="53" t="str">
        <f>VLOOKUP(H899,codes,2,)</f>
        <v>dw</v>
      </c>
      <c r="J899" s="53"/>
    </row>
    <row r="900" spans="1:10" x14ac:dyDescent="0.25">
      <c r="A900" s="93">
        <v>44664</v>
      </c>
      <c r="B900" s="35">
        <f>C900+(D900-2009)*12</f>
        <v>160</v>
      </c>
      <c r="C900" s="76">
        <v>4</v>
      </c>
      <c r="D900" s="53">
        <v>2022</v>
      </c>
      <c r="E900" s="56">
        <v>5.5333333333333341</v>
      </c>
      <c r="F900" s="53">
        <f>IF(E900&gt;0,1,0)</f>
        <v>1</v>
      </c>
      <c r="G900" s="53">
        <f>SUM(F899:F900)</f>
        <v>2</v>
      </c>
      <c r="H900" s="53">
        <f>IF(G900=1,IF(F899=1,1,-1),G900)</f>
        <v>2</v>
      </c>
      <c r="I900" s="53" t="str">
        <f>VLOOKUP(H900,codes,2,)</f>
        <v>ww</v>
      </c>
      <c r="J900" s="53"/>
    </row>
    <row r="901" spans="1:10" x14ac:dyDescent="0.25">
      <c r="A901" s="93">
        <v>44665</v>
      </c>
      <c r="B901" s="35">
        <f>C901+(D901-2009)*12</f>
        <v>160</v>
      </c>
      <c r="C901" s="76">
        <v>4</v>
      </c>
      <c r="D901" s="53">
        <v>2022</v>
      </c>
      <c r="E901" s="56">
        <v>0</v>
      </c>
      <c r="F901" s="53">
        <f>IF(E901&gt;0,1,0)</f>
        <v>0</v>
      </c>
      <c r="G901" s="53">
        <f>SUM(F900:F901)</f>
        <v>1</v>
      </c>
      <c r="H901" s="53">
        <f>IF(G901=1,IF(F900=1,1,-1),G901)</f>
        <v>1</v>
      </c>
      <c r="I901" s="53" t="str">
        <f>VLOOKUP(H901,codes,2,)</f>
        <v>wd</v>
      </c>
      <c r="J901" s="53"/>
    </row>
    <row r="902" spans="1:10" x14ac:dyDescent="0.25">
      <c r="A902" s="93">
        <v>44666</v>
      </c>
      <c r="B902" s="35">
        <f>C902+(D902-2009)*12</f>
        <v>160</v>
      </c>
      <c r="C902" s="76">
        <v>4</v>
      </c>
      <c r="D902" s="53">
        <v>2022</v>
      </c>
      <c r="E902" s="56">
        <v>0</v>
      </c>
      <c r="F902" s="53">
        <f>IF(E902&gt;0,1,0)</f>
        <v>0</v>
      </c>
      <c r="G902" s="53">
        <f>SUM(F901:F902)</f>
        <v>0</v>
      </c>
      <c r="H902" s="53">
        <f>IF(G902=1,IF(F901=1,1,-1),G902)</f>
        <v>0</v>
      </c>
      <c r="I902" s="53" t="str">
        <f>VLOOKUP(H902,codes,2,)</f>
        <v>dd</v>
      </c>
      <c r="J902" s="53"/>
    </row>
    <row r="903" spans="1:10" x14ac:dyDescent="0.25">
      <c r="A903" s="93">
        <v>44667</v>
      </c>
      <c r="B903" s="35">
        <f>C903+(D903-2009)*12</f>
        <v>160</v>
      </c>
      <c r="C903" s="76">
        <v>4</v>
      </c>
      <c r="D903" s="53">
        <v>2022</v>
      </c>
      <c r="E903" s="56">
        <v>0</v>
      </c>
      <c r="F903" s="53">
        <f>IF(E903&gt;0,1,0)</f>
        <v>0</v>
      </c>
      <c r="G903" s="53">
        <f>SUM(F902:F903)</f>
        <v>0</v>
      </c>
      <c r="H903" s="53">
        <f>IF(G903=1,IF(F902=1,1,-1),G903)</f>
        <v>0</v>
      </c>
      <c r="I903" s="53" t="str">
        <f>VLOOKUP(H903,codes,2,)</f>
        <v>dd</v>
      </c>
      <c r="J903" s="53"/>
    </row>
    <row r="904" spans="1:10" x14ac:dyDescent="0.25">
      <c r="A904" s="93">
        <v>44668</v>
      </c>
      <c r="B904" s="35">
        <f>C904+(D904-2009)*12</f>
        <v>160</v>
      </c>
      <c r="C904" s="76">
        <v>4</v>
      </c>
      <c r="D904" s="53">
        <v>2022</v>
      </c>
      <c r="E904" s="56">
        <v>0</v>
      </c>
      <c r="F904" s="53">
        <f>IF(E904&gt;0,1,0)</f>
        <v>0</v>
      </c>
      <c r="G904" s="53">
        <f>SUM(F903:F904)</f>
        <v>0</v>
      </c>
      <c r="H904" s="53">
        <f>IF(G904=1,IF(F903=1,1,-1),G904)</f>
        <v>0</v>
      </c>
      <c r="I904" s="53" t="str">
        <f>VLOOKUP(H904,codes,2,)</f>
        <v>dd</v>
      </c>
      <c r="J904" s="53"/>
    </row>
    <row r="905" spans="1:10" x14ac:dyDescent="0.25">
      <c r="A905" s="93">
        <v>44669</v>
      </c>
      <c r="B905" s="35">
        <f>C905+(D905-2009)*12</f>
        <v>160</v>
      </c>
      <c r="C905" s="76">
        <v>4</v>
      </c>
      <c r="D905" s="53">
        <v>2022</v>
      </c>
      <c r="E905" s="56">
        <v>0.66666666666666663</v>
      </c>
      <c r="F905" s="53">
        <f>IF(E905&gt;0,1,0)</f>
        <v>1</v>
      </c>
      <c r="G905" s="53">
        <f>SUM(F904:F905)</f>
        <v>1</v>
      </c>
      <c r="H905" s="53">
        <f>IF(G905=1,IF(F904=1,1,-1),G905)</f>
        <v>-1</v>
      </c>
      <c r="I905" s="53" t="str">
        <f>VLOOKUP(H905,codes,2,)</f>
        <v>dw</v>
      </c>
      <c r="J905" s="53"/>
    </row>
    <row r="906" spans="1:10" x14ac:dyDescent="0.25">
      <c r="A906" s="93">
        <v>44670</v>
      </c>
      <c r="B906" s="35">
        <f>C906+(D906-2009)*12</f>
        <v>160</v>
      </c>
      <c r="C906" s="76">
        <v>4</v>
      </c>
      <c r="D906" s="53">
        <v>2022</v>
      </c>
      <c r="E906" s="56">
        <v>0</v>
      </c>
      <c r="F906" s="53">
        <f>IF(E906&gt;0,1,0)</f>
        <v>0</v>
      </c>
      <c r="G906" s="53">
        <f>SUM(F905:F906)</f>
        <v>1</v>
      </c>
      <c r="H906" s="53">
        <f>IF(G906=1,IF(F905=1,1,-1),G906)</f>
        <v>1</v>
      </c>
      <c r="I906" s="53" t="str">
        <f>VLOOKUP(H906,codes,2,)</f>
        <v>wd</v>
      </c>
      <c r="J906" s="53"/>
    </row>
    <row r="907" spans="1:10" x14ac:dyDescent="0.25">
      <c r="A907" s="93">
        <v>44671</v>
      </c>
      <c r="B907" s="35">
        <f>C907+(D907-2009)*12</f>
        <v>160</v>
      </c>
      <c r="C907" s="76">
        <v>4</v>
      </c>
      <c r="D907" s="53">
        <v>2022</v>
      </c>
      <c r="E907" s="56">
        <v>0</v>
      </c>
      <c r="F907" s="53">
        <f>IF(E907&gt;0,1,0)</f>
        <v>0</v>
      </c>
      <c r="G907" s="53">
        <f>SUM(F906:F907)</f>
        <v>0</v>
      </c>
      <c r="H907" s="53">
        <f>IF(G907=1,IF(F906=1,1,-1),G907)</f>
        <v>0</v>
      </c>
      <c r="I907" s="53" t="str">
        <f>VLOOKUP(H907,codes,2,)</f>
        <v>dd</v>
      </c>
      <c r="J907" s="53"/>
    </row>
    <row r="908" spans="1:10" x14ac:dyDescent="0.25">
      <c r="A908" s="93">
        <v>44672</v>
      </c>
      <c r="B908" s="35">
        <f>C908+(D908-2009)*12</f>
        <v>160</v>
      </c>
      <c r="C908" s="76">
        <v>4</v>
      </c>
      <c r="D908" s="53">
        <v>2022</v>
      </c>
      <c r="E908" s="56">
        <v>0</v>
      </c>
      <c r="F908" s="53">
        <f>IF(E908&gt;0,1,0)</f>
        <v>0</v>
      </c>
      <c r="G908" s="53">
        <f>SUM(F907:F908)</f>
        <v>0</v>
      </c>
      <c r="H908" s="53">
        <f>IF(G908=1,IF(F907=1,1,-1),G908)</f>
        <v>0</v>
      </c>
      <c r="I908" s="53" t="str">
        <f>VLOOKUP(H908,codes,2,)</f>
        <v>dd</v>
      </c>
      <c r="J908" s="53"/>
    </row>
    <row r="909" spans="1:10" x14ac:dyDescent="0.25">
      <c r="A909" s="93">
        <v>44673</v>
      </c>
      <c r="B909" s="35">
        <f>C909+(D909-2009)*12</f>
        <v>160</v>
      </c>
      <c r="C909" s="76">
        <v>4</v>
      </c>
      <c r="D909" s="53">
        <v>2022</v>
      </c>
      <c r="E909" s="56">
        <v>0</v>
      </c>
      <c r="F909" s="53">
        <f>IF(E909&gt;0,1,0)</f>
        <v>0</v>
      </c>
      <c r="G909" s="53">
        <f>SUM(F908:F909)</f>
        <v>0</v>
      </c>
      <c r="H909" s="53">
        <f>IF(G909=1,IF(F908=1,1,-1),G909)</f>
        <v>0</v>
      </c>
      <c r="I909" s="53" t="str">
        <f>VLOOKUP(H909,codes,2,)</f>
        <v>dd</v>
      </c>
      <c r="J909" s="53"/>
    </row>
    <row r="910" spans="1:10" x14ac:dyDescent="0.25">
      <c r="A910" s="93">
        <v>44674</v>
      </c>
      <c r="B910" s="35">
        <f>C910+(D910-2009)*12</f>
        <v>160</v>
      </c>
      <c r="C910" s="76">
        <v>4</v>
      </c>
      <c r="D910" s="53">
        <v>2022</v>
      </c>
      <c r="E910" s="56">
        <v>0</v>
      </c>
      <c r="F910" s="53">
        <f>IF(E910&gt;0,1,0)</f>
        <v>0</v>
      </c>
      <c r="G910" s="53">
        <f>SUM(F909:F910)</f>
        <v>0</v>
      </c>
      <c r="H910" s="53">
        <f>IF(G910=1,IF(F909=1,1,-1),G910)</f>
        <v>0</v>
      </c>
      <c r="I910" s="53" t="str">
        <f>VLOOKUP(H910,codes,2,)</f>
        <v>dd</v>
      </c>
      <c r="J910" s="53"/>
    </row>
    <row r="911" spans="1:10" x14ac:dyDescent="0.25">
      <c r="A911" s="93">
        <v>44675</v>
      </c>
      <c r="B911" s="35">
        <f>C911+(D911-2009)*12</f>
        <v>160</v>
      </c>
      <c r="C911" s="76">
        <v>4</v>
      </c>
      <c r="D911" s="53">
        <v>2022</v>
      </c>
      <c r="E911" s="56">
        <v>0</v>
      </c>
      <c r="F911" s="53">
        <f>IF(E911&gt;0,1,0)</f>
        <v>0</v>
      </c>
      <c r="G911" s="53">
        <f>SUM(F910:F911)</f>
        <v>0</v>
      </c>
      <c r="H911" s="53">
        <f>IF(G911=1,IF(F910=1,1,-1),G911)</f>
        <v>0</v>
      </c>
      <c r="I911" s="53" t="str">
        <f>VLOOKUP(H911,codes,2,)</f>
        <v>dd</v>
      </c>
      <c r="J911" s="53"/>
    </row>
    <row r="912" spans="1:10" x14ac:dyDescent="0.25">
      <c r="A912" s="93">
        <v>44676</v>
      </c>
      <c r="B912" s="35">
        <f>C912+(D912-2009)*12</f>
        <v>160</v>
      </c>
      <c r="C912" s="76">
        <v>4</v>
      </c>
      <c r="D912" s="53">
        <v>2022</v>
      </c>
      <c r="E912" s="56">
        <v>1.4000000000000001</v>
      </c>
      <c r="F912" s="53">
        <f>IF(E912&gt;0,1,0)</f>
        <v>1</v>
      </c>
      <c r="G912" s="53">
        <f>SUM(F911:F912)</f>
        <v>1</v>
      </c>
      <c r="H912" s="53">
        <f>IF(G912=1,IF(F911=1,1,-1),G912)</f>
        <v>-1</v>
      </c>
      <c r="I912" s="53" t="str">
        <f>VLOOKUP(H912,codes,2,)</f>
        <v>dw</v>
      </c>
      <c r="J912" s="53"/>
    </row>
    <row r="913" spans="1:10" x14ac:dyDescent="0.25">
      <c r="A913" s="93">
        <v>44677</v>
      </c>
      <c r="B913" s="35">
        <f>C913+(D913-2009)*12</f>
        <v>160</v>
      </c>
      <c r="C913" s="76">
        <v>4</v>
      </c>
      <c r="D913" s="53">
        <v>2022</v>
      </c>
      <c r="E913" s="56">
        <v>0</v>
      </c>
      <c r="F913" s="53">
        <f>IF(E913&gt;0,1,0)</f>
        <v>0</v>
      </c>
      <c r="G913" s="53">
        <f>SUM(F912:F913)</f>
        <v>1</v>
      </c>
      <c r="H913" s="53">
        <f>IF(G913=1,IF(F912=1,1,-1),G913)</f>
        <v>1</v>
      </c>
      <c r="I913" s="53" t="str">
        <f>VLOOKUP(H913,codes,2,)</f>
        <v>wd</v>
      </c>
      <c r="J913" s="53"/>
    </row>
    <row r="914" spans="1:10" x14ac:dyDescent="0.25">
      <c r="A914" s="93">
        <v>44678</v>
      </c>
      <c r="B914" s="35">
        <f>C914+(D914-2009)*12</f>
        <v>160</v>
      </c>
      <c r="C914" s="76">
        <v>4</v>
      </c>
      <c r="D914" s="53">
        <v>2022</v>
      </c>
      <c r="E914" s="56">
        <v>0.13333333333333333</v>
      </c>
      <c r="F914" s="53">
        <f>IF(E914&gt;0,1,0)</f>
        <v>1</v>
      </c>
      <c r="G914" s="53">
        <f>SUM(F913:F914)</f>
        <v>1</v>
      </c>
      <c r="H914" s="53">
        <f>IF(G914=1,IF(F913=1,1,-1),G914)</f>
        <v>-1</v>
      </c>
      <c r="I914" s="53" t="str">
        <f>VLOOKUP(H914,codes,2,)</f>
        <v>dw</v>
      </c>
      <c r="J914" s="53"/>
    </row>
    <row r="915" spans="1:10" x14ac:dyDescent="0.25">
      <c r="A915" s="93">
        <v>44679</v>
      </c>
      <c r="B915" s="35">
        <f>C915+(D915-2009)*12</f>
        <v>160</v>
      </c>
      <c r="C915" s="76">
        <v>4</v>
      </c>
      <c r="D915" s="53">
        <v>2022</v>
      </c>
      <c r="E915" s="56">
        <v>0</v>
      </c>
      <c r="F915" s="53">
        <f>IF(E915&gt;0,1,0)</f>
        <v>0</v>
      </c>
      <c r="G915" s="53">
        <f>SUM(F914:F915)</f>
        <v>1</v>
      </c>
      <c r="H915" s="53">
        <f>IF(G915=1,IF(F914=1,1,-1),G915)</f>
        <v>1</v>
      </c>
      <c r="I915" s="53" t="str">
        <f>VLOOKUP(H915,codes,2,)</f>
        <v>wd</v>
      </c>
      <c r="J915" s="53"/>
    </row>
    <row r="916" spans="1:10" x14ac:dyDescent="0.25">
      <c r="A916" s="93">
        <v>44680</v>
      </c>
      <c r="B916" s="35">
        <f>C916+(D916-2009)*12</f>
        <v>160</v>
      </c>
      <c r="C916" s="76">
        <v>4</v>
      </c>
      <c r="D916" s="53">
        <v>2022</v>
      </c>
      <c r="E916" s="56">
        <v>0</v>
      </c>
      <c r="F916" s="53">
        <f>IF(E916&gt;0,1,0)</f>
        <v>0</v>
      </c>
      <c r="G916" s="53">
        <f>SUM(F915:F916)</f>
        <v>0</v>
      </c>
      <c r="H916" s="53">
        <f>IF(G916=1,IF(F915=1,1,-1),G916)</f>
        <v>0</v>
      </c>
      <c r="I916" s="53" t="str">
        <f>VLOOKUP(H916,codes,2,)</f>
        <v>dd</v>
      </c>
      <c r="J916" s="53"/>
    </row>
    <row r="917" spans="1:10" x14ac:dyDescent="0.25">
      <c r="A917" s="93">
        <v>44681</v>
      </c>
      <c r="B917" s="35">
        <f>C917+(D917-2009)*12</f>
        <v>160</v>
      </c>
      <c r="C917" s="76">
        <v>4</v>
      </c>
      <c r="D917" s="53">
        <v>2022</v>
      </c>
      <c r="E917" s="56">
        <v>0</v>
      </c>
      <c r="F917" s="53">
        <f>IF(E917&gt;0,1,0)</f>
        <v>0</v>
      </c>
      <c r="G917" s="53">
        <f>SUM(F916:F917)</f>
        <v>0</v>
      </c>
      <c r="H917" s="53">
        <f>IF(G917=1,IF(F916=1,1,-1),G917)</f>
        <v>0</v>
      </c>
      <c r="I917" s="53" t="str">
        <f>VLOOKUP(H917,codes,2,)</f>
        <v>dd</v>
      </c>
      <c r="J917" s="53"/>
    </row>
    <row r="918" spans="1:10" x14ac:dyDescent="0.25">
      <c r="A918" s="93">
        <v>45017</v>
      </c>
      <c r="B918" s="35">
        <f>C918+(D918-2009)*12</f>
        <v>172</v>
      </c>
      <c r="C918" s="76">
        <v>4</v>
      </c>
      <c r="D918" s="53">
        <v>2023</v>
      </c>
      <c r="E918" s="56">
        <v>1.6666666666666667</v>
      </c>
      <c r="F918" s="53">
        <f>IF(E918&gt;0,1,0)</f>
        <v>1</v>
      </c>
      <c r="G918" s="53">
        <f>SUM(F917:F918)</f>
        <v>1</v>
      </c>
      <c r="H918" s="53">
        <f>IF(G918=1,IF(F917=1,1,-1),G918)</f>
        <v>-1</v>
      </c>
      <c r="I918" s="53" t="str">
        <f>VLOOKUP(H918,codes,2,)</f>
        <v>dw</v>
      </c>
      <c r="J918" s="53"/>
    </row>
    <row r="919" spans="1:10" x14ac:dyDescent="0.25">
      <c r="A919" s="93">
        <v>45018</v>
      </c>
      <c r="B919" s="35">
        <f>C919+(D919-2009)*12</f>
        <v>172</v>
      </c>
      <c r="C919" s="76">
        <v>4</v>
      </c>
      <c r="D919" s="53">
        <v>2023</v>
      </c>
      <c r="E919" s="56">
        <v>1.2666666666666666</v>
      </c>
      <c r="F919" s="53">
        <f>IF(E919&gt;0,1,0)</f>
        <v>1</v>
      </c>
      <c r="G919" s="53">
        <f>SUM(F918:F919)</f>
        <v>2</v>
      </c>
      <c r="H919" s="53">
        <f>IF(G919=1,IF(F918=1,1,-1),G919)</f>
        <v>2</v>
      </c>
      <c r="I919" s="53" t="str">
        <f>VLOOKUP(H919,codes,2,)</f>
        <v>ww</v>
      </c>
      <c r="J919" s="53"/>
    </row>
    <row r="920" spans="1:10" x14ac:dyDescent="0.25">
      <c r="A920" s="93">
        <v>45019</v>
      </c>
      <c r="B920" s="35">
        <f>C920+(D920-2009)*12</f>
        <v>172</v>
      </c>
      <c r="C920" s="76">
        <v>4</v>
      </c>
      <c r="D920" s="53">
        <v>2023</v>
      </c>
      <c r="E920" s="56">
        <v>6.6666666666666666E-2</v>
      </c>
      <c r="F920" s="53">
        <f>IF(E920&gt;0,1,0)</f>
        <v>1</v>
      </c>
      <c r="G920" s="53">
        <f>SUM(F919:F920)</f>
        <v>2</v>
      </c>
      <c r="H920" s="53">
        <f>IF(G920=1,IF(F919=1,1,-1),G920)</f>
        <v>2</v>
      </c>
      <c r="I920" s="53" t="str">
        <f>VLOOKUP(H920,codes,2,)</f>
        <v>ww</v>
      </c>
      <c r="J920" s="53"/>
    </row>
    <row r="921" spans="1:10" x14ac:dyDescent="0.25">
      <c r="A921" s="93">
        <v>45020</v>
      </c>
      <c r="B921" s="35">
        <f>C921+(D921-2009)*12</f>
        <v>172</v>
      </c>
      <c r="C921" s="76">
        <v>4</v>
      </c>
      <c r="D921" s="53">
        <v>2023</v>
      </c>
      <c r="E921" s="56">
        <v>0</v>
      </c>
      <c r="F921" s="53">
        <f>IF(E921&gt;0,1,0)</f>
        <v>0</v>
      </c>
      <c r="G921" s="53">
        <f>SUM(F920:F921)</f>
        <v>1</v>
      </c>
      <c r="H921" s="53">
        <f>IF(G921=1,IF(F920=1,1,-1),G921)</f>
        <v>1</v>
      </c>
      <c r="I921" s="53" t="str">
        <f>VLOOKUP(H921,codes,2,)</f>
        <v>wd</v>
      </c>
      <c r="J921" s="53"/>
    </row>
    <row r="922" spans="1:10" x14ac:dyDescent="0.25">
      <c r="A922" s="93">
        <v>45021</v>
      </c>
      <c r="B922" s="35">
        <f>C922+(D922-2009)*12</f>
        <v>172</v>
      </c>
      <c r="C922" s="76">
        <v>4</v>
      </c>
      <c r="D922" s="53">
        <v>2023</v>
      </c>
      <c r="E922" s="56">
        <v>0.13333333333333333</v>
      </c>
      <c r="F922" s="53">
        <f>IF(E922&gt;0,1,0)</f>
        <v>1</v>
      </c>
      <c r="G922" s="53">
        <f>SUM(F921:F922)</f>
        <v>1</v>
      </c>
      <c r="H922" s="53">
        <f>IF(G922=1,IF(F921=1,1,-1),G922)</f>
        <v>-1</v>
      </c>
      <c r="I922" s="53" t="str">
        <f>VLOOKUP(H922,codes,2,)</f>
        <v>dw</v>
      </c>
      <c r="J922" s="53"/>
    </row>
    <row r="923" spans="1:10" x14ac:dyDescent="0.25">
      <c r="A923" s="93">
        <v>45022</v>
      </c>
      <c r="B923" s="35">
        <f>C923+(D923-2009)*12</f>
        <v>172</v>
      </c>
      <c r="C923" s="76">
        <v>4</v>
      </c>
      <c r="D923" s="53">
        <v>2023</v>
      </c>
      <c r="E923" s="56">
        <v>9.2000000000000011</v>
      </c>
      <c r="F923" s="53">
        <f>IF(E923&gt;0,1,0)</f>
        <v>1</v>
      </c>
      <c r="G923" s="53">
        <f>SUM(F922:F923)</f>
        <v>2</v>
      </c>
      <c r="H923" s="53">
        <f>IF(G923=1,IF(F922=1,1,-1),G923)</f>
        <v>2</v>
      </c>
      <c r="I923" s="53" t="str">
        <f>VLOOKUP(H923,codes,2,)</f>
        <v>ww</v>
      </c>
      <c r="J923" s="53"/>
    </row>
    <row r="924" spans="1:10" x14ac:dyDescent="0.25">
      <c r="A924" s="93">
        <v>45023</v>
      </c>
      <c r="B924" s="35">
        <f>C924+(D924-2009)*12</f>
        <v>172</v>
      </c>
      <c r="C924" s="76">
        <v>4</v>
      </c>
      <c r="D924" s="53">
        <v>2023</v>
      </c>
      <c r="E924" s="56">
        <v>1.4666666666666668</v>
      </c>
      <c r="F924" s="53">
        <f>IF(E924&gt;0,1,0)</f>
        <v>1</v>
      </c>
      <c r="G924" s="53">
        <f>SUM(F923:F924)</f>
        <v>2</v>
      </c>
      <c r="H924" s="53">
        <f>IF(G924=1,IF(F923=1,1,-1),G924)</f>
        <v>2</v>
      </c>
      <c r="I924" s="53" t="str">
        <f>VLOOKUP(H924,codes,2,)</f>
        <v>ww</v>
      </c>
      <c r="J924" s="53"/>
    </row>
    <row r="925" spans="1:10" x14ac:dyDescent="0.25">
      <c r="A925" s="93">
        <v>45024</v>
      </c>
      <c r="B925" s="35">
        <f>C925+(D925-2009)*12</f>
        <v>172</v>
      </c>
      <c r="C925" s="76">
        <v>4</v>
      </c>
      <c r="D925" s="53">
        <v>2023</v>
      </c>
      <c r="E925" s="56">
        <v>0.13333333333333333</v>
      </c>
      <c r="F925" s="53">
        <f>IF(E925&gt;0,1,0)</f>
        <v>1</v>
      </c>
      <c r="G925" s="53">
        <f>SUM(F924:F925)</f>
        <v>2</v>
      </c>
      <c r="H925" s="53">
        <f>IF(G925=1,IF(F924=1,1,-1),G925)</f>
        <v>2</v>
      </c>
      <c r="I925" s="53" t="str">
        <f>VLOOKUP(H925,codes,2,)</f>
        <v>ww</v>
      </c>
      <c r="J925" s="53"/>
    </row>
    <row r="926" spans="1:10" x14ac:dyDescent="0.25">
      <c r="A926" s="93">
        <v>45025</v>
      </c>
      <c r="B926" s="35">
        <f>C926+(D926-2009)*12</f>
        <v>172</v>
      </c>
      <c r="C926" s="76">
        <v>4</v>
      </c>
      <c r="D926" s="53">
        <v>2023</v>
      </c>
      <c r="E926" s="56">
        <v>0</v>
      </c>
      <c r="F926" s="53">
        <f>IF(E926&gt;0,1,0)</f>
        <v>0</v>
      </c>
      <c r="G926" s="53">
        <f>SUM(F925:F926)</f>
        <v>1</v>
      </c>
      <c r="H926" s="53">
        <f>IF(G926=1,IF(F925=1,1,-1),G926)</f>
        <v>1</v>
      </c>
      <c r="I926" s="53" t="str">
        <f>VLOOKUP(H926,codes,2,)</f>
        <v>wd</v>
      </c>
      <c r="J926" s="53"/>
    </row>
    <row r="927" spans="1:10" x14ac:dyDescent="0.25">
      <c r="A927" s="93">
        <v>45026</v>
      </c>
      <c r="B927" s="35">
        <f>C927+(D927-2009)*12</f>
        <v>172</v>
      </c>
      <c r="C927" s="76">
        <v>4</v>
      </c>
      <c r="D927" s="53">
        <v>2023</v>
      </c>
      <c r="E927" s="56">
        <v>0.13333333333333333</v>
      </c>
      <c r="F927" s="53">
        <f>IF(E927&gt;0,1,0)</f>
        <v>1</v>
      </c>
      <c r="G927" s="53">
        <f>SUM(F926:F927)</f>
        <v>1</v>
      </c>
      <c r="H927" s="53">
        <f>IF(G927=1,IF(F926=1,1,-1),G927)</f>
        <v>-1</v>
      </c>
      <c r="I927" s="53" t="str">
        <f>VLOOKUP(H927,codes,2,)</f>
        <v>dw</v>
      </c>
      <c r="J927" s="53"/>
    </row>
    <row r="928" spans="1:10" x14ac:dyDescent="0.25">
      <c r="A928" s="93">
        <v>45027</v>
      </c>
      <c r="B928" s="35">
        <f>C928+(D928-2009)*12</f>
        <v>172</v>
      </c>
      <c r="C928" s="76">
        <v>4</v>
      </c>
      <c r="D928" s="53">
        <v>2023</v>
      </c>
      <c r="E928" s="56">
        <v>1</v>
      </c>
      <c r="F928" s="53">
        <f>IF(E928&gt;0,1,0)</f>
        <v>1</v>
      </c>
      <c r="G928" s="53">
        <f>SUM(F927:F928)</f>
        <v>2</v>
      </c>
      <c r="H928" s="53">
        <f>IF(G928=1,IF(F927=1,1,-1),G928)</f>
        <v>2</v>
      </c>
      <c r="I928" s="53" t="str">
        <f>VLOOKUP(H928,codes,2,)</f>
        <v>ww</v>
      </c>
      <c r="J928" s="53"/>
    </row>
    <row r="929" spans="1:10" x14ac:dyDescent="0.25">
      <c r="A929" s="93">
        <v>45028</v>
      </c>
      <c r="B929" s="35">
        <f>C929+(D929-2009)*12</f>
        <v>172</v>
      </c>
      <c r="C929" s="76">
        <v>4</v>
      </c>
      <c r="D929" s="53">
        <v>2023</v>
      </c>
      <c r="E929" s="56">
        <v>6.0666666666666673</v>
      </c>
      <c r="F929" s="53">
        <f>IF(E929&gt;0,1,0)</f>
        <v>1</v>
      </c>
      <c r="G929" s="53">
        <f>SUM(F928:F929)</f>
        <v>2</v>
      </c>
      <c r="H929" s="53">
        <f>IF(G929=1,IF(F928=1,1,-1),G929)</f>
        <v>2</v>
      </c>
      <c r="I929" s="53" t="str">
        <f>VLOOKUP(H929,codes,2,)</f>
        <v>ww</v>
      </c>
      <c r="J929" s="53"/>
    </row>
    <row r="930" spans="1:10" x14ac:dyDescent="0.25">
      <c r="A930" s="93">
        <v>45029</v>
      </c>
      <c r="B930" s="35">
        <f>C930+(D930-2009)*12</f>
        <v>172</v>
      </c>
      <c r="C930" s="76">
        <v>4</v>
      </c>
      <c r="D930" s="53">
        <v>2023</v>
      </c>
      <c r="E930" s="56">
        <v>0.93333333333333324</v>
      </c>
      <c r="F930" s="53">
        <f>IF(E930&gt;0,1,0)</f>
        <v>1</v>
      </c>
      <c r="G930" s="53">
        <f>SUM(F929:F930)</f>
        <v>2</v>
      </c>
      <c r="H930" s="53">
        <f>IF(G930=1,IF(F929=1,1,-1),G930)</f>
        <v>2</v>
      </c>
      <c r="I930" s="53" t="str">
        <f>VLOOKUP(H930,codes,2,)</f>
        <v>ww</v>
      </c>
      <c r="J930" s="53"/>
    </row>
    <row r="931" spans="1:10" x14ac:dyDescent="0.25">
      <c r="A931" s="93">
        <v>45030</v>
      </c>
      <c r="B931" s="35">
        <f>C931+(D931-2009)*12</f>
        <v>172</v>
      </c>
      <c r="C931" s="76">
        <v>4</v>
      </c>
      <c r="D931" s="53">
        <v>2023</v>
      </c>
      <c r="E931" s="56">
        <v>3.1999999999999997</v>
      </c>
      <c r="F931" s="53">
        <f>IF(E931&gt;0,1,0)</f>
        <v>1</v>
      </c>
      <c r="G931" s="53">
        <f>SUM(F930:F931)</f>
        <v>2</v>
      </c>
      <c r="H931" s="53">
        <f>IF(G931=1,IF(F930=1,1,-1),G931)</f>
        <v>2</v>
      </c>
      <c r="I931" s="53" t="str">
        <f>VLOOKUP(H931,codes,2,)</f>
        <v>ww</v>
      </c>
      <c r="J931" s="53"/>
    </row>
    <row r="932" spans="1:10" x14ac:dyDescent="0.25">
      <c r="A932" s="93">
        <v>45031</v>
      </c>
      <c r="B932" s="35">
        <f>C932+(D932-2009)*12</f>
        <v>172</v>
      </c>
      <c r="C932" s="76">
        <v>4</v>
      </c>
      <c r="D932" s="53">
        <v>2023</v>
      </c>
      <c r="E932" s="56">
        <v>6.2</v>
      </c>
      <c r="F932" s="53">
        <f>IF(E932&gt;0,1,0)</f>
        <v>1</v>
      </c>
      <c r="G932" s="53">
        <f>SUM(F931:F932)</f>
        <v>2</v>
      </c>
      <c r="H932" s="53">
        <f>IF(G932=1,IF(F931=1,1,-1),G932)</f>
        <v>2</v>
      </c>
      <c r="I932" s="53" t="str">
        <f>VLOOKUP(H932,codes,2,)</f>
        <v>ww</v>
      </c>
      <c r="J932" s="53"/>
    </row>
    <row r="933" spans="1:10" x14ac:dyDescent="0.25">
      <c r="A933" s="93">
        <v>45032</v>
      </c>
      <c r="B933" s="35">
        <f>C933+(D933-2009)*12</f>
        <v>172</v>
      </c>
      <c r="C933" s="76">
        <v>4</v>
      </c>
      <c r="D933" s="53">
        <v>2023</v>
      </c>
      <c r="E933" s="56">
        <v>6.6666666666666666E-2</v>
      </c>
      <c r="F933" s="53">
        <f>IF(E933&gt;0,1,0)</f>
        <v>1</v>
      </c>
      <c r="G933" s="53">
        <f>SUM(F932:F933)</f>
        <v>2</v>
      </c>
      <c r="H933" s="53">
        <f>IF(G933=1,IF(F932=1,1,-1),G933)</f>
        <v>2</v>
      </c>
      <c r="I933" s="53" t="str">
        <f>VLOOKUP(H933,codes,2,)</f>
        <v>ww</v>
      </c>
      <c r="J933" s="53"/>
    </row>
    <row r="934" spans="1:10" x14ac:dyDescent="0.25">
      <c r="A934" s="93">
        <v>45033</v>
      </c>
      <c r="B934" s="35">
        <f>C934+(D934-2009)*12</f>
        <v>172</v>
      </c>
      <c r="C934" s="76">
        <v>4</v>
      </c>
      <c r="D934" s="53">
        <v>2023</v>
      </c>
      <c r="E934" s="56">
        <v>0</v>
      </c>
      <c r="F934" s="53">
        <f>IF(E934&gt;0,1,0)</f>
        <v>0</v>
      </c>
      <c r="G934" s="53">
        <f>SUM(F933:F934)</f>
        <v>1</v>
      </c>
      <c r="H934" s="53">
        <f>IF(G934=1,IF(F933=1,1,-1),G934)</f>
        <v>1</v>
      </c>
      <c r="I934" s="53" t="str">
        <f>VLOOKUP(H934,codes,2,)</f>
        <v>wd</v>
      </c>
      <c r="J934" s="53"/>
    </row>
    <row r="935" spans="1:10" x14ac:dyDescent="0.25">
      <c r="A935" s="93">
        <v>45034</v>
      </c>
      <c r="B935" s="35">
        <f>C935+(D935-2009)*12</f>
        <v>172</v>
      </c>
      <c r="C935" s="76">
        <v>4</v>
      </c>
      <c r="D935" s="53">
        <v>2023</v>
      </c>
      <c r="E935" s="56">
        <v>0</v>
      </c>
      <c r="F935" s="53">
        <f>IF(E935&gt;0,1,0)</f>
        <v>0</v>
      </c>
      <c r="G935" s="53">
        <f>SUM(F934:F935)</f>
        <v>0</v>
      </c>
      <c r="H935" s="53">
        <f>IF(G935=1,IF(F934=1,1,-1),G935)</f>
        <v>0</v>
      </c>
      <c r="I935" s="53" t="str">
        <f>VLOOKUP(H935,codes,2,)</f>
        <v>dd</v>
      </c>
      <c r="J935" s="53"/>
    </row>
    <row r="936" spans="1:10" x14ac:dyDescent="0.25">
      <c r="A936" s="93">
        <v>45035</v>
      </c>
      <c r="B936" s="35">
        <f>C936+(D936-2009)*12</f>
        <v>172</v>
      </c>
      <c r="C936" s="76">
        <v>4</v>
      </c>
      <c r="D936" s="53">
        <v>2023</v>
      </c>
      <c r="E936" s="56">
        <v>6.6666666666666666E-2</v>
      </c>
      <c r="F936" s="53">
        <f>IF(E936&gt;0,1,0)</f>
        <v>1</v>
      </c>
      <c r="G936" s="53">
        <f>SUM(F935:F936)</f>
        <v>1</v>
      </c>
      <c r="H936" s="53">
        <f>IF(G936=1,IF(F935=1,1,-1),G936)</f>
        <v>-1</v>
      </c>
      <c r="I936" s="53" t="str">
        <f>VLOOKUP(H936,codes,2,)</f>
        <v>dw</v>
      </c>
      <c r="J936" s="53"/>
    </row>
    <row r="937" spans="1:10" x14ac:dyDescent="0.25">
      <c r="A937" s="93">
        <v>45036</v>
      </c>
      <c r="B937" s="35">
        <f>C937+(D937-2009)*12</f>
        <v>172</v>
      </c>
      <c r="C937" s="76">
        <v>4</v>
      </c>
      <c r="D937" s="53">
        <v>2023</v>
      </c>
      <c r="E937" s="56">
        <v>0</v>
      </c>
      <c r="F937" s="53">
        <f>IF(E937&gt;0,1,0)</f>
        <v>0</v>
      </c>
      <c r="G937" s="53">
        <f>SUM(F936:F937)</f>
        <v>1</v>
      </c>
      <c r="H937" s="53">
        <f>IF(G937=1,IF(F936=1,1,-1),G937)</f>
        <v>1</v>
      </c>
      <c r="I937" s="53" t="str">
        <f>VLOOKUP(H937,codes,2,)</f>
        <v>wd</v>
      </c>
      <c r="J937" s="53"/>
    </row>
    <row r="938" spans="1:10" x14ac:dyDescent="0.25">
      <c r="A938" s="93">
        <v>45037</v>
      </c>
      <c r="B938" s="35">
        <f>C938+(D938-2009)*12</f>
        <v>172</v>
      </c>
      <c r="C938" s="76">
        <v>4</v>
      </c>
      <c r="D938" s="53">
        <v>2023</v>
      </c>
      <c r="E938" s="56">
        <v>0</v>
      </c>
      <c r="F938" s="53">
        <f>IF(E938&gt;0,1,0)</f>
        <v>0</v>
      </c>
      <c r="G938" s="53">
        <f>SUM(F937:F938)</f>
        <v>0</v>
      </c>
      <c r="H938" s="53">
        <f>IF(G938=1,IF(F937=1,1,-1),G938)</f>
        <v>0</v>
      </c>
      <c r="I938" s="53" t="str">
        <f>VLOOKUP(H938,codes,2,)</f>
        <v>dd</v>
      </c>
      <c r="J938" s="53"/>
    </row>
    <row r="939" spans="1:10" x14ac:dyDescent="0.25">
      <c r="A939" s="93">
        <v>45038</v>
      </c>
      <c r="B939" s="35">
        <f>C939+(D939-2009)*12</f>
        <v>172</v>
      </c>
      <c r="C939" s="76">
        <v>4</v>
      </c>
      <c r="D939" s="53">
        <v>2023</v>
      </c>
      <c r="E939" s="56">
        <v>0.80000000000000016</v>
      </c>
      <c r="F939" s="53">
        <f>IF(E939&gt;0,1,0)</f>
        <v>1</v>
      </c>
      <c r="G939" s="53">
        <f>SUM(F938:F939)</f>
        <v>1</v>
      </c>
      <c r="H939" s="53">
        <f>IF(G939=1,IF(F938=1,1,-1),G939)</f>
        <v>-1</v>
      </c>
      <c r="I939" s="53" t="str">
        <f>VLOOKUP(H939,codes,2,)</f>
        <v>dw</v>
      </c>
      <c r="J939" s="53"/>
    </row>
    <row r="940" spans="1:10" x14ac:dyDescent="0.25">
      <c r="A940" s="93">
        <v>45039</v>
      </c>
      <c r="B940" s="35">
        <f>C940+(D940-2009)*12</f>
        <v>172</v>
      </c>
      <c r="C940" s="76">
        <v>4</v>
      </c>
      <c r="D940" s="53">
        <v>2023</v>
      </c>
      <c r="E940" s="56">
        <v>8.5333333333333332</v>
      </c>
      <c r="F940" s="53">
        <f>IF(E940&gt;0,1,0)</f>
        <v>1</v>
      </c>
      <c r="G940" s="53">
        <f>SUM(F939:F940)</f>
        <v>2</v>
      </c>
      <c r="H940" s="53">
        <f>IF(G940=1,IF(F939=1,1,-1),G940)</f>
        <v>2</v>
      </c>
      <c r="I940" s="53" t="str">
        <f>VLOOKUP(H940,codes,2,)</f>
        <v>ww</v>
      </c>
      <c r="J940" s="53"/>
    </row>
    <row r="941" spans="1:10" x14ac:dyDescent="0.25">
      <c r="A941" s="93">
        <v>45040</v>
      </c>
      <c r="B941" s="35">
        <f>C941+(D941-2009)*12</f>
        <v>172</v>
      </c>
      <c r="C941" s="76">
        <v>4</v>
      </c>
      <c r="D941" s="53">
        <v>2023</v>
      </c>
      <c r="E941" s="56">
        <v>1.6666666666666667</v>
      </c>
      <c r="F941" s="53">
        <f>IF(E941&gt;0,1,0)</f>
        <v>1</v>
      </c>
      <c r="G941" s="53">
        <f>SUM(F940:F941)</f>
        <v>2</v>
      </c>
      <c r="H941" s="53">
        <f>IF(G941=1,IF(F940=1,1,-1),G941)</f>
        <v>2</v>
      </c>
      <c r="I941" s="53" t="str">
        <f>VLOOKUP(H941,codes,2,)</f>
        <v>ww</v>
      </c>
      <c r="J941" s="53"/>
    </row>
    <row r="942" spans="1:10" x14ac:dyDescent="0.25">
      <c r="A942" s="93">
        <v>45041</v>
      </c>
      <c r="B942" s="35">
        <f>C942+(D942-2009)*12</f>
        <v>172</v>
      </c>
      <c r="C942" s="76">
        <v>4</v>
      </c>
      <c r="D942" s="53">
        <v>2023</v>
      </c>
      <c r="E942" s="56">
        <v>0.46666666666666662</v>
      </c>
      <c r="F942" s="53">
        <f>IF(E942&gt;0,1,0)</f>
        <v>1</v>
      </c>
      <c r="G942" s="53">
        <f>SUM(F941:F942)</f>
        <v>2</v>
      </c>
      <c r="H942" s="53">
        <f>IF(G942=1,IF(F941=1,1,-1),G942)</f>
        <v>2</v>
      </c>
      <c r="I942" s="53" t="str">
        <f>VLOOKUP(H942,codes,2,)</f>
        <v>ww</v>
      </c>
      <c r="J942" s="53"/>
    </row>
    <row r="943" spans="1:10" x14ac:dyDescent="0.25">
      <c r="A943" s="93">
        <v>45042</v>
      </c>
      <c r="B943" s="35">
        <f>C943+(D943-2009)*12</f>
        <v>172</v>
      </c>
      <c r="C943" s="76">
        <v>4</v>
      </c>
      <c r="D943" s="53">
        <v>2023</v>
      </c>
      <c r="E943" s="56">
        <v>0</v>
      </c>
      <c r="F943" s="53">
        <f>IF(E943&gt;0,1,0)</f>
        <v>0</v>
      </c>
      <c r="G943" s="53">
        <f>SUM(F942:F943)</f>
        <v>1</v>
      </c>
      <c r="H943" s="53">
        <f>IF(G943=1,IF(F942=1,1,-1),G943)</f>
        <v>1</v>
      </c>
      <c r="I943" s="53" t="str">
        <f>VLOOKUP(H943,codes,2,)</f>
        <v>wd</v>
      </c>
      <c r="J943" s="53"/>
    </row>
    <row r="944" spans="1:10" x14ac:dyDescent="0.25">
      <c r="A944" s="93">
        <v>45043</v>
      </c>
      <c r="B944" s="35">
        <f>C944+(D944-2009)*12</f>
        <v>172</v>
      </c>
      <c r="C944" s="76">
        <v>4</v>
      </c>
      <c r="D944" s="53">
        <v>2023</v>
      </c>
      <c r="E944" s="56">
        <v>0</v>
      </c>
      <c r="F944" s="53">
        <f>IF(E944&gt;0,1,0)</f>
        <v>0</v>
      </c>
      <c r="G944" s="53">
        <f>SUM(F943:F944)</f>
        <v>0</v>
      </c>
      <c r="H944" s="53">
        <f>IF(G944=1,IF(F943=1,1,-1),G944)</f>
        <v>0</v>
      </c>
      <c r="I944" s="53" t="str">
        <f>VLOOKUP(H944,codes,2,)</f>
        <v>dd</v>
      </c>
      <c r="J944" s="53"/>
    </row>
    <row r="945" spans="1:10" x14ac:dyDescent="0.25">
      <c r="A945" s="93">
        <v>45044</v>
      </c>
      <c r="B945" s="35">
        <f>C945+(D945-2009)*12</f>
        <v>172</v>
      </c>
      <c r="C945" s="76">
        <v>4</v>
      </c>
      <c r="D945" s="53">
        <v>2023</v>
      </c>
      <c r="E945" s="56">
        <v>2.6</v>
      </c>
      <c r="F945" s="53">
        <f>IF(E945&gt;0,1,0)</f>
        <v>1</v>
      </c>
      <c r="G945" s="53">
        <f>SUM(F944:F945)</f>
        <v>1</v>
      </c>
      <c r="H945" s="53">
        <f>IF(G945=1,IF(F944=1,1,-1),G945)</f>
        <v>-1</v>
      </c>
      <c r="I945" s="53" t="str">
        <f>VLOOKUP(H945,codes,2,)</f>
        <v>dw</v>
      </c>
      <c r="J945" s="53"/>
    </row>
    <row r="946" spans="1:10" x14ac:dyDescent="0.25">
      <c r="A946" s="93">
        <v>45045</v>
      </c>
      <c r="B946" s="35">
        <f>C946+(D946-2009)*12</f>
        <v>172</v>
      </c>
      <c r="C946" s="76">
        <v>4</v>
      </c>
      <c r="D946" s="53">
        <v>2023</v>
      </c>
      <c r="E946" s="56">
        <v>0.6</v>
      </c>
      <c r="F946" s="53">
        <f>IF(E946&gt;0,1,0)</f>
        <v>1</v>
      </c>
      <c r="G946" s="53">
        <f>SUM(F945:F946)</f>
        <v>2</v>
      </c>
      <c r="H946" s="53">
        <f>IF(G946=1,IF(F945=1,1,-1),G946)</f>
        <v>2</v>
      </c>
      <c r="I946" s="53" t="str">
        <f>VLOOKUP(H946,codes,2,)</f>
        <v>ww</v>
      </c>
      <c r="J946" s="53"/>
    </row>
    <row r="947" spans="1:10" x14ac:dyDescent="0.25">
      <c r="A947" s="93">
        <v>45046</v>
      </c>
      <c r="B947" s="35">
        <f>C947+(D947-2009)*12</f>
        <v>172</v>
      </c>
      <c r="C947" s="76">
        <v>4</v>
      </c>
      <c r="D947" s="53">
        <v>2023</v>
      </c>
      <c r="E947" s="56">
        <v>1.3333333333333333</v>
      </c>
      <c r="F947" s="53">
        <f>IF(E947&gt;0,1,0)</f>
        <v>1</v>
      </c>
      <c r="G947" s="53">
        <f>SUM(F946:F947)</f>
        <v>2</v>
      </c>
      <c r="H947" s="53">
        <f>IF(G947=1,IF(F946=1,1,-1),G947)</f>
        <v>2</v>
      </c>
      <c r="I947" s="53" t="str">
        <f>VLOOKUP(H947,codes,2,)</f>
        <v>ww</v>
      </c>
      <c r="J947" s="53"/>
    </row>
    <row r="948" spans="1:10" x14ac:dyDescent="0.25">
      <c r="A948" s="93">
        <v>45383</v>
      </c>
      <c r="B948" s="35">
        <f>C948+(D948-2009)*12</f>
        <v>184</v>
      </c>
      <c r="C948" s="76">
        <v>4</v>
      </c>
      <c r="D948" s="53">
        <v>2024</v>
      </c>
      <c r="E948" s="56">
        <v>25.399999999999995</v>
      </c>
      <c r="F948" s="53">
        <f>IF(E948&gt;0,1,0)</f>
        <v>1</v>
      </c>
      <c r="G948" s="53">
        <f>SUM(F947:F948)</f>
        <v>2</v>
      </c>
      <c r="H948" s="53">
        <f>IF(G948=1,IF(F947=1,1,-1),G948)</f>
        <v>2</v>
      </c>
      <c r="I948" s="53" t="str">
        <f>VLOOKUP(H948,codes,2,)</f>
        <v>ww</v>
      </c>
      <c r="J948" s="53"/>
    </row>
    <row r="949" spans="1:10" x14ac:dyDescent="0.25">
      <c r="A949" s="93">
        <v>45384</v>
      </c>
      <c r="B949" s="35">
        <f>C949+(D949-2009)*12</f>
        <v>184</v>
      </c>
      <c r="C949" s="76">
        <v>4</v>
      </c>
      <c r="D949" s="53">
        <v>2024</v>
      </c>
      <c r="E949" s="56">
        <v>2.9666666666666668</v>
      </c>
      <c r="F949" s="53">
        <f>IF(E949&gt;0,1,0)</f>
        <v>1</v>
      </c>
      <c r="G949" s="53">
        <f>SUM(F948:F949)</f>
        <v>2</v>
      </c>
      <c r="H949" s="53">
        <f>IF(G949=1,IF(F948=1,1,-1),G949)</f>
        <v>2</v>
      </c>
      <c r="I949" s="53" t="str">
        <f>VLOOKUP(H949,codes,2,)</f>
        <v>ww</v>
      </c>
      <c r="J949" s="53"/>
    </row>
    <row r="950" spans="1:10" x14ac:dyDescent="0.25">
      <c r="A950" s="93">
        <v>45385</v>
      </c>
      <c r="B950" s="35">
        <f>C950+(D950-2009)*12</f>
        <v>184</v>
      </c>
      <c r="C950" s="76">
        <v>4</v>
      </c>
      <c r="D950" s="53">
        <v>2024</v>
      </c>
      <c r="E950" s="56">
        <v>12.533333333333331</v>
      </c>
      <c r="F950" s="53">
        <f>IF(E950&gt;0,1,0)</f>
        <v>1</v>
      </c>
      <c r="G950" s="53">
        <f>SUM(F949:F950)</f>
        <v>2</v>
      </c>
      <c r="H950" s="53">
        <f>IF(G950=1,IF(F949=1,1,-1),G950)</f>
        <v>2</v>
      </c>
      <c r="I950" s="53" t="str">
        <f>VLOOKUP(H950,codes,2,)</f>
        <v>ww</v>
      </c>
      <c r="J950" s="53"/>
    </row>
    <row r="951" spans="1:10" x14ac:dyDescent="0.25">
      <c r="A951" s="93">
        <v>45386</v>
      </c>
      <c r="B951" s="35">
        <f>C951+(D951-2009)*12</f>
        <v>184</v>
      </c>
      <c r="C951" s="76">
        <v>4</v>
      </c>
      <c r="D951" s="53">
        <v>2024</v>
      </c>
      <c r="E951" s="56">
        <v>7.166666666666667</v>
      </c>
      <c r="F951" s="53">
        <f>IF(E951&gt;0,1,0)</f>
        <v>1</v>
      </c>
      <c r="G951" s="53">
        <f>SUM(F950:F951)</f>
        <v>2</v>
      </c>
      <c r="H951" s="53">
        <f>IF(G951=1,IF(F950=1,1,-1),G951)</f>
        <v>2</v>
      </c>
      <c r="I951" s="53" t="str">
        <f>VLOOKUP(H951,codes,2,)</f>
        <v>ww</v>
      </c>
      <c r="J951" s="53"/>
    </row>
    <row r="952" spans="1:10" x14ac:dyDescent="0.25">
      <c r="A952" s="93">
        <v>45387</v>
      </c>
      <c r="B952" s="35">
        <f>C952+(D952-2009)*12</f>
        <v>184</v>
      </c>
      <c r="C952" s="76">
        <v>4</v>
      </c>
      <c r="D952" s="53">
        <v>2024</v>
      </c>
      <c r="E952" s="56">
        <v>10.133333333333333</v>
      </c>
      <c r="F952" s="53">
        <f>IF(E952&gt;0,1,0)</f>
        <v>1</v>
      </c>
      <c r="G952" s="53">
        <f>SUM(F951:F952)</f>
        <v>2</v>
      </c>
      <c r="H952" s="53">
        <f>IF(G952=1,IF(F951=1,1,-1),G952)</f>
        <v>2</v>
      </c>
      <c r="I952" s="53" t="str">
        <f>VLOOKUP(H952,codes,2,)</f>
        <v>ww</v>
      </c>
      <c r="J952" s="53"/>
    </row>
    <row r="953" spans="1:10" x14ac:dyDescent="0.25">
      <c r="A953" s="93">
        <v>45388</v>
      </c>
      <c r="B953" s="35">
        <f>C953+(D953-2009)*12</f>
        <v>184</v>
      </c>
      <c r="C953" s="76">
        <v>4</v>
      </c>
      <c r="D953" s="53">
        <v>2024</v>
      </c>
      <c r="E953" s="56">
        <v>1.2666666666666668</v>
      </c>
      <c r="F953" s="53">
        <f>IF(E953&gt;0,1,0)</f>
        <v>1</v>
      </c>
      <c r="G953" s="53">
        <f>SUM(F952:F953)</f>
        <v>2</v>
      </c>
      <c r="H953" s="53">
        <f>IF(G953=1,IF(F952=1,1,-1),G953)</f>
        <v>2</v>
      </c>
      <c r="I953" s="53" t="str">
        <f>VLOOKUP(H953,codes,2,)</f>
        <v>ww</v>
      </c>
      <c r="J953" s="53"/>
    </row>
    <row r="954" spans="1:10" x14ac:dyDescent="0.25">
      <c r="A954" s="93">
        <v>45389</v>
      </c>
      <c r="B954" s="35">
        <f>C954+(D954-2009)*12</f>
        <v>184</v>
      </c>
      <c r="C954" s="76">
        <v>4</v>
      </c>
      <c r="D954" s="53">
        <v>2024</v>
      </c>
      <c r="E954" s="56">
        <v>1.3333333333333333</v>
      </c>
      <c r="F954" s="53">
        <f>IF(E954&gt;0,1,0)</f>
        <v>1</v>
      </c>
      <c r="G954" s="53">
        <f>SUM(F953:F954)</f>
        <v>2</v>
      </c>
      <c r="H954" s="53">
        <f>IF(G954=1,IF(F953=1,1,-1),G954)</f>
        <v>2</v>
      </c>
      <c r="I954" s="53" t="str">
        <f>VLOOKUP(H954,codes,2,)</f>
        <v>ww</v>
      </c>
      <c r="J954" s="53"/>
    </row>
    <row r="955" spans="1:10" x14ac:dyDescent="0.25">
      <c r="A955" s="93">
        <v>45390</v>
      </c>
      <c r="B955" s="35">
        <f>C955+(D955-2009)*12</f>
        <v>184</v>
      </c>
      <c r="C955" s="76">
        <v>4</v>
      </c>
      <c r="D955" s="53">
        <v>2024</v>
      </c>
      <c r="E955" s="56">
        <v>0.20000000000000004</v>
      </c>
      <c r="F955" s="53">
        <f>IF(E955&gt;0,1,0)</f>
        <v>1</v>
      </c>
      <c r="G955" s="53">
        <f>SUM(F954:F955)</f>
        <v>2</v>
      </c>
      <c r="H955" s="53">
        <f>IF(G955=1,IF(F954=1,1,-1),G955)</f>
        <v>2</v>
      </c>
      <c r="I955" s="53" t="str">
        <f>VLOOKUP(H955,codes,2,)</f>
        <v>ww</v>
      </c>
      <c r="J955" s="53"/>
    </row>
    <row r="956" spans="1:10" x14ac:dyDescent="0.25">
      <c r="A956" s="93">
        <v>45391</v>
      </c>
      <c r="B956" s="35">
        <f>C956+(D956-2009)*12</f>
        <v>184</v>
      </c>
      <c r="C956" s="76">
        <v>4</v>
      </c>
      <c r="D956" s="53">
        <v>2024</v>
      </c>
      <c r="E956" s="56">
        <v>9.0666666666666664</v>
      </c>
      <c r="F956" s="53">
        <f>IF(E956&gt;0,1,0)</f>
        <v>1</v>
      </c>
      <c r="G956" s="53">
        <f>SUM(F955:F956)</f>
        <v>2</v>
      </c>
      <c r="H956" s="53">
        <f>IF(G956=1,IF(F955=1,1,-1),G956)</f>
        <v>2</v>
      </c>
      <c r="I956" s="53" t="str">
        <f>VLOOKUP(H956,codes,2,)</f>
        <v>ww</v>
      </c>
      <c r="J956" s="53"/>
    </row>
    <row r="957" spans="1:10" x14ac:dyDescent="0.25">
      <c r="A957" s="93">
        <v>45392</v>
      </c>
      <c r="B957" s="35">
        <f>C957+(D957-2009)*12</f>
        <v>184</v>
      </c>
      <c r="C957" s="76">
        <v>4</v>
      </c>
      <c r="D957" s="53">
        <v>2024</v>
      </c>
      <c r="E957" s="56">
        <v>21.766666666666666</v>
      </c>
      <c r="F957" s="53">
        <f>IF(E957&gt;0,1,0)</f>
        <v>1</v>
      </c>
      <c r="G957" s="53">
        <f>SUM(F956:F957)</f>
        <v>2</v>
      </c>
      <c r="H957" s="53">
        <f>IF(G957=1,IF(F956=1,1,-1),G957)</f>
        <v>2</v>
      </c>
      <c r="I957" s="53" t="str">
        <f>VLOOKUP(H957,codes,2,)</f>
        <v>ww</v>
      </c>
      <c r="J957" s="53"/>
    </row>
    <row r="958" spans="1:10" x14ac:dyDescent="0.25">
      <c r="A958" s="93">
        <v>45393</v>
      </c>
      <c r="B958" s="35">
        <f>C958+(D958-2009)*12</f>
        <v>184</v>
      </c>
      <c r="C958" s="76">
        <v>4</v>
      </c>
      <c r="D958" s="53">
        <v>2024</v>
      </c>
      <c r="E958" s="56">
        <v>1.4000000000000001</v>
      </c>
      <c r="F958" s="53">
        <f>IF(E958&gt;0,1,0)</f>
        <v>1</v>
      </c>
      <c r="G958" s="53">
        <f>SUM(F957:F958)</f>
        <v>2</v>
      </c>
      <c r="H958" s="53">
        <f>IF(G958=1,IF(F957=1,1,-1),G958)</f>
        <v>2</v>
      </c>
      <c r="I958" s="53" t="str">
        <f>VLOOKUP(H958,codes,2,)</f>
        <v>ww</v>
      </c>
      <c r="J958" s="53"/>
    </row>
    <row r="959" spans="1:10" x14ac:dyDescent="0.25">
      <c r="A959" s="93">
        <v>45394</v>
      </c>
      <c r="B959" s="35">
        <f>C959+(D959-2009)*12</f>
        <v>184</v>
      </c>
      <c r="C959" s="76">
        <v>4</v>
      </c>
      <c r="D959" s="53">
        <v>2024</v>
      </c>
      <c r="E959" s="56">
        <v>2.6</v>
      </c>
      <c r="F959" s="53">
        <f>IF(E959&gt;0,1,0)</f>
        <v>1</v>
      </c>
      <c r="G959" s="53">
        <f>SUM(F958:F959)</f>
        <v>2</v>
      </c>
      <c r="H959" s="53">
        <f>IF(G959=1,IF(F958=1,1,-1),G959)</f>
        <v>2</v>
      </c>
      <c r="I959" s="53" t="str">
        <f>VLOOKUP(H959,codes,2,)</f>
        <v>ww</v>
      </c>
      <c r="J959" s="53"/>
    </row>
    <row r="960" spans="1:10" x14ac:dyDescent="0.25">
      <c r="A960" s="93">
        <v>45395</v>
      </c>
      <c r="B960" s="35">
        <f>C960+(D960-2009)*12</f>
        <v>184</v>
      </c>
      <c r="C960" s="76">
        <v>4</v>
      </c>
      <c r="D960" s="53">
        <v>2024</v>
      </c>
      <c r="E960" s="56">
        <v>0</v>
      </c>
      <c r="F960" s="53">
        <f>IF(E960&gt;0,1,0)</f>
        <v>0</v>
      </c>
      <c r="G960" s="53">
        <f>SUM(F959:F960)</f>
        <v>1</v>
      </c>
      <c r="H960" s="53">
        <f>IF(G960=1,IF(F959=1,1,-1),G960)</f>
        <v>1</v>
      </c>
      <c r="I960" s="53" t="str">
        <f>VLOOKUP(H960,codes,2,)</f>
        <v>wd</v>
      </c>
      <c r="J960" s="53"/>
    </row>
    <row r="961" spans="1:10" x14ac:dyDescent="0.25">
      <c r="A961" s="93">
        <v>45396</v>
      </c>
      <c r="B961" s="35">
        <f>C961+(D961-2009)*12</f>
        <v>184</v>
      </c>
      <c r="C961" s="76">
        <v>4</v>
      </c>
      <c r="D961" s="53">
        <v>2024</v>
      </c>
      <c r="E961" s="56">
        <v>0.73333333333333339</v>
      </c>
      <c r="F961" s="53">
        <f>IF(E961&gt;0,1,0)</f>
        <v>1</v>
      </c>
      <c r="G961" s="53">
        <f>SUM(F960:F961)</f>
        <v>1</v>
      </c>
      <c r="H961" s="53">
        <f>IF(G961=1,IF(F960=1,1,-1),G961)</f>
        <v>-1</v>
      </c>
      <c r="I961" s="53" t="str">
        <f>VLOOKUP(H961,codes,2,)</f>
        <v>dw</v>
      </c>
      <c r="J961" s="53"/>
    </row>
    <row r="962" spans="1:10" x14ac:dyDescent="0.25">
      <c r="A962" s="93">
        <v>45397</v>
      </c>
      <c r="B962" s="35">
        <f>C962+(D962-2009)*12</f>
        <v>184</v>
      </c>
      <c r="C962" s="76">
        <v>4</v>
      </c>
      <c r="D962" s="53">
        <v>2024</v>
      </c>
      <c r="E962" s="56">
        <v>3.3333333333333335</v>
      </c>
      <c r="F962" s="53">
        <f>IF(E962&gt;0,1,0)</f>
        <v>1</v>
      </c>
      <c r="G962" s="53">
        <f>SUM(F961:F962)</f>
        <v>2</v>
      </c>
      <c r="H962" s="53">
        <f>IF(G962=1,IF(F961=1,1,-1),G962)</f>
        <v>2</v>
      </c>
      <c r="I962" s="53" t="str">
        <f>VLOOKUP(H962,codes,2,)</f>
        <v>ww</v>
      </c>
      <c r="J962" s="53"/>
    </row>
    <row r="963" spans="1:10" x14ac:dyDescent="0.25">
      <c r="A963" s="93">
        <v>45398</v>
      </c>
      <c r="B963" s="35">
        <f>C963+(D963-2009)*12</f>
        <v>184</v>
      </c>
      <c r="C963" s="76">
        <v>4</v>
      </c>
      <c r="D963" s="53">
        <v>2024</v>
      </c>
      <c r="E963" s="56">
        <v>1.4000000000000001</v>
      </c>
      <c r="F963" s="53">
        <f>IF(E963&gt;0,1,0)</f>
        <v>1</v>
      </c>
      <c r="G963" s="53">
        <f>SUM(F962:F963)</f>
        <v>2</v>
      </c>
      <c r="H963" s="53">
        <f>IF(G963=1,IF(F962=1,1,-1),G963)</f>
        <v>2</v>
      </c>
      <c r="I963" s="53" t="str">
        <f>VLOOKUP(H963,codes,2,)</f>
        <v>ww</v>
      </c>
      <c r="J963" s="53"/>
    </row>
    <row r="964" spans="1:10" x14ac:dyDescent="0.25">
      <c r="A964" s="93">
        <v>45399</v>
      </c>
      <c r="B964" s="35">
        <f>C964+(D964-2009)*12</f>
        <v>184</v>
      </c>
      <c r="C964" s="76">
        <v>4</v>
      </c>
      <c r="D964" s="53">
        <v>2024</v>
      </c>
      <c r="E964" s="56">
        <v>0.13333333333333333</v>
      </c>
      <c r="F964" s="53">
        <f>IF(E964&gt;0,1,0)</f>
        <v>1</v>
      </c>
      <c r="G964" s="53">
        <f>SUM(F963:F964)</f>
        <v>2</v>
      </c>
      <c r="H964" s="53">
        <f>IF(G964=1,IF(F963=1,1,-1),G964)</f>
        <v>2</v>
      </c>
      <c r="I964" s="53" t="str">
        <f>VLOOKUP(H964,codes,2,)</f>
        <v>ww</v>
      </c>
      <c r="J964" s="53"/>
    </row>
    <row r="965" spans="1:10" x14ac:dyDescent="0.25">
      <c r="A965" s="93">
        <v>45400</v>
      </c>
      <c r="B965" s="35">
        <f>C965+(D965-2009)*12</f>
        <v>184</v>
      </c>
      <c r="C965" s="76">
        <v>4</v>
      </c>
      <c r="D965" s="53">
        <v>2024</v>
      </c>
      <c r="E965" s="56">
        <v>0.20000000000000004</v>
      </c>
      <c r="F965" s="53">
        <f>IF(E965&gt;0,1,0)</f>
        <v>1</v>
      </c>
      <c r="G965" s="53">
        <f>SUM(F964:F965)</f>
        <v>2</v>
      </c>
      <c r="H965" s="53">
        <f>IF(G965=1,IF(F964=1,1,-1),G965)</f>
        <v>2</v>
      </c>
      <c r="I965" s="53" t="str">
        <f>VLOOKUP(H965,codes,2,)</f>
        <v>ww</v>
      </c>
      <c r="J965" s="53"/>
    </row>
    <row r="966" spans="1:10" x14ac:dyDescent="0.25">
      <c r="A966" s="93">
        <v>45401</v>
      </c>
      <c r="B966" s="35">
        <f>C966+(D966-2009)*12</f>
        <v>184</v>
      </c>
      <c r="C966" s="76">
        <v>4</v>
      </c>
      <c r="D966" s="53">
        <v>2024</v>
      </c>
      <c r="E966" s="56">
        <v>2.0666666666666669</v>
      </c>
      <c r="F966" s="53">
        <f>IF(E966&gt;0,1,0)</f>
        <v>1</v>
      </c>
      <c r="G966" s="53">
        <f>SUM(F965:F966)</f>
        <v>2</v>
      </c>
      <c r="H966" s="53">
        <f>IF(G966=1,IF(F965=1,1,-1),G966)</f>
        <v>2</v>
      </c>
      <c r="I966" s="53" t="str">
        <f>VLOOKUP(H966,codes,2,)</f>
        <v>ww</v>
      </c>
      <c r="J966" s="53"/>
    </row>
    <row r="967" spans="1:10" x14ac:dyDescent="0.25">
      <c r="A967" s="93">
        <v>45402</v>
      </c>
      <c r="B967" s="35">
        <f>C967+(D967-2009)*12</f>
        <v>184</v>
      </c>
      <c r="C967" s="76">
        <v>4</v>
      </c>
      <c r="D967" s="53">
        <v>2024</v>
      </c>
      <c r="E967" s="56">
        <v>0</v>
      </c>
      <c r="F967" s="53">
        <f>IF(E967&gt;0,1,0)</f>
        <v>0</v>
      </c>
      <c r="G967" s="53">
        <f>SUM(F966:F967)</f>
        <v>1</v>
      </c>
      <c r="H967" s="53">
        <f>IF(G967=1,IF(F966=1,1,-1),G967)</f>
        <v>1</v>
      </c>
      <c r="I967" s="53" t="str">
        <f>VLOOKUP(H967,codes,2,)</f>
        <v>wd</v>
      </c>
      <c r="J967" s="53"/>
    </row>
    <row r="968" spans="1:10" x14ac:dyDescent="0.25">
      <c r="A968" s="93">
        <v>45403</v>
      </c>
      <c r="B968" s="35">
        <f>C968+(D968-2009)*12</f>
        <v>184</v>
      </c>
      <c r="C968" s="76">
        <v>4</v>
      </c>
      <c r="D968" s="53">
        <v>2024</v>
      </c>
      <c r="E968" s="56">
        <v>0</v>
      </c>
      <c r="F968" s="53">
        <f>IF(E968&gt;0,1,0)</f>
        <v>0</v>
      </c>
      <c r="G968" s="53">
        <f>SUM(F967:F968)</f>
        <v>0</v>
      </c>
      <c r="H968" s="53">
        <f>IF(G968=1,IF(F967=1,1,-1),G968)</f>
        <v>0</v>
      </c>
      <c r="I968" s="53" t="str">
        <f>VLOOKUP(H968,codes,2,)</f>
        <v>dd</v>
      </c>
      <c r="J968" s="53"/>
    </row>
    <row r="969" spans="1:10" x14ac:dyDescent="0.25">
      <c r="A969" s="93">
        <v>45404</v>
      </c>
      <c r="B969" s="35">
        <f>C969+(D969-2009)*12</f>
        <v>184</v>
      </c>
      <c r="C969" s="76">
        <v>4</v>
      </c>
      <c r="D969" s="53">
        <v>2024</v>
      </c>
      <c r="E969" s="56">
        <v>1</v>
      </c>
      <c r="F969" s="53">
        <f>IF(E969&gt;0,1,0)</f>
        <v>1</v>
      </c>
      <c r="G969" s="53">
        <f>SUM(F968:F969)</f>
        <v>1</v>
      </c>
      <c r="H969" s="53">
        <f>IF(G969=1,IF(F968=1,1,-1),G969)</f>
        <v>-1</v>
      </c>
      <c r="I969" s="53" t="str">
        <f>VLOOKUP(H969,codes,2,)</f>
        <v>dw</v>
      </c>
      <c r="J969" s="53"/>
    </row>
    <row r="970" spans="1:10" x14ac:dyDescent="0.25">
      <c r="A970" s="93">
        <v>45405</v>
      </c>
      <c r="B970" s="35">
        <f>C970+(D970-2009)*12</f>
        <v>184</v>
      </c>
      <c r="C970" s="76">
        <v>4</v>
      </c>
      <c r="D970" s="53">
        <v>2024</v>
      </c>
      <c r="E970" s="56">
        <v>1.2</v>
      </c>
      <c r="F970" s="53">
        <f>IF(E970&gt;0,1,0)</f>
        <v>1</v>
      </c>
      <c r="G970" s="53">
        <f>SUM(F969:F970)</f>
        <v>2</v>
      </c>
      <c r="H970" s="53">
        <f>IF(G970=1,IF(F969=1,1,-1),G970)</f>
        <v>2</v>
      </c>
      <c r="I970" s="53" t="str">
        <f>VLOOKUP(H970,codes,2,)</f>
        <v>ww</v>
      </c>
      <c r="J970" s="53"/>
    </row>
    <row r="971" spans="1:10" x14ac:dyDescent="0.25">
      <c r="A971" s="93">
        <v>45406</v>
      </c>
      <c r="B971" s="35">
        <f>C971+(D971-2009)*12</f>
        <v>184</v>
      </c>
      <c r="C971" s="76">
        <v>4</v>
      </c>
      <c r="D971" s="53">
        <v>2024</v>
      </c>
      <c r="E971" s="56">
        <v>0.33333333333333331</v>
      </c>
      <c r="F971" s="53">
        <f>IF(E971&gt;0,1,0)</f>
        <v>1</v>
      </c>
      <c r="G971" s="53">
        <f>SUM(F970:F971)</f>
        <v>2</v>
      </c>
      <c r="H971" s="53">
        <f>IF(G971=1,IF(F970=1,1,-1),G971)</f>
        <v>2</v>
      </c>
      <c r="I971" s="53" t="str">
        <f>VLOOKUP(H971,codes,2,)</f>
        <v>ww</v>
      </c>
      <c r="J971" s="53"/>
    </row>
    <row r="972" spans="1:10" x14ac:dyDescent="0.25">
      <c r="A972" s="93">
        <v>45407</v>
      </c>
      <c r="B972" s="35">
        <f>C972+(D972-2009)*12</f>
        <v>184</v>
      </c>
      <c r="C972" s="76">
        <v>4</v>
      </c>
      <c r="D972" s="53">
        <v>2024</v>
      </c>
      <c r="E972" s="56">
        <v>0.33333333333333331</v>
      </c>
      <c r="F972" s="53">
        <f>IF(E972&gt;0,1,0)</f>
        <v>1</v>
      </c>
      <c r="G972" s="53">
        <f>SUM(F971:F972)</f>
        <v>2</v>
      </c>
      <c r="H972" s="53">
        <f>IF(G972=1,IF(F971=1,1,-1),G972)</f>
        <v>2</v>
      </c>
      <c r="I972" s="53" t="str">
        <f>VLOOKUP(H972,codes,2,)</f>
        <v>ww</v>
      </c>
      <c r="J972" s="53"/>
    </row>
    <row r="973" spans="1:10" x14ac:dyDescent="0.25">
      <c r="A973" s="93">
        <v>45408</v>
      </c>
      <c r="B973" s="35">
        <f>C973+(D973-2009)*12</f>
        <v>184</v>
      </c>
      <c r="C973" s="76">
        <v>4</v>
      </c>
      <c r="D973" s="53">
        <v>2024</v>
      </c>
      <c r="E973" s="56">
        <v>0.66666666666666663</v>
      </c>
      <c r="F973" s="53">
        <f>IF(E973&gt;0,1,0)</f>
        <v>1</v>
      </c>
      <c r="G973" s="53">
        <f>SUM(F972:F973)</f>
        <v>2</v>
      </c>
      <c r="H973" s="53">
        <f>IF(G973=1,IF(F972=1,1,-1),G973)</f>
        <v>2</v>
      </c>
      <c r="I973" s="53" t="str">
        <f>VLOOKUP(H973,codes,2,)</f>
        <v>ww</v>
      </c>
      <c r="J973" s="53"/>
    </row>
    <row r="974" spans="1:10" x14ac:dyDescent="0.25">
      <c r="A974" s="93">
        <v>45409</v>
      </c>
      <c r="B974" s="35">
        <f>C974+(D974-2009)*12</f>
        <v>184</v>
      </c>
      <c r="C974" s="76">
        <v>4</v>
      </c>
      <c r="D974" s="53">
        <v>2024</v>
      </c>
      <c r="E974" s="56">
        <v>0.66666666666666663</v>
      </c>
      <c r="F974" s="53">
        <f>IF(E974&gt;0,1,0)</f>
        <v>1</v>
      </c>
      <c r="G974" s="53">
        <f>SUM(F973:F974)</f>
        <v>2</v>
      </c>
      <c r="H974" s="53">
        <f>IF(G974=1,IF(F973=1,1,-1),G974)</f>
        <v>2</v>
      </c>
      <c r="I974" s="53" t="str">
        <f>VLOOKUP(H974,codes,2,)</f>
        <v>ww</v>
      </c>
      <c r="J974" s="53"/>
    </row>
    <row r="975" spans="1:10" x14ac:dyDescent="0.25">
      <c r="A975" s="93">
        <v>45410</v>
      </c>
      <c r="B975" s="35">
        <f>C975+(D975-2009)*12</f>
        <v>184</v>
      </c>
      <c r="C975" s="76">
        <v>4</v>
      </c>
      <c r="D975" s="53">
        <v>2024</v>
      </c>
      <c r="E975" s="56">
        <v>1.6666666666666667</v>
      </c>
      <c r="F975" s="53">
        <f>IF(E975&gt;0,1,0)</f>
        <v>1</v>
      </c>
      <c r="G975" s="53">
        <f>SUM(F974:F975)</f>
        <v>2</v>
      </c>
      <c r="H975" s="53">
        <f>IF(G975=1,IF(F974=1,1,-1),G975)</f>
        <v>2</v>
      </c>
      <c r="I975" s="53" t="str">
        <f>VLOOKUP(H975,codes,2,)</f>
        <v>ww</v>
      </c>
      <c r="J975" s="53"/>
    </row>
    <row r="976" spans="1:10" x14ac:dyDescent="0.25">
      <c r="A976" s="93">
        <v>45411</v>
      </c>
      <c r="B976" s="35">
        <f>C976+(D976-2009)*12</f>
        <v>184</v>
      </c>
      <c r="C976" s="76">
        <v>4</v>
      </c>
      <c r="D976" s="53">
        <v>2024</v>
      </c>
      <c r="E976" s="56">
        <v>4.8666666666666663</v>
      </c>
      <c r="F976" s="53">
        <f>IF(E976&gt;0,1,0)</f>
        <v>1</v>
      </c>
      <c r="G976" s="53">
        <f>SUM(F975:F976)</f>
        <v>2</v>
      </c>
      <c r="H976" s="53">
        <f>IF(G976=1,IF(F975=1,1,-1),G976)</f>
        <v>2</v>
      </c>
      <c r="I976" s="53" t="str">
        <f>VLOOKUP(H976,codes,2,)</f>
        <v>ww</v>
      </c>
      <c r="J976" s="53"/>
    </row>
    <row r="977" spans="1:10" x14ac:dyDescent="0.25">
      <c r="A977" s="93">
        <v>45412</v>
      </c>
      <c r="B977" s="35">
        <f>C977+(D977-2009)*12</f>
        <v>184</v>
      </c>
      <c r="C977" s="76">
        <v>4</v>
      </c>
      <c r="D977" s="53">
        <v>2024</v>
      </c>
      <c r="E977" s="56">
        <v>0</v>
      </c>
      <c r="F977" s="53">
        <f>IF(E977&gt;0,1,0)</f>
        <v>0</v>
      </c>
      <c r="G977" s="53">
        <f>SUM(F976:F977)</f>
        <v>1</v>
      </c>
      <c r="H977" s="53">
        <f>IF(G977=1,IF(F976=1,1,-1),G977)</f>
        <v>1</v>
      </c>
      <c r="I977" s="53" t="str">
        <f>VLOOKUP(H977,codes,2,)</f>
        <v>wd</v>
      </c>
      <c r="J977" s="53"/>
    </row>
    <row r="978" spans="1:10" x14ac:dyDescent="0.25">
      <c r="A978" s="93">
        <v>39873</v>
      </c>
      <c r="B978" s="35">
        <f>C978+(D978-2009)*12</f>
        <v>3</v>
      </c>
      <c r="C978" s="76">
        <v>3</v>
      </c>
      <c r="D978" s="76">
        <v>2009</v>
      </c>
      <c r="E978" s="56">
        <v>0</v>
      </c>
      <c r="F978" s="53">
        <f>IF(E978&gt;0,1,0)</f>
        <v>0</v>
      </c>
      <c r="G978" s="53">
        <f>SUM(F977:F978)</f>
        <v>0</v>
      </c>
      <c r="H978" s="53">
        <f>IF(G978=1,IF(F977=1,1,-1),G978)</f>
        <v>0</v>
      </c>
      <c r="I978" s="53" t="str">
        <f>VLOOKUP(H978,codes,2,)</f>
        <v>dd</v>
      </c>
      <c r="J978" s="53"/>
    </row>
    <row r="979" spans="1:10" x14ac:dyDescent="0.25">
      <c r="A979" s="93">
        <v>39874</v>
      </c>
      <c r="B979" s="35">
        <f>C979+(D979-2009)*12</f>
        <v>3</v>
      </c>
      <c r="C979" s="76">
        <v>3</v>
      </c>
      <c r="D979" s="76">
        <v>2009</v>
      </c>
      <c r="E979" s="56">
        <v>0.26666666666666666</v>
      </c>
      <c r="F979" s="53">
        <f>IF(E979&gt;0,1,0)</f>
        <v>1</v>
      </c>
      <c r="G979" s="53">
        <f>SUM(F978:F979)</f>
        <v>1</v>
      </c>
      <c r="H979" s="53">
        <f>IF(G979=1,IF(F978=1,1,-1),G979)</f>
        <v>-1</v>
      </c>
      <c r="I979" s="53" t="str">
        <f>VLOOKUP(H979,codes,2,)</f>
        <v>dw</v>
      </c>
      <c r="J979" s="53"/>
    </row>
    <row r="980" spans="1:10" x14ac:dyDescent="0.25">
      <c r="A980" s="93">
        <v>39875</v>
      </c>
      <c r="B980" s="35">
        <f>C980+(D980-2009)*12</f>
        <v>3</v>
      </c>
      <c r="C980" s="76">
        <v>3</v>
      </c>
      <c r="D980" s="76">
        <v>2009</v>
      </c>
      <c r="E980" s="56">
        <v>0.73333333333333339</v>
      </c>
      <c r="F980" s="53">
        <f>IF(E980&gt;0,1,0)</f>
        <v>1</v>
      </c>
      <c r="G980" s="53">
        <f>SUM(F979:F980)</f>
        <v>2</v>
      </c>
      <c r="H980" s="53">
        <f>IF(G980=1,IF(F979=1,1,-1),G980)</f>
        <v>2</v>
      </c>
      <c r="I980" s="53" t="str">
        <f>VLOOKUP(H980,codes,2,)</f>
        <v>ww</v>
      </c>
      <c r="J980" s="53"/>
    </row>
    <row r="981" spans="1:10" x14ac:dyDescent="0.25">
      <c r="A981" s="93">
        <v>39876</v>
      </c>
      <c r="B981" s="35">
        <f>C981+(D981-2009)*12</f>
        <v>3</v>
      </c>
      <c r="C981" s="76">
        <v>3</v>
      </c>
      <c r="D981" s="76">
        <v>2009</v>
      </c>
      <c r="E981" s="56">
        <v>1.4666666666666668</v>
      </c>
      <c r="F981" s="53">
        <f>IF(E981&gt;0,1,0)</f>
        <v>1</v>
      </c>
      <c r="G981" s="53">
        <f>SUM(F980:F981)</f>
        <v>2</v>
      </c>
      <c r="H981" s="53">
        <f>IF(G981=1,IF(F980=1,1,-1),G981)</f>
        <v>2</v>
      </c>
      <c r="I981" s="53" t="str">
        <f>VLOOKUP(H981,codes,2,)</f>
        <v>ww</v>
      </c>
      <c r="J981" s="53"/>
    </row>
    <row r="982" spans="1:10" x14ac:dyDescent="0.25">
      <c r="A982" s="93">
        <v>39877</v>
      </c>
      <c r="B982" s="35">
        <f>C982+(D982-2009)*12</f>
        <v>3</v>
      </c>
      <c r="C982" s="76">
        <v>3</v>
      </c>
      <c r="D982" s="76">
        <v>2009</v>
      </c>
      <c r="E982" s="56">
        <v>0.13333333333333333</v>
      </c>
      <c r="F982" s="53">
        <f>IF(E982&gt;0,1,0)</f>
        <v>1</v>
      </c>
      <c r="G982" s="53">
        <f>SUM(F981:F982)</f>
        <v>2</v>
      </c>
      <c r="H982" s="53">
        <f>IF(G982=1,IF(F981=1,1,-1),G982)</f>
        <v>2</v>
      </c>
      <c r="I982" s="53" t="str">
        <f>VLOOKUP(H982,codes,2,)</f>
        <v>ww</v>
      </c>
      <c r="J982" s="53"/>
    </row>
    <row r="983" spans="1:10" x14ac:dyDescent="0.25">
      <c r="A983" s="93">
        <v>39878</v>
      </c>
      <c r="B983" s="35">
        <f>C983+(D983-2009)*12</f>
        <v>3</v>
      </c>
      <c r="C983" s="76">
        <v>3</v>
      </c>
      <c r="D983" s="76">
        <v>2009</v>
      </c>
      <c r="E983" s="56">
        <v>6.6666666666666666E-2</v>
      </c>
      <c r="F983" s="53">
        <f>IF(E983&gt;0,1,0)</f>
        <v>1</v>
      </c>
      <c r="G983" s="53">
        <f>SUM(F982:F983)</f>
        <v>2</v>
      </c>
      <c r="H983" s="53">
        <f>IF(G983=1,IF(F982=1,1,-1),G983)</f>
        <v>2</v>
      </c>
      <c r="I983" s="53" t="str">
        <f>VLOOKUP(H983,codes,2,)</f>
        <v>ww</v>
      </c>
      <c r="J983" s="53"/>
    </row>
    <row r="984" spans="1:10" x14ac:dyDescent="0.25">
      <c r="A984" s="93">
        <v>39879</v>
      </c>
      <c r="B984" s="35">
        <f>C984+(D984-2009)*12</f>
        <v>3</v>
      </c>
      <c r="C984" s="76">
        <v>3</v>
      </c>
      <c r="D984" s="76">
        <v>2009</v>
      </c>
      <c r="E984" s="56">
        <v>0.73333333333333339</v>
      </c>
      <c r="F984" s="53">
        <f>IF(E984&gt;0,1,0)</f>
        <v>1</v>
      </c>
      <c r="G984" s="53">
        <f>SUM(F983:F984)</f>
        <v>2</v>
      </c>
      <c r="H984" s="53">
        <f>IF(G984=1,IF(F983=1,1,-1),G984)</f>
        <v>2</v>
      </c>
      <c r="I984" s="53" t="str">
        <f>VLOOKUP(H984,codes,2,)</f>
        <v>ww</v>
      </c>
      <c r="J984" s="53"/>
    </row>
    <row r="985" spans="1:10" x14ac:dyDescent="0.25">
      <c r="A985" s="93">
        <v>39880</v>
      </c>
      <c r="B985" s="35">
        <f>C985+(D985-2009)*12</f>
        <v>3</v>
      </c>
      <c r="C985" s="76">
        <v>3</v>
      </c>
      <c r="D985" s="76">
        <v>2009</v>
      </c>
      <c r="E985" s="56">
        <v>2.166666666666667</v>
      </c>
      <c r="F985" s="53">
        <f>IF(E985&gt;0,1,0)</f>
        <v>1</v>
      </c>
      <c r="G985" s="53">
        <f>SUM(F984:F985)</f>
        <v>2</v>
      </c>
      <c r="H985" s="53">
        <f>IF(G985=1,IF(F984=1,1,-1),G985)</f>
        <v>2</v>
      </c>
      <c r="I985" s="53" t="str">
        <f>VLOOKUP(H985,codes,2,)</f>
        <v>ww</v>
      </c>
      <c r="J985" s="53"/>
    </row>
    <row r="986" spans="1:10" x14ac:dyDescent="0.25">
      <c r="A986" s="93">
        <v>39881</v>
      </c>
      <c r="B986" s="35">
        <f>C986+(D986-2009)*12</f>
        <v>3</v>
      </c>
      <c r="C986" s="76">
        <v>3</v>
      </c>
      <c r="D986" s="76">
        <v>2009</v>
      </c>
      <c r="E986" s="56">
        <v>1.0666666666666667</v>
      </c>
      <c r="F986" s="53">
        <f>IF(E986&gt;0,1,0)</f>
        <v>1</v>
      </c>
      <c r="G986" s="53">
        <f>SUM(F985:F986)</f>
        <v>2</v>
      </c>
      <c r="H986" s="53">
        <f>IF(G986=1,IF(F985=1,1,-1),G986)</f>
        <v>2</v>
      </c>
      <c r="I986" s="53" t="str">
        <f>VLOOKUP(H986,codes,2,)</f>
        <v>ww</v>
      </c>
      <c r="J986" s="53"/>
    </row>
    <row r="987" spans="1:10" x14ac:dyDescent="0.25">
      <c r="A987" s="93">
        <v>39882</v>
      </c>
      <c r="B987" s="35">
        <f>C987+(D987-2009)*12</f>
        <v>3</v>
      </c>
      <c r="C987" s="76">
        <v>3</v>
      </c>
      <c r="D987" s="76">
        <v>2009</v>
      </c>
      <c r="E987" s="56">
        <v>0.83333333333333337</v>
      </c>
      <c r="F987" s="53">
        <f>IF(E987&gt;0,1,0)</f>
        <v>1</v>
      </c>
      <c r="G987" s="53">
        <f>SUM(F986:F987)</f>
        <v>2</v>
      </c>
      <c r="H987" s="53">
        <f>IF(G987=1,IF(F986=1,1,-1),G987)</f>
        <v>2</v>
      </c>
      <c r="I987" s="53" t="str">
        <f>VLOOKUP(H987,codes,2,)</f>
        <v>ww</v>
      </c>
      <c r="J987" s="53"/>
    </row>
    <row r="988" spans="1:10" x14ac:dyDescent="0.25">
      <c r="A988" s="93">
        <v>39883</v>
      </c>
      <c r="B988" s="35">
        <f>C988+(D988-2009)*12</f>
        <v>3</v>
      </c>
      <c r="C988" s="76">
        <v>3</v>
      </c>
      <c r="D988" s="76">
        <v>2009</v>
      </c>
      <c r="E988" s="56">
        <v>0</v>
      </c>
      <c r="F988" s="53">
        <f>IF(E988&gt;0,1,0)</f>
        <v>0</v>
      </c>
      <c r="G988" s="53">
        <f>SUM(F987:F988)</f>
        <v>1</v>
      </c>
      <c r="H988" s="53">
        <f>IF(G988=1,IF(F987=1,1,-1),G988)</f>
        <v>1</v>
      </c>
      <c r="I988" s="53" t="str">
        <f>VLOOKUP(H988,codes,2,)</f>
        <v>wd</v>
      </c>
      <c r="J988" s="53"/>
    </row>
    <row r="989" spans="1:10" x14ac:dyDescent="0.25">
      <c r="A989" s="93">
        <v>39884</v>
      </c>
      <c r="B989" s="35">
        <f>C989+(D989-2009)*12</f>
        <v>3</v>
      </c>
      <c r="C989" s="76">
        <v>3</v>
      </c>
      <c r="D989" s="76">
        <v>2009</v>
      </c>
      <c r="E989" s="56">
        <v>0</v>
      </c>
      <c r="F989" s="53">
        <f>IF(E989&gt;0,1,0)</f>
        <v>0</v>
      </c>
      <c r="G989" s="53">
        <f>SUM(F988:F989)</f>
        <v>0</v>
      </c>
      <c r="H989" s="53">
        <f>IF(G989=1,IF(F988=1,1,-1),G989)</f>
        <v>0</v>
      </c>
      <c r="I989" s="53" t="str">
        <f>VLOOKUP(H989,codes,2,)</f>
        <v>dd</v>
      </c>
      <c r="J989" s="53"/>
    </row>
    <row r="990" spans="1:10" x14ac:dyDescent="0.25">
      <c r="A990" s="93">
        <v>39885</v>
      </c>
      <c r="B990" s="35">
        <f>C990+(D990-2009)*12</f>
        <v>3</v>
      </c>
      <c r="C990" s="76">
        <v>3</v>
      </c>
      <c r="D990" s="76">
        <v>2009</v>
      </c>
      <c r="E990" s="56">
        <v>0</v>
      </c>
      <c r="F990" s="53">
        <f>IF(E990&gt;0,1,0)</f>
        <v>0</v>
      </c>
      <c r="G990" s="53">
        <f>SUM(F989:F990)</f>
        <v>0</v>
      </c>
      <c r="H990" s="53">
        <f>IF(G990=1,IF(F989=1,1,-1),G990)</f>
        <v>0</v>
      </c>
      <c r="I990" s="53" t="str">
        <f>VLOOKUP(H990,codes,2,)</f>
        <v>dd</v>
      </c>
      <c r="J990" s="53"/>
    </row>
    <row r="991" spans="1:10" x14ac:dyDescent="0.25">
      <c r="A991" s="93">
        <v>39886</v>
      </c>
      <c r="B991" s="35">
        <f>C991+(D991-2009)*12</f>
        <v>3</v>
      </c>
      <c r="C991" s="76">
        <v>3</v>
      </c>
      <c r="D991" s="76">
        <v>2009</v>
      </c>
      <c r="E991" s="56">
        <v>0.13333333333333333</v>
      </c>
      <c r="F991" s="53">
        <f>IF(E991&gt;0,1,0)</f>
        <v>1</v>
      </c>
      <c r="G991" s="53">
        <f>SUM(F990:F991)</f>
        <v>1</v>
      </c>
      <c r="H991" s="53">
        <f>IF(G991=1,IF(F990=1,1,-1),G991)</f>
        <v>-1</v>
      </c>
      <c r="I991" s="53" t="str">
        <f>VLOOKUP(H991,codes,2,)</f>
        <v>dw</v>
      </c>
      <c r="J991" s="53"/>
    </row>
    <row r="992" spans="1:10" x14ac:dyDescent="0.25">
      <c r="A992" s="93">
        <v>39887</v>
      </c>
      <c r="B992" s="35">
        <f>C992+(D992-2009)*12</f>
        <v>3</v>
      </c>
      <c r="C992" s="76">
        <v>3</v>
      </c>
      <c r="D992" s="76">
        <v>2009</v>
      </c>
      <c r="E992" s="56">
        <v>0</v>
      </c>
      <c r="F992" s="53">
        <f>IF(E992&gt;0,1,0)</f>
        <v>0</v>
      </c>
      <c r="G992" s="53">
        <f>SUM(F991:F992)</f>
        <v>1</v>
      </c>
      <c r="H992" s="53">
        <f>IF(G992=1,IF(F991=1,1,-1),G992)</f>
        <v>1</v>
      </c>
      <c r="I992" s="53" t="str">
        <f>VLOOKUP(H992,codes,2,)</f>
        <v>wd</v>
      </c>
      <c r="J992" s="53"/>
    </row>
    <row r="993" spans="1:10" x14ac:dyDescent="0.25">
      <c r="A993" s="93">
        <v>39888</v>
      </c>
      <c r="B993" s="35">
        <f>C993+(D993-2009)*12</f>
        <v>3</v>
      </c>
      <c r="C993" s="76">
        <v>3</v>
      </c>
      <c r="D993" s="76">
        <v>2009</v>
      </c>
      <c r="E993" s="56">
        <v>0</v>
      </c>
      <c r="F993" s="53">
        <f>IF(E993&gt;0,1,0)</f>
        <v>0</v>
      </c>
      <c r="G993" s="53">
        <f>SUM(F992:F993)</f>
        <v>0</v>
      </c>
      <c r="H993" s="53">
        <f>IF(G993=1,IF(F992=1,1,-1),G993)</f>
        <v>0</v>
      </c>
      <c r="I993" s="53" t="str">
        <f>VLOOKUP(H993,codes,2,)</f>
        <v>dd</v>
      </c>
      <c r="J993" s="53"/>
    </row>
    <row r="994" spans="1:10" x14ac:dyDescent="0.25">
      <c r="A994" s="93">
        <v>39889</v>
      </c>
      <c r="B994" s="35">
        <f>C994+(D994-2009)*12</f>
        <v>3</v>
      </c>
      <c r="C994" s="76">
        <v>3</v>
      </c>
      <c r="D994" s="76">
        <v>2009</v>
      </c>
      <c r="E994" s="56">
        <v>0</v>
      </c>
      <c r="F994" s="53">
        <f>IF(E994&gt;0,1,0)</f>
        <v>0</v>
      </c>
      <c r="G994" s="53">
        <f>SUM(F993:F994)</f>
        <v>0</v>
      </c>
      <c r="H994" s="53">
        <f>IF(G994=1,IF(F993=1,1,-1),G994)</f>
        <v>0</v>
      </c>
      <c r="I994" s="53" t="str">
        <f>VLOOKUP(H994,codes,2,)</f>
        <v>dd</v>
      </c>
      <c r="J994" s="53"/>
    </row>
    <row r="995" spans="1:10" x14ac:dyDescent="0.25">
      <c r="A995" s="93">
        <v>39890</v>
      </c>
      <c r="B995" s="35">
        <f>C995+(D995-2009)*12</f>
        <v>3</v>
      </c>
      <c r="C995" s="76">
        <v>3</v>
      </c>
      <c r="D995" s="76">
        <v>2009</v>
      </c>
      <c r="E995" s="56">
        <v>0</v>
      </c>
      <c r="F995" s="53">
        <f>IF(E995&gt;0,1,0)</f>
        <v>0</v>
      </c>
      <c r="G995" s="53">
        <f>SUM(F994:F995)</f>
        <v>0</v>
      </c>
      <c r="H995" s="53">
        <f>IF(G995=1,IF(F994=1,1,-1),G995)</f>
        <v>0</v>
      </c>
      <c r="I995" s="53" t="str">
        <f>VLOOKUP(H995,codes,2,)</f>
        <v>dd</v>
      </c>
      <c r="J995" s="53"/>
    </row>
    <row r="996" spans="1:10" x14ac:dyDescent="0.25">
      <c r="A996" s="93">
        <v>39891</v>
      </c>
      <c r="B996" s="35">
        <f>C996+(D996-2009)*12</f>
        <v>3</v>
      </c>
      <c r="C996" s="76">
        <v>3</v>
      </c>
      <c r="D996" s="76">
        <v>2009</v>
      </c>
      <c r="E996" s="56">
        <v>3.3333333333333333E-2</v>
      </c>
      <c r="F996" s="53">
        <f>IF(E996&gt;0,1,0)</f>
        <v>1</v>
      </c>
      <c r="G996" s="53">
        <f>SUM(F995:F996)</f>
        <v>1</v>
      </c>
      <c r="H996" s="53">
        <f>IF(G996=1,IF(F995=1,1,-1),G996)</f>
        <v>-1</v>
      </c>
      <c r="I996" s="53" t="str">
        <f>VLOOKUP(H996,codes,2,)</f>
        <v>dw</v>
      </c>
      <c r="J996" s="53"/>
    </row>
    <row r="997" spans="1:10" x14ac:dyDescent="0.25">
      <c r="A997" s="93">
        <v>39892</v>
      </c>
      <c r="B997" s="35">
        <f>C997+(D997-2009)*12</f>
        <v>3</v>
      </c>
      <c r="C997" s="76">
        <v>3</v>
      </c>
      <c r="D997" s="76">
        <v>2009</v>
      </c>
      <c r="E997" s="56">
        <v>0</v>
      </c>
      <c r="F997" s="53">
        <f>IF(E997&gt;0,1,0)</f>
        <v>0</v>
      </c>
      <c r="G997" s="53">
        <f>SUM(F996:F997)</f>
        <v>1</v>
      </c>
      <c r="H997" s="53">
        <f>IF(G997=1,IF(F996=1,1,-1),G997)</f>
        <v>1</v>
      </c>
      <c r="I997" s="53" t="str">
        <f>VLOOKUP(H997,codes,2,)</f>
        <v>wd</v>
      </c>
      <c r="J997" s="53"/>
    </row>
    <row r="998" spans="1:10" x14ac:dyDescent="0.25">
      <c r="A998" s="93">
        <v>39893</v>
      </c>
      <c r="B998" s="35">
        <f>C998+(D998-2009)*12</f>
        <v>3</v>
      </c>
      <c r="C998" s="76">
        <v>3</v>
      </c>
      <c r="D998" s="76">
        <v>2009</v>
      </c>
      <c r="E998" s="56">
        <v>0</v>
      </c>
      <c r="F998" s="53">
        <f>IF(E998&gt;0,1,0)</f>
        <v>0</v>
      </c>
      <c r="G998" s="53">
        <f>SUM(F997:F998)</f>
        <v>0</v>
      </c>
      <c r="H998" s="53">
        <f>IF(G998=1,IF(F997=1,1,-1),G998)</f>
        <v>0</v>
      </c>
      <c r="I998" s="53" t="str">
        <f>VLOOKUP(H998,codes,2,)</f>
        <v>dd</v>
      </c>
      <c r="J998" s="53"/>
    </row>
    <row r="999" spans="1:10" x14ac:dyDescent="0.25">
      <c r="A999" s="93">
        <v>39894</v>
      </c>
      <c r="B999" s="35">
        <f>C999+(D999-2009)*12</f>
        <v>3</v>
      </c>
      <c r="C999" s="76">
        <v>3</v>
      </c>
      <c r="D999" s="76">
        <v>2009</v>
      </c>
      <c r="E999" s="56">
        <v>6.6666666666666666E-2</v>
      </c>
      <c r="F999" s="53">
        <f>IF(E999&gt;0,1,0)</f>
        <v>1</v>
      </c>
      <c r="G999" s="53">
        <f>SUM(F998:F999)</f>
        <v>1</v>
      </c>
      <c r="H999" s="53">
        <f>IF(G999=1,IF(F998=1,1,-1),G999)</f>
        <v>-1</v>
      </c>
      <c r="I999" s="53" t="str">
        <f>VLOOKUP(H999,codes,2,)</f>
        <v>dw</v>
      </c>
      <c r="J999" s="53"/>
    </row>
    <row r="1000" spans="1:10" x14ac:dyDescent="0.25">
      <c r="A1000" s="93">
        <v>39895</v>
      </c>
      <c r="B1000" s="35">
        <f>C1000+(D1000-2009)*12</f>
        <v>3</v>
      </c>
      <c r="C1000" s="76">
        <v>3</v>
      </c>
      <c r="D1000" s="76">
        <v>2009</v>
      </c>
      <c r="E1000" s="56">
        <v>0.6</v>
      </c>
      <c r="F1000" s="53">
        <f>IF(E1000&gt;0,1,0)</f>
        <v>1</v>
      </c>
      <c r="G1000" s="53">
        <f>SUM(F999:F1000)</f>
        <v>2</v>
      </c>
      <c r="H1000" s="53">
        <f>IF(G1000=1,IF(F999=1,1,-1),G1000)</f>
        <v>2</v>
      </c>
      <c r="I1000" s="53" t="str">
        <f>VLOOKUP(H1000,codes,2,)</f>
        <v>ww</v>
      </c>
      <c r="J1000" s="53"/>
    </row>
    <row r="1001" spans="1:10" x14ac:dyDescent="0.25">
      <c r="A1001" s="93">
        <v>39896</v>
      </c>
      <c r="B1001" s="35">
        <f>C1001+(D1001-2009)*12</f>
        <v>3</v>
      </c>
      <c r="C1001" s="76">
        <v>3</v>
      </c>
      <c r="D1001" s="76">
        <v>2009</v>
      </c>
      <c r="E1001" s="56">
        <v>0.33333333333333331</v>
      </c>
      <c r="F1001" s="53">
        <f>IF(E1001&gt;0,1,0)</f>
        <v>1</v>
      </c>
      <c r="G1001" s="53">
        <f>SUM(F1000:F1001)</f>
        <v>2</v>
      </c>
      <c r="H1001" s="53">
        <f>IF(G1001=1,IF(F1000=1,1,-1),G1001)</f>
        <v>2</v>
      </c>
      <c r="I1001" s="53" t="str">
        <f>VLOOKUP(H1001,codes,2,)</f>
        <v>ww</v>
      </c>
      <c r="J1001" s="53"/>
    </row>
    <row r="1002" spans="1:10" x14ac:dyDescent="0.25">
      <c r="A1002" s="93">
        <v>39897</v>
      </c>
      <c r="B1002" s="35">
        <f>C1002+(D1002-2009)*12</f>
        <v>3</v>
      </c>
      <c r="C1002" s="76">
        <v>3</v>
      </c>
      <c r="D1002" s="76">
        <v>2009</v>
      </c>
      <c r="E1002" s="56">
        <v>0.66666666666666663</v>
      </c>
      <c r="F1002" s="53">
        <f>IF(E1002&gt;0,1,0)</f>
        <v>1</v>
      </c>
      <c r="G1002" s="53">
        <f>SUM(F1001:F1002)</f>
        <v>2</v>
      </c>
      <c r="H1002" s="53">
        <f>IF(G1002=1,IF(F1001=1,1,-1),G1002)</f>
        <v>2</v>
      </c>
      <c r="I1002" s="53" t="str">
        <f>VLOOKUP(H1002,codes,2,)</f>
        <v>ww</v>
      </c>
      <c r="J1002" s="53"/>
    </row>
    <row r="1003" spans="1:10" x14ac:dyDescent="0.25">
      <c r="A1003" s="93">
        <v>39898</v>
      </c>
      <c r="B1003" s="35">
        <f>C1003+(D1003-2009)*12</f>
        <v>3</v>
      </c>
      <c r="C1003" s="76">
        <v>3</v>
      </c>
      <c r="D1003" s="76">
        <v>2009</v>
      </c>
      <c r="E1003" s="56">
        <v>1.2</v>
      </c>
      <c r="F1003" s="53">
        <f>IF(E1003&gt;0,1,0)</f>
        <v>1</v>
      </c>
      <c r="G1003" s="53">
        <f>SUM(F1002:F1003)</f>
        <v>2</v>
      </c>
      <c r="H1003" s="53">
        <f>IF(G1003=1,IF(F1002=1,1,-1),G1003)</f>
        <v>2</v>
      </c>
      <c r="I1003" s="53" t="str">
        <f>VLOOKUP(H1003,codes,2,)</f>
        <v>ww</v>
      </c>
      <c r="J1003" s="53"/>
    </row>
    <row r="1004" spans="1:10" x14ac:dyDescent="0.25">
      <c r="A1004" s="93">
        <v>39899</v>
      </c>
      <c r="B1004" s="35">
        <f>C1004+(D1004-2009)*12</f>
        <v>3</v>
      </c>
      <c r="C1004" s="76">
        <v>3</v>
      </c>
      <c r="D1004" s="76">
        <v>2009</v>
      </c>
      <c r="E1004" s="56">
        <v>2.4666666666666668</v>
      </c>
      <c r="F1004" s="53">
        <f>IF(E1004&gt;0,1,0)</f>
        <v>1</v>
      </c>
      <c r="G1004" s="53">
        <f>SUM(F1003:F1004)</f>
        <v>2</v>
      </c>
      <c r="H1004" s="53">
        <f>IF(G1004=1,IF(F1003=1,1,-1),G1004)</f>
        <v>2</v>
      </c>
      <c r="I1004" s="53" t="str">
        <f>VLOOKUP(H1004,codes,2,)</f>
        <v>ww</v>
      </c>
      <c r="J1004" s="53"/>
    </row>
    <row r="1005" spans="1:10" x14ac:dyDescent="0.25">
      <c r="A1005" s="93">
        <v>39900</v>
      </c>
      <c r="B1005" s="35">
        <f>C1005+(D1005-2009)*12</f>
        <v>3</v>
      </c>
      <c r="C1005" s="76">
        <v>3</v>
      </c>
      <c r="D1005" s="76">
        <v>2009</v>
      </c>
      <c r="E1005" s="56">
        <v>3.4</v>
      </c>
      <c r="F1005" s="53">
        <f>IF(E1005&gt;0,1,0)</f>
        <v>1</v>
      </c>
      <c r="G1005" s="53">
        <f>SUM(F1004:F1005)</f>
        <v>2</v>
      </c>
      <c r="H1005" s="53">
        <f>IF(G1005=1,IF(F1004=1,1,-1),G1005)</f>
        <v>2</v>
      </c>
      <c r="I1005" s="53" t="str">
        <f>VLOOKUP(H1005,codes,2,)</f>
        <v>ww</v>
      </c>
      <c r="J1005" s="53"/>
    </row>
    <row r="1006" spans="1:10" x14ac:dyDescent="0.25">
      <c r="A1006" s="93">
        <v>39901</v>
      </c>
      <c r="B1006" s="35">
        <f>C1006+(D1006-2009)*12</f>
        <v>3</v>
      </c>
      <c r="C1006" s="76">
        <v>3</v>
      </c>
      <c r="D1006" s="76">
        <v>2009</v>
      </c>
      <c r="E1006" s="56">
        <v>0.73333333333333339</v>
      </c>
      <c r="F1006" s="53">
        <f>IF(E1006&gt;0,1,0)</f>
        <v>1</v>
      </c>
      <c r="G1006" s="53">
        <f>SUM(F1005:F1006)</f>
        <v>2</v>
      </c>
      <c r="H1006" s="53">
        <f>IF(G1006=1,IF(F1005=1,1,-1),G1006)</f>
        <v>2</v>
      </c>
      <c r="I1006" s="53" t="str">
        <f>VLOOKUP(H1006,codes,2,)</f>
        <v>ww</v>
      </c>
      <c r="J1006" s="53"/>
    </row>
    <row r="1007" spans="1:10" x14ac:dyDescent="0.25">
      <c r="A1007" s="93">
        <v>39902</v>
      </c>
      <c r="B1007" s="35">
        <f>C1007+(D1007-2009)*12</f>
        <v>3</v>
      </c>
      <c r="C1007" s="76">
        <v>3</v>
      </c>
      <c r="D1007" s="76">
        <v>2009</v>
      </c>
      <c r="E1007" s="56">
        <v>0</v>
      </c>
      <c r="F1007" s="53">
        <f>IF(E1007&gt;0,1,0)</f>
        <v>0</v>
      </c>
      <c r="G1007" s="53">
        <f>SUM(F1006:F1007)</f>
        <v>1</v>
      </c>
      <c r="H1007" s="53">
        <f>IF(G1007=1,IF(F1006=1,1,-1),G1007)</f>
        <v>1</v>
      </c>
      <c r="I1007" s="53" t="str">
        <f>VLOOKUP(H1007,codes,2,)</f>
        <v>wd</v>
      </c>
      <c r="J1007" s="53"/>
    </row>
    <row r="1008" spans="1:10" x14ac:dyDescent="0.25">
      <c r="A1008" s="93">
        <v>39903</v>
      </c>
      <c r="B1008" s="35">
        <f>C1008+(D1008-2009)*12</f>
        <v>3</v>
      </c>
      <c r="C1008" s="76">
        <v>3</v>
      </c>
      <c r="D1008" s="76">
        <v>2009</v>
      </c>
      <c r="E1008" s="56">
        <v>0</v>
      </c>
      <c r="F1008" s="53">
        <f>IF(E1008&gt;0,1,0)</f>
        <v>0</v>
      </c>
      <c r="G1008" s="53">
        <f>SUM(F1007:F1008)</f>
        <v>0</v>
      </c>
      <c r="H1008" s="53">
        <f>IF(G1008=1,IF(F1007=1,1,-1),G1008)</f>
        <v>0</v>
      </c>
      <c r="I1008" s="53" t="str">
        <f>VLOOKUP(H1008,codes,2,)</f>
        <v>dd</v>
      </c>
      <c r="J1008" s="53"/>
    </row>
    <row r="1009" spans="1:10" x14ac:dyDescent="0.25">
      <c r="A1009" s="93">
        <v>40239</v>
      </c>
      <c r="B1009" s="35">
        <f>C1009+(D1009-2009)*12</f>
        <v>15</v>
      </c>
      <c r="C1009" s="76">
        <v>3</v>
      </c>
      <c r="D1009" s="76">
        <v>2010</v>
      </c>
      <c r="E1009" s="56">
        <v>0</v>
      </c>
      <c r="F1009" s="53">
        <f>IF(E1009&gt;0,1,0)</f>
        <v>0</v>
      </c>
      <c r="G1009" s="53">
        <f>SUM(F1008:F1009)</f>
        <v>0</v>
      </c>
      <c r="H1009" s="53">
        <f>IF(G1009=1,IF(F1008=1,1,-1),G1009)</f>
        <v>0</v>
      </c>
      <c r="I1009" s="53" t="str">
        <f>VLOOKUP(H1009,codes,2,)</f>
        <v>dd</v>
      </c>
      <c r="J1009" s="53"/>
    </row>
    <row r="1010" spans="1:10" x14ac:dyDescent="0.25">
      <c r="A1010" s="93">
        <v>40240</v>
      </c>
      <c r="B1010" s="35">
        <f>C1010+(D1010-2009)*12</f>
        <v>15</v>
      </c>
      <c r="C1010" s="76">
        <v>3</v>
      </c>
      <c r="D1010" s="76">
        <v>2010</v>
      </c>
      <c r="E1010" s="56">
        <v>0</v>
      </c>
      <c r="F1010" s="53">
        <f>IF(E1010&gt;0,1,0)</f>
        <v>0</v>
      </c>
      <c r="G1010" s="53">
        <f>SUM(F1009:F1010)</f>
        <v>0</v>
      </c>
      <c r="H1010" s="53">
        <f>IF(G1010=1,IF(F1009=1,1,-1),G1010)</f>
        <v>0</v>
      </c>
      <c r="I1010" s="53" t="str">
        <f>VLOOKUP(H1010,codes,2,)</f>
        <v>dd</v>
      </c>
      <c r="J1010" s="53"/>
    </row>
    <row r="1011" spans="1:10" x14ac:dyDescent="0.25">
      <c r="A1011" s="93">
        <v>40241</v>
      </c>
      <c r="B1011" s="35">
        <f>C1011+(D1011-2009)*12</f>
        <v>15</v>
      </c>
      <c r="C1011" s="76">
        <v>3</v>
      </c>
      <c r="D1011" s="76">
        <v>2010</v>
      </c>
      <c r="E1011" s="56">
        <v>0</v>
      </c>
      <c r="F1011" s="53">
        <f>IF(E1011&gt;0,1,0)</f>
        <v>0</v>
      </c>
      <c r="G1011" s="53">
        <f>SUM(F1010:F1011)</f>
        <v>0</v>
      </c>
      <c r="H1011" s="53">
        <f>IF(G1011=1,IF(F1010=1,1,-1),G1011)</f>
        <v>0</v>
      </c>
      <c r="I1011" s="53" t="str">
        <f>VLOOKUP(H1011,codes,2,)</f>
        <v>dd</v>
      </c>
      <c r="J1011" s="53"/>
    </row>
    <row r="1012" spans="1:10" x14ac:dyDescent="0.25">
      <c r="A1012" s="93">
        <v>40242</v>
      </c>
      <c r="B1012" s="35">
        <f>C1012+(D1012-2009)*12</f>
        <v>15</v>
      </c>
      <c r="C1012" s="76">
        <v>3</v>
      </c>
      <c r="D1012" s="76">
        <v>2010</v>
      </c>
      <c r="E1012" s="56">
        <v>0</v>
      </c>
      <c r="F1012" s="53">
        <f>IF(E1012&gt;0,1,0)</f>
        <v>0</v>
      </c>
      <c r="G1012" s="53">
        <f>SUM(F1011:F1012)</f>
        <v>0</v>
      </c>
      <c r="H1012" s="53">
        <f>IF(G1012=1,IF(F1011=1,1,-1),G1012)</f>
        <v>0</v>
      </c>
      <c r="I1012" s="53" t="str">
        <f>VLOOKUP(H1012,codes,2,)</f>
        <v>dd</v>
      </c>
      <c r="J1012" s="53"/>
    </row>
    <row r="1013" spans="1:10" x14ac:dyDescent="0.25">
      <c r="A1013" s="93">
        <v>40243</v>
      </c>
      <c r="B1013" s="35">
        <f>C1013+(D1013-2009)*12</f>
        <v>15</v>
      </c>
      <c r="C1013" s="76">
        <v>3</v>
      </c>
      <c r="D1013" s="76">
        <v>2010</v>
      </c>
      <c r="E1013" s="56">
        <v>0.79999999999999993</v>
      </c>
      <c r="F1013" s="53">
        <f>IF(E1013&gt;0,1,0)</f>
        <v>1</v>
      </c>
      <c r="G1013" s="53">
        <f>SUM(F1012:F1013)</f>
        <v>1</v>
      </c>
      <c r="H1013" s="53">
        <f>IF(G1013=1,IF(F1012=1,1,-1),G1013)</f>
        <v>-1</v>
      </c>
      <c r="I1013" s="53" t="str">
        <f>VLOOKUP(H1013,codes,2,)</f>
        <v>dw</v>
      </c>
      <c r="J1013" s="53"/>
    </row>
    <row r="1014" spans="1:10" x14ac:dyDescent="0.25">
      <c r="A1014" s="93">
        <v>40244</v>
      </c>
      <c r="B1014" s="35">
        <f>C1014+(D1014-2009)*12</f>
        <v>15</v>
      </c>
      <c r="C1014" s="76">
        <v>3</v>
      </c>
      <c r="D1014" s="76">
        <v>2010</v>
      </c>
      <c r="E1014" s="56">
        <v>0.20000000000000004</v>
      </c>
      <c r="F1014" s="53">
        <f>IF(E1014&gt;0,1,0)</f>
        <v>1</v>
      </c>
      <c r="G1014" s="53">
        <f>SUM(F1013:F1014)</f>
        <v>2</v>
      </c>
      <c r="H1014" s="53">
        <f>IF(G1014=1,IF(F1013=1,1,-1),G1014)</f>
        <v>2</v>
      </c>
      <c r="I1014" s="53" t="str">
        <f>VLOOKUP(H1014,codes,2,)</f>
        <v>ww</v>
      </c>
      <c r="J1014" s="53"/>
    </row>
    <row r="1015" spans="1:10" x14ac:dyDescent="0.25">
      <c r="A1015" s="93">
        <v>40245</v>
      </c>
      <c r="B1015" s="35">
        <f>C1015+(D1015-2009)*12</f>
        <v>15</v>
      </c>
      <c r="C1015" s="76">
        <v>3</v>
      </c>
      <c r="D1015" s="76">
        <v>2010</v>
      </c>
      <c r="E1015" s="56">
        <v>6.6666666666666666E-2</v>
      </c>
      <c r="F1015" s="53">
        <f>IF(E1015&gt;0,1,0)</f>
        <v>1</v>
      </c>
      <c r="G1015" s="53">
        <f>SUM(F1014:F1015)</f>
        <v>2</v>
      </c>
      <c r="H1015" s="53">
        <f>IF(G1015=1,IF(F1014=1,1,-1),G1015)</f>
        <v>2</v>
      </c>
      <c r="I1015" s="53" t="str">
        <f>VLOOKUP(H1015,codes,2,)</f>
        <v>ww</v>
      </c>
      <c r="J1015" s="53"/>
    </row>
    <row r="1016" spans="1:10" x14ac:dyDescent="0.25">
      <c r="A1016" s="93">
        <v>40246</v>
      </c>
      <c r="B1016" s="35">
        <f>C1016+(D1016-2009)*12</f>
        <v>15</v>
      </c>
      <c r="C1016" s="76">
        <v>3</v>
      </c>
      <c r="D1016" s="76">
        <v>2010</v>
      </c>
      <c r="E1016" s="56">
        <v>0</v>
      </c>
      <c r="F1016" s="53">
        <f>IF(E1016&gt;0,1,0)</f>
        <v>0</v>
      </c>
      <c r="G1016" s="53">
        <f>SUM(F1015:F1016)</f>
        <v>1</v>
      </c>
      <c r="H1016" s="53">
        <f>IF(G1016=1,IF(F1015=1,1,-1),G1016)</f>
        <v>1</v>
      </c>
      <c r="I1016" s="53" t="str">
        <f>VLOOKUP(H1016,codes,2,)</f>
        <v>wd</v>
      </c>
      <c r="J1016" s="53"/>
    </row>
    <row r="1017" spans="1:10" x14ac:dyDescent="0.25">
      <c r="A1017" s="93">
        <v>40247</v>
      </c>
      <c r="B1017" s="35">
        <f>C1017+(D1017-2009)*12</f>
        <v>15</v>
      </c>
      <c r="C1017" s="76">
        <v>3</v>
      </c>
      <c r="D1017" s="76">
        <v>2010</v>
      </c>
      <c r="E1017" s="56">
        <v>0</v>
      </c>
      <c r="F1017" s="53">
        <f>IF(E1017&gt;0,1,0)</f>
        <v>0</v>
      </c>
      <c r="G1017" s="53">
        <f>SUM(F1016:F1017)</f>
        <v>0</v>
      </c>
      <c r="H1017" s="53">
        <f>IF(G1017=1,IF(F1016=1,1,-1),G1017)</f>
        <v>0</v>
      </c>
      <c r="I1017" s="53" t="str">
        <f>VLOOKUP(H1017,codes,2,)</f>
        <v>dd</v>
      </c>
      <c r="J1017" s="53"/>
    </row>
    <row r="1018" spans="1:10" x14ac:dyDescent="0.25">
      <c r="A1018" s="93">
        <v>40248</v>
      </c>
      <c r="B1018" s="35">
        <f>C1018+(D1018-2009)*12</f>
        <v>15</v>
      </c>
      <c r="C1018" s="76">
        <v>3</v>
      </c>
      <c r="D1018" s="76">
        <v>2010</v>
      </c>
      <c r="E1018" s="56">
        <v>0</v>
      </c>
      <c r="F1018" s="53">
        <f>IF(E1018&gt;0,1,0)</f>
        <v>0</v>
      </c>
      <c r="G1018" s="53">
        <f>SUM(F1017:F1018)</f>
        <v>0</v>
      </c>
      <c r="H1018" s="53">
        <f>IF(G1018=1,IF(F1017=1,1,-1),G1018)</f>
        <v>0</v>
      </c>
      <c r="I1018" s="53" t="str">
        <f>VLOOKUP(H1018,codes,2,)</f>
        <v>dd</v>
      </c>
      <c r="J1018" s="53"/>
    </row>
    <row r="1019" spans="1:10" x14ac:dyDescent="0.25">
      <c r="A1019" s="93">
        <v>40249</v>
      </c>
      <c r="B1019" s="35">
        <f>C1019+(D1019-2009)*12</f>
        <v>15</v>
      </c>
      <c r="C1019" s="76">
        <v>3</v>
      </c>
      <c r="D1019" s="76">
        <v>2010</v>
      </c>
      <c r="E1019" s="56">
        <v>2.2666666666666666</v>
      </c>
      <c r="F1019" s="53">
        <f>IF(E1019&gt;0,1,0)</f>
        <v>1</v>
      </c>
      <c r="G1019" s="53">
        <f>SUM(F1018:F1019)</f>
        <v>1</v>
      </c>
      <c r="H1019" s="53">
        <f>IF(G1019=1,IF(F1018=1,1,-1),G1019)</f>
        <v>-1</v>
      </c>
      <c r="I1019" s="53" t="str">
        <f>VLOOKUP(H1019,codes,2,)</f>
        <v>dw</v>
      </c>
      <c r="J1019" s="53"/>
    </row>
    <row r="1020" spans="1:10" x14ac:dyDescent="0.25">
      <c r="A1020" s="93">
        <v>40250</v>
      </c>
      <c r="B1020" s="35">
        <f>C1020+(D1020-2009)*12</f>
        <v>15</v>
      </c>
      <c r="C1020" s="76">
        <v>3</v>
      </c>
      <c r="D1020" s="76">
        <v>2010</v>
      </c>
      <c r="E1020" s="56">
        <v>1.0666666666666667</v>
      </c>
      <c r="F1020" s="53">
        <f>IF(E1020&gt;0,1,0)</f>
        <v>1</v>
      </c>
      <c r="G1020" s="53">
        <f>SUM(F1019:F1020)</f>
        <v>2</v>
      </c>
      <c r="H1020" s="53">
        <f>IF(G1020=1,IF(F1019=1,1,-1),G1020)</f>
        <v>2</v>
      </c>
      <c r="I1020" s="53" t="str">
        <f>VLOOKUP(H1020,codes,2,)</f>
        <v>ww</v>
      </c>
      <c r="J1020" s="53"/>
    </row>
    <row r="1021" spans="1:10" x14ac:dyDescent="0.25">
      <c r="A1021" s="93">
        <v>40251</v>
      </c>
      <c r="B1021" s="35">
        <f>C1021+(D1021-2009)*12</f>
        <v>15</v>
      </c>
      <c r="C1021" s="76">
        <v>3</v>
      </c>
      <c r="D1021" s="76">
        <v>2010</v>
      </c>
      <c r="E1021" s="56">
        <v>0</v>
      </c>
      <c r="F1021" s="53">
        <f>IF(E1021&gt;0,1,0)</f>
        <v>0</v>
      </c>
      <c r="G1021" s="53">
        <f>SUM(F1020:F1021)</f>
        <v>1</v>
      </c>
      <c r="H1021" s="53">
        <f>IF(G1021=1,IF(F1020=1,1,-1),G1021)</f>
        <v>1</v>
      </c>
      <c r="I1021" s="53" t="str">
        <f>VLOOKUP(H1021,codes,2,)</f>
        <v>wd</v>
      </c>
      <c r="J1021" s="53"/>
    </row>
    <row r="1022" spans="1:10" x14ac:dyDescent="0.25">
      <c r="A1022" s="93">
        <v>40252</v>
      </c>
      <c r="B1022" s="35">
        <f>C1022+(D1022-2009)*12</f>
        <v>15</v>
      </c>
      <c r="C1022" s="76">
        <v>3</v>
      </c>
      <c r="D1022" s="76">
        <v>2010</v>
      </c>
      <c r="E1022" s="56">
        <v>1.0666666666666667</v>
      </c>
      <c r="F1022" s="53">
        <f>IF(E1022&gt;0,1,0)</f>
        <v>1</v>
      </c>
      <c r="G1022" s="53">
        <f>SUM(F1021:F1022)</f>
        <v>1</v>
      </c>
      <c r="H1022" s="53">
        <f>IF(G1022=1,IF(F1021=1,1,-1),G1022)</f>
        <v>-1</v>
      </c>
      <c r="I1022" s="53" t="str">
        <f>VLOOKUP(H1022,codes,2,)</f>
        <v>dw</v>
      </c>
      <c r="J1022" s="53"/>
    </row>
    <row r="1023" spans="1:10" x14ac:dyDescent="0.25">
      <c r="A1023" s="93">
        <v>40253</v>
      </c>
      <c r="B1023" s="35">
        <f>C1023+(D1023-2009)*12</f>
        <v>15</v>
      </c>
      <c r="C1023" s="76">
        <v>3</v>
      </c>
      <c r="D1023" s="76">
        <v>2010</v>
      </c>
      <c r="E1023" s="56">
        <v>0</v>
      </c>
      <c r="F1023" s="53">
        <f>IF(E1023&gt;0,1,0)</f>
        <v>0</v>
      </c>
      <c r="G1023" s="53">
        <f>SUM(F1022:F1023)</f>
        <v>1</v>
      </c>
      <c r="H1023" s="53">
        <f>IF(G1023=1,IF(F1022=1,1,-1),G1023)</f>
        <v>1</v>
      </c>
      <c r="I1023" s="53" t="str">
        <f>VLOOKUP(H1023,codes,2,)</f>
        <v>wd</v>
      </c>
      <c r="J1023" s="53"/>
    </row>
    <row r="1024" spans="1:10" x14ac:dyDescent="0.25">
      <c r="A1024" s="93">
        <v>40254</v>
      </c>
      <c r="B1024" s="35">
        <f>C1024+(D1024-2009)*12</f>
        <v>15</v>
      </c>
      <c r="C1024" s="76">
        <v>3</v>
      </c>
      <c r="D1024" s="76">
        <v>2010</v>
      </c>
      <c r="E1024" s="56">
        <v>0</v>
      </c>
      <c r="F1024" s="53">
        <f>IF(E1024&gt;0,1,0)</f>
        <v>0</v>
      </c>
      <c r="G1024" s="53">
        <f>SUM(F1023:F1024)</f>
        <v>0</v>
      </c>
      <c r="H1024" s="53">
        <f>IF(G1024=1,IF(F1023=1,1,-1),G1024)</f>
        <v>0</v>
      </c>
      <c r="I1024" s="53" t="str">
        <f>VLOOKUP(H1024,codes,2,)</f>
        <v>dd</v>
      </c>
      <c r="J1024" s="53"/>
    </row>
    <row r="1025" spans="1:10" x14ac:dyDescent="0.25">
      <c r="A1025" s="93">
        <v>40255</v>
      </c>
      <c r="B1025" s="35">
        <f>C1025+(D1025-2009)*12</f>
        <v>15</v>
      </c>
      <c r="C1025" s="76">
        <v>3</v>
      </c>
      <c r="D1025" s="76">
        <v>2010</v>
      </c>
      <c r="E1025" s="56">
        <v>0</v>
      </c>
      <c r="F1025" s="53">
        <f>IF(E1025&gt;0,1,0)</f>
        <v>0</v>
      </c>
      <c r="G1025" s="53">
        <f>SUM(F1024:F1025)</f>
        <v>0</v>
      </c>
      <c r="H1025" s="53">
        <f>IF(G1025=1,IF(F1024=1,1,-1),G1025)</f>
        <v>0</v>
      </c>
      <c r="I1025" s="53" t="str">
        <f>VLOOKUP(H1025,codes,2,)</f>
        <v>dd</v>
      </c>
      <c r="J1025" s="53"/>
    </row>
    <row r="1026" spans="1:10" x14ac:dyDescent="0.25">
      <c r="A1026" s="93">
        <v>40256</v>
      </c>
      <c r="B1026" s="35">
        <f>C1026+(D1026-2009)*12</f>
        <v>15</v>
      </c>
      <c r="C1026" s="76">
        <v>3</v>
      </c>
      <c r="D1026" s="76">
        <v>2010</v>
      </c>
      <c r="E1026" s="56">
        <v>0</v>
      </c>
      <c r="F1026" s="53">
        <f>IF(E1026&gt;0,1,0)</f>
        <v>0</v>
      </c>
      <c r="G1026" s="53">
        <f>SUM(F1025:F1026)</f>
        <v>0</v>
      </c>
      <c r="H1026" s="53">
        <f>IF(G1026=1,IF(F1025=1,1,-1),G1026)</f>
        <v>0</v>
      </c>
      <c r="I1026" s="53" t="str">
        <f>VLOOKUP(H1026,codes,2,)</f>
        <v>dd</v>
      </c>
      <c r="J1026" s="53"/>
    </row>
    <row r="1027" spans="1:10" x14ac:dyDescent="0.25">
      <c r="A1027" s="93">
        <v>40257</v>
      </c>
      <c r="B1027" s="35">
        <f>C1027+(D1027-2009)*12</f>
        <v>15</v>
      </c>
      <c r="C1027" s="76">
        <v>3</v>
      </c>
      <c r="D1027" s="76">
        <v>2010</v>
      </c>
      <c r="E1027" s="56">
        <v>5.5333333333333341</v>
      </c>
      <c r="F1027" s="53">
        <f>IF(E1027&gt;0,1,0)</f>
        <v>1</v>
      </c>
      <c r="G1027" s="53">
        <f>SUM(F1026:F1027)</f>
        <v>1</v>
      </c>
      <c r="H1027" s="53">
        <f>IF(G1027=1,IF(F1026=1,1,-1),G1027)</f>
        <v>-1</v>
      </c>
      <c r="I1027" s="53" t="str">
        <f>VLOOKUP(H1027,codes,2,)</f>
        <v>dw</v>
      </c>
      <c r="J1027" s="53"/>
    </row>
    <row r="1028" spans="1:10" x14ac:dyDescent="0.25">
      <c r="A1028" s="93">
        <v>40258</v>
      </c>
      <c r="B1028" s="35">
        <f>C1028+(D1028-2009)*12</f>
        <v>15</v>
      </c>
      <c r="C1028" s="76">
        <v>3</v>
      </c>
      <c r="D1028" s="76">
        <v>2010</v>
      </c>
      <c r="E1028" s="56">
        <v>1.9333333333333336</v>
      </c>
      <c r="F1028" s="53">
        <f>IF(E1028&gt;0,1,0)</f>
        <v>1</v>
      </c>
      <c r="G1028" s="53">
        <f>SUM(F1027:F1028)</f>
        <v>2</v>
      </c>
      <c r="H1028" s="53">
        <f>IF(G1028=1,IF(F1027=1,1,-1),G1028)</f>
        <v>2</v>
      </c>
      <c r="I1028" s="53" t="str">
        <f>VLOOKUP(H1028,codes,2,)</f>
        <v>ww</v>
      </c>
      <c r="J1028" s="53"/>
    </row>
    <row r="1029" spans="1:10" x14ac:dyDescent="0.25">
      <c r="A1029" s="93">
        <v>40259</v>
      </c>
      <c r="B1029" s="35">
        <f>C1029+(D1029-2009)*12</f>
        <v>15</v>
      </c>
      <c r="C1029" s="76">
        <v>3</v>
      </c>
      <c r="D1029" s="76">
        <v>2010</v>
      </c>
      <c r="E1029" s="56">
        <v>0</v>
      </c>
      <c r="F1029" s="53">
        <f>IF(E1029&gt;0,1,0)</f>
        <v>0</v>
      </c>
      <c r="G1029" s="53">
        <f>SUM(F1028:F1029)</f>
        <v>1</v>
      </c>
      <c r="H1029" s="53">
        <f>IF(G1029=1,IF(F1028=1,1,-1),G1029)</f>
        <v>1</v>
      </c>
      <c r="I1029" s="53" t="str">
        <f>VLOOKUP(H1029,codes,2,)</f>
        <v>wd</v>
      </c>
      <c r="J1029" s="53"/>
    </row>
    <row r="1030" spans="1:10" x14ac:dyDescent="0.25">
      <c r="A1030" s="93">
        <v>40260</v>
      </c>
      <c r="B1030" s="35">
        <f>C1030+(D1030-2009)*12</f>
        <v>15</v>
      </c>
      <c r="C1030" s="76">
        <v>3</v>
      </c>
      <c r="D1030" s="76">
        <v>2010</v>
      </c>
      <c r="E1030" s="56">
        <v>0.13333333333333333</v>
      </c>
      <c r="F1030" s="53">
        <f>IF(E1030&gt;0,1,0)</f>
        <v>1</v>
      </c>
      <c r="G1030" s="53">
        <f>SUM(F1029:F1030)</f>
        <v>1</v>
      </c>
      <c r="H1030" s="53">
        <f>IF(G1030=1,IF(F1029=1,1,-1),G1030)</f>
        <v>-1</v>
      </c>
      <c r="I1030" s="53" t="str">
        <f>VLOOKUP(H1030,codes,2,)</f>
        <v>dw</v>
      </c>
      <c r="J1030" s="53"/>
    </row>
    <row r="1031" spans="1:10" x14ac:dyDescent="0.25">
      <c r="A1031" s="93">
        <v>40261</v>
      </c>
      <c r="B1031" s="35">
        <f>C1031+(D1031-2009)*12</f>
        <v>15</v>
      </c>
      <c r="C1031" s="76">
        <v>3</v>
      </c>
      <c r="D1031" s="76">
        <v>2010</v>
      </c>
      <c r="E1031" s="56">
        <v>1.2</v>
      </c>
      <c r="F1031" s="53">
        <f>IF(E1031&gt;0,1,0)</f>
        <v>1</v>
      </c>
      <c r="G1031" s="53">
        <f>SUM(F1030:F1031)</f>
        <v>2</v>
      </c>
      <c r="H1031" s="53">
        <f>IF(G1031=1,IF(F1030=1,1,-1),G1031)</f>
        <v>2</v>
      </c>
      <c r="I1031" s="53" t="str">
        <f>VLOOKUP(H1031,codes,2,)</f>
        <v>ww</v>
      </c>
      <c r="J1031" s="53"/>
    </row>
    <row r="1032" spans="1:10" x14ac:dyDescent="0.25">
      <c r="A1032" s="93">
        <v>40262</v>
      </c>
      <c r="B1032" s="35">
        <f>C1032+(D1032-2009)*12</f>
        <v>15</v>
      </c>
      <c r="C1032" s="76">
        <v>3</v>
      </c>
      <c r="D1032" s="76">
        <v>2010</v>
      </c>
      <c r="E1032" s="56">
        <v>12</v>
      </c>
      <c r="F1032" s="53">
        <f>IF(E1032&gt;0,1,0)</f>
        <v>1</v>
      </c>
      <c r="G1032" s="53">
        <f>SUM(F1031:F1032)</f>
        <v>2</v>
      </c>
      <c r="H1032" s="53">
        <f>IF(G1032=1,IF(F1031=1,1,-1),G1032)</f>
        <v>2</v>
      </c>
      <c r="I1032" s="53" t="str">
        <f>VLOOKUP(H1032,codes,2,)</f>
        <v>ww</v>
      </c>
      <c r="J1032" s="53"/>
    </row>
    <row r="1033" spans="1:10" x14ac:dyDescent="0.25">
      <c r="A1033" s="93">
        <v>40263</v>
      </c>
      <c r="B1033" s="35">
        <f>C1033+(D1033-2009)*12</f>
        <v>15</v>
      </c>
      <c r="C1033" s="76">
        <v>3</v>
      </c>
      <c r="D1033" s="76">
        <v>2010</v>
      </c>
      <c r="E1033" s="56">
        <v>4.7333333333333334</v>
      </c>
      <c r="F1033" s="53">
        <f>IF(E1033&gt;0,1,0)</f>
        <v>1</v>
      </c>
      <c r="G1033" s="53">
        <f>SUM(F1032:F1033)</f>
        <v>2</v>
      </c>
      <c r="H1033" s="53">
        <f>IF(G1033=1,IF(F1032=1,1,-1),G1033)</f>
        <v>2</v>
      </c>
      <c r="I1033" s="53" t="str">
        <f>VLOOKUP(H1033,codes,2,)</f>
        <v>ww</v>
      </c>
      <c r="J1033" s="53"/>
    </row>
    <row r="1034" spans="1:10" x14ac:dyDescent="0.25">
      <c r="A1034" s="93">
        <v>40264</v>
      </c>
      <c r="B1034" s="35">
        <f>C1034+(D1034-2009)*12</f>
        <v>15</v>
      </c>
      <c r="C1034" s="76">
        <v>3</v>
      </c>
      <c r="D1034" s="76">
        <v>2010</v>
      </c>
      <c r="E1034" s="56">
        <v>0.53333333333333333</v>
      </c>
      <c r="F1034" s="53">
        <f>IF(E1034&gt;0,1,0)</f>
        <v>1</v>
      </c>
      <c r="G1034" s="53">
        <f>SUM(F1033:F1034)</f>
        <v>2</v>
      </c>
      <c r="H1034" s="53">
        <f>IF(G1034=1,IF(F1033=1,1,-1),G1034)</f>
        <v>2</v>
      </c>
      <c r="I1034" s="53" t="str">
        <f>VLOOKUP(H1034,codes,2,)</f>
        <v>ww</v>
      </c>
      <c r="J1034" s="53"/>
    </row>
    <row r="1035" spans="1:10" x14ac:dyDescent="0.25">
      <c r="A1035" s="93">
        <v>40265</v>
      </c>
      <c r="B1035" s="35">
        <f>C1035+(D1035-2009)*12</f>
        <v>15</v>
      </c>
      <c r="C1035" s="76">
        <v>3</v>
      </c>
      <c r="D1035" s="76">
        <v>2010</v>
      </c>
      <c r="E1035" s="56">
        <v>0</v>
      </c>
      <c r="F1035" s="53">
        <f>IF(E1035&gt;0,1,0)</f>
        <v>0</v>
      </c>
      <c r="G1035" s="53">
        <f>SUM(F1034:F1035)</f>
        <v>1</v>
      </c>
      <c r="H1035" s="53">
        <f>IF(G1035=1,IF(F1034=1,1,-1),G1035)</f>
        <v>1</v>
      </c>
      <c r="I1035" s="53" t="str">
        <f>VLOOKUP(H1035,codes,2,)</f>
        <v>wd</v>
      </c>
      <c r="J1035" s="53"/>
    </row>
    <row r="1036" spans="1:10" x14ac:dyDescent="0.25">
      <c r="A1036" s="93">
        <v>40266</v>
      </c>
      <c r="B1036" s="35">
        <f>C1036+(D1036-2009)*12</f>
        <v>15</v>
      </c>
      <c r="C1036" s="76">
        <v>3</v>
      </c>
      <c r="D1036" s="76">
        <v>2010</v>
      </c>
      <c r="E1036" s="56">
        <v>2.6666666666666665</v>
      </c>
      <c r="F1036" s="53">
        <f>IF(E1036&gt;0,1,0)</f>
        <v>1</v>
      </c>
      <c r="G1036" s="53">
        <f>SUM(F1035:F1036)</f>
        <v>1</v>
      </c>
      <c r="H1036" s="53">
        <f>IF(G1036=1,IF(F1035=1,1,-1),G1036)</f>
        <v>-1</v>
      </c>
      <c r="I1036" s="53" t="str">
        <f>VLOOKUP(H1036,codes,2,)</f>
        <v>dw</v>
      </c>
      <c r="J1036" s="53"/>
    </row>
    <row r="1037" spans="1:10" x14ac:dyDescent="0.25">
      <c r="A1037" s="93">
        <v>40267</v>
      </c>
      <c r="B1037" s="35">
        <f>C1037+(D1037-2009)*12</f>
        <v>15</v>
      </c>
      <c r="C1037" s="76">
        <v>3</v>
      </c>
      <c r="D1037" s="76">
        <v>2010</v>
      </c>
      <c r="E1037" s="56">
        <v>15.066666666666668</v>
      </c>
      <c r="F1037" s="53">
        <f>IF(E1037&gt;0,1,0)</f>
        <v>1</v>
      </c>
      <c r="G1037" s="53">
        <f>SUM(F1036:F1037)</f>
        <v>2</v>
      </c>
      <c r="H1037" s="53">
        <f>IF(G1037=1,IF(F1036=1,1,-1),G1037)</f>
        <v>2</v>
      </c>
      <c r="I1037" s="53" t="str">
        <f>VLOOKUP(H1037,codes,2,)</f>
        <v>ww</v>
      </c>
      <c r="J1037" s="53"/>
    </row>
    <row r="1038" spans="1:10" x14ac:dyDescent="0.25">
      <c r="A1038" s="93">
        <v>40268</v>
      </c>
      <c r="B1038" s="35">
        <f>C1038+(D1038-2009)*12</f>
        <v>15</v>
      </c>
      <c r="C1038" s="76">
        <v>3</v>
      </c>
      <c r="D1038" s="76">
        <v>2010</v>
      </c>
      <c r="E1038" s="56">
        <v>17.333333333333332</v>
      </c>
      <c r="F1038" s="53">
        <f>IF(E1038&gt;0,1,0)</f>
        <v>1</v>
      </c>
      <c r="G1038" s="53">
        <f>SUM(F1037:F1038)</f>
        <v>2</v>
      </c>
      <c r="H1038" s="53">
        <f>IF(G1038=1,IF(F1037=1,1,-1),G1038)</f>
        <v>2</v>
      </c>
      <c r="I1038" s="53" t="str">
        <f>VLOOKUP(H1038,codes,2,)</f>
        <v>ww</v>
      </c>
      <c r="J1038" s="53"/>
    </row>
    <row r="1039" spans="1:10" x14ac:dyDescent="0.25">
      <c r="A1039" s="93">
        <v>40269</v>
      </c>
      <c r="B1039" s="35">
        <f>C1039+(D1039-2009)*12</f>
        <v>15</v>
      </c>
      <c r="C1039" s="76">
        <v>3</v>
      </c>
      <c r="D1039" s="76">
        <v>2010</v>
      </c>
      <c r="E1039" s="56">
        <v>0.53333333333333333</v>
      </c>
      <c r="F1039" s="53">
        <f>IF(E1039&gt;0,1,0)</f>
        <v>1</v>
      </c>
      <c r="G1039" s="53">
        <f>SUM(F1038:F1039)</f>
        <v>2</v>
      </c>
      <c r="H1039" s="53">
        <f>IF(G1039=1,IF(F1038=1,1,-1),G1039)</f>
        <v>2</v>
      </c>
      <c r="I1039" s="53" t="str">
        <f>VLOOKUP(H1039,codes,2,)</f>
        <v>ww</v>
      </c>
      <c r="J1039" s="53"/>
    </row>
    <row r="1040" spans="1:10" x14ac:dyDescent="0.25">
      <c r="A1040" s="93">
        <v>40604</v>
      </c>
      <c r="B1040" s="35">
        <f>C1040+(D1040-2009)*12</f>
        <v>27</v>
      </c>
      <c r="C1040" s="76">
        <v>3</v>
      </c>
      <c r="D1040" s="76">
        <v>2011</v>
      </c>
      <c r="E1040" s="56">
        <v>6.6666666666666666E-2</v>
      </c>
      <c r="F1040" s="53">
        <f>IF(E1040&gt;0,1,0)</f>
        <v>1</v>
      </c>
      <c r="G1040" s="53">
        <f>SUM(F1039:F1040)</f>
        <v>2</v>
      </c>
      <c r="H1040" s="53">
        <f>IF(G1040=1,IF(F1039=1,1,-1),G1040)</f>
        <v>2</v>
      </c>
      <c r="I1040" s="53" t="str">
        <f>VLOOKUP(H1040,codes,2,)</f>
        <v>ww</v>
      </c>
      <c r="J1040" s="53"/>
    </row>
    <row r="1041" spans="1:10" x14ac:dyDescent="0.25">
      <c r="A1041" s="93">
        <v>40605</v>
      </c>
      <c r="B1041" s="35">
        <f>C1041+(D1041-2009)*12</f>
        <v>27</v>
      </c>
      <c r="C1041" s="76">
        <v>3</v>
      </c>
      <c r="D1041" s="76">
        <v>2011</v>
      </c>
      <c r="E1041" s="56">
        <v>0</v>
      </c>
      <c r="F1041" s="53">
        <f>IF(E1041&gt;0,1,0)</f>
        <v>0</v>
      </c>
      <c r="G1041" s="53">
        <f>SUM(F1040:F1041)</f>
        <v>1</v>
      </c>
      <c r="H1041" s="53">
        <f>IF(G1041=1,IF(F1040=1,1,-1),G1041)</f>
        <v>1</v>
      </c>
      <c r="I1041" s="53" t="str">
        <f>VLOOKUP(H1041,codes,2,)</f>
        <v>wd</v>
      </c>
      <c r="J1041" s="53"/>
    </row>
    <row r="1042" spans="1:10" x14ac:dyDescent="0.25">
      <c r="A1042" s="93">
        <v>40606</v>
      </c>
      <c r="B1042" s="35">
        <f>C1042+(D1042-2009)*12</f>
        <v>27</v>
      </c>
      <c r="C1042" s="76">
        <v>3</v>
      </c>
      <c r="D1042" s="76">
        <v>2011</v>
      </c>
      <c r="E1042" s="56">
        <v>0</v>
      </c>
      <c r="F1042" s="53">
        <f>IF(E1042&gt;0,1,0)</f>
        <v>0</v>
      </c>
      <c r="G1042" s="53">
        <f>SUM(F1041:F1042)</f>
        <v>0</v>
      </c>
      <c r="H1042" s="53">
        <f>IF(G1042=1,IF(F1041=1,1,-1),G1042)</f>
        <v>0</v>
      </c>
      <c r="I1042" s="53" t="str">
        <f>VLOOKUP(H1042,codes,2,)</f>
        <v>dd</v>
      </c>
      <c r="J1042" s="53"/>
    </row>
    <row r="1043" spans="1:10" x14ac:dyDescent="0.25">
      <c r="A1043" s="93">
        <v>40607</v>
      </c>
      <c r="B1043" s="35">
        <f>C1043+(D1043-2009)*12</f>
        <v>27</v>
      </c>
      <c r="C1043" s="76">
        <v>3</v>
      </c>
      <c r="D1043" s="76">
        <v>2011</v>
      </c>
      <c r="E1043" s="56">
        <v>0.40000000000000008</v>
      </c>
      <c r="F1043" s="53">
        <f>IF(E1043&gt;0,1,0)</f>
        <v>1</v>
      </c>
      <c r="G1043" s="53">
        <f>SUM(F1042:F1043)</f>
        <v>1</v>
      </c>
      <c r="H1043" s="53">
        <f>IF(G1043=1,IF(F1042=1,1,-1),G1043)</f>
        <v>-1</v>
      </c>
      <c r="I1043" s="53" t="str">
        <f>VLOOKUP(H1043,codes,2,)</f>
        <v>dw</v>
      </c>
      <c r="J1043" s="53"/>
    </row>
    <row r="1044" spans="1:10" x14ac:dyDescent="0.25">
      <c r="A1044" s="93">
        <v>40608</v>
      </c>
      <c r="B1044" s="35">
        <f>C1044+(D1044-2009)*12</f>
        <v>27</v>
      </c>
      <c r="C1044" s="76">
        <v>3</v>
      </c>
      <c r="D1044" s="76">
        <v>2011</v>
      </c>
      <c r="E1044" s="56">
        <v>0</v>
      </c>
      <c r="F1044" s="53">
        <f>IF(E1044&gt;0,1,0)</f>
        <v>0</v>
      </c>
      <c r="G1044" s="53">
        <f>SUM(F1043:F1044)</f>
        <v>1</v>
      </c>
      <c r="H1044" s="53">
        <f>IF(G1044=1,IF(F1043=1,1,-1),G1044)</f>
        <v>1</v>
      </c>
      <c r="I1044" s="53" t="str">
        <f>VLOOKUP(H1044,codes,2,)</f>
        <v>wd</v>
      </c>
      <c r="J1044" s="53"/>
    </row>
    <row r="1045" spans="1:10" x14ac:dyDescent="0.25">
      <c r="A1045" s="93">
        <v>40609</v>
      </c>
      <c r="B1045" s="35">
        <f>C1045+(D1045-2009)*12</f>
        <v>27</v>
      </c>
      <c r="C1045" s="76">
        <v>3</v>
      </c>
      <c r="D1045" s="76">
        <v>2011</v>
      </c>
      <c r="E1045" s="56">
        <v>6.6666666666666666E-2</v>
      </c>
      <c r="F1045" s="53">
        <f>IF(E1045&gt;0,1,0)</f>
        <v>1</v>
      </c>
      <c r="G1045" s="53">
        <f>SUM(F1044:F1045)</f>
        <v>1</v>
      </c>
      <c r="H1045" s="53">
        <f>IF(G1045=1,IF(F1044=1,1,-1),G1045)</f>
        <v>-1</v>
      </c>
      <c r="I1045" s="53" t="str">
        <f>VLOOKUP(H1045,codes,2,)</f>
        <v>dw</v>
      </c>
      <c r="J1045" s="53"/>
    </row>
    <row r="1046" spans="1:10" x14ac:dyDescent="0.25">
      <c r="A1046" s="93">
        <v>40610</v>
      </c>
      <c r="B1046" s="35">
        <f>C1046+(D1046-2009)*12</f>
        <v>27</v>
      </c>
      <c r="C1046" s="76">
        <v>3</v>
      </c>
      <c r="D1046" s="76">
        <v>2011</v>
      </c>
      <c r="E1046" s="56">
        <v>6.6666666666666666E-2</v>
      </c>
      <c r="F1046" s="53">
        <f>IF(E1046&gt;0,1,0)</f>
        <v>1</v>
      </c>
      <c r="G1046" s="53">
        <f>SUM(F1045:F1046)</f>
        <v>2</v>
      </c>
      <c r="H1046" s="53">
        <f>IF(G1046=1,IF(F1045=1,1,-1),G1046)</f>
        <v>2</v>
      </c>
      <c r="I1046" s="53" t="str">
        <f>VLOOKUP(H1046,codes,2,)</f>
        <v>ww</v>
      </c>
      <c r="J1046" s="53"/>
    </row>
    <row r="1047" spans="1:10" x14ac:dyDescent="0.25">
      <c r="A1047" s="93">
        <v>40611</v>
      </c>
      <c r="B1047" s="35">
        <f>C1047+(D1047-2009)*12</f>
        <v>27</v>
      </c>
      <c r="C1047" s="76">
        <v>3</v>
      </c>
      <c r="D1047" s="76">
        <v>2011</v>
      </c>
      <c r="E1047" s="56">
        <v>1.8</v>
      </c>
      <c r="F1047" s="53">
        <f>IF(E1047&gt;0,1,0)</f>
        <v>1</v>
      </c>
      <c r="G1047" s="53">
        <f>SUM(F1046:F1047)</f>
        <v>2</v>
      </c>
      <c r="H1047" s="53">
        <f>IF(G1047=1,IF(F1046=1,1,-1),G1047)</f>
        <v>2</v>
      </c>
      <c r="I1047" s="53" t="str">
        <f>VLOOKUP(H1047,codes,2,)</f>
        <v>ww</v>
      </c>
      <c r="J1047" s="53"/>
    </row>
    <row r="1048" spans="1:10" x14ac:dyDescent="0.25">
      <c r="A1048" s="93">
        <v>40612</v>
      </c>
      <c r="B1048" s="35">
        <f>C1048+(D1048-2009)*12</f>
        <v>27</v>
      </c>
      <c r="C1048" s="76">
        <v>3</v>
      </c>
      <c r="D1048" s="76">
        <v>2011</v>
      </c>
      <c r="E1048" s="56">
        <v>0.39999999999999997</v>
      </c>
      <c r="F1048" s="53">
        <f>IF(E1048&gt;0,1,0)</f>
        <v>1</v>
      </c>
      <c r="G1048" s="53">
        <f>SUM(F1047:F1048)</f>
        <v>2</v>
      </c>
      <c r="H1048" s="53">
        <f>IF(G1048=1,IF(F1047=1,1,-1),G1048)</f>
        <v>2</v>
      </c>
      <c r="I1048" s="53" t="str">
        <f>VLOOKUP(H1048,codes,2,)</f>
        <v>ww</v>
      </c>
      <c r="J1048" s="53"/>
    </row>
    <row r="1049" spans="1:10" x14ac:dyDescent="0.25">
      <c r="A1049" s="93">
        <v>40613</v>
      </c>
      <c r="B1049" s="35">
        <f>C1049+(D1049-2009)*12</f>
        <v>27</v>
      </c>
      <c r="C1049" s="76">
        <v>3</v>
      </c>
      <c r="D1049" s="76">
        <v>2011</v>
      </c>
      <c r="E1049" s="56">
        <v>0.46666666666666662</v>
      </c>
      <c r="F1049" s="53">
        <f>IF(E1049&gt;0,1,0)</f>
        <v>1</v>
      </c>
      <c r="G1049" s="53">
        <f>SUM(F1048:F1049)</f>
        <v>2</v>
      </c>
      <c r="H1049" s="53">
        <f>IF(G1049=1,IF(F1048=1,1,-1),G1049)</f>
        <v>2</v>
      </c>
      <c r="I1049" s="53" t="str">
        <f>VLOOKUP(H1049,codes,2,)</f>
        <v>ww</v>
      </c>
      <c r="J1049" s="53"/>
    </row>
    <row r="1050" spans="1:10" x14ac:dyDescent="0.25">
      <c r="A1050" s="93">
        <v>40614</v>
      </c>
      <c r="B1050" s="35">
        <f>C1050+(D1050-2009)*12</f>
        <v>27</v>
      </c>
      <c r="C1050" s="76">
        <v>3</v>
      </c>
      <c r="D1050" s="76">
        <v>2011</v>
      </c>
      <c r="E1050" s="56">
        <v>15.066666666666668</v>
      </c>
      <c r="F1050" s="53">
        <f>IF(E1050&gt;0,1,0)</f>
        <v>1</v>
      </c>
      <c r="G1050" s="53">
        <f>SUM(F1049:F1050)</f>
        <v>2</v>
      </c>
      <c r="H1050" s="53">
        <f>IF(G1050=1,IF(F1049=1,1,-1),G1050)</f>
        <v>2</v>
      </c>
      <c r="I1050" s="53" t="str">
        <f>VLOOKUP(H1050,codes,2,)</f>
        <v>ww</v>
      </c>
      <c r="J1050" s="53"/>
    </row>
    <row r="1051" spans="1:10" x14ac:dyDescent="0.25">
      <c r="A1051" s="93">
        <v>40615</v>
      </c>
      <c r="B1051" s="35">
        <f>C1051+(D1051-2009)*12</f>
        <v>27</v>
      </c>
      <c r="C1051" s="76">
        <v>3</v>
      </c>
      <c r="D1051" s="76">
        <v>2011</v>
      </c>
      <c r="E1051" s="56">
        <v>1.1333333333333333</v>
      </c>
      <c r="F1051" s="53">
        <f>IF(E1051&gt;0,1,0)</f>
        <v>1</v>
      </c>
      <c r="G1051" s="53">
        <f>SUM(F1050:F1051)</f>
        <v>2</v>
      </c>
      <c r="H1051" s="53">
        <f>IF(G1051=1,IF(F1050=1,1,-1),G1051)</f>
        <v>2</v>
      </c>
      <c r="I1051" s="53" t="str">
        <f>VLOOKUP(H1051,codes,2,)</f>
        <v>ww</v>
      </c>
      <c r="J1051" s="53"/>
    </row>
    <row r="1052" spans="1:10" x14ac:dyDescent="0.25">
      <c r="A1052" s="93">
        <v>40616</v>
      </c>
      <c r="B1052" s="35">
        <f>C1052+(D1052-2009)*12</f>
        <v>27</v>
      </c>
      <c r="C1052" s="76">
        <v>3</v>
      </c>
      <c r="D1052" s="76">
        <v>2011</v>
      </c>
      <c r="E1052" s="56">
        <v>0.46666666666666662</v>
      </c>
      <c r="F1052" s="53">
        <f>IF(E1052&gt;0,1,0)</f>
        <v>1</v>
      </c>
      <c r="G1052" s="53">
        <f>SUM(F1051:F1052)</f>
        <v>2</v>
      </c>
      <c r="H1052" s="53">
        <f>IF(G1052=1,IF(F1051=1,1,-1),G1052)</f>
        <v>2</v>
      </c>
      <c r="I1052" s="53" t="str">
        <f>VLOOKUP(H1052,codes,2,)</f>
        <v>ww</v>
      </c>
      <c r="J1052" s="53"/>
    </row>
    <row r="1053" spans="1:10" x14ac:dyDescent="0.25">
      <c r="A1053" s="93">
        <v>40617</v>
      </c>
      <c r="B1053" s="35">
        <f>C1053+(D1053-2009)*12</f>
        <v>27</v>
      </c>
      <c r="C1053" s="76">
        <v>3</v>
      </c>
      <c r="D1053" s="76">
        <v>2011</v>
      </c>
      <c r="E1053" s="56">
        <v>0</v>
      </c>
      <c r="F1053" s="53">
        <f>IF(E1053&gt;0,1,0)</f>
        <v>0</v>
      </c>
      <c r="G1053" s="53">
        <f>SUM(F1052:F1053)</f>
        <v>1</v>
      </c>
      <c r="H1053" s="53">
        <f>IF(G1053=1,IF(F1052=1,1,-1),G1053)</f>
        <v>1</v>
      </c>
      <c r="I1053" s="53" t="str">
        <f>VLOOKUP(H1053,codes,2,)</f>
        <v>wd</v>
      </c>
      <c r="J1053" s="53"/>
    </row>
    <row r="1054" spans="1:10" x14ac:dyDescent="0.25">
      <c r="A1054" s="93">
        <v>40618</v>
      </c>
      <c r="B1054" s="35">
        <f>C1054+(D1054-2009)*12</f>
        <v>27</v>
      </c>
      <c r="C1054" s="76">
        <v>3</v>
      </c>
      <c r="D1054" s="76">
        <v>2011</v>
      </c>
      <c r="E1054" s="56">
        <v>0.40000000000000008</v>
      </c>
      <c r="F1054" s="53">
        <f>IF(E1054&gt;0,1,0)</f>
        <v>1</v>
      </c>
      <c r="G1054" s="53">
        <f>SUM(F1053:F1054)</f>
        <v>1</v>
      </c>
      <c r="H1054" s="53">
        <f>IF(G1054=1,IF(F1053=1,1,-1),G1054)</f>
        <v>-1</v>
      </c>
      <c r="I1054" s="53" t="str">
        <f>VLOOKUP(H1054,codes,2,)</f>
        <v>dw</v>
      </c>
      <c r="J1054" s="53"/>
    </row>
    <row r="1055" spans="1:10" x14ac:dyDescent="0.25">
      <c r="A1055" s="93">
        <v>40619</v>
      </c>
      <c r="B1055" s="35">
        <f>C1055+(D1055-2009)*12</f>
        <v>27</v>
      </c>
      <c r="C1055" s="76">
        <v>3</v>
      </c>
      <c r="D1055" s="76">
        <v>2011</v>
      </c>
      <c r="E1055" s="56">
        <v>0.39999999999999997</v>
      </c>
      <c r="F1055" s="53">
        <f>IF(E1055&gt;0,1,0)</f>
        <v>1</v>
      </c>
      <c r="G1055" s="53">
        <f>SUM(F1054:F1055)</f>
        <v>2</v>
      </c>
      <c r="H1055" s="53">
        <f>IF(G1055=1,IF(F1054=1,1,-1),G1055)</f>
        <v>2</v>
      </c>
      <c r="I1055" s="53" t="str">
        <f>VLOOKUP(H1055,codes,2,)</f>
        <v>ww</v>
      </c>
      <c r="J1055" s="53"/>
    </row>
    <row r="1056" spans="1:10" x14ac:dyDescent="0.25">
      <c r="A1056" s="93">
        <v>40620</v>
      </c>
      <c r="B1056" s="35">
        <f>C1056+(D1056-2009)*12</f>
        <v>27</v>
      </c>
      <c r="C1056" s="76">
        <v>3</v>
      </c>
      <c r="D1056" s="76">
        <v>2011</v>
      </c>
      <c r="E1056" s="56">
        <v>6.6666666666666666E-2</v>
      </c>
      <c r="F1056" s="53">
        <f>IF(E1056&gt;0,1,0)</f>
        <v>1</v>
      </c>
      <c r="G1056" s="53">
        <f>SUM(F1055:F1056)</f>
        <v>2</v>
      </c>
      <c r="H1056" s="53">
        <f>IF(G1056=1,IF(F1055=1,1,-1),G1056)</f>
        <v>2</v>
      </c>
      <c r="I1056" s="53" t="str">
        <f>VLOOKUP(H1056,codes,2,)</f>
        <v>ww</v>
      </c>
      <c r="J1056" s="53"/>
    </row>
    <row r="1057" spans="1:10" x14ac:dyDescent="0.25">
      <c r="A1057" s="93">
        <v>40621</v>
      </c>
      <c r="B1057" s="35">
        <f>C1057+(D1057-2009)*12</f>
        <v>27</v>
      </c>
      <c r="C1057" s="76">
        <v>3</v>
      </c>
      <c r="D1057" s="76">
        <v>2011</v>
      </c>
      <c r="E1057" s="56">
        <v>0</v>
      </c>
      <c r="F1057" s="53">
        <f>IF(E1057&gt;0,1,0)</f>
        <v>0</v>
      </c>
      <c r="G1057" s="53">
        <f>SUM(F1056:F1057)</f>
        <v>1</v>
      </c>
      <c r="H1057" s="53">
        <f>IF(G1057=1,IF(F1056=1,1,-1),G1057)</f>
        <v>1</v>
      </c>
      <c r="I1057" s="53" t="str">
        <f>VLOOKUP(H1057,codes,2,)</f>
        <v>wd</v>
      </c>
      <c r="J1057" s="53"/>
    </row>
    <row r="1058" spans="1:10" x14ac:dyDescent="0.25">
      <c r="A1058" s="93">
        <v>40622</v>
      </c>
      <c r="B1058" s="35">
        <f>C1058+(D1058-2009)*12</f>
        <v>27</v>
      </c>
      <c r="C1058" s="76">
        <v>3</v>
      </c>
      <c r="D1058" s="76">
        <v>2011</v>
      </c>
      <c r="E1058" s="56">
        <v>0</v>
      </c>
      <c r="F1058" s="53">
        <f>IF(E1058&gt;0,1,0)</f>
        <v>0</v>
      </c>
      <c r="G1058" s="53">
        <f>SUM(F1057:F1058)</f>
        <v>0</v>
      </c>
      <c r="H1058" s="53">
        <f>IF(G1058=1,IF(F1057=1,1,-1),G1058)</f>
        <v>0</v>
      </c>
      <c r="I1058" s="53" t="str">
        <f>VLOOKUP(H1058,codes,2,)</f>
        <v>dd</v>
      </c>
      <c r="J1058" s="53"/>
    </row>
    <row r="1059" spans="1:10" x14ac:dyDescent="0.25">
      <c r="A1059" s="93">
        <v>40623</v>
      </c>
      <c r="B1059" s="35">
        <f>C1059+(D1059-2009)*12</f>
        <v>27</v>
      </c>
      <c r="C1059" s="76">
        <v>3</v>
      </c>
      <c r="D1059" s="76">
        <v>2011</v>
      </c>
      <c r="E1059" s="56">
        <v>0</v>
      </c>
      <c r="F1059" s="53">
        <f>IF(E1059&gt;0,1,0)</f>
        <v>0</v>
      </c>
      <c r="G1059" s="53">
        <f>SUM(F1058:F1059)</f>
        <v>0</v>
      </c>
      <c r="H1059" s="53">
        <f>IF(G1059=1,IF(F1058=1,1,-1),G1059)</f>
        <v>0</v>
      </c>
      <c r="I1059" s="53" t="str">
        <f>VLOOKUP(H1059,codes,2,)</f>
        <v>dd</v>
      </c>
      <c r="J1059" s="53"/>
    </row>
    <row r="1060" spans="1:10" x14ac:dyDescent="0.25">
      <c r="A1060" s="93">
        <v>40624</v>
      </c>
      <c r="B1060" s="35">
        <f>C1060+(D1060-2009)*12</f>
        <v>27</v>
      </c>
      <c r="C1060" s="76">
        <v>3</v>
      </c>
      <c r="D1060" s="76">
        <v>2011</v>
      </c>
      <c r="E1060" s="56">
        <v>0</v>
      </c>
      <c r="F1060" s="53">
        <f>IF(E1060&gt;0,1,0)</f>
        <v>0</v>
      </c>
      <c r="G1060" s="53">
        <f>SUM(F1059:F1060)</f>
        <v>0</v>
      </c>
      <c r="H1060" s="53">
        <f>IF(G1060=1,IF(F1059=1,1,-1),G1060)</f>
        <v>0</v>
      </c>
      <c r="I1060" s="53" t="str">
        <f>VLOOKUP(H1060,codes,2,)</f>
        <v>dd</v>
      </c>
      <c r="J1060" s="53"/>
    </row>
    <row r="1061" spans="1:10" x14ac:dyDescent="0.25">
      <c r="A1061" s="93">
        <v>40625</v>
      </c>
      <c r="B1061" s="35">
        <f>C1061+(D1061-2009)*12</f>
        <v>27</v>
      </c>
      <c r="C1061" s="76">
        <v>3</v>
      </c>
      <c r="D1061" s="76">
        <v>2011</v>
      </c>
      <c r="E1061" s="56">
        <v>0</v>
      </c>
      <c r="F1061" s="53">
        <f>IF(E1061&gt;0,1,0)</f>
        <v>0</v>
      </c>
      <c r="G1061" s="53">
        <f>SUM(F1060:F1061)</f>
        <v>0</v>
      </c>
      <c r="H1061" s="53">
        <f>IF(G1061=1,IF(F1060=1,1,-1),G1061)</f>
        <v>0</v>
      </c>
      <c r="I1061" s="53" t="str">
        <f>VLOOKUP(H1061,codes,2,)</f>
        <v>dd</v>
      </c>
      <c r="J1061" s="53"/>
    </row>
    <row r="1062" spans="1:10" x14ac:dyDescent="0.25">
      <c r="A1062" s="93">
        <v>40626</v>
      </c>
      <c r="B1062" s="35">
        <f>C1062+(D1062-2009)*12</f>
        <v>27</v>
      </c>
      <c r="C1062" s="76">
        <v>3</v>
      </c>
      <c r="D1062" s="76">
        <v>2011</v>
      </c>
      <c r="E1062" s="56">
        <v>0</v>
      </c>
      <c r="F1062" s="53">
        <f>IF(E1062&gt;0,1,0)</f>
        <v>0</v>
      </c>
      <c r="G1062" s="53">
        <f>SUM(F1061:F1062)</f>
        <v>0</v>
      </c>
      <c r="H1062" s="53">
        <f>IF(G1062=1,IF(F1061=1,1,-1),G1062)</f>
        <v>0</v>
      </c>
      <c r="I1062" s="53" t="str">
        <f>VLOOKUP(H1062,codes,2,)</f>
        <v>dd</v>
      </c>
      <c r="J1062" s="53"/>
    </row>
    <row r="1063" spans="1:10" x14ac:dyDescent="0.25">
      <c r="A1063" s="93">
        <v>40627</v>
      </c>
      <c r="B1063" s="35">
        <f>C1063+(D1063-2009)*12</f>
        <v>27</v>
      </c>
      <c r="C1063" s="76">
        <v>3</v>
      </c>
      <c r="D1063" s="76">
        <v>2011</v>
      </c>
      <c r="E1063" s="56">
        <v>0</v>
      </c>
      <c r="F1063" s="53">
        <f>IF(E1063&gt;0,1,0)</f>
        <v>0</v>
      </c>
      <c r="G1063" s="53">
        <f>SUM(F1062:F1063)</f>
        <v>0</v>
      </c>
      <c r="H1063" s="53">
        <f>IF(G1063=1,IF(F1062=1,1,-1),G1063)</f>
        <v>0</v>
      </c>
      <c r="I1063" s="53" t="str">
        <f>VLOOKUP(H1063,codes,2,)</f>
        <v>dd</v>
      </c>
      <c r="J1063" s="53"/>
    </row>
    <row r="1064" spans="1:10" x14ac:dyDescent="0.25">
      <c r="A1064" s="93">
        <v>40628</v>
      </c>
      <c r="B1064" s="35">
        <f>C1064+(D1064-2009)*12</f>
        <v>27</v>
      </c>
      <c r="C1064" s="76">
        <v>3</v>
      </c>
      <c r="D1064" s="76">
        <v>2011</v>
      </c>
      <c r="E1064" s="56">
        <v>6.6666666666666666E-2</v>
      </c>
      <c r="F1064" s="53">
        <f>IF(E1064&gt;0,1,0)</f>
        <v>1</v>
      </c>
      <c r="G1064" s="53">
        <f>SUM(F1063:F1064)</f>
        <v>1</v>
      </c>
      <c r="H1064" s="53">
        <f>IF(G1064=1,IF(F1063=1,1,-1),G1064)</f>
        <v>-1</v>
      </c>
      <c r="I1064" s="53" t="str">
        <f>VLOOKUP(H1064,codes,2,)</f>
        <v>dw</v>
      </c>
      <c r="J1064" s="53"/>
    </row>
    <row r="1065" spans="1:10" x14ac:dyDescent="0.25">
      <c r="A1065" s="93">
        <v>40629</v>
      </c>
      <c r="B1065" s="35">
        <f>C1065+(D1065-2009)*12</f>
        <v>27</v>
      </c>
      <c r="C1065" s="76">
        <v>3</v>
      </c>
      <c r="D1065" s="76">
        <v>2011</v>
      </c>
      <c r="E1065" s="56">
        <v>0.13333333333333333</v>
      </c>
      <c r="F1065" s="53">
        <f>IF(E1065&gt;0,1,0)</f>
        <v>1</v>
      </c>
      <c r="G1065" s="53">
        <f>SUM(F1064:F1065)</f>
        <v>2</v>
      </c>
      <c r="H1065" s="53">
        <f>IF(G1065=1,IF(F1064=1,1,-1),G1065)</f>
        <v>2</v>
      </c>
      <c r="I1065" s="53" t="str">
        <f>VLOOKUP(H1065,codes,2,)</f>
        <v>ww</v>
      </c>
      <c r="J1065" s="53"/>
    </row>
    <row r="1066" spans="1:10" x14ac:dyDescent="0.25">
      <c r="A1066" s="93">
        <v>40630</v>
      </c>
      <c r="B1066" s="35">
        <f>C1066+(D1066-2009)*12</f>
        <v>27</v>
      </c>
      <c r="C1066" s="76">
        <v>3</v>
      </c>
      <c r="D1066" s="76">
        <v>2011</v>
      </c>
      <c r="E1066" s="56">
        <v>0</v>
      </c>
      <c r="F1066" s="53">
        <f>IF(E1066&gt;0,1,0)</f>
        <v>0</v>
      </c>
      <c r="G1066" s="53">
        <f>SUM(F1065:F1066)</f>
        <v>1</v>
      </c>
      <c r="H1066" s="53">
        <f>IF(G1066=1,IF(F1065=1,1,-1),G1066)</f>
        <v>1</v>
      </c>
      <c r="I1066" s="53" t="str">
        <f>VLOOKUP(H1066,codes,2,)</f>
        <v>wd</v>
      </c>
      <c r="J1066" s="53"/>
    </row>
    <row r="1067" spans="1:10" x14ac:dyDescent="0.25">
      <c r="A1067" s="93">
        <v>40631</v>
      </c>
      <c r="B1067" s="35">
        <f>C1067+(D1067-2009)*12</f>
        <v>27</v>
      </c>
      <c r="C1067" s="76">
        <v>3</v>
      </c>
      <c r="D1067" s="76">
        <v>2011</v>
      </c>
      <c r="E1067" s="56">
        <v>0</v>
      </c>
      <c r="F1067" s="53">
        <f>IF(E1067&gt;0,1,0)</f>
        <v>0</v>
      </c>
      <c r="G1067" s="53">
        <f>SUM(F1066:F1067)</f>
        <v>0</v>
      </c>
      <c r="H1067" s="53">
        <f>IF(G1067=1,IF(F1066=1,1,-1),G1067)</f>
        <v>0</v>
      </c>
      <c r="I1067" s="53" t="str">
        <f>VLOOKUP(H1067,codes,2,)</f>
        <v>dd</v>
      </c>
      <c r="J1067" s="53"/>
    </row>
    <row r="1068" spans="1:10" x14ac:dyDescent="0.25">
      <c r="A1068" s="93">
        <v>40632</v>
      </c>
      <c r="B1068" s="35">
        <f>C1068+(D1068-2009)*12</f>
        <v>27</v>
      </c>
      <c r="C1068" s="76">
        <v>3</v>
      </c>
      <c r="D1068" s="76">
        <v>2011</v>
      </c>
      <c r="E1068" s="56">
        <v>0.26666666666666666</v>
      </c>
      <c r="F1068" s="53">
        <f>IF(E1068&gt;0,1,0)</f>
        <v>1</v>
      </c>
      <c r="G1068" s="53">
        <f>SUM(F1067:F1068)</f>
        <v>1</v>
      </c>
      <c r="H1068" s="53">
        <f>IF(G1068=1,IF(F1067=1,1,-1),G1068)</f>
        <v>-1</v>
      </c>
      <c r="I1068" s="53" t="str">
        <f>VLOOKUP(H1068,codes,2,)</f>
        <v>dw</v>
      </c>
      <c r="J1068" s="53"/>
    </row>
    <row r="1069" spans="1:10" x14ac:dyDescent="0.25">
      <c r="A1069" s="93">
        <v>40633</v>
      </c>
      <c r="B1069" s="35">
        <f>C1069+(D1069-2009)*12</f>
        <v>27</v>
      </c>
      <c r="C1069" s="76">
        <v>3</v>
      </c>
      <c r="D1069" s="76">
        <v>2011</v>
      </c>
      <c r="E1069" s="56">
        <v>3.3333333333333335</v>
      </c>
      <c r="F1069" s="53">
        <f>IF(E1069&gt;0,1,0)</f>
        <v>1</v>
      </c>
      <c r="G1069" s="53">
        <f>SUM(F1068:F1069)</f>
        <v>2</v>
      </c>
      <c r="H1069" s="53">
        <f>IF(G1069=1,IF(F1068=1,1,-1),G1069)</f>
        <v>2</v>
      </c>
      <c r="I1069" s="53" t="str">
        <f>VLOOKUP(H1069,codes,2,)</f>
        <v>ww</v>
      </c>
      <c r="J1069" s="53"/>
    </row>
    <row r="1070" spans="1:10" x14ac:dyDescent="0.25">
      <c r="A1070" s="93">
        <v>40634</v>
      </c>
      <c r="B1070" s="35">
        <f>C1070+(D1070-2009)*12</f>
        <v>27</v>
      </c>
      <c r="C1070" s="76">
        <v>3</v>
      </c>
      <c r="D1070" s="76">
        <v>2011</v>
      </c>
      <c r="E1070" s="56">
        <v>0.93333333333333346</v>
      </c>
      <c r="F1070" s="53">
        <f>IF(E1070&gt;0,1,0)</f>
        <v>1</v>
      </c>
      <c r="G1070" s="53">
        <f>SUM(F1069:F1070)</f>
        <v>2</v>
      </c>
      <c r="H1070" s="53">
        <f>IF(G1070=1,IF(F1069=1,1,-1),G1070)</f>
        <v>2</v>
      </c>
      <c r="I1070" s="53" t="str">
        <f>VLOOKUP(H1070,codes,2,)</f>
        <v>ww</v>
      </c>
      <c r="J1070" s="53"/>
    </row>
    <row r="1071" spans="1:10" x14ac:dyDescent="0.25">
      <c r="A1071" s="93">
        <v>40970</v>
      </c>
      <c r="B1071" s="35">
        <f>C1071+(D1071-2009)*12</f>
        <v>39</v>
      </c>
      <c r="C1071" s="76">
        <v>3</v>
      </c>
      <c r="D1071" s="76">
        <v>2012</v>
      </c>
      <c r="E1071" s="56">
        <v>6.6666666666666666E-2</v>
      </c>
      <c r="F1071" s="53">
        <f>IF(E1071&gt;0,1,0)</f>
        <v>1</v>
      </c>
      <c r="G1071" s="53">
        <f>SUM(F1070:F1071)</f>
        <v>2</v>
      </c>
      <c r="H1071" s="53">
        <f>IF(G1071=1,IF(F1070=1,1,-1),G1071)</f>
        <v>2</v>
      </c>
      <c r="I1071" s="53" t="str">
        <f>VLOOKUP(H1071,codes,2,)</f>
        <v>ww</v>
      </c>
      <c r="J1071" s="53"/>
    </row>
    <row r="1072" spans="1:10" x14ac:dyDescent="0.25">
      <c r="A1072" s="93">
        <v>40971</v>
      </c>
      <c r="B1072" s="35">
        <f>C1072+(D1072-2009)*12</f>
        <v>39</v>
      </c>
      <c r="C1072" s="76">
        <v>3</v>
      </c>
      <c r="D1072" s="76">
        <v>2012</v>
      </c>
      <c r="E1072" s="56">
        <v>0.53333333333333333</v>
      </c>
      <c r="F1072" s="53">
        <f>IF(E1072&gt;0,1,0)</f>
        <v>1</v>
      </c>
      <c r="G1072" s="53">
        <f>SUM(F1071:F1072)</f>
        <v>2</v>
      </c>
      <c r="H1072" s="53">
        <f>IF(G1072=1,IF(F1071=1,1,-1),G1072)</f>
        <v>2</v>
      </c>
      <c r="I1072" s="53" t="str">
        <f>VLOOKUP(H1072,codes,2,)</f>
        <v>ww</v>
      </c>
      <c r="J1072" s="53"/>
    </row>
    <row r="1073" spans="1:10" x14ac:dyDescent="0.25">
      <c r="A1073" s="93">
        <v>40972</v>
      </c>
      <c r="B1073" s="35">
        <f>C1073+(D1073-2009)*12</f>
        <v>39</v>
      </c>
      <c r="C1073" s="76">
        <v>3</v>
      </c>
      <c r="D1073" s="76">
        <v>2012</v>
      </c>
      <c r="E1073" s="56">
        <v>0.20000000000000004</v>
      </c>
      <c r="F1073" s="53">
        <f>IF(E1073&gt;0,1,0)</f>
        <v>1</v>
      </c>
      <c r="G1073" s="53">
        <f>SUM(F1072:F1073)</f>
        <v>2</v>
      </c>
      <c r="H1073" s="53">
        <f>IF(G1073=1,IF(F1072=1,1,-1),G1073)</f>
        <v>2</v>
      </c>
      <c r="I1073" s="53" t="str">
        <f>VLOOKUP(H1073,codes,2,)</f>
        <v>ww</v>
      </c>
      <c r="J1073" s="53"/>
    </row>
    <row r="1074" spans="1:10" x14ac:dyDescent="0.25">
      <c r="A1074" s="93">
        <v>40973</v>
      </c>
      <c r="B1074" s="35">
        <f>C1074+(D1074-2009)*12</f>
        <v>39</v>
      </c>
      <c r="C1074" s="76">
        <v>3</v>
      </c>
      <c r="D1074" s="76">
        <v>2012</v>
      </c>
      <c r="E1074" s="56">
        <v>7.1333333333333329</v>
      </c>
      <c r="F1074" s="53">
        <f>IF(E1074&gt;0,1,0)</f>
        <v>1</v>
      </c>
      <c r="G1074" s="53">
        <f>SUM(F1073:F1074)</f>
        <v>2</v>
      </c>
      <c r="H1074" s="53">
        <f>IF(G1074=1,IF(F1073=1,1,-1),G1074)</f>
        <v>2</v>
      </c>
      <c r="I1074" s="53" t="str">
        <f>VLOOKUP(H1074,codes,2,)</f>
        <v>ww</v>
      </c>
      <c r="J1074" s="53"/>
    </row>
    <row r="1075" spans="1:10" x14ac:dyDescent="0.25">
      <c r="A1075" s="93">
        <v>40974</v>
      </c>
      <c r="B1075" s="35">
        <f>C1075+(D1075-2009)*12</f>
        <v>39</v>
      </c>
      <c r="C1075" s="76">
        <v>3</v>
      </c>
      <c r="D1075" s="76">
        <v>2012</v>
      </c>
      <c r="E1075" s="56">
        <v>6.6666666666666666E-2</v>
      </c>
      <c r="F1075" s="53">
        <f>IF(E1075&gt;0,1,0)</f>
        <v>1</v>
      </c>
      <c r="G1075" s="53">
        <f>SUM(F1074:F1075)</f>
        <v>2</v>
      </c>
      <c r="H1075" s="53">
        <f>IF(G1075=1,IF(F1074=1,1,-1),G1075)</f>
        <v>2</v>
      </c>
      <c r="I1075" s="53" t="str">
        <f>VLOOKUP(H1075,codes,2,)</f>
        <v>ww</v>
      </c>
      <c r="J1075" s="53"/>
    </row>
    <row r="1076" spans="1:10" x14ac:dyDescent="0.25">
      <c r="A1076" s="93">
        <v>40975</v>
      </c>
      <c r="B1076" s="35">
        <f>C1076+(D1076-2009)*12</f>
        <v>39</v>
      </c>
      <c r="C1076" s="76">
        <v>3</v>
      </c>
      <c r="D1076" s="76">
        <v>2012</v>
      </c>
      <c r="E1076" s="56">
        <v>1.9333333333333333</v>
      </c>
      <c r="F1076" s="53">
        <f>IF(E1076&gt;0,1,0)</f>
        <v>1</v>
      </c>
      <c r="G1076" s="53">
        <f>SUM(F1075:F1076)</f>
        <v>2</v>
      </c>
      <c r="H1076" s="53">
        <f>IF(G1076=1,IF(F1075=1,1,-1),G1076)</f>
        <v>2</v>
      </c>
      <c r="I1076" s="53" t="str">
        <f>VLOOKUP(H1076,codes,2,)</f>
        <v>ww</v>
      </c>
      <c r="J1076" s="53"/>
    </row>
    <row r="1077" spans="1:10" x14ac:dyDescent="0.25">
      <c r="A1077" s="93">
        <v>40976</v>
      </c>
      <c r="B1077" s="35">
        <f>C1077+(D1077-2009)*12</f>
        <v>39</v>
      </c>
      <c r="C1077" s="76">
        <v>3</v>
      </c>
      <c r="D1077" s="76">
        <v>2012</v>
      </c>
      <c r="E1077" s="56">
        <v>6.6666666666666666E-2</v>
      </c>
      <c r="F1077" s="53">
        <f>IF(E1077&gt;0,1,0)</f>
        <v>1</v>
      </c>
      <c r="G1077" s="53">
        <f>SUM(F1076:F1077)</f>
        <v>2</v>
      </c>
      <c r="H1077" s="53">
        <f>IF(G1077=1,IF(F1076=1,1,-1),G1077)</f>
        <v>2</v>
      </c>
      <c r="I1077" s="53" t="str">
        <f>VLOOKUP(H1077,codes,2,)</f>
        <v>ww</v>
      </c>
      <c r="J1077" s="53"/>
    </row>
    <row r="1078" spans="1:10" x14ac:dyDescent="0.25">
      <c r="A1078" s="93">
        <v>40977</v>
      </c>
      <c r="B1078" s="35">
        <f>C1078+(D1078-2009)*12</f>
        <v>39</v>
      </c>
      <c r="C1078" s="76">
        <v>3</v>
      </c>
      <c r="D1078" s="76">
        <v>2012</v>
      </c>
      <c r="E1078" s="56">
        <v>0</v>
      </c>
      <c r="F1078" s="53">
        <f>IF(E1078&gt;0,1,0)</f>
        <v>0</v>
      </c>
      <c r="G1078" s="53">
        <f>SUM(F1077:F1078)</f>
        <v>1</v>
      </c>
      <c r="H1078" s="53">
        <f>IF(G1078=1,IF(F1077=1,1,-1),G1078)</f>
        <v>1</v>
      </c>
      <c r="I1078" s="53" t="str">
        <f>VLOOKUP(H1078,codes,2,)</f>
        <v>wd</v>
      </c>
      <c r="J1078" s="53"/>
    </row>
    <row r="1079" spans="1:10" x14ac:dyDescent="0.25">
      <c r="A1079" s="93">
        <v>40978</v>
      </c>
      <c r="B1079" s="35">
        <f>C1079+(D1079-2009)*12</f>
        <v>39</v>
      </c>
      <c r="C1079" s="76">
        <v>3</v>
      </c>
      <c r="D1079" s="76">
        <v>2012</v>
      </c>
      <c r="E1079" s="56">
        <v>0</v>
      </c>
      <c r="F1079" s="53">
        <f>IF(E1079&gt;0,1,0)</f>
        <v>0</v>
      </c>
      <c r="G1079" s="53">
        <f>SUM(F1078:F1079)</f>
        <v>0</v>
      </c>
      <c r="H1079" s="53">
        <f>IF(G1079=1,IF(F1078=1,1,-1),G1079)</f>
        <v>0</v>
      </c>
      <c r="I1079" s="53" t="str">
        <f>VLOOKUP(H1079,codes,2,)</f>
        <v>dd</v>
      </c>
      <c r="J1079" s="53"/>
    </row>
    <row r="1080" spans="1:10" x14ac:dyDescent="0.25">
      <c r="A1080" s="93">
        <v>40979</v>
      </c>
      <c r="B1080" s="35">
        <f>C1080+(D1080-2009)*12</f>
        <v>39</v>
      </c>
      <c r="C1080" s="76">
        <v>3</v>
      </c>
      <c r="D1080" s="76">
        <v>2012</v>
      </c>
      <c r="E1080" s="56">
        <v>0</v>
      </c>
      <c r="F1080" s="53">
        <f>IF(E1080&gt;0,1,0)</f>
        <v>0</v>
      </c>
      <c r="G1080" s="53">
        <f>SUM(F1079:F1080)</f>
        <v>0</v>
      </c>
      <c r="H1080" s="53">
        <f>IF(G1080=1,IF(F1079=1,1,-1),G1080)</f>
        <v>0</v>
      </c>
      <c r="I1080" s="53" t="str">
        <f>VLOOKUP(H1080,codes,2,)</f>
        <v>dd</v>
      </c>
      <c r="J1080" s="53"/>
    </row>
    <row r="1081" spans="1:10" x14ac:dyDescent="0.25">
      <c r="A1081" s="93">
        <v>40980</v>
      </c>
      <c r="B1081" s="35">
        <f>C1081+(D1081-2009)*12</f>
        <v>39</v>
      </c>
      <c r="C1081" s="76">
        <v>3</v>
      </c>
      <c r="D1081" s="76">
        <v>2012</v>
      </c>
      <c r="E1081" s="56">
        <v>0</v>
      </c>
      <c r="F1081" s="53">
        <f>IF(E1081&gt;0,1,0)</f>
        <v>0</v>
      </c>
      <c r="G1081" s="53">
        <f>SUM(F1080:F1081)</f>
        <v>0</v>
      </c>
      <c r="H1081" s="53">
        <f>IF(G1081=1,IF(F1080=1,1,-1),G1081)</f>
        <v>0</v>
      </c>
      <c r="I1081" s="53" t="str">
        <f>VLOOKUP(H1081,codes,2,)</f>
        <v>dd</v>
      </c>
      <c r="J1081" s="53"/>
    </row>
    <row r="1082" spans="1:10" x14ac:dyDescent="0.25">
      <c r="A1082" s="93">
        <v>40981</v>
      </c>
      <c r="B1082" s="35">
        <f>C1082+(D1082-2009)*12</f>
        <v>39</v>
      </c>
      <c r="C1082" s="76">
        <v>3</v>
      </c>
      <c r="D1082" s="76">
        <v>2012</v>
      </c>
      <c r="E1082" s="56">
        <v>0</v>
      </c>
      <c r="F1082" s="53">
        <f>IF(E1082&gt;0,1,0)</f>
        <v>0</v>
      </c>
      <c r="G1082" s="53">
        <f>SUM(F1081:F1082)</f>
        <v>0</v>
      </c>
      <c r="H1082" s="53">
        <f>IF(G1082=1,IF(F1081=1,1,-1),G1082)</f>
        <v>0</v>
      </c>
      <c r="I1082" s="53" t="str">
        <f>VLOOKUP(H1082,codes,2,)</f>
        <v>dd</v>
      </c>
      <c r="J1082" s="53"/>
    </row>
    <row r="1083" spans="1:10" x14ac:dyDescent="0.25">
      <c r="A1083" s="93">
        <v>40982</v>
      </c>
      <c r="B1083" s="35">
        <f>C1083+(D1083-2009)*12</f>
        <v>39</v>
      </c>
      <c r="C1083" s="76">
        <v>3</v>
      </c>
      <c r="D1083" s="76">
        <v>2012</v>
      </c>
      <c r="E1083" s="56">
        <v>0</v>
      </c>
      <c r="F1083" s="53">
        <f>IF(E1083&gt;0,1,0)</f>
        <v>0</v>
      </c>
      <c r="G1083" s="53">
        <f>SUM(F1082:F1083)</f>
        <v>0</v>
      </c>
      <c r="H1083" s="53">
        <f>IF(G1083=1,IF(F1082=1,1,-1),G1083)</f>
        <v>0</v>
      </c>
      <c r="I1083" s="53" t="str">
        <f>VLOOKUP(H1083,codes,2,)</f>
        <v>dd</v>
      </c>
      <c r="J1083" s="53"/>
    </row>
    <row r="1084" spans="1:10" x14ac:dyDescent="0.25">
      <c r="A1084" s="93">
        <v>40983</v>
      </c>
      <c r="B1084" s="35">
        <f>C1084+(D1084-2009)*12</f>
        <v>39</v>
      </c>
      <c r="C1084" s="76">
        <v>3</v>
      </c>
      <c r="D1084" s="76">
        <v>2012</v>
      </c>
      <c r="E1084" s="56">
        <v>0</v>
      </c>
      <c r="F1084" s="53">
        <f>IF(E1084&gt;0,1,0)</f>
        <v>0</v>
      </c>
      <c r="G1084" s="53">
        <f>SUM(F1083:F1084)</f>
        <v>0</v>
      </c>
      <c r="H1084" s="53">
        <f>IF(G1084=1,IF(F1083=1,1,-1),G1084)</f>
        <v>0</v>
      </c>
      <c r="I1084" s="53" t="str">
        <f>VLOOKUP(H1084,codes,2,)</f>
        <v>dd</v>
      </c>
      <c r="J1084" s="53"/>
    </row>
    <row r="1085" spans="1:10" x14ac:dyDescent="0.25">
      <c r="A1085" s="93">
        <v>40984</v>
      </c>
      <c r="B1085" s="35">
        <f>C1085+(D1085-2009)*12</f>
        <v>39</v>
      </c>
      <c r="C1085" s="76">
        <v>3</v>
      </c>
      <c r="D1085" s="76">
        <v>2012</v>
      </c>
      <c r="E1085" s="56">
        <v>0</v>
      </c>
      <c r="F1085" s="53">
        <f>IF(E1085&gt;0,1,0)</f>
        <v>0</v>
      </c>
      <c r="G1085" s="53">
        <f>SUM(F1084:F1085)</f>
        <v>0</v>
      </c>
      <c r="H1085" s="53">
        <f>IF(G1085=1,IF(F1084=1,1,-1),G1085)</f>
        <v>0</v>
      </c>
      <c r="I1085" s="53" t="str">
        <f>VLOOKUP(H1085,codes,2,)</f>
        <v>dd</v>
      </c>
      <c r="J1085" s="53"/>
    </row>
    <row r="1086" spans="1:10" x14ac:dyDescent="0.25">
      <c r="A1086" s="93">
        <v>40985</v>
      </c>
      <c r="B1086" s="35">
        <f>C1086+(D1086-2009)*12</f>
        <v>39</v>
      </c>
      <c r="C1086" s="76">
        <v>3</v>
      </c>
      <c r="D1086" s="76">
        <v>2012</v>
      </c>
      <c r="E1086" s="56">
        <v>0.13333333333333333</v>
      </c>
      <c r="F1086" s="53">
        <f>IF(E1086&gt;0,1,0)</f>
        <v>1</v>
      </c>
      <c r="G1086" s="53">
        <f>SUM(F1085:F1086)</f>
        <v>1</v>
      </c>
      <c r="H1086" s="53">
        <f>IF(G1086=1,IF(F1085=1,1,-1),G1086)</f>
        <v>-1</v>
      </c>
      <c r="I1086" s="53" t="str">
        <f>VLOOKUP(H1086,codes,2,)</f>
        <v>dw</v>
      </c>
      <c r="J1086" s="53"/>
    </row>
    <row r="1087" spans="1:10" x14ac:dyDescent="0.25">
      <c r="A1087" s="93">
        <v>40986</v>
      </c>
      <c r="B1087" s="35">
        <f>C1087+(D1087-2009)*12</f>
        <v>39</v>
      </c>
      <c r="C1087" s="76">
        <v>3</v>
      </c>
      <c r="D1087" s="76">
        <v>2012</v>
      </c>
      <c r="E1087" s="56">
        <v>0</v>
      </c>
      <c r="F1087" s="53">
        <f>IF(E1087&gt;0,1,0)</f>
        <v>0</v>
      </c>
      <c r="G1087" s="53">
        <f>SUM(F1086:F1087)</f>
        <v>1</v>
      </c>
      <c r="H1087" s="53">
        <f>IF(G1087=1,IF(F1086=1,1,-1),G1087)</f>
        <v>1</v>
      </c>
      <c r="I1087" s="53" t="str">
        <f>VLOOKUP(H1087,codes,2,)</f>
        <v>wd</v>
      </c>
      <c r="J1087" s="53"/>
    </row>
    <row r="1088" spans="1:10" x14ac:dyDescent="0.25">
      <c r="A1088" s="93">
        <v>40987</v>
      </c>
      <c r="B1088" s="35">
        <f>C1088+(D1088-2009)*12</f>
        <v>39</v>
      </c>
      <c r="C1088" s="76">
        <v>3</v>
      </c>
      <c r="D1088" s="76">
        <v>2012</v>
      </c>
      <c r="E1088" s="56">
        <v>0</v>
      </c>
      <c r="F1088" s="53">
        <f>IF(E1088&gt;0,1,0)</f>
        <v>0</v>
      </c>
      <c r="G1088" s="53">
        <f>SUM(F1087:F1088)</f>
        <v>0</v>
      </c>
      <c r="H1088" s="53">
        <f>IF(G1088=1,IF(F1087=1,1,-1),G1088)</f>
        <v>0</v>
      </c>
      <c r="I1088" s="53" t="str">
        <f>VLOOKUP(H1088,codes,2,)</f>
        <v>dd</v>
      </c>
      <c r="J1088" s="53"/>
    </row>
    <row r="1089" spans="1:10" x14ac:dyDescent="0.25">
      <c r="A1089" s="93">
        <v>40988</v>
      </c>
      <c r="B1089" s="35">
        <f>C1089+(D1089-2009)*12</f>
        <v>39</v>
      </c>
      <c r="C1089" s="76">
        <v>3</v>
      </c>
      <c r="D1089" s="76">
        <v>2012</v>
      </c>
      <c r="E1089" s="56">
        <v>0</v>
      </c>
      <c r="F1089" s="53">
        <f>IF(E1089&gt;0,1,0)</f>
        <v>0</v>
      </c>
      <c r="G1089" s="53">
        <f>SUM(F1088:F1089)</f>
        <v>0</v>
      </c>
      <c r="H1089" s="53">
        <f>IF(G1089=1,IF(F1088=1,1,-1),G1089)</f>
        <v>0</v>
      </c>
      <c r="I1089" s="53" t="str">
        <f>VLOOKUP(H1089,codes,2,)</f>
        <v>dd</v>
      </c>
      <c r="J1089" s="53"/>
    </row>
    <row r="1090" spans="1:10" x14ac:dyDescent="0.25">
      <c r="A1090" s="93">
        <v>40989</v>
      </c>
      <c r="B1090" s="35">
        <f>C1090+(D1090-2009)*12</f>
        <v>39</v>
      </c>
      <c r="C1090" s="76">
        <v>3</v>
      </c>
      <c r="D1090" s="76">
        <v>2012</v>
      </c>
      <c r="E1090" s="56">
        <v>0</v>
      </c>
      <c r="F1090" s="53">
        <f>IF(E1090&gt;0,1,0)</f>
        <v>0</v>
      </c>
      <c r="G1090" s="53">
        <f>SUM(F1089:F1090)</f>
        <v>0</v>
      </c>
      <c r="H1090" s="53">
        <f>IF(G1090=1,IF(F1089=1,1,-1),G1090)</f>
        <v>0</v>
      </c>
      <c r="I1090" s="53" t="str">
        <f>VLOOKUP(H1090,codes,2,)</f>
        <v>dd</v>
      </c>
      <c r="J1090" s="53"/>
    </row>
    <row r="1091" spans="1:10" x14ac:dyDescent="0.25">
      <c r="A1091" s="93">
        <v>40990</v>
      </c>
      <c r="B1091" s="35">
        <f>C1091+(D1091-2009)*12</f>
        <v>39</v>
      </c>
      <c r="C1091" s="76">
        <v>3</v>
      </c>
      <c r="D1091" s="76">
        <v>2012</v>
      </c>
      <c r="E1091" s="56">
        <v>0</v>
      </c>
      <c r="F1091" s="53">
        <f>IF(E1091&gt;0,1,0)</f>
        <v>0</v>
      </c>
      <c r="G1091" s="53">
        <f>SUM(F1090:F1091)</f>
        <v>0</v>
      </c>
      <c r="H1091" s="53">
        <f>IF(G1091=1,IF(F1090=1,1,-1),G1091)</f>
        <v>0</v>
      </c>
      <c r="I1091" s="53" t="str">
        <f>VLOOKUP(H1091,codes,2,)</f>
        <v>dd</v>
      </c>
      <c r="J1091" s="53"/>
    </row>
    <row r="1092" spans="1:10" x14ac:dyDescent="0.25">
      <c r="A1092" s="93">
        <v>40991</v>
      </c>
      <c r="B1092" s="35">
        <f>C1092+(D1092-2009)*12</f>
        <v>39</v>
      </c>
      <c r="C1092" s="76">
        <v>3</v>
      </c>
      <c r="D1092" s="76">
        <v>2012</v>
      </c>
      <c r="E1092" s="56">
        <v>0</v>
      </c>
      <c r="F1092" s="53">
        <f>IF(E1092&gt;0,1,0)</f>
        <v>0</v>
      </c>
      <c r="G1092" s="53">
        <f>SUM(F1091:F1092)</f>
        <v>0</v>
      </c>
      <c r="H1092" s="53">
        <f>IF(G1092=1,IF(F1091=1,1,-1),G1092)</f>
        <v>0</v>
      </c>
      <c r="I1092" s="53" t="str">
        <f>VLOOKUP(H1092,codes,2,)</f>
        <v>dd</v>
      </c>
      <c r="J1092" s="53"/>
    </row>
    <row r="1093" spans="1:10" x14ac:dyDescent="0.25">
      <c r="A1093" s="93">
        <v>40992</v>
      </c>
      <c r="B1093" s="35">
        <f>C1093+(D1093-2009)*12</f>
        <v>39</v>
      </c>
      <c r="C1093" s="76">
        <v>3</v>
      </c>
      <c r="D1093" s="76">
        <v>2012</v>
      </c>
      <c r="E1093" s="56">
        <v>0</v>
      </c>
      <c r="F1093" s="53">
        <f>IF(E1093&gt;0,1,0)</f>
        <v>0</v>
      </c>
      <c r="G1093" s="53">
        <f>SUM(F1092:F1093)</f>
        <v>0</v>
      </c>
      <c r="H1093" s="53">
        <f>IF(G1093=1,IF(F1092=1,1,-1),G1093)</f>
        <v>0</v>
      </c>
      <c r="I1093" s="53" t="str">
        <f>VLOOKUP(H1093,codes,2,)</f>
        <v>dd</v>
      </c>
      <c r="J1093" s="53"/>
    </row>
    <row r="1094" spans="1:10" x14ac:dyDescent="0.25">
      <c r="A1094" s="93">
        <v>40993</v>
      </c>
      <c r="B1094" s="35">
        <f>C1094+(D1094-2009)*12</f>
        <v>39</v>
      </c>
      <c r="C1094" s="76">
        <v>3</v>
      </c>
      <c r="D1094" s="76">
        <v>2012</v>
      </c>
      <c r="E1094" s="56">
        <v>0</v>
      </c>
      <c r="F1094" s="53">
        <f>IF(E1094&gt;0,1,0)</f>
        <v>0</v>
      </c>
      <c r="G1094" s="53">
        <f>SUM(F1093:F1094)</f>
        <v>0</v>
      </c>
      <c r="H1094" s="53">
        <f>IF(G1094=1,IF(F1093=1,1,-1),G1094)</f>
        <v>0</v>
      </c>
      <c r="I1094" s="53" t="str">
        <f>VLOOKUP(H1094,codes,2,)</f>
        <v>dd</v>
      </c>
      <c r="J1094" s="53"/>
    </row>
    <row r="1095" spans="1:10" x14ac:dyDescent="0.25">
      <c r="A1095" s="93">
        <v>40994</v>
      </c>
      <c r="B1095" s="35">
        <f>C1095+(D1095-2009)*12</f>
        <v>39</v>
      </c>
      <c r="C1095" s="76">
        <v>3</v>
      </c>
      <c r="D1095" s="76">
        <v>2012</v>
      </c>
      <c r="E1095" s="56">
        <v>6.6666666666666666E-2</v>
      </c>
      <c r="F1095" s="53">
        <f>IF(E1095&gt;0,1,0)</f>
        <v>1</v>
      </c>
      <c r="G1095" s="53">
        <f>SUM(F1094:F1095)</f>
        <v>1</v>
      </c>
      <c r="H1095" s="53">
        <f>IF(G1095=1,IF(F1094=1,1,-1),G1095)</f>
        <v>-1</v>
      </c>
      <c r="I1095" s="53" t="str">
        <f>VLOOKUP(H1095,codes,2,)</f>
        <v>dw</v>
      </c>
      <c r="J1095" s="53"/>
    </row>
    <row r="1096" spans="1:10" x14ac:dyDescent="0.25">
      <c r="A1096" s="93">
        <v>40995</v>
      </c>
      <c r="B1096" s="35">
        <f>C1096+(D1096-2009)*12</f>
        <v>39</v>
      </c>
      <c r="C1096" s="76">
        <v>3</v>
      </c>
      <c r="D1096" s="76">
        <v>2012</v>
      </c>
      <c r="E1096" s="56">
        <v>0</v>
      </c>
      <c r="F1096" s="53">
        <f>IF(E1096&gt;0,1,0)</f>
        <v>0</v>
      </c>
      <c r="G1096" s="53">
        <f>SUM(F1095:F1096)</f>
        <v>1</v>
      </c>
      <c r="H1096" s="53">
        <f>IF(G1096=1,IF(F1095=1,1,-1),G1096)</f>
        <v>1</v>
      </c>
      <c r="I1096" s="53" t="str">
        <f>VLOOKUP(H1096,codes,2,)</f>
        <v>wd</v>
      </c>
      <c r="J1096" s="53"/>
    </row>
    <row r="1097" spans="1:10" x14ac:dyDescent="0.25">
      <c r="A1097" s="93">
        <v>40996</v>
      </c>
      <c r="B1097" s="35">
        <f>C1097+(D1097-2009)*12</f>
        <v>39</v>
      </c>
      <c r="C1097" s="76">
        <v>3</v>
      </c>
      <c r="D1097" s="76">
        <v>2012</v>
      </c>
      <c r="E1097" s="56">
        <v>0</v>
      </c>
      <c r="F1097" s="53">
        <f>IF(E1097&gt;0,1,0)</f>
        <v>0</v>
      </c>
      <c r="G1097" s="53">
        <f>SUM(F1096:F1097)</f>
        <v>0</v>
      </c>
      <c r="H1097" s="53">
        <f>IF(G1097=1,IF(F1096=1,1,-1),G1097)</f>
        <v>0</v>
      </c>
      <c r="I1097" s="53" t="str">
        <f>VLOOKUP(H1097,codes,2,)</f>
        <v>dd</v>
      </c>
      <c r="J1097" s="53"/>
    </row>
    <row r="1098" spans="1:10" x14ac:dyDescent="0.25">
      <c r="A1098" s="93">
        <v>40997</v>
      </c>
      <c r="B1098" s="35">
        <f>C1098+(D1098-2009)*12</f>
        <v>39</v>
      </c>
      <c r="C1098" s="76">
        <v>3</v>
      </c>
      <c r="D1098" s="76">
        <v>2012</v>
      </c>
      <c r="E1098" s="56">
        <v>0</v>
      </c>
      <c r="F1098" s="53">
        <f>IF(E1098&gt;0,1,0)</f>
        <v>0</v>
      </c>
      <c r="G1098" s="53">
        <f>SUM(F1097:F1098)</f>
        <v>0</v>
      </c>
      <c r="H1098" s="53">
        <f>IF(G1098=1,IF(F1097=1,1,-1),G1098)</f>
        <v>0</v>
      </c>
      <c r="I1098" s="53" t="str">
        <f>VLOOKUP(H1098,codes,2,)</f>
        <v>dd</v>
      </c>
      <c r="J1098" s="53"/>
    </row>
    <row r="1099" spans="1:10" x14ac:dyDescent="0.25">
      <c r="A1099" s="93">
        <v>40998</v>
      </c>
      <c r="B1099" s="35">
        <f>C1099+(D1099-2009)*12</f>
        <v>39</v>
      </c>
      <c r="C1099" s="76">
        <v>3</v>
      </c>
      <c r="D1099" s="76">
        <v>2012</v>
      </c>
      <c r="E1099" s="56">
        <v>0</v>
      </c>
      <c r="F1099" s="53">
        <f>IF(E1099&gt;0,1,0)</f>
        <v>0</v>
      </c>
      <c r="G1099" s="53">
        <f>SUM(F1098:F1099)</f>
        <v>0</v>
      </c>
      <c r="H1099" s="53">
        <f>IF(G1099=1,IF(F1098=1,1,-1),G1099)</f>
        <v>0</v>
      </c>
      <c r="I1099" s="53" t="str">
        <f>VLOOKUP(H1099,codes,2,)</f>
        <v>dd</v>
      </c>
      <c r="J1099" s="53"/>
    </row>
    <row r="1100" spans="1:10" x14ac:dyDescent="0.25">
      <c r="A1100" s="93">
        <v>40999</v>
      </c>
      <c r="B1100" s="35">
        <f>C1100+(D1100-2009)*12</f>
        <v>39</v>
      </c>
      <c r="C1100" s="76">
        <v>3</v>
      </c>
      <c r="D1100" s="76">
        <v>2012</v>
      </c>
      <c r="E1100" s="56">
        <v>0.13333333333333333</v>
      </c>
      <c r="F1100" s="53">
        <f>IF(E1100&gt;0,1,0)</f>
        <v>1</v>
      </c>
      <c r="G1100" s="53">
        <f>SUM(F1099:F1100)</f>
        <v>1</v>
      </c>
      <c r="H1100" s="53">
        <f>IF(G1100=1,IF(F1099=1,1,-1),G1100)</f>
        <v>-1</v>
      </c>
      <c r="I1100" s="53" t="str">
        <f>VLOOKUP(H1100,codes,2,)</f>
        <v>dw</v>
      </c>
      <c r="J1100" s="53"/>
    </row>
    <row r="1101" spans="1:10" x14ac:dyDescent="0.25">
      <c r="A1101" s="93">
        <v>41000</v>
      </c>
      <c r="B1101" s="35">
        <f>C1101+(D1101-2009)*12</f>
        <v>39</v>
      </c>
      <c r="C1101" s="76">
        <v>3</v>
      </c>
      <c r="D1101" s="76">
        <v>2012</v>
      </c>
      <c r="E1101" s="56">
        <v>0</v>
      </c>
      <c r="F1101" s="53">
        <f>IF(E1101&gt;0,1,0)</f>
        <v>0</v>
      </c>
      <c r="G1101" s="53">
        <f>SUM(F1100:F1101)</f>
        <v>1</v>
      </c>
      <c r="H1101" s="53">
        <f>IF(G1101=1,IF(F1100=1,1,-1),G1101)</f>
        <v>1</v>
      </c>
      <c r="I1101" s="53" t="str">
        <f>VLOOKUP(H1101,codes,2,)</f>
        <v>wd</v>
      </c>
      <c r="J1101" s="53"/>
    </row>
    <row r="1102" spans="1:10" x14ac:dyDescent="0.25">
      <c r="A1102" s="93">
        <v>41335</v>
      </c>
      <c r="B1102" s="35">
        <f>C1102+(D1102-2009)*12</f>
        <v>51</v>
      </c>
      <c r="C1102" s="76">
        <v>3</v>
      </c>
      <c r="D1102" s="76">
        <v>2013</v>
      </c>
      <c r="E1102" s="56">
        <v>6.6666666666666666E-2</v>
      </c>
      <c r="F1102" s="53">
        <f>IF(E1102&gt;0,1,0)</f>
        <v>1</v>
      </c>
      <c r="G1102" s="53">
        <f>SUM(F1101:F1102)</f>
        <v>1</v>
      </c>
      <c r="H1102" s="53">
        <f>IF(G1102=1,IF(F1101=1,1,-1),G1102)</f>
        <v>-1</v>
      </c>
      <c r="I1102" s="53" t="str">
        <f>VLOOKUP(H1102,codes,2,)</f>
        <v>dw</v>
      </c>
      <c r="J1102" s="53"/>
    </row>
    <row r="1103" spans="1:10" x14ac:dyDescent="0.25">
      <c r="A1103" s="93">
        <v>41336</v>
      </c>
      <c r="B1103" s="35">
        <f>C1103+(D1103-2009)*12</f>
        <v>51</v>
      </c>
      <c r="C1103" s="76">
        <v>3</v>
      </c>
      <c r="D1103" s="76">
        <v>2013</v>
      </c>
      <c r="E1103" s="56">
        <v>0</v>
      </c>
      <c r="F1103" s="53">
        <f>IF(E1103&gt;0,1,0)</f>
        <v>0</v>
      </c>
      <c r="G1103" s="53">
        <f>SUM(F1102:F1103)</f>
        <v>1</v>
      </c>
      <c r="H1103" s="53">
        <f>IF(G1103=1,IF(F1102=1,1,-1),G1103)</f>
        <v>1</v>
      </c>
      <c r="I1103" s="53" t="str">
        <f>VLOOKUP(H1103,codes,2,)</f>
        <v>wd</v>
      </c>
      <c r="J1103" s="53"/>
    </row>
    <row r="1104" spans="1:10" x14ac:dyDescent="0.25">
      <c r="A1104" s="93">
        <v>41337</v>
      </c>
      <c r="B1104" s="35">
        <f>C1104+(D1104-2009)*12</f>
        <v>51</v>
      </c>
      <c r="C1104" s="76">
        <v>3</v>
      </c>
      <c r="D1104" s="76">
        <v>2013</v>
      </c>
      <c r="E1104" s="56">
        <v>0</v>
      </c>
      <c r="F1104" s="53">
        <f>IF(E1104&gt;0,1,0)</f>
        <v>0</v>
      </c>
      <c r="G1104" s="53">
        <f>SUM(F1103:F1104)</f>
        <v>0</v>
      </c>
      <c r="H1104" s="53">
        <f>IF(G1104=1,IF(F1103=1,1,-1),G1104)</f>
        <v>0</v>
      </c>
      <c r="I1104" s="53" t="str">
        <f>VLOOKUP(H1104,codes,2,)</f>
        <v>dd</v>
      </c>
      <c r="J1104" s="53"/>
    </row>
    <row r="1105" spans="1:10" x14ac:dyDescent="0.25">
      <c r="A1105" s="93">
        <v>41338</v>
      </c>
      <c r="B1105" s="35">
        <f>C1105+(D1105-2009)*12</f>
        <v>51</v>
      </c>
      <c r="C1105" s="76">
        <v>3</v>
      </c>
      <c r="D1105" s="76">
        <v>2013</v>
      </c>
      <c r="E1105" s="56">
        <v>0</v>
      </c>
      <c r="F1105" s="53">
        <f>IF(E1105&gt;0,1,0)</f>
        <v>0</v>
      </c>
      <c r="G1105" s="53">
        <f>SUM(F1104:F1105)</f>
        <v>0</v>
      </c>
      <c r="H1105" s="53">
        <f>IF(G1105=1,IF(F1104=1,1,-1),G1105)</f>
        <v>0</v>
      </c>
      <c r="I1105" s="53" t="str">
        <f>VLOOKUP(H1105,codes,2,)</f>
        <v>dd</v>
      </c>
      <c r="J1105" s="53"/>
    </row>
    <row r="1106" spans="1:10" x14ac:dyDescent="0.25">
      <c r="A1106" s="93">
        <v>41339</v>
      </c>
      <c r="B1106" s="35">
        <f>C1106+(D1106-2009)*12</f>
        <v>51</v>
      </c>
      <c r="C1106" s="76">
        <v>3</v>
      </c>
      <c r="D1106" s="76">
        <v>2013</v>
      </c>
      <c r="E1106" s="56">
        <v>0</v>
      </c>
      <c r="F1106" s="53">
        <f>IF(E1106&gt;0,1,0)</f>
        <v>0</v>
      </c>
      <c r="G1106" s="53">
        <f>SUM(F1105:F1106)</f>
        <v>0</v>
      </c>
      <c r="H1106" s="53">
        <f>IF(G1106=1,IF(F1105=1,1,-1),G1106)</f>
        <v>0</v>
      </c>
      <c r="I1106" s="53" t="str">
        <f>VLOOKUP(H1106,codes,2,)</f>
        <v>dd</v>
      </c>
      <c r="J1106" s="53"/>
    </row>
    <row r="1107" spans="1:10" x14ac:dyDescent="0.25">
      <c r="A1107" s="93">
        <v>41340</v>
      </c>
      <c r="B1107" s="35">
        <f>C1107+(D1107-2009)*12</f>
        <v>51</v>
      </c>
      <c r="C1107" s="76">
        <v>3</v>
      </c>
      <c r="D1107" s="76">
        <v>2013</v>
      </c>
      <c r="E1107" s="56">
        <v>1.5333333333333332</v>
      </c>
      <c r="F1107" s="53">
        <f>IF(E1107&gt;0,1,0)</f>
        <v>1</v>
      </c>
      <c r="G1107" s="53">
        <f>SUM(F1106:F1107)</f>
        <v>1</v>
      </c>
      <c r="H1107" s="53">
        <f>IF(G1107=1,IF(F1106=1,1,-1),G1107)</f>
        <v>-1</v>
      </c>
      <c r="I1107" s="53" t="str">
        <f>VLOOKUP(H1107,codes,2,)</f>
        <v>dw</v>
      </c>
      <c r="J1107" s="53"/>
    </row>
    <row r="1108" spans="1:10" x14ac:dyDescent="0.25">
      <c r="A1108" s="93">
        <v>41341</v>
      </c>
      <c r="B1108" s="35">
        <f>C1108+(D1108-2009)*12</f>
        <v>51</v>
      </c>
      <c r="C1108" s="76">
        <v>3</v>
      </c>
      <c r="D1108" s="76">
        <v>2013</v>
      </c>
      <c r="E1108" s="56">
        <v>0.66666666666666663</v>
      </c>
      <c r="F1108" s="53">
        <f>IF(E1108&gt;0,1,0)</f>
        <v>1</v>
      </c>
      <c r="G1108" s="53">
        <f>SUM(F1107:F1108)</f>
        <v>2</v>
      </c>
      <c r="H1108" s="53">
        <f>IF(G1108=1,IF(F1107=1,1,-1),G1108)</f>
        <v>2</v>
      </c>
      <c r="I1108" s="53" t="str">
        <f>VLOOKUP(H1108,codes,2,)</f>
        <v>ww</v>
      </c>
      <c r="J1108" s="53"/>
    </row>
    <row r="1109" spans="1:10" x14ac:dyDescent="0.25">
      <c r="A1109" s="93">
        <v>41342</v>
      </c>
      <c r="B1109" s="35">
        <f>C1109+(D1109-2009)*12</f>
        <v>51</v>
      </c>
      <c r="C1109" s="76">
        <v>3</v>
      </c>
      <c r="D1109" s="76">
        <v>2013</v>
      </c>
      <c r="E1109" s="56">
        <v>5</v>
      </c>
      <c r="F1109" s="53">
        <f>IF(E1109&gt;0,1,0)</f>
        <v>1</v>
      </c>
      <c r="G1109" s="53">
        <f>SUM(F1108:F1109)</f>
        <v>2</v>
      </c>
      <c r="H1109" s="53">
        <f>IF(G1109=1,IF(F1108=1,1,-1),G1109)</f>
        <v>2</v>
      </c>
      <c r="I1109" s="53" t="str">
        <f>VLOOKUP(H1109,codes,2,)</f>
        <v>ww</v>
      </c>
      <c r="J1109" s="53"/>
    </row>
    <row r="1110" spans="1:10" x14ac:dyDescent="0.25">
      <c r="A1110" s="93">
        <v>41343</v>
      </c>
      <c r="B1110" s="35">
        <f>C1110+(D1110-2009)*12</f>
        <v>51</v>
      </c>
      <c r="C1110" s="76">
        <v>3</v>
      </c>
      <c r="D1110" s="76">
        <v>2013</v>
      </c>
      <c r="E1110" s="56">
        <v>2.6</v>
      </c>
      <c r="F1110" s="53">
        <f>IF(E1110&gt;0,1,0)</f>
        <v>1</v>
      </c>
      <c r="G1110" s="53">
        <f>SUM(F1109:F1110)</f>
        <v>2</v>
      </c>
      <c r="H1110" s="53">
        <f>IF(G1110=1,IF(F1109=1,1,-1),G1110)</f>
        <v>2</v>
      </c>
      <c r="I1110" s="53" t="str">
        <f>VLOOKUP(H1110,codes,2,)</f>
        <v>ww</v>
      </c>
      <c r="J1110" s="53"/>
    </row>
    <row r="1111" spans="1:10" x14ac:dyDescent="0.25">
      <c r="A1111" s="93">
        <v>41344</v>
      </c>
      <c r="B1111" s="35">
        <f>C1111+(D1111-2009)*12</f>
        <v>51</v>
      </c>
      <c r="C1111" s="76">
        <v>3</v>
      </c>
      <c r="D1111" s="76">
        <v>2013</v>
      </c>
      <c r="E1111" s="56">
        <v>1.0000000000000002</v>
      </c>
      <c r="F1111" s="53">
        <f>IF(E1111&gt;0,1,0)</f>
        <v>1</v>
      </c>
      <c r="G1111" s="53">
        <f>SUM(F1110:F1111)</f>
        <v>2</v>
      </c>
      <c r="H1111" s="53">
        <f>IF(G1111=1,IF(F1110=1,1,-1),G1111)</f>
        <v>2</v>
      </c>
      <c r="I1111" s="53" t="str">
        <f>VLOOKUP(H1111,codes,2,)</f>
        <v>ww</v>
      </c>
      <c r="J1111" s="53"/>
    </row>
    <row r="1112" spans="1:10" x14ac:dyDescent="0.25">
      <c r="A1112" s="93">
        <v>41345</v>
      </c>
      <c r="B1112" s="35">
        <f>C1112+(D1112-2009)*12</f>
        <v>51</v>
      </c>
      <c r="C1112" s="76">
        <v>3</v>
      </c>
      <c r="D1112" s="76">
        <v>2013</v>
      </c>
      <c r="E1112" s="56">
        <v>0.8666666666666667</v>
      </c>
      <c r="F1112" s="53">
        <f>IF(E1112&gt;0,1,0)</f>
        <v>1</v>
      </c>
      <c r="G1112" s="53">
        <f>SUM(F1111:F1112)</f>
        <v>2</v>
      </c>
      <c r="H1112" s="53">
        <f>IF(G1112=1,IF(F1111=1,1,-1),G1112)</f>
        <v>2</v>
      </c>
      <c r="I1112" s="53" t="str">
        <f>VLOOKUP(H1112,codes,2,)</f>
        <v>ww</v>
      </c>
      <c r="J1112" s="53"/>
    </row>
    <row r="1113" spans="1:10" x14ac:dyDescent="0.25">
      <c r="A1113" s="93">
        <v>41346</v>
      </c>
      <c r="B1113" s="35">
        <f>C1113+(D1113-2009)*12</f>
        <v>51</v>
      </c>
      <c r="C1113" s="76">
        <v>3</v>
      </c>
      <c r="D1113" s="76">
        <v>2013</v>
      </c>
      <c r="E1113" s="56">
        <v>0.6</v>
      </c>
      <c r="F1113" s="53">
        <f>IF(E1113&gt;0,1,0)</f>
        <v>1</v>
      </c>
      <c r="G1113" s="53">
        <f>SUM(F1112:F1113)</f>
        <v>2</v>
      </c>
      <c r="H1113" s="53">
        <f>IF(G1113=1,IF(F1112=1,1,-1),G1113)</f>
        <v>2</v>
      </c>
      <c r="I1113" s="53" t="str">
        <f>VLOOKUP(H1113,codes,2,)</f>
        <v>ww</v>
      </c>
      <c r="J1113" s="53"/>
    </row>
    <row r="1114" spans="1:10" x14ac:dyDescent="0.25">
      <c r="A1114" s="93">
        <v>41347</v>
      </c>
      <c r="B1114" s="35">
        <f>C1114+(D1114-2009)*12</f>
        <v>51</v>
      </c>
      <c r="C1114" s="76">
        <v>3</v>
      </c>
      <c r="D1114" s="76">
        <v>2013</v>
      </c>
      <c r="E1114" s="56">
        <v>0.66666666666666663</v>
      </c>
      <c r="F1114" s="53">
        <f>IF(E1114&gt;0,1,0)</f>
        <v>1</v>
      </c>
      <c r="G1114" s="53">
        <f>SUM(F1113:F1114)</f>
        <v>2</v>
      </c>
      <c r="H1114" s="53">
        <f>IF(G1114=1,IF(F1113=1,1,-1),G1114)</f>
        <v>2</v>
      </c>
      <c r="I1114" s="53" t="str">
        <f>VLOOKUP(H1114,codes,2,)</f>
        <v>ww</v>
      </c>
      <c r="J1114" s="53"/>
    </row>
    <row r="1115" spans="1:10" x14ac:dyDescent="0.25">
      <c r="A1115" s="93">
        <v>41348</v>
      </c>
      <c r="B1115" s="35">
        <f>C1115+(D1115-2009)*12</f>
        <v>51</v>
      </c>
      <c r="C1115" s="76">
        <v>3</v>
      </c>
      <c r="D1115" s="76">
        <v>2013</v>
      </c>
      <c r="E1115" s="56">
        <v>0.13333333333333333</v>
      </c>
      <c r="F1115" s="53">
        <f>IF(E1115&gt;0,1,0)</f>
        <v>1</v>
      </c>
      <c r="G1115" s="53">
        <f>SUM(F1114:F1115)</f>
        <v>2</v>
      </c>
      <c r="H1115" s="53">
        <f>IF(G1115=1,IF(F1114=1,1,-1),G1115)</f>
        <v>2</v>
      </c>
      <c r="I1115" s="53" t="str">
        <f>VLOOKUP(H1115,codes,2,)</f>
        <v>ww</v>
      </c>
      <c r="J1115" s="53"/>
    </row>
    <row r="1116" spans="1:10" x14ac:dyDescent="0.25">
      <c r="A1116" s="93">
        <v>41349</v>
      </c>
      <c r="B1116" s="35">
        <f>C1116+(D1116-2009)*12</f>
        <v>51</v>
      </c>
      <c r="C1116" s="76">
        <v>3</v>
      </c>
      <c r="D1116" s="76">
        <v>2013</v>
      </c>
      <c r="E1116" s="56">
        <v>2.8666666666666667</v>
      </c>
      <c r="F1116" s="53">
        <f>IF(E1116&gt;0,1,0)</f>
        <v>1</v>
      </c>
      <c r="G1116" s="53">
        <f>SUM(F1115:F1116)</f>
        <v>2</v>
      </c>
      <c r="H1116" s="53">
        <f>IF(G1116=1,IF(F1115=1,1,-1),G1116)</f>
        <v>2</v>
      </c>
      <c r="I1116" s="53" t="str">
        <f>VLOOKUP(H1116,codes,2,)</f>
        <v>ww</v>
      </c>
      <c r="J1116" s="53"/>
    </row>
    <row r="1117" spans="1:10" x14ac:dyDescent="0.25">
      <c r="A1117" s="93">
        <v>41350</v>
      </c>
      <c r="B1117" s="35">
        <f>C1117+(D1117-2009)*12</f>
        <v>51</v>
      </c>
      <c r="C1117" s="76">
        <v>3</v>
      </c>
      <c r="D1117" s="76">
        <v>2013</v>
      </c>
      <c r="E1117" s="56">
        <v>4.1333333333333337</v>
      </c>
      <c r="F1117" s="53">
        <f>IF(E1117&gt;0,1,0)</f>
        <v>1</v>
      </c>
      <c r="G1117" s="53">
        <f>SUM(F1116:F1117)</f>
        <v>2</v>
      </c>
      <c r="H1117" s="53">
        <f>IF(G1117=1,IF(F1116=1,1,-1),G1117)</f>
        <v>2</v>
      </c>
      <c r="I1117" s="53" t="str">
        <f>VLOOKUP(H1117,codes,2,)</f>
        <v>ww</v>
      </c>
      <c r="J1117" s="53"/>
    </row>
    <row r="1118" spans="1:10" x14ac:dyDescent="0.25">
      <c r="A1118" s="93">
        <v>41351</v>
      </c>
      <c r="B1118" s="35">
        <f>C1118+(D1118-2009)*12</f>
        <v>51</v>
      </c>
      <c r="C1118" s="76">
        <v>3</v>
      </c>
      <c r="D1118" s="76">
        <v>2013</v>
      </c>
      <c r="E1118" s="56">
        <v>9.2666666666666675</v>
      </c>
      <c r="F1118" s="53">
        <f>IF(E1118&gt;0,1,0)</f>
        <v>1</v>
      </c>
      <c r="G1118" s="53">
        <f>SUM(F1117:F1118)</f>
        <v>2</v>
      </c>
      <c r="H1118" s="53">
        <f>IF(G1118=1,IF(F1117=1,1,-1),G1118)</f>
        <v>2</v>
      </c>
      <c r="I1118" s="53" t="str">
        <f>VLOOKUP(H1118,codes,2,)</f>
        <v>ww</v>
      </c>
      <c r="J1118" s="53"/>
    </row>
    <row r="1119" spans="1:10" x14ac:dyDescent="0.25">
      <c r="A1119" s="93">
        <v>41352</v>
      </c>
      <c r="B1119" s="35">
        <f>C1119+(D1119-2009)*12</f>
        <v>51</v>
      </c>
      <c r="C1119" s="76">
        <v>3</v>
      </c>
      <c r="D1119" s="76">
        <v>2013</v>
      </c>
      <c r="E1119" s="56">
        <v>5.4000000000000012</v>
      </c>
      <c r="F1119" s="53">
        <f>IF(E1119&gt;0,1,0)</f>
        <v>1</v>
      </c>
      <c r="G1119" s="53">
        <f>SUM(F1118:F1119)</f>
        <v>2</v>
      </c>
      <c r="H1119" s="53">
        <f>IF(G1119=1,IF(F1118=1,1,-1),G1119)</f>
        <v>2</v>
      </c>
      <c r="I1119" s="53" t="str">
        <f>VLOOKUP(H1119,codes,2,)</f>
        <v>ww</v>
      </c>
      <c r="J1119" s="53"/>
    </row>
    <row r="1120" spans="1:10" x14ac:dyDescent="0.25">
      <c r="A1120" s="93">
        <v>41353</v>
      </c>
      <c r="B1120" s="35">
        <f>C1120+(D1120-2009)*12</f>
        <v>51</v>
      </c>
      <c r="C1120" s="76">
        <v>3</v>
      </c>
      <c r="D1120" s="76">
        <v>2013</v>
      </c>
      <c r="E1120" s="56">
        <v>2.4666666666666668</v>
      </c>
      <c r="F1120" s="53">
        <f>IF(E1120&gt;0,1,0)</f>
        <v>1</v>
      </c>
      <c r="G1120" s="53">
        <f>SUM(F1119:F1120)</f>
        <v>2</v>
      </c>
      <c r="H1120" s="53">
        <f>IF(G1120=1,IF(F1119=1,1,-1),G1120)</f>
        <v>2</v>
      </c>
      <c r="I1120" s="53" t="str">
        <f>VLOOKUP(H1120,codes,2,)</f>
        <v>ww</v>
      </c>
      <c r="J1120" s="53"/>
    </row>
    <row r="1121" spans="1:10" x14ac:dyDescent="0.25">
      <c r="A1121" s="93">
        <v>41354</v>
      </c>
      <c r="B1121" s="35">
        <f>C1121+(D1121-2009)*12</f>
        <v>51</v>
      </c>
      <c r="C1121" s="76">
        <v>3</v>
      </c>
      <c r="D1121" s="76">
        <v>2013</v>
      </c>
      <c r="E1121" s="56">
        <v>0.53333333333333333</v>
      </c>
      <c r="F1121" s="53">
        <f>IF(E1121&gt;0,1,0)</f>
        <v>1</v>
      </c>
      <c r="G1121" s="53">
        <f>SUM(F1120:F1121)</f>
        <v>2</v>
      </c>
      <c r="H1121" s="53">
        <f>IF(G1121=1,IF(F1120=1,1,-1),G1121)</f>
        <v>2</v>
      </c>
      <c r="I1121" s="53" t="str">
        <f>VLOOKUP(H1121,codes,2,)</f>
        <v>ww</v>
      </c>
      <c r="J1121" s="53"/>
    </row>
    <row r="1122" spans="1:10" x14ac:dyDescent="0.25">
      <c r="A1122" s="93">
        <v>41355</v>
      </c>
      <c r="B1122" s="35">
        <f>C1122+(D1122-2009)*12</f>
        <v>51</v>
      </c>
      <c r="C1122" s="76">
        <v>3</v>
      </c>
      <c r="D1122" s="76">
        <v>2013</v>
      </c>
      <c r="E1122" s="56">
        <v>0.20000000000000004</v>
      </c>
      <c r="F1122" s="53">
        <f>IF(E1122&gt;0,1,0)</f>
        <v>1</v>
      </c>
      <c r="G1122" s="53">
        <f>SUM(F1121:F1122)</f>
        <v>2</v>
      </c>
      <c r="H1122" s="53">
        <f>IF(G1122=1,IF(F1121=1,1,-1),G1122)</f>
        <v>2</v>
      </c>
      <c r="I1122" s="53" t="str">
        <f>VLOOKUP(H1122,codes,2,)</f>
        <v>ww</v>
      </c>
      <c r="J1122" s="53"/>
    </row>
    <row r="1123" spans="1:10" x14ac:dyDescent="0.25">
      <c r="A1123" s="93">
        <v>41356</v>
      </c>
      <c r="B1123" s="35">
        <f>C1123+(D1123-2009)*12</f>
        <v>51</v>
      </c>
      <c r="C1123" s="76">
        <v>3</v>
      </c>
      <c r="D1123" s="76">
        <v>2013</v>
      </c>
      <c r="E1123" s="56">
        <v>6.6666666666666666E-2</v>
      </c>
      <c r="F1123" s="53">
        <f>IF(E1123&gt;0,1,0)</f>
        <v>1</v>
      </c>
      <c r="G1123" s="53">
        <f>SUM(F1122:F1123)</f>
        <v>2</v>
      </c>
      <c r="H1123" s="53">
        <f>IF(G1123=1,IF(F1122=1,1,-1),G1123)</f>
        <v>2</v>
      </c>
      <c r="I1123" s="53" t="str">
        <f>VLOOKUP(H1123,codes,2,)</f>
        <v>ww</v>
      </c>
      <c r="J1123" s="53"/>
    </row>
    <row r="1124" spans="1:10" x14ac:dyDescent="0.25">
      <c r="A1124" s="93">
        <v>41357</v>
      </c>
      <c r="B1124" s="35">
        <f>C1124+(D1124-2009)*12</f>
        <v>51</v>
      </c>
      <c r="C1124" s="76">
        <v>3</v>
      </c>
      <c r="D1124" s="76">
        <v>2013</v>
      </c>
      <c r="E1124" s="56">
        <v>0</v>
      </c>
      <c r="F1124" s="53">
        <f>IF(E1124&gt;0,1,0)</f>
        <v>0</v>
      </c>
      <c r="G1124" s="53">
        <f>SUM(F1123:F1124)</f>
        <v>1</v>
      </c>
      <c r="H1124" s="53">
        <f>IF(G1124=1,IF(F1123=1,1,-1),G1124)</f>
        <v>1</v>
      </c>
      <c r="I1124" s="53" t="str">
        <f>VLOOKUP(H1124,codes,2,)</f>
        <v>wd</v>
      </c>
      <c r="J1124" s="53"/>
    </row>
    <row r="1125" spans="1:10" x14ac:dyDescent="0.25">
      <c r="A1125" s="93">
        <v>41358</v>
      </c>
      <c r="B1125" s="35">
        <f>C1125+(D1125-2009)*12</f>
        <v>51</v>
      </c>
      <c r="C1125" s="76">
        <v>3</v>
      </c>
      <c r="D1125" s="76">
        <v>2013</v>
      </c>
      <c r="E1125" s="56">
        <v>6.6666666666666666E-2</v>
      </c>
      <c r="F1125" s="53">
        <f>IF(E1125&gt;0,1,0)</f>
        <v>1</v>
      </c>
      <c r="G1125" s="53">
        <f>SUM(F1124:F1125)</f>
        <v>1</v>
      </c>
      <c r="H1125" s="53">
        <f>IF(G1125=1,IF(F1124=1,1,-1),G1125)</f>
        <v>-1</v>
      </c>
      <c r="I1125" s="53" t="str">
        <f>VLOOKUP(H1125,codes,2,)</f>
        <v>dw</v>
      </c>
      <c r="J1125" s="53"/>
    </row>
    <row r="1126" spans="1:10" x14ac:dyDescent="0.25">
      <c r="A1126" s="93">
        <v>41359</v>
      </c>
      <c r="B1126" s="35">
        <f>C1126+(D1126-2009)*12</f>
        <v>51</v>
      </c>
      <c r="C1126" s="76">
        <v>3</v>
      </c>
      <c r="D1126" s="76">
        <v>2013</v>
      </c>
      <c r="E1126" s="56">
        <v>0.26666666666666666</v>
      </c>
      <c r="F1126" s="53">
        <f>IF(E1126&gt;0,1,0)</f>
        <v>1</v>
      </c>
      <c r="G1126" s="53">
        <f>SUM(F1125:F1126)</f>
        <v>2</v>
      </c>
      <c r="H1126" s="53">
        <f>IF(G1126=1,IF(F1125=1,1,-1),G1126)</f>
        <v>2</v>
      </c>
      <c r="I1126" s="53" t="str">
        <f>VLOOKUP(H1126,codes,2,)</f>
        <v>ww</v>
      </c>
      <c r="J1126" s="53"/>
    </row>
    <row r="1127" spans="1:10" x14ac:dyDescent="0.25">
      <c r="A1127" s="93">
        <v>41360</v>
      </c>
      <c r="B1127" s="35">
        <f>C1127+(D1127-2009)*12</f>
        <v>51</v>
      </c>
      <c r="C1127" s="76">
        <v>3</v>
      </c>
      <c r="D1127" s="76">
        <v>2013</v>
      </c>
      <c r="E1127" s="56">
        <v>0.40000000000000008</v>
      </c>
      <c r="F1127" s="53">
        <f>IF(E1127&gt;0,1,0)</f>
        <v>1</v>
      </c>
      <c r="G1127" s="53">
        <f>SUM(F1126:F1127)</f>
        <v>2</v>
      </c>
      <c r="H1127" s="53">
        <f>IF(G1127=1,IF(F1126=1,1,-1),G1127)</f>
        <v>2</v>
      </c>
      <c r="I1127" s="53" t="str">
        <f>VLOOKUP(H1127,codes,2,)</f>
        <v>ww</v>
      </c>
      <c r="J1127" s="53"/>
    </row>
    <row r="1128" spans="1:10" x14ac:dyDescent="0.25">
      <c r="A1128" s="93">
        <v>41361</v>
      </c>
      <c r="B1128" s="35">
        <f>C1128+(D1128-2009)*12</f>
        <v>51</v>
      </c>
      <c r="C1128" s="76">
        <v>3</v>
      </c>
      <c r="D1128" s="76">
        <v>2013</v>
      </c>
      <c r="E1128" s="56">
        <v>0.13333333333333333</v>
      </c>
      <c r="F1128" s="53">
        <f>IF(E1128&gt;0,1,0)</f>
        <v>1</v>
      </c>
      <c r="G1128" s="53">
        <f>SUM(F1127:F1128)</f>
        <v>2</v>
      </c>
      <c r="H1128" s="53">
        <f>IF(G1128=1,IF(F1127=1,1,-1),G1128)</f>
        <v>2</v>
      </c>
      <c r="I1128" s="53" t="str">
        <f>VLOOKUP(H1128,codes,2,)</f>
        <v>ww</v>
      </c>
      <c r="J1128" s="53"/>
    </row>
    <row r="1129" spans="1:10" x14ac:dyDescent="0.25">
      <c r="A1129" s="93">
        <v>41362</v>
      </c>
      <c r="B1129" s="35">
        <f>C1129+(D1129-2009)*12</f>
        <v>51</v>
      </c>
      <c r="C1129" s="76">
        <v>3</v>
      </c>
      <c r="D1129" s="76">
        <v>2013</v>
      </c>
      <c r="E1129" s="56">
        <v>0.20000000000000004</v>
      </c>
      <c r="F1129" s="53">
        <f>IF(E1129&gt;0,1,0)</f>
        <v>1</v>
      </c>
      <c r="G1129" s="53">
        <f>SUM(F1128:F1129)</f>
        <v>2</v>
      </c>
      <c r="H1129" s="53">
        <f>IF(G1129=1,IF(F1128=1,1,-1),G1129)</f>
        <v>2</v>
      </c>
      <c r="I1129" s="53" t="str">
        <f>VLOOKUP(H1129,codes,2,)</f>
        <v>ww</v>
      </c>
      <c r="J1129" s="53"/>
    </row>
    <row r="1130" spans="1:10" x14ac:dyDescent="0.25">
      <c r="A1130" s="93">
        <v>41363</v>
      </c>
      <c r="B1130" s="35">
        <f>C1130+(D1130-2009)*12</f>
        <v>51</v>
      </c>
      <c r="C1130" s="76">
        <v>3</v>
      </c>
      <c r="D1130" s="76">
        <v>2013</v>
      </c>
      <c r="E1130" s="56">
        <v>6.6666666666666666E-2</v>
      </c>
      <c r="F1130" s="53">
        <f>IF(E1130&gt;0,1,0)</f>
        <v>1</v>
      </c>
      <c r="G1130" s="53">
        <f>SUM(F1129:F1130)</f>
        <v>2</v>
      </c>
      <c r="H1130" s="53">
        <f>IF(G1130=1,IF(F1129=1,1,-1),G1130)</f>
        <v>2</v>
      </c>
      <c r="I1130" s="53" t="str">
        <f>VLOOKUP(H1130,codes,2,)</f>
        <v>ww</v>
      </c>
      <c r="J1130" s="53"/>
    </row>
    <row r="1131" spans="1:10" x14ac:dyDescent="0.25">
      <c r="A1131" s="93">
        <v>41364</v>
      </c>
      <c r="B1131" s="35">
        <f>C1131+(D1131-2009)*12</f>
        <v>51</v>
      </c>
      <c r="C1131" s="76">
        <v>3</v>
      </c>
      <c r="D1131" s="76">
        <v>2013</v>
      </c>
      <c r="E1131" s="56">
        <v>0</v>
      </c>
      <c r="F1131" s="53">
        <f>IF(E1131&gt;0,1,0)</f>
        <v>0</v>
      </c>
      <c r="G1131" s="53">
        <f>SUM(F1130:F1131)</f>
        <v>1</v>
      </c>
      <c r="H1131" s="53">
        <f>IF(G1131=1,IF(F1130=1,1,-1),G1131)</f>
        <v>1</v>
      </c>
      <c r="I1131" s="53" t="str">
        <f>VLOOKUP(H1131,codes,2,)</f>
        <v>wd</v>
      </c>
      <c r="J1131" s="53"/>
    </row>
    <row r="1132" spans="1:10" x14ac:dyDescent="0.25">
      <c r="A1132" s="93">
        <v>41365</v>
      </c>
      <c r="B1132" s="35">
        <f>C1132+(D1132-2009)*12</f>
        <v>51</v>
      </c>
      <c r="C1132" s="76">
        <v>3</v>
      </c>
      <c r="D1132" s="76">
        <v>2013</v>
      </c>
      <c r="E1132" s="56">
        <v>0</v>
      </c>
      <c r="F1132" s="53">
        <f>IF(E1132&gt;0,1,0)</f>
        <v>0</v>
      </c>
      <c r="G1132" s="53">
        <f>SUM(F1131:F1132)</f>
        <v>0</v>
      </c>
      <c r="H1132" s="53">
        <f>IF(G1132=1,IF(F1131=1,1,-1),G1132)</f>
        <v>0</v>
      </c>
      <c r="I1132" s="53" t="str">
        <f>VLOOKUP(H1132,codes,2,)</f>
        <v>dd</v>
      </c>
      <c r="J1132" s="53"/>
    </row>
    <row r="1133" spans="1:10" x14ac:dyDescent="0.25">
      <c r="A1133" s="93">
        <v>41701</v>
      </c>
      <c r="B1133" s="35">
        <f>C1133+(D1133-2009)*12</f>
        <v>63</v>
      </c>
      <c r="C1133" s="76">
        <v>3</v>
      </c>
      <c r="D1133" s="76">
        <v>2014</v>
      </c>
      <c r="E1133" s="56">
        <v>1.1333333333333335</v>
      </c>
      <c r="F1133" s="53">
        <f>IF(E1133&gt;0,1,0)</f>
        <v>1</v>
      </c>
      <c r="G1133" s="53">
        <f>SUM(F1132:F1133)</f>
        <v>1</v>
      </c>
      <c r="H1133" s="53">
        <f>IF(G1133=1,IF(F1132=1,1,-1),G1133)</f>
        <v>-1</v>
      </c>
      <c r="I1133" s="53" t="str">
        <f>VLOOKUP(H1133,codes,2,)</f>
        <v>dw</v>
      </c>
      <c r="J1133" s="53"/>
    </row>
    <row r="1134" spans="1:10" x14ac:dyDescent="0.25">
      <c r="A1134" s="93">
        <v>41702</v>
      </c>
      <c r="B1134" s="35">
        <f>C1134+(D1134-2009)*12</f>
        <v>63</v>
      </c>
      <c r="C1134" s="76">
        <v>3</v>
      </c>
      <c r="D1134" s="76">
        <v>2014</v>
      </c>
      <c r="E1134" s="56">
        <v>0</v>
      </c>
      <c r="F1134" s="53">
        <f>IF(E1134&gt;0,1,0)</f>
        <v>0</v>
      </c>
      <c r="G1134" s="53">
        <f>SUM(F1133:F1134)</f>
        <v>1</v>
      </c>
      <c r="H1134" s="53">
        <f>IF(G1134=1,IF(F1133=1,1,-1),G1134)</f>
        <v>1</v>
      </c>
      <c r="I1134" s="53" t="str">
        <f>VLOOKUP(H1134,codes,2,)</f>
        <v>wd</v>
      </c>
      <c r="J1134" s="53"/>
    </row>
    <row r="1135" spans="1:10" x14ac:dyDescent="0.25">
      <c r="A1135" s="93">
        <v>41703</v>
      </c>
      <c r="B1135" s="35">
        <f>C1135+(D1135-2009)*12</f>
        <v>63</v>
      </c>
      <c r="C1135" s="76">
        <v>3</v>
      </c>
      <c r="D1135" s="76">
        <v>2014</v>
      </c>
      <c r="E1135" s="56">
        <v>0</v>
      </c>
      <c r="F1135" s="53">
        <f>IF(E1135&gt;0,1,0)</f>
        <v>0</v>
      </c>
      <c r="G1135" s="53">
        <f>SUM(F1134:F1135)</f>
        <v>0</v>
      </c>
      <c r="H1135" s="53">
        <f>IF(G1135=1,IF(F1134=1,1,-1),G1135)</f>
        <v>0</v>
      </c>
      <c r="I1135" s="53" t="str">
        <f>VLOOKUP(H1135,codes,2,)</f>
        <v>dd</v>
      </c>
      <c r="J1135" s="53"/>
    </row>
    <row r="1136" spans="1:10" x14ac:dyDescent="0.25">
      <c r="A1136" s="93">
        <v>41704</v>
      </c>
      <c r="B1136" s="35">
        <f>C1136+(D1136-2009)*12</f>
        <v>63</v>
      </c>
      <c r="C1136" s="76">
        <v>3</v>
      </c>
      <c r="D1136" s="76">
        <v>2014</v>
      </c>
      <c r="E1136" s="56">
        <v>6.6666666666666666E-2</v>
      </c>
      <c r="F1136" s="53">
        <f>IF(E1136&gt;0,1,0)</f>
        <v>1</v>
      </c>
      <c r="G1136" s="53">
        <f>SUM(F1135:F1136)</f>
        <v>1</v>
      </c>
      <c r="H1136" s="53">
        <f>IF(G1136=1,IF(F1135=1,1,-1),G1136)</f>
        <v>-1</v>
      </c>
      <c r="I1136" s="53" t="str">
        <f>VLOOKUP(H1136,codes,2,)</f>
        <v>dw</v>
      </c>
      <c r="J1136" s="53"/>
    </row>
    <row r="1137" spans="1:10" x14ac:dyDescent="0.25">
      <c r="A1137" s="93">
        <v>41705</v>
      </c>
      <c r="B1137" s="35">
        <f>C1137+(D1137-2009)*12</f>
        <v>63</v>
      </c>
      <c r="C1137" s="76">
        <v>3</v>
      </c>
      <c r="D1137" s="76">
        <v>2014</v>
      </c>
      <c r="E1137" s="56">
        <v>0.73333333333333328</v>
      </c>
      <c r="F1137" s="53">
        <f>IF(E1137&gt;0,1,0)</f>
        <v>1</v>
      </c>
      <c r="G1137" s="53">
        <f>SUM(F1136:F1137)</f>
        <v>2</v>
      </c>
      <c r="H1137" s="53">
        <f>IF(G1137=1,IF(F1136=1,1,-1),G1137)</f>
        <v>2</v>
      </c>
      <c r="I1137" s="53" t="str">
        <f>VLOOKUP(H1137,codes,2,)</f>
        <v>ww</v>
      </c>
      <c r="J1137" s="53"/>
    </row>
    <row r="1138" spans="1:10" x14ac:dyDescent="0.25">
      <c r="A1138" s="93">
        <v>41706</v>
      </c>
      <c r="B1138" s="35">
        <f>C1138+(D1138-2009)*12</f>
        <v>63</v>
      </c>
      <c r="C1138" s="76">
        <v>3</v>
      </c>
      <c r="D1138" s="76">
        <v>2014</v>
      </c>
      <c r="E1138" s="56">
        <v>0.6</v>
      </c>
      <c r="F1138" s="53">
        <f>IF(E1138&gt;0,1,0)</f>
        <v>1</v>
      </c>
      <c r="G1138" s="53">
        <f>SUM(F1137:F1138)</f>
        <v>2</v>
      </c>
      <c r="H1138" s="53">
        <f>IF(G1138=1,IF(F1137=1,1,-1),G1138)</f>
        <v>2</v>
      </c>
      <c r="I1138" s="53" t="str">
        <f>VLOOKUP(H1138,codes,2,)</f>
        <v>ww</v>
      </c>
      <c r="J1138" s="53"/>
    </row>
    <row r="1139" spans="1:10" x14ac:dyDescent="0.25">
      <c r="A1139" s="93">
        <v>41707</v>
      </c>
      <c r="B1139" s="35">
        <f>C1139+(D1139-2009)*12</f>
        <v>63</v>
      </c>
      <c r="C1139" s="76">
        <v>3</v>
      </c>
      <c r="D1139" s="76">
        <v>2014</v>
      </c>
      <c r="E1139" s="56">
        <v>0</v>
      </c>
      <c r="F1139" s="53">
        <f>IF(E1139&gt;0,1,0)</f>
        <v>0</v>
      </c>
      <c r="G1139" s="53">
        <f>SUM(F1138:F1139)</f>
        <v>1</v>
      </c>
      <c r="H1139" s="53">
        <f>IF(G1139=1,IF(F1138=1,1,-1),G1139)</f>
        <v>1</v>
      </c>
      <c r="I1139" s="53" t="str">
        <f>VLOOKUP(H1139,codes,2,)</f>
        <v>wd</v>
      </c>
      <c r="J1139" s="53"/>
    </row>
    <row r="1140" spans="1:10" x14ac:dyDescent="0.25">
      <c r="A1140" s="93">
        <v>41708</v>
      </c>
      <c r="B1140" s="35">
        <f>C1140+(D1140-2009)*12</f>
        <v>63</v>
      </c>
      <c r="C1140" s="76">
        <v>3</v>
      </c>
      <c r="D1140" s="76">
        <v>2014</v>
      </c>
      <c r="E1140" s="56">
        <v>1.2666666666666666</v>
      </c>
      <c r="F1140" s="53">
        <f>IF(E1140&gt;0,1,0)</f>
        <v>1</v>
      </c>
      <c r="G1140" s="53">
        <f>SUM(F1139:F1140)</f>
        <v>1</v>
      </c>
      <c r="H1140" s="53">
        <f>IF(G1140=1,IF(F1139=1,1,-1),G1140)</f>
        <v>-1</v>
      </c>
      <c r="I1140" s="53" t="str">
        <f>VLOOKUP(H1140,codes,2,)</f>
        <v>dw</v>
      </c>
      <c r="J1140" s="53"/>
    </row>
    <row r="1141" spans="1:10" x14ac:dyDescent="0.25">
      <c r="A1141" s="93">
        <v>41709</v>
      </c>
      <c r="B1141" s="35">
        <f>C1141+(D1141-2009)*12</f>
        <v>63</v>
      </c>
      <c r="C1141" s="76">
        <v>3</v>
      </c>
      <c r="D1141" s="76">
        <v>2014</v>
      </c>
      <c r="E1141" s="56">
        <v>0.13333333333333333</v>
      </c>
      <c r="F1141" s="53">
        <f>IF(E1141&gt;0,1,0)</f>
        <v>1</v>
      </c>
      <c r="G1141" s="53">
        <f>SUM(F1140:F1141)</f>
        <v>2</v>
      </c>
      <c r="H1141" s="53">
        <f>IF(G1141=1,IF(F1140=1,1,-1),G1141)</f>
        <v>2</v>
      </c>
      <c r="I1141" s="53" t="str">
        <f>VLOOKUP(H1141,codes,2,)</f>
        <v>ww</v>
      </c>
      <c r="J1141" s="53"/>
    </row>
    <row r="1142" spans="1:10" x14ac:dyDescent="0.25">
      <c r="A1142" s="93">
        <v>41710</v>
      </c>
      <c r="B1142" s="35">
        <f>C1142+(D1142-2009)*12</f>
        <v>63</v>
      </c>
      <c r="C1142" s="76">
        <v>3</v>
      </c>
      <c r="D1142" s="76">
        <v>2014</v>
      </c>
      <c r="E1142" s="56">
        <v>0.20000000000000004</v>
      </c>
      <c r="F1142" s="53">
        <f>IF(E1142&gt;0,1,0)</f>
        <v>1</v>
      </c>
      <c r="G1142" s="53">
        <f>SUM(F1141:F1142)</f>
        <v>2</v>
      </c>
      <c r="H1142" s="53">
        <f>IF(G1142=1,IF(F1141=1,1,-1),G1142)</f>
        <v>2</v>
      </c>
      <c r="I1142" s="53" t="str">
        <f>VLOOKUP(H1142,codes,2,)</f>
        <v>ww</v>
      </c>
      <c r="J1142" s="53"/>
    </row>
    <row r="1143" spans="1:10" x14ac:dyDescent="0.25">
      <c r="A1143" s="93">
        <v>41711</v>
      </c>
      <c r="B1143" s="35">
        <f>C1143+(D1143-2009)*12</f>
        <v>63</v>
      </c>
      <c r="C1143" s="76">
        <v>3</v>
      </c>
      <c r="D1143" s="76">
        <v>2014</v>
      </c>
      <c r="E1143" s="56">
        <v>0</v>
      </c>
      <c r="F1143" s="53">
        <f>IF(E1143&gt;0,1,0)</f>
        <v>0</v>
      </c>
      <c r="G1143" s="53">
        <f>SUM(F1142:F1143)</f>
        <v>1</v>
      </c>
      <c r="H1143" s="53">
        <f>IF(G1143=1,IF(F1142=1,1,-1),G1143)</f>
        <v>1</v>
      </c>
      <c r="I1143" s="53" t="str">
        <f>VLOOKUP(H1143,codes,2,)</f>
        <v>wd</v>
      </c>
      <c r="J1143" s="53"/>
    </row>
    <row r="1144" spans="1:10" x14ac:dyDescent="0.25">
      <c r="A1144" s="93">
        <v>41712</v>
      </c>
      <c r="B1144" s="35">
        <f>C1144+(D1144-2009)*12</f>
        <v>63</v>
      </c>
      <c r="C1144" s="76">
        <v>3</v>
      </c>
      <c r="D1144" s="76">
        <v>2014</v>
      </c>
      <c r="E1144" s="56">
        <v>0</v>
      </c>
      <c r="F1144" s="53">
        <f>IF(E1144&gt;0,1,0)</f>
        <v>0</v>
      </c>
      <c r="G1144" s="53">
        <f>SUM(F1143:F1144)</f>
        <v>0</v>
      </c>
      <c r="H1144" s="53">
        <f>IF(G1144=1,IF(F1143=1,1,-1),G1144)</f>
        <v>0</v>
      </c>
      <c r="I1144" s="53" t="str">
        <f>VLOOKUP(H1144,codes,2,)</f>
        <v>dd</v>
      </c>
      <c r="J1144" s="53"/>
    </row>
    <row r="1145" spans="1:10" x14ac:dyDescent="0.25">
      <c r="A1145" s="93">
        <v>41713</v>
      </c>
      <c r="B1145" s="35">
        <f>C1145+(D1145-2009)*12</f>
        <v>63</v>
      </c>
      <c r="C1145" s="76">
        <v>3</v>
      </c>
      <c r="D1145" s="76">
        <v>2014</v>
      </c>
      <c r="E1145" s="56">
        <v>0</v>
      </c>
      <c r="F1145" s="53">
        <f>IF(E1145&gt;0,1,0)</f>
        <v>0</v>
      </c>
      <c r="G1145" s="53">
        <f>SUM(F1144:F1145)</f>
        <v>0</v>
      </c>
      <c r="H1145" s="53">
        <f>IF(G1145=1,IF(F1144=1,1,-1),G1145)</f>
        <v>0</v>
      </c>
      <c r="I1145" s="53" t="str">
        <f>VLOOKUP(H1145,codes,2,)</f>
        <v>dd</v>
      </c>
      <c r="J1145" s="53"/>
    </row>
    <row r="1146" spans="1:10" x14ac:dyDescent="0.25">
      <c r="A1146" s="93">
        <v>41714</v>
      </c>
      <c r="B1146" s="35">
        <f>C1146+(D1146-2009)*12</f>
        <v>63</v>
      </c>
      <c r="C1146" s="76">
        <v>3</v>
      </c>
      <c r="D1146" s="76">
        <v>2014</v>
      </c>
      <c r="E1146" s="56">
        <v>0</v>
      </c>
      <c r="F1146" s="53">
        <f>IF(E1146&gt;0,1,0)</f>
        <v>0</v>
      </c>
      <c r="G1146" s="53">
        <f>SUM(F1145:F1146)</f>
        <v>0</v>
      </c>
      <c r="H1146" s="53">
        <f>IF(G1146=1,IF(F1145=1,1,-1),G1146)</f>
        <v>0</v>
      </c>
      <c r="I1146" s="53" t="str">
        <f>VLOOKUP(H1146,codes,2,)</f>
        <v>dd</v>
      </c>
      <c r="J1146" s="53"/>
    </row>
    <row r="1147" spans="1:10" x14ac:dyDescent="0.25">
      <c r="A1147" s="93">
        <v>41715</v>
      </c>
      <c r="B1147" s="35">
        <f>C1147+(D1147-2009)*12</f>
        <v>63</v>
      </c>
      <c r="C1147" s="76">
        <v>3</v>
      </c>
      <c r="D1147" s="76">
        <v>2014</v>
      </c>
      <c r="E1147" s="56">
        <v>0</v>
      </c>
      <c r="F1147" s="53">
        <f>IF(E1147&gt;0,1,0)</f>
        <v>0</v>
      </c>
      <c r="G1147" s="53">
        <f>SUM(F1146:F1147)</f>
        <v>0</v>
      </c>
      <c r="H1147" s="53">
        <f>IF(G1147=1,IF(F1146=1,1,-1),G1147)</f>
        <v>0</v>
      </c>
      <c r="I1147" s="53" t="str">
        <f>VLOOKUP(H1147,codes,2,)</f>
        <v>dd</v>
      </c>
      <c r="J1147" s="53"/>
    </row>
    <row r="1148" spans="1:10" x14ac:dyDescent="0.25">
      <c r="A1148" s="93">
        <v>41716</v>
      </c>
      <c r="B1148" s="35">
        <f>C1148+(D1148-2009)*12</f>
        <v>63</v>
      </c>
      <c r="C1148" s="76">
        <v>3</v>
      </c>
      <c r="D1148" s="76">
        <v>2014</v>
      </c>
      <c r="E1148" s="56">
        <v>0.26666666666666666</v>
      </c>
      <c r="F1148" s="53">
        <f>IF(E1148&gt;0,1,0)</f>
        <v>1</v>
      </c>
      <c r="G1148" s="53">
        <f>SUM(F1147:F1148)</f>
        <v>1</v>
      </c>
      <c r="H1148" s="53">
        <f>IF(G1148=1,IF(F1147=1,1,-1),G1148)</f>
        <v>-1</v>
      </c>
      <c r="I1148" s="53" t="str">
        <f>VLOOKUP(H1148,codes,2,)</f>
        <v>dw</v>
      </c>
      <c r="J1148" s="53"/>
    </row>
    <row r="1149" spans="1:10" x14ac:dyDescent="0.25">
      <c r="A1149" s="93">
        <v>41717</v>
      </c>
      <c r="B1149" s="35">
        <f>C1149+(D1149-2009)*12</f>
        <v>63</v>
      </c>
      <c r="C1149" s="76">
        <v>3</v>
      </c>
      <c r="D1149" s="76">
        <v>2014</v>
      </c>
      <c r="E1149" s="56">
        <v>0.13333333333333333</v>
      </c>
      <c r="F1149" s="53">
        <f>IF(E1149&gt;0,1,0)</f>
        <v>1</v>
      </c>
      <c r="G1149" s="53">
        <f>SUM(F1148:F1149)</f>
        <v>2</v>
      </c>
      <c r="H1149" s="53">
        <f>IF(G1149=1,IF(F1148=1,1,-1),G1149)</f>
        <v>2</v>
      </c>
      <c r="I1149" s="53" t="str">
        <f>VLOOKUP(H1149,codes,2,)</f>
        <v>ww</v>
      </c>
      <c r="J1149" s="53"/>
    </row>
    <row r="1150" spans="1:10" x14ac:dyDescent="0.25">
      <c r="A1150" s="93">
        <v>41718</v>
      </c>
      <c r="B1150" s="35">
        <f>C1150+(D1150-2009)*12</f>
        <v>63</v>
      </c>
      <c r="C1150" s="76">
        <v>3</v>
      </c>
      <c r="D1150" s="76">
        <v>2014</v>
      </c>
      <c r="E1150" s="56">
        <v>0</v>
      </c>
      <c r="F1150" s="53">
        <f>IF(E1150&gt;0,1,0)</f>
        <v>0</v>
      </c>
      <c r="G1150" s="53">
        <f>SUM(F1149:F1150)</f>
        <v>1</v>
      </c>
      <c r="H1150" s="53">
        <f>IF(G1150=1,IF(F1149=1,1,-1),G1150)</f>
        <v>1</v>
      </c>
      <c r="I1150" s="53" t="str">
        <f>VLOOKUP(H1150,codes,2,)</f>
        <v>wd</v>
      </c>
      <c r="J1150" s="53"/>
    </row>
    <row r="1151" spans="1:10" x14ac:dyDescent="0.25">
      <c r="A1151" s="93">
        <v>41719</v>
      </c>
      <c r="B1151" s="35">
        <f>C1151+(D1151-2009)*12</f>
        <v>63</v>
      </c>
      <c r="C1151" s="76">
        <v>3</v>
      </c>
      <c r="D1151" s="76">
        <v>2014</v>
      </c>
      <c r="E1151" s="56">
        <v>0.6</v>
      </c>
      <c r="F1151" s="53">
        <f>IF(E1151&gt;0,1,0)</f>
        <v>1</v>
      </c>
      <c r="G1151" s="53">
        <f>SUM(F1150:F1151)</f>
        <v>1</v>
      </c>
      <c r="H1151" s="53">
        <f>IF(G1151=1,IF(F1150=1,1,-1),G1151)</f>
        <v>-1</v>
      </c>
      <c r="I1151" s="53" t="str">
        <f>VLOOKUP(H1151,codes,2,)</f>
        <v>dw</v>
      </c>
      <c r="J1151" s="53"/>
    </row>
    <row r="1152" spans="1:10" x14ac:dyDescent="0.25">
      <c r="A1152" s="93">
        <v>41720</v>
      </c>
      <c r="B1152" s="35">
        <f>C1152+(D1152-2009)*12</f>
        <v>63</v>
      </c>
      <c r="C1152" s="76">
        <v>3</v>
      </c>
      <c r="D1152" s="76">
        <v>2014</v>
      </c>
      <c r="E1152" s="56">
        <v>0.20000000000000004</v>
      </c>
      <c r="F1152" s="53">
        <f>IF(E1152&gt;0,1,0)</f>
        <v>1</v>
      </c>
      <c r="G1152" s="53">
        <f>SUM(F1151:F1152)</f>
        <v>2</v>
      </c>
      <c r="H1152" s="53">
        <f>IF(G1152=1,IF(F1151=1,1,-1),G1152)</f>
        <v>2</v>
      </c>
      <c r="I1152" s="53" t="str">
        <f>VLOOKUP(H1152,codes,2,)</f>
        <v>ww</v>
      </c>
      <c r="J1152" s="53"/>
    </row>
    <row r="1153" spans="1:10" x14ac:dyDescent="0.25">
      <c r="A1153" s="93">
        <v>41721</v>
      </c>
      <c r="B1153" s="35">
        <f>C1153+(D1153-2009)*12</f>
        <v>63</v>
      </c>
      <c r="C1153" s="76">
        <v>3</v>
      </c>
      <c r="D1153" s="76">
        <v>2014</v>
      </c>
      <c r="E1153" s="56">
        <v>6.6666666666666666E-2</v>
      </c>
      <c r="F1153" s="53">
        <f>IF(E1153&gt;0,1,0)</f>
        <v>1</v>
      </c>
      <c r="G1153" s="53">
        <f>SUM(F1152:F1153)</f>
        <v>2</v>
      </c>
      <c r="H1153" s="53">
        <f>IF(G1153=1,IF(F1152=1,1,-1),G1153)</f>
        <v>2</v>
      </c>
      <c r="I1153" s="53" t="str">
        <f>VLOOKUP(H1153,codes,2,)</f>
        <v>ww</v>
      </c>
      <c r="J1153" s="53"/>
    </row>
    <row r="1154" spans="1:10" x14ac:dyDescent="0.25">
      <c r="A1154" s="93">
        <v>41722</v>
      </c>
      <c r="B1154" s="35">
        <f>C1154+(D1154-2009)*12</f>
        <v>63</v>
      </c>
      <c r="C1154" s="76">
        <v>3</v>
      </c>
      <c r="D1154" s="76">
        <v>2014</v>
      </c>
      <c r="E1154" s="56">
        <v>0</v>
      </c>
      <c r="F1154" s="53">
        <f>IF(E1154&gt;0,1,0)</f>
        <v>0</v>
      </c>
      <c r="G1154" s="53">
        <f>SUM(F1153:F1154)</f>
        <v>1</v>
      </c>
      <c r="H1154" s="53">
        <f>IF(G1154=1,IF(F1153=1,1,-1),G1154)</f>
        <v>1</v>
      </c>
      <c r="I1154" s="53" t="str">
        <f>VLOOKUP(H1154,codes,2,)</f>
        <v>wd</v>
      </c>
      <c r="J1154" s="53"/>
    </row>
    <row r="1155" spans="1:10" x14ac:dyDescent="0.25">
      <c r="A1155" s="93">
        <v>41723</v>
      </c>
      <c r="B1155" s="35">
        <f>C1155+(D1155-2009)*12</f>
        <v>63</v>
      </c>
      <c r="C1155" s="76">
        <v>3</v>
      </c>
      <c r="D1155" s="76">
        <v>2014</v>
      </c>
      <c r="E1155" s="56">
        <v>0</v>
      </c>
      <c r="F1155" s="53">
        <f>IF(E1155&gt;0,1,0)</f>
        <v>0</v>
      </c>
      <c r="G1155" s="53">
        <f>SUM(F1154:F1155)</f>
        <v>0</v>
      </c>
      <c r="H1155" s="53">
        <f>IF(G1155=1,IF(F1154=1,1,-1),G1155)</f>
        <v>0</v>
      </c>
      <c r="I1155" s="53" t="str">
        <f>VLOOKUP(H1155,codes,2,)</f>
        <v>dd</v>
      </c>
      <c r="J1155" s="53"/>
    </row>
    <row r="1156" spans="1:10" x14ac:dyDescent="0.25">
      <c r="A1156" s="93">
        <v>41724</v>
      </c>
      <c r="B1156" s="35">
        <f>C1156+(D1156-2009)*12</f>
        <v>63</v>
      </c>
      <c r="C1156" s="76">
        <v>3</v>
      </c>
      <c r="D1156" s="76">
        <v>2014</v>
      </c>
      <c r="E1156" s="56">
        <v>1.1333333333333335</v>
      </c>
      <c r="F1156" s="53">
        <f>IF(E1156&gt;0,1,0)</f>
        <v>1</v>
      </c>
      <c r="G1156" s="53">
        <f>SUM(F1155:F1156)</f>
        <v>1</v>
      </c>
      <c r="H1156" s="53">
        <f>IF(G1156=1,IF(F1155=1,1,-1),G1156)</f>
        <v>-1</v>
      </c>
      <c r="I1156" s="53" t="str">
        <f>VLOOKUP(H1156,codes,2,)</f>
        <v>dw</v>
      </c>
      <c r="J1156" s="53"/>
    </row>
    <row r="1157" spans="1:10" x14ac:dyDescent="0.25">
      <c r="A1157" s="93">
        <v>41725</v>
      </c>
      <c r="B1157" s="35">
        <f>C1157+(D1157-2009)*12</f>
        <v>63</v>
      </c>
      <c r="C1157" s="76">
        <v>3</v>
      </c>
      <c r="D1157" s="76">
        <v>2014</v>
      </c>
      <c r="E1157" s="56">
        <v>3.6</v>
      </c>
      <c r="F1157" s="53">
        <f>IF(E1157&gt;0,1,0)</f>
        <v>1</v>
      </c>
      <c r="G1157" s="53">
        <f>SUM(F1156:F1157)</f>
        <v>2</v>
      </c>
      <c r="H1157" s="53">
        <f>IF(G1157=1,IF(F1156=1,1,-1),G1157)</f>
        <v>2</v>
      </c>
      <c r="I1157" s="53" t="str">
        <f>VLOOKUP(H1157,codes,2,)</f>
        <v>ww</v>
      </c>
      <c r="J1157" s="53"/>
    </row>
    <row r="1158" spans="1:10" x14ac:dyDescent="0.25">
      <c r="A1158" s="93">
        <v>41726</v>
      </c>
      <c r="B1158" s="35">
        <f>C1158+(D1158-2009)*12</f>
        <v>63</v>
      </c>
      <c r="C1158" s="76">
        <v>3</v>
      </c>
      <c r="D1158" s="76">
        <v>2014</v>
      </c>
      <c r="E1158" s="56">
        <v>5</v>
      </c>
      <c r="F1158" s="53">
        <f>IF(E1158&gt;0,1,0)</f>
        <v>1</v>
      </c>
      <c r="G1158" s="53">
        <f>SUM(F1157:F1158)</f>
        <v>2</v>
      </c>
      <c r="H1158" s="53">
        <f>IF(G1158=1,IF(F1157=1,1,-1),G1158)</f>
        <v>2</v>
      </c>
      <c r="I1158" s="53" t="str">
        <f>VLOOKUP(H1158,codes,2,)</f>
        <v>ww</v>
      </c>
      <c r="J1158" s="53"/>
    </row>
    <row r="1159" spans="1:10" x14ac:dyDescent="0.25">
      <c r="A1159" s="93">
        <v>41727</v>
      </c>
      <c r="B1159" s="35">
        <f>C1159+(D1159-2009)*12</f>
        <v>63</v>
      </c>
      <c r="C1159" s="76">
        <v>3</v>
      </c>
      <c r="D1159" s="76">
        <v>2014</v>
      </c>
      <c r="E1159" s="56">
        <v>5.8</v>
      </c>
      <c r="F1159" s="53">
        <f>IF(E1159&gt;0,1,0)</f>
        <v>1</v>
      </c>
      <c r="G1159" s="53">
        <f>SUM(F1158:F1159)</f>
        <v>2</v>
      </c>
      <c r="H1159" s="53">
        <f>IF(G1159=1,IF(F1158=1,1,-1),G1159)</f>
        <v>2</v>
      </c>
      <c r="I1159" s="53" t="str">
        <f>VLOOKUP(H1159,codes,2,)</f>
        <v>ww</v>
      </c>
      <c r="J1159" s="53"/>
    </row>
    <row r="1160" spans="1:10" x14ac:dyDescent="0.25">
      <c r="A1160" s="93">
        <v>41728</v>
      </c>
      <c r="B1160" s="35">
        <f>C1160+(D1160-2009)*12</f>
        <v>63</v>
      </c>
      <c r="C1160" s="76">
        <v>3</v>
      </c>
      <c r="D1160" s="76">
        <v>2014</v>
      </c>
      <c r="E1160" s="56">
        <v>0.20000000000000004</v>
      </c>
      <c r="F1160" s="53">
        <f>IF(E1160&gt;0,1,0)</f>
        <v>1</v>
      </c>
      <c r="G1160" s="53">
        <f>SUM(F1159:F1160)</f>
        <v>2</v>
      </c>
      <c r="H1160" s="53">
        <f>IF(G1160=1,IF(F1159=1,1,-1),G1160)</f>
        <v>2</v>
      </c>
      <c r="I1160" s="53" t="str">
        <f>VLOOKUP(H1160,codes,2,)</f>
        <v>ww</v>
      </c>
      <c r="J1160" s="53"/>
    </row>
    <row r="1161" spans="1:10" x14ac:dyDescent="0.25">
      <c r="A1161" s="93">
        <v>41729</v>
      </c>
      <c r="B1161" s="35">
        <f>C1161+(D1161-2009)*12</f>
        <v>63</v>
      </c>
      <c r="C1161" s="76">
        <v>3</v>
      </c>
      <c r="D1161" s="76">
        <v>2014</v>
      </c>
      <c r="E1161" s="56">
        <v>0</v>
      </c>
      <c r="F1161" s="53">
        <f>IF(E1161&gt;0,1,0)</f>
        <v>0</v>
      </c>
      <c r="G1161" s="53">
        <f>SUM(F1160:F1161)</f>
        <v>1</v>
      </c>
      <c r="H1161" s="53">
        <f>IF(G1161=1,IF(F1160=1,1,-1),G1161)</f>
        <v>1</v>
      </c>
      <c r="I1161" s="53" t="str">
        <f>VLOOKUP(H1161,codes,2,)</f>
        <v>wd</v>
      </c>
      <c r="J1161" s="53"/>
    </row>
    <row r="1162" spans="1:10" x14ac:dyDescent="0.25">
      <c r="A1162" s="93">
        <v>41730</v>
      </c>
      <c r="B1162" s="35">
        <f>C1162+(D1162-2009)*12</f>
        <v>63</v>
      </c>
      <c r="C1162" s="76">
        <v>3</v>
      </c>
      <c r="D1162" s="76">
        <v>2014</v>
      </c>
      <c r="E1162" s="56">
        <v>9</v>
      </c>
      <c r="F1162" s="53">
        <f>IF(E1162&gt;0,1,0)</f>
        <v>1</v>
      </c>
      <c r="G1162" s="53">
        <f>SUM(F1161:F1162)</f>
        <v>1</v>
      </c>
      <c r="H1162" s="53">
        <f>IF(G1162=1,IF(F1161=1,1,-1),G1162)</f>
        <v>-1</v>
      </c>
      <c r="I1162" s="53" t="str">
        <f>VLOOKUP(H1162,codes,2,)</f>
        <v>dw</v>
      </c>
      <c r="J1162" s="53"/>
    </row>
    <row r="1163" spans="1:10" x14ac:dyDescent="0.25">
      <c r="A1163" s="93">
        <v>41731</v>
      </c>
      <c r="B1163" s="35">
        <f>C1163+(D1163-2009)*12</f>
        <v>63</v>
      </c>
      <c r="C1163" s="76">
        <v>3</v>
      </c>
      <c r="D1163" s="76">
        <v>2014</v>
      </c>
      <c r="E1163" s="56">
        <v>0.66666666666666663</v>
      </c>
      <c r="F1163" s="53">
        <f>IF(E1163&gt;0,1,0)</f>
        <v>1</v>
      </c>
      <c r="G1163" s="53">
        <f>SUM(F1162:F1163)</f>
        <v>2</v>
      </c>
      <c r="H1163" s="53">
        <f>IF(G1163=1,IF(F1162=1,1,-1),G1163)</f>
        <v>2</v>
      </c>
      <c r="I1163" s="53" t="str">
        <f>VLOOKUP(H1163,codes,2,)</f>
        <v>ww</v>
      </c>
      <c r="J1163" s="53"/>
    </row>
    <row r="1164" spans="1:10" x14ac:dyDescent="0.25">
      <c r="A1164" s="93">
        <v>42066</v>
      </c>
      <c r="B1164" s="35">
        <f>C1164+(D1164-2009)*12</f>
        <v>75</v>
      </c>
      <c r="C1164" s="76">
        <v>3</v>
      </c>
      <c r="D1164" s="76">
        <v>2015</v>
      </c>
      <c r="E1164" s="56">
        <v>0</v>
      </c>
      <c r="F1164" s="53">
        <f>IF(E1164&gt;0,1,0)</f>
        <v>0</v>
      </c>
      <c r="G1164" s="53">
        <f>SUM(F1163:F1164)</f>
        <v>1</v>
      </c>
      <c r="H1164" s="53">
        <f>IF(G1164=1,IF(F1163=1,1,-1),G1164)</f>
        <v>1</v>
      </c>
      <c r="I1164" s="53" t="str">
        <f>VLOOKUP(H1164,codes,2,)</f>
        <v>wd</v>
      </c>
      <c r="J1164" s="53"/>
    </row>
    <row r="1165" spans="1:10" x14ac:dyDescent="0.25">
      <c r="A1165" s="93">
        <v>42067</v>
      </c>
      <c r="B1165" s="35">
        <f>C1165+(D1165-2009)*12</f>
        <v>75</v>
      </c>
      <c r="C1165" s="76">
        <v>3</v>
      </c>
      <c r="D1165" s="76">
        <v>2015</v>
      </c>
      <c r="E1165" s="56">
        <v>0.26666666666666666</v>
      </c>
      <c r="F1165" s="53">
        <f>IF(E1165&gt;0,1,0)</f>
        <v>1</v>
      </c>
      <c r="G1165" s="53">
        <f>SUM(F1164:F1165)</f>
        <v>1</v>
      </c>
      <c r="H1165" s="53">
        <f>IF(G1165=1,IF(F1164=1,1,-1),G1165)</f>
        <v>-1</v>
      </c>
      <c r="I1165" s="53" t="str">
        <f>VLOOKUP(H1165,codes,2,)</f>
        <v>dw</v>
      </c>
      <c r="J1165" s="53"/>
    </row>
    <row r="1166" spans="1:10" x14ac:dyDescent="0.25">
      <c r="A1166" s="93">
        <v>42068</v>
      </c>
      <c r="B1166" s="35">
        <f>C1166+(D1166-2009)*12</f>
        <v>75</v>
      </c>
      <c r="C1166" s="76">
        <v>3</v>
      </c>
      <c r="D1166" s="76">
        <v>2015</v>
      </c>
      <c r="E1166" s="56">
        <v>0</v>
      </c>
      <c r="F1166" s="53">
        <f>IF(E1166&gt;0,1,0)</f>
        <v>0</v>
      </c>
      <c r="G1166" s="53">
        <f>SUM(F1165:F1166)</f>
        <v>1</v>
      </c>
      <c r="H1166" s="53">
        <f>IF(G1166=1,IF(F1165=1,1,-1),G1166)</f>
        <v>1</v>
      </c>
      <c r="I1166" s="53" t="str">
        <f>VLOOKUP(H1166,codes,2,)</f>
        <v>wd</v>
      </c>
      <c r="J1166" s="53"/>
    </row>
    <row r="1167" spans="1:10" x14ac:dyDescent="0.25">
      <c r="A1167" s="93">
        <v>42069</v>
      </c>
      <c r="B1167" s="35">
        <f>C1167+(D1167-2009)*12</f>
        <v>75</v>
      </c>
      <c r="C1167" s="76">
        <v>3</v>
      </c>
      <c r="D1167" s="76">
        <v>2015</v>
      </c>
      <c r="E1167" s="56">
        <v>0</v>
      </c>
      <c r="F1167" s="53">
        <f>IF(E1167&gt;0,1,0)</f>
        <v>0</v>
      </c>
      <c r="G1167" s="53">
        <f>SUM(F1166:F1167)</f>
        <v>0</v>
      </c>
      <c r="H1167" s="53">
        <f>IF(G1167=1,IF(F1166=1,1,-1),G1167)</f>
        <v>0</v>
      </c>
      <c r="I1167" s="53" t="str">
        <f>VLOOKUP(H1167,codes,2,)</f>
        <v>dd</v>
      </c>
      <c r="J1167" s="53"/>
    </row>
    <row r="1168" spans="1:10" x14ac:dyDescent="0.25">
      <c r="A1168" s="93">
        <v>42070</v>
      </c>
      <c r="B1168" s="35">
        <f>C1168+(D1168-2009)*12</f>
        <v>75</v>
      </c>
      <c r="C1168" s="76">
        <v>3</v>
      </c>
      <c r="D1168" s="76">
        <v>2015</v>
      </c>
      <c r="E1168" s="56">
        <v>0</v>
      </c>
      <c r="F1168" s="53">
        <f>IF(E1168&gt;0,1,0)</f>
        <v>0</v>
      </c>
      <c r="G1168" s="53">
        <f>SUM(F1167:F1168)</f>
        <v>0</v>
      </c>
      <c r="H1168" s="53">
        <f>IF(G1168=1,IF(F1167=1,1,-1),G1168)</f>
        <v>0</v>
      </c>
      <c r="I1168" s="53" t="str">
        <f>VLOOKUP(H1168,codes,2,)</f>
        <v>dd</v>
      </c>
      <c r="J1168" s="53"/>
    </row>
    <row r="1169" spans="1:10" x14ac:dyDescent="0.25">
      <c r="A1169" s="93">
        <v>42071</v>
      </c>
      <c r="B1169" s="35">
        <f>C1169+(D1169-2009)*12</f>
        <v>75</v>
      </c>
      <c r="C1169" s="76">
        <v>3</v>
      </c>
      <c r="D1169" s="76">
        <v>2015</v>
      </c>
      <c r="E1169" s="56">
        <v>0</v>
      </c>
      <c r="F1169" s="53">
        <f>IF(E1169&gt;0,1,0)</f>
        <v>0</v>
      </c>
      <c r="G1169" s="53">
        <f>SUM(F1168:F1169)</f>
        <v>0</v>
      </c>
      <c r="H1169" s="53">
        <f>IF(G1169=1,IF(F1168=1,1,-1),G1169)</f>
        <v>0</v>
      </c>
      <c r="I1169" s="53" t="str">
        <f>VLOOKUP(H1169,codes,2,)</f>
        <v>dd</v>
      </c>
      <c r="J1169" s="53"/>
    </row>
    <row r="1170" spans="1:10" x14ac:dyDescent="0.25">
      <c r="A1170" s="93">
        <v>42072</v>
      </c>
      <c r="B1170" s="35">
        <f>C1170+(D1170-2009)*12</f>
        <v>75</v>
      </c>
      <c r="C1170" s="76">
        <v>3</v>
      </c>
      <c r="D1170" s="76">
        <v>2015</v>
      </c>
      <c r="E1170" s="56">
        <v>0</v>
      </c>
      <c r="F1170" s="53">
        <f>IF(E1170&gt;0,1,0)</f>
        <v>0</v>
      </c>
      <c r="G1170" s="53">
        <f>SUM(F1169:F1170)</f>
        <v>0</v>
      </c>
      <c r="H1170" s="53">
        <f>IF(G1170=1,IF(F1169=1,1,-1),G1170)</f>
        <v>0</v>
      </c>
      <c r="I1170" s="53" t="str">
        <f>VLOOKUP(H1170,codes,2,)</f>
        <v>dd</v>
      </c>
      <c r="J1170" s="53"/>
    </row>
    <row r="1171" spans="1:10" x14ac:dyDescent="0.25">
      <c r="A1171" s="93">
        <v>42073</v>
      </c>
      <c r="B1171" s="35">
        <f>C1171+(D1171-2009)*12</f>
        <v>75</v>
      </c>
      <c r="C1171" s="76">
        <v>3</v>
      </c>
      <c r="D1171" s="76">
        <v>2015</v>
      </c>
      <c r="E1171" s="56">
        <v>0</v>
      </c>
      <c r="F1171" s="53">
        <f>IF(E1171&gt;0,1,0)</f>
        <v>0</v>
      </c>
      <c r="G1171" s="53">
        <f>SUM(F1170:F1171)</f>
        <v>0</v>
      </c>
      <c r="H1171" s="53">
        <f>IF(G1171=1,IF(F1170=1,1,-1),G1171)</f>
        <v>0</v>
      </c>
      <c r="I1171" s="53" t="str">
        <f>VLOOKUP(H1171,codes,2,)</f>
        <v>dd</v>
      </c>
      <c r="J1171" s="53"/>
    </row>
    <row r="1172" spans="1:10" x14ac:dyDescent="0.25">
      <c r="A1172" s="93">
        <v>42074</v>
      </c>
      <c r="B1172" s="35">
        <f>C1172+(D1172-2009)*12</f>
        <v>75</v>
      </c>
      <c r="C1172" s="76">
        <v>3</v>
      </c>
      <c r="D1172" s="76">
        <v>2015</v>
      </c>
      <c r="E1172" s="56">
        <v>0</v>
      </c>
      <c r="F1172" s="53">
        <f>IF(E1172&gt;0,1,0)</f>
        <v>0</v>
      </c>
      <c r="G1172" s="53">
        <f>SUM(F1171:F1172)</f>
        <v>0</v>
      </c>
      <c r="H1172" s="53">
        <f>IF(G1172=1,IF(F1171=1,1,-1),G1172)</f>
        <v>0</v>
      </c>
      <c r="I1172" s="53" t="str">
        <f>VLOOKUP(H1172,codes,2,)</f>
        <v>dd</v>
      </c>
      <c r="J1172" s="53"/>
    </row>
    <row r="1173" spans="1:10" x14ac:dyDescent="0.25">
      <c r="A1173" s="93">
        <v>42075</v>
      </c>
      <c r="B1173" s="35">
        <f>C1173+(D1173-2009)*12</f>
        <v>75</v>
      </c>
      <c r="C1173" s="76">
        <v>3</v>
      </c>
      <c r="D1173" s="76">
        <v>2015</v>
      </c>
      <c r="E1173" s="56">
        <v>0.33333333333333331</v>
      </c>
      <c r="F1173" s="53">
        <f>IF(E1173&gt;0,1,0)</f>
        <v>1</v>
      </c>
      <c r="G1173" s="53">
        <f>SUM(F1172:F1173)</f>
        <v>1</v>
      </c>
      <c r="H1173" s="53">
        <f>IF(G1173=1,IF(F1172=1,1,-1),G1173)</f>
        <v>-1</v>
      </c>
      <c r="I1173" s="53" t="str">
        <f>VLOOKUP(H1173,codes,2,)</f>
        <v>dw</v>
      </c>
      <c r="J1173" s="53"/>
    </row>
    <row r="1174" spans="1:10" x14ac:dyDescent="0.25">
      <c r="A1174" s="93">
        <v>42076</v>
      </c>
      <c r="B1174" s="35">
        <f>C1174+(D1174-2009)*12</f>
        <v>75</v>
      </c>
      <c r="C1174" s="76">
        <v>3</v>
      </c>
      <c r="D1174" s="76">
        <v>2015</v>
      </c>
      <c r="E1174" s="56">
        <v>14.466666666666667</v>
      </c>
      <c r="F1174" s="53">
        <f>IF(E1174&gt;0,1,0)</f>
        <v>1</v>
      </c>
      <c r="G1174" s="53">
        <f>SUM(F1173:F1174)</f>
        <v>2</v>
      </c>
      <c r="H1174" s="53">
        <f>IF(G1174=1,IF(F1173=1,1,-1),G1174)</f>
        <v>2</v>
      </c>
      <c r="I1174" s="53" t="str">
        <f>VLOOKUP(H1174,codes,2,)</f>
        <v>ww</v>
      </c>
      <c r="J1174" s="53"/>
    </row>
    <row r="1175" spans="1:10" x14ac:dyDescent="0.25">
      <c r="A1175" s="93">
        <v>42077</v>
      </c>
      <c r="B1175" s="35">
        <f>C1175+(D1175-2009)*12</f>
        <v>75</v>
      </c>
      <c r="C1175" s="76">
        <v>3</v>
      </c>
      <c r="D1175" s="76">
        <v>2015</v>
      </c>
      <c r="E1175" s="56">
        <v>0.26666666666666666</v>
      </c>
      <c r="F1175" s="53">
        <f>IF(E1175&gt;0,1,0)</f>
        <v>1</v>
      </c>
      <c r="G1175" s="53">
        <f>SUM(F1174:F1175)</f>
        <v>2</v>
      </c>
      <c r="H1175" s="53">
        <f>IF(G1175=1,IF(F1174=1,1,-1),G1175)</f>
        <v>2</v>
      </c>
      <c r="I1175" s="53" t="str">
        <f>VLOOKUP(H1175,codes,2,)</f>
        <v>ww</v>
      </c>
      <c r="J1175" s="53"/>
    </row>
    <row r="1176" spans="1:10" x14ac:dyDescent="0.25">
      <c r="A1176" s="93">
        <v>42078</v>
      </c>
      <c r="B1176" s="35">
        <f>C1176+(D1176-2009)*12</f>
        <v>75</v>
      </c>
      <c r="C1176" s="76">
        <v>3</v>
      </c>
      <c r="D1176" s="76">
        <v>2015</v>
      </c>
      <c r="E1176" s="56">
        <v>0</v>
      </c>
      <c r="F1176" s="53">
        <f>IF(E1176&gt;0,1,0)</f>
        <v>0</v>
      </c>
      <c r="G1176" s="53">
        <f>SUM(F1175:F1176)</f>
        <v>1</v>
      </c>
      <c r="H1176" s="53">
        <f>IF(G1176=1,IF(F1175=1,1,-1),G1176)</f>
        <v>1</v>
      </c>
      <c r="I1176" s="53" t="str">
        <f>VLOOKUP(H1176,codes,2,)</f>
        <v>wd</v>
      </c>
      <c r="J1176" s="53"/>
    </row>
    <row r="1177" spans="1:10" x14ac:dyDescent="0.25">
      <c r="A1177" s="93">
        <v>42079</v>
      </c>
      <c r="B1177" s="35">
        <f>C1177+(D1177-2009)*12</f>
        <v>75</v>
      </c>
      <c r="C1177" s="76">
        <v>3</v>
      </c>
      <c r="D1177" s="76">
        <v>2015</v>
      </c>
      <c r="E1177" s="56">
        <v>0.13333333333333333</v>
      </c>
      <c r="F1177" s="53">
        <f>IF(E1177&gt;0,1,0)</f>
        <v>1</v>
      </c>
      <c r="G1177" s="53">
        <f>SUM(F1176:F1177)</f>
        <v>1</v>
      </c>
      <c r="H1177" s="53">
        <f>IF(G1177=1,IF(F1176=1,1,-1),G1177)</f>
        <v>-1</v>
      </c>
      <c r="I1177" s="53" t="str">
        <f>VLOOKUP(H1177,codes,2,)</f>
        <v>dw</v>
      </c>
      <c r="J1177" s="53"/>
    </row>
    <row r="1178" spans="1:10" x14ac:dyDescent="0.25">
      <c r="A1178" s="93">
        <v>42080</v>
      </c>
      <c r="B1178" s="35">
        <f>C1178+(D1178-2009)*12</f>
        <v>75</v>
      </c>
      <c r="C1178" s="76">
        <v>3</v>
      </c>
      <c r="D1178" s="76">
        <v>2015</v>
      </c>
      <c r="E1178" s="56">
        <v>0.26666666666666666</v>
      </c>
      <c r="F1178" s="53">
        <f>IF(E1178&gt;0,1,0)</f>
        <v>1</v>
      </c>
      <c r="G1178" s="53">
        <f>SUM(F1177:F1178)</f>
        <v>2</v>
      </c>
      <c r="H1178" s="53">
        <f>IF(G1178=1,IF(F1177=1,1,-1),G1178)</f>
        <v>2</v>
      </c>
      <c r="I1178" s="53" t="str">
        <f>VLOOKUP(H1178,codes,2,)</f>
        <v>ww</v>
      </c>
      <c r="J1178" s="53"/>
    </row>
    <row r="1179" spans="1:10" x14ac:dyDescent="0.25">
      <c r="A1179" s="93">
        <v>42081</v>
      </c>
      <c r="B1179" s="35">
        <f>C1179+(D1179-2009)*12</f>
        <v>75</v>
      </c>
      <c r="C1179" s="76">
        <v>3</v>
      </c>
      <c r="D1179" s="76">
        <v>2015</v>
      </c>
      <c r="E1179" s="56">
        <v>0</v>
      </c>
      <c r="F1179" s="53">
        <f>IF(E1179&gt;0,1,0)</f>
        <v>0</v>
      </c>
      <c r="G1179" s="53">
        <f>SUM(F1178:F1179)</f>
        <v>1</v>
      </c>
      <c r="H1179" s="53">
        <f>IF(G1179=1,IF(F1178=1,1,-1),G1179)</f>
        <v>1</v>
      </c>
      <c r="I1179" s="53" t="str">
        <f>VLOOKUP(H1179,codes,2,)</f>
        <v>wd</v>
      </c>
      <c r="J1179" s="53"/>
    </row>
    <row r="1180" spans="1:10" x14ac:dyDescent="0.25">
      <c r="A1180" s="93">
        <v>42082</v>
      </c>
      <c r="B1180" s="35">
        <f>C1180+(D1180-2009)*12</f>
        <v>75</v>
      </c>
      <c r="C1180" s="76">
        <v>3</v>
      </c>
      <c r="D1180" s="76">
        <v>2015</v>
      </c>
      <c r="E1180" s="56">
        <v>0</v>
      </c>
      <c r="F1180" s="53">
        <f>IF(E1180&gt;0,1,0)</f>
        <v>0</v>
      </c>
      <c r="G1180" s="53">
        <f>SUM(F1179:F1180)</f>
        <v>0</v>
      </c>
      <c r="H1180" s="53">
        <f>IF(G1180=1,IF(F1179=1,1,-1),G1180)</f>
        <v>0</v>
      </c>
      <c r="I1180" s="53" t="str">
        <f>VLOOKUP(H1180,codes,2,)</f>
        <v>dd</v>
      </c>
      <c r="J1180" s="53"/>
    </row>
    <row r="1181" spans="1:10" x14ac:dyDescent="0.25">
      <c r="A1181" s="93">
        <v>42083</v>
      </c>
      <c r="B1181" s="35">
        <f>C1181+(D1181-2009)*12</f>
        <v>75</v>
      </c>
      <c r="C1181" s="76">
        <v>3</v>
      </c>
      <c r="D1181" s="76">
        <v>2015</v>
      </c>
      <c r="E1181" s="56">
        <v>0</v>
      </c>
      <c r="F1181" s="53">
        <f>IF(E1181&gt;0,1,0)</f>
        <v>0</v>
      </c>
      <c r="G1181" s="53">
        <f>SUM(F1180:F1181)</f>
        <v>0</v>
      </c>
      <c r="H1181" s="53">
        <f>IF(G1181=1,IF(F1180=1,1,-1),G1181)</f>
        <v>0</v>
      </c>
      <c r="I1181" s="53" t="str">
        <f>VLOOKUP(H1181,codes,2,)</f>
        <v>dd</v>
      </c>
      <c r="J1181" s="53"/>
    </row>
    <row r="1182" spans="1:10" x14ac:dyDescent="0.25">
      <c r="A1182" s="93">
        <v>42084</v>
      </c>
      <c r="B1182" s="35">
        <f>C1182+(D1182-2009)*12</f>
        <v>75</v>
      </c>
      <c r="C1182" s="76">
        <v>3</v>
      </c>
      <c r="D1182" s="76">
        <v>2015</v>
      </c>
      <c r="E1182" s="56">
        <v>0.13333333333333333</v>
      </c>
      <c r="F1182" s="53">
        <f>IF(E1182&gt;0,1,0)</f>
        <v>1</v>
      </c>
      <c r="G1182" s="53">
        <f>SUM(F1181:F1182)</f>
        <v>1</v>
      </c>
      <c r="H1182" s="53">
        <f>IF(G1182=1,IF(F1181=1,1,-1),G1182)</f>
        <v>-1</v>
      </c>
      <c r="I1182" s="53" t="str">
        <f>VLOOKUP(H1182,codes,2,)</f>
        <v>dw</v>
      </c>
      <c r="J1182" s="53"/>
    </row>
    <row r="1183" spans="1:10" x14ac:dyDescent="0.25">
      <c r="A1183" s="93">
        <v>42085</v>
      </c>
      <c r="B1183" s="35">
        <f>C1183+(D1183-2009)*12</f>
        <v>75</v>
      </c>
      <c r="C1183" s="76">
        <v>3</v>
      </c>
      <c r="D1183" s="76">
        <v>2015</v>
      </c>
      <c r="E1183" s="56">
        <v>0</v>
      </c>
      <c r="F1183" s="53">
        <f>IF(E1183&gt;0,1,0)</f>
        <v>0</v>
      </c>
      <c r="G1183" s="53">
        <f>SUM(F1182:F1183)</f>
        <v>1</v>
      </c>
      <c r="H1183" s="53">
        <f>IF(G1183=1,IF(F1182=1,1,-1),G1183)</f>
        <v>1</v>
      </c>
      <c r="I1183" s="53" t="str">
        <f>VLOOKUP(H1183,codes,2,)</f>
        <v>wd</v>
      </c>
      <c r="J1183" s="53"/>
    </row>
    <row r="1184" spans="1:10" x14ac:dyDescent="0.25">
      <c r="A1184" s="93">
        <v>42086</v>
      </c>
      <c r="B1184" s="35">
        <f>C1184+(D1184-2009)*12</f>
        <v>75</v>
      </c>
      <c r="C1184" s="76">
        <v>3</v>
      </c>
      <c r="D1184" s="76">
        <v>2015</v>
      </c>
      <c r="E1184" s="56">
        <v>0</v>
      </c>
      <c r="F1184" s="53">
        <f>IF(E1184&gt;0,1,0)</f>
        <v>0</v>
      </c>
      <c r="G1184" s="53">
        <f>SUM(F1183:F1184)</f>
        <v>0</v>
      </c>
      <c r="H1184" s="53">
        <f>IF(G1184=1,IF(F1183=1,1,-1),G1184)</f>
        <v>0</v>
      </c>
      <c r="I1184" s="53" t="str">
        <f>VLOOKUP(H1184,codes,2,)</f>
        <v>dd</v>
      </c>
      <c r="J1184" s="53"/>
    </row>
    <row r="1185" spans="1:10" x14ac:dyDescent="0.25">
      <c r="A1185" s="93">
        <v>42087</v>
      </c>
      <c r="B1185" s="35">
        <f>C1185+(D1185-2009)*12</f>
        <v>75</v>
      </c>
      <c r="C1185" s="76">
        <v>3</v>
      </c>
      <c r="D1185" s="76">
        <v>2015</v>
      </c>
      <c r="E1185" s="56">
        <v>0.33333333333333331</v>
      </c>
      <c r="F1185" s="53">
        <f>IF(E1185&gt;0,1,0)</f>
        <v>1</v>
      </c>
      <c r="G1185" s="53">
        <f>SUM(F1184:F1185)</f>
        <v>1</v>
      </c>
      <c r="H1185" s="53">
        <f>IF(G1185=1,IF(F1184=1,1,-1),G1185)</f>
        <v>-1</v>
      </c>
      <c r="I1185" s="53" t="str">
        <f>VLOOKUP(H1185,codes,2,)</f>
        <v>dw</v>
      </c>
      <c r="J1185" s="53"/>
    </row>
    <row r="1186" spans="1:10" x14ac:dyDescent="0.25">
      <c r="A1186" s="93">
        <v>42088</v>
      </c>
      <c r="B1186" s="35">
        <f>C1186+(D1186-2009)*12</f>
        <v>75</v>
      </c>
      <c r="C1186" s="76">
        <v>3</v>
      </c>
      <c r="D1186" s="76">
        <v>2015</v>
      </c>
      <c r="E1186" s="56">
        <v>1.4000000000000001</v>
      </c>
      <c r="F1186" s="53">
        <f>IF(E1186&gt;0,1,0)</f>
        <v>1</v>
      </c>
      <c r="G1186" s="53">
        <f>SUM(F1185:F1186)</f>
        <v>2</v>
      </c>
      <c r="H1186" s="53">
        <f>IF(G1186=1,IF(F1185=1,1,-1),G1186)</f>
        <v>2</v>
      </c>
      <c r="I1186" s="53" t="str">
        <f>VLOOKUP(H1186,codes,2,)</f>
        <v>ww</v>
      </c>
      <c r="J1186" s="53"/>
    </row>
    <row r="1187" spans="1:10" x14ac:dyDescent="0.25">
      <c r="A1187" s="93">
        <v>42089</v>
      </c>
      <c r="B1187" s="35">
        <f>C1187+(D1187-2009)*12</f>
        <v>75</v>
      </c>
      <c r="C1187" s="76">
        <v>3</v>
      </c>
      <c r="D1187" s="76">
        <v>2015</v>
      </c>
      <c r="E1187" s="56">
        <v>3.9333333333333336</v>
      </c>
      <c r="F1187" s="53">
        <f>IF(E1187&gt;0,1,0)</f>
        <v>1</v>
      </c>
      <c r="G1187" s="53">
        <f>SUM(F1186:F1187)</f>
        <v>2</v>
      </c>
      <c r="H1187" s="53">
        <f>IF(G1187=1,IF(F1186=1,1,-1),G1187)</f>
        <v>2</v>
      </c>
      <c r="I1187" s="53" t="str">
        <f>VLOOKUP(H1187,codes,2,)</f>
        <v>ww</v>
      </c>
      <c r="J1187" s="53"/>
    </row>
    <row r="1188" spans="1:10" x14ac:dyDescent="0.25">
      <c r="A1188" s="93">
        <v>42090</v>
      </c>
      <c r="B1188" s="35">
        <f>C1188+(D1188-2009)*12</f>
        <v>75</v>
      </c>
      <c r="C1188" s="76">
        <v>3</v>
      </c>
      <c r="D1188" s="76">
        <v>2015</v>
      </c>
      <c r="E1188" s="56">
        <v>0</v>
      </c>
      <c r="F1188" s="53">
        <f>IF(E1188&gt;0,1,0)</f>
        <v>0</v>
      </c>
      <c r="G1188" s="53">
        <f>SUM(F1187:F1188)</f>
        <v>1</v>
      </c>
      <c r="H1188" s="53">
        <f>IF(G1188=1,IF(F1187=1,1,-1),G1188)</f>
        <v>1</v>
      </c>
      <c r="I1188" s="53" t="str">
        <f>VLOOKUP(H1188,codes,2,)</f>
        <v>wd</v>
      </c>
      <c r="J1188" s="53"/>
    </row>
    <row r="1189" spans="1:10" x14ac:dyDescent="0.25">
      <c r="A1189" s="93">
        <v>42091</v>
      </c>
      <c r="B1189" s="35">
        <f>C1189+(D1189-2009)*12</f>
        <v>75</v>
      </c>
      <c r="C1189" s="76">
        <v>3</v>
      </c>
      <c r="D1189" s="76">
        <v>2015</v>
      </c>
      <c r="E1189" s="56">
        <v>3.6</v>
      </c>
      <c r="F1189" s="53">
        <f>IF(E1189&gt;0,1,0)</f>
        <v>1</v>
      </c>
      <c r="G1189" s="53">
        <f>SUM(F1188:F1189)</f>
        <v>1</v>
      </c>
      <c r="H1189" s="53">
        <f>IF(G1189=1,IF(F1188=1,1,-1),G1189)</f>
        <v>-1</v>
      </c>
      <c r="I1189" s="53" t="str">
        <f>VLOOKUP(H1189,codes,2,)</f>
        <v>dw</v>
      </c>
      <c r="J1189" s="53"/>
    </row>
    <row r="1190" spans="1:10" x14ac:dyDescent="0.25">
      <c r="A1190" s="93">
        <v>42092</v>
      </c>
      <c r="B1190" s="35">
        <f>C1190+(D1190-2009)*12</f>
        <v>75</v>
      </c>
      <c r="C1190" s="76">
        <v>3</v>
      </c>
      <c r="D1190" s="76">
        <v>2015</v>
      </c>
      <c r="E1190" s="56">
        <v>3.0666666666666664</v>
      </c>
      <c r="F1190" s="53">
        <f>IF(E1190&gt;0,1,0)</f>
        <v>1</v>
      </c>
      <c r="G1190" s="53">
        <f>SUM(F1189:F1190)</f>
        <v>2</v>
      </c>
      <c r="H1190" s="53">
        <f>IF(G1190=1,IF(F1189=1,1,-1),G1190)</f>
        <v>2</v>
      </c>
      <c r="I1190" s="53" t="str">
        <f>VLOOKUP(H1190,codes,2,)</f>
        <v>ww</v>
      </c>
      <c r="J1190" s="53"/>
    </row>
    <row r="1191" spans="1:10" x14ac:dyDescent="0.25">
      <c r="A1191" s="93">
        <v>42093</v>
      </c>
      <c r="B1191" s="35">
        <f>C1191+(D1191-2009)*12</f>
        <v>75</v>
      </c>
      <c r="C1191" s="76">
        <v>3</v>
      </c>
      <c r="D1191" s="76">
        <v>2015</v>
      </c>
      <c r="E1191" s="56">
        <v>2.1999999999999997</v>
      </c>
      <c r="F1191" s="53">
        <f>IF(E1191&gt;0,1,0)</f>
        <v>1</v>
      </c>
      <c r="G1191" s="53">
        <f>SUM(F1190:F1191)</f>
        <v>2</v>
      </c>
      <c r="H1191" s="53">
        <f>IF(G1191=1,IF(F1190=1,1,-1),G1191)</f>
        <v>2</v>
      </c>
      <c r="I1191" s="53" t="str">
        <f>VLOOKUP(H1191,codes,2,)</f>
        <v>ww</v>
      </c>
      <c r="J1191" s="53"/>
    </row>
    <row r="1192" spans="1:10" x14ac:dyDescent="0.25">
      <c r="A1192" s="93">
        <v>42094</v>
      </c>
      <c r="B1192" s="35">
        <f>C1192+(D1192-2009)*12</f>
        <v>75</v>
      </c>
      <c r="C1192" s="76">
        <v>3</v>
      </c>
      <c r="D1192" s="76">
        <v>2015</v>
      </c>
      <c r="E1192" s="56">
        <v>6.0666666666666664</v>
      </c>
      <c r="F1192" s="53">
        <f>IF(E1192&gt;0,1,0)</f>
        <v>1</v>
      </c>
      <c r="G1192" s="53">
        <f>SUM(F1191:F1192)</f>
        <v>2</v>
      </c>
      <c r="H1192" s="53">
        <f>IF(G1192=1,IF(F1191=1,1,-1),G1192)</f>
        <v>2</v>
      </c>
      <c r="I1192" s="53" t="str">
        <f>VLOOKUP(H1192,codes,2,)</f>
        <v>ww</v>
      </c>
      <c r="J1192" s="53"/>
    </row>
    <row r="1193" spans="1:10" x14ac:dyDescent="0.25">
      <c r="A1193" s="93">
        <v>42095</v>
      </c>
      <c r="B1193" s="35">
        <f>C1193+(D1193-2009)*12</f>
        <v>75</v>
      </c>
      <c r="C1193" s="76">
        <v>3</v>
      </c>
      <c r="D1193" s="76">
        <v>2015</v>
      </c>
      <c r="E1193" s="56">
        <v>2.4</v>
      </c>
      <c r="F1193" s="53">
        <f>IF(E1193&gt;0,1,0)</f>
        <v>1</v>
      </c>
      <c r="G1193" s="53">
        <f>SUM(F1192:F1193)</f>
        <v>2</v>
      </c>
      <c r="H1193" s="53">
        <f>IF(G1193=1,IF(F1192=1,1,-1),G1193)</f>
        <v>2</v>
      </c>
      <c r="I1193" s="53" t="str">
        <f>VLOOKUP(H1193,codes,2,)</f>
        <v>ww</v>
      </c>
      <c r="J1193" s="53"/>
    </row>
    <row r="1194" spans="1:10" x14ac:dyDescent="0.25">
      <c r="A1194" s="93">
        <v>42096</v>
      </c>
      <c r="B1194" s="35">
        <f>C1194+(D1194-2009)*12</f>
        <v>75</v>
      </c>
      <c r="C1194" s="76">
        <v>3</v>
      </c>
      <c r="D1194" s="76">
        <v>2015</v>
      </c>
      <c r="E1194" s="56">
        <v>6.6666666666666666E-2</v>
      </c>
      <c r="F1194" s="53">
        <f>IF(E1194&gt;0,1,0)</f>
        <v>1</v>
      </c>
      <c r="G1194" s="53">
        <f>SUM(F1193:F1194)</f>
        <v>2</v>
      </c>
      <c r="H1194" s="53">
        <f>IF(G1194=1,IF(F1193=1,1,-1),G1194)</f>
        <v>2</v>
      </c>
      <c r="I1194" s="53" t="str">
        <f>VLOOKUP(H1194,codes,2,)</f>
        <v>ww</v>
      </c>
      <c r="J1194" s="53"/>
    </row>
    <row r="1195" spans="1:10" x14ac:dyDescent="0.25">
      <c r="A1195" s="93">
        <v>42432</v>
      </c>
      <c r="B1195" s="35">
        <f>C1195+(D1195-2009)*12</f>
        <v>87</v>
      </c>
      <c r="C1195" s="76">
        <v>3</v>
      </c>
      <c r="D1195" s="76">
        <v>2016</v>
      </c>
      <c r="E1195" s="56">
        <v>2.1333333333333333</v>
      </c>
      <c r="F1195" s="53">
        <f>IF(E1195&gt;0,1,0)</f>
        <v>1</v>
      </c>
      <c r="G1195" s="53">
        <f>SUM(F1194:F1195)</f>
        <v>2</v>
      </c>
      <c r="H1195" s="53">
        <f>IF(G1195=1,IF(F1194=1,1,-1),G1195)</f>
        <v>2</v>
      </c>
      <c r="I1195" s="53" t="str">
        <f>VLOOKUP(H1195,codes,2,)</f>
        <v>ww</v>
      </c>
      <c r="J1195" s="53"/>
    </row>
    <row r="1196" spans="1:10" x14ac:dyDescent="0.25">
      <c r="A1196" s="93">
        <v>42433</v>
      </c>
      <c r="B1196" s="35">
        <f>C1196+(D1196-2009)*12</f>
        <v>87</v>
      </c>
      <c r="C1196" s="76">
        <v>3</v>
      </c>
      <c r="D1196" s="76">
        <v>2016</v>
      </c>
      <c r="E1196" s="56">
        <v>3.9333333333333336</v>
      </c>
      <c r="F1196" s="53">
        <f>IF(E1196&gt;0,1,0)</f>
        <v>1</v>
      </c>
      <c r="G1196" s="53">
        <f>SUM(F1195:F1196)</f>
        <v>2</v>
      </c>
      <c r="H1196" s="53">
        <f>IF(G1196=1,IF(F1195=1,1,-1),G1196)</f>
        <v>2</v>
      </c>
      <c r="I1196" s="53" t="str">
        <f>VLOOKUP(H1196,codes,2,)</f>
        <v>ww</v>
      </c>
      <c r="J1196" s="53"/>
    </row>
    <row r="1197" spans="1:10" x14ac:dyDescent="0.25">
      <c r="A1197" s="93">
        <v>42434</v>
      </c>
      <c r="B1197" s="35">
        <f>C1197+(D1197-2009)*12</f>
        <v>87</v>
      </c>
      <c r="C1197" s="76">
        <v>3</v>
      </c>
      <c r="D1197" s="76">
        <v>2016</v>
      </c>
      <c r="E1197" s="56">
        <v>2</v>
      </c>
      <c r="F1197" s="53">
        <f>IF(E1197&gt;0,1,0)</f>
        <v>1</v>
      </c>
      <c r="G1197" s="53">
        <f>SUM(F1196:F1197)</f>
        <v>2</v>
      </c>
      <c r="H1197" s="53">
        <f>IF(G1197=1,IF(F1196=1,1,-1),G1197)</f>
        <v>2</v>
      </c>
      <c r="I1197" s="53" t="str">
        <f>VLOOKUP(H1197,codes,2,)</f>
        <v>ww</v>
      </c>
      <c r="J1197" s="53"/>
    </row>
    <row r="1198" spans="1:10" x14ac:dyDescent="0.25">
      <c r="A1198" s="93">
        <v>42435</v>
      </c>
      <c r="B1198" s="35">
        <f>C1198+(D1198-2009)*12</f>
        <v>87</v>
      </c>
      <c r="C1198" s="76">
        <v>3</v>
      </c>
      <c r="D1198" s="76">
        <v>2016</v>
      </c>
      <c r="E1198" s="56">
        <v>1.9333333333333333</v>
      </c>
      <c r="F1198" s="53">
        <f>IF(E1198&gt;0,1,0)</f>
        <v>1</v>
      </c>
      <c r="G1198" s="53">
        <f>SUM(F1197:F1198)</f>
        <v>2</v>
      </c>
      <c r="H1198" s="53">
        <f>IF(G1198=1,IF(F1197=1,1,-1),G1198)</f>
        <v>2</v>
      </c>
      <c r="I1198" s="53" t="str">
        <f>VLOOKUP(H1198,codes,2,)</f>
        <v>ww</v>
      </c>
      <c r="J1198" s="53"/>
    </row>
    <row r="1199" spans="1:10" x14ac:dyDescent="0.25">
      <c r="A1199" s="93">
        <v>42436</v>
      </c>
      <c r="B1199" s="35">
        <f>C1199+(D1199-2009)*12</f>
        <v>87</v>
      </c>
      <c r="C1199" s="76">
        <v>3</v>
      </c>
      <c r="D1199" s="76">
        <v>2016</v>
      </c>
      <c r="E1199" s="56">
        <v>0</v>
      </c>
      <c r="F1199" s="53">
        <f>IF(E1199&gt;0,1,0)</f>
        <v>0</v>
      </c>
      <c r="G1199" s="53">
        <f>SUM(F1198:F1199)</f>
        <v>1</v>
      </c>
      <c r="H1199" s="53">
        <f>IF(G1199=1,IF(F1198=1,1,-1),G1199)</f>
        <v>1</v>
      </c>
      <c r="I1199" s="53" t="str">
        <f>VLOOKUP(H1199,codes,2,)</f>
        <v>wd</v>
      </c>
      <c r="J1199" s="53"/>
    </row>
    <row r="1200" spans="1:10" x14ac:dyDescent="0.25">
      <c r="A1200" s="93">
        <v>42437</v>
      </c>
      <c r="B1200" s="35">
        <f>C1200+(D1200-2009)*12</f>
        <v>87</v>
      </c>
      <c r="C1200" s="76">
        <v>3</v>
      </c>
      <c r="D1200" s="76">
        <v>2016</v>
      </c>
      <c r="E1200" s="56">
        <v>0.20000000000000004</v>
      </c>
      <c r="F1200" s="53">
        <f>IF(E1200&gt;0,1,0)</f>
        <v>1</v>
      </c>
      <c r="G1200" s="53">
        <f>SUM(F1199:F1200)</f>
        <v>1</v>
      </c>
      <c r="H1200" s="53">
        <f>IF(G1200=1,IF(F1199=1,1,-1),G1200)</f>
        <v>-1</v>
      </c>
      <c r="I1200" s="53" t="str">
        <f>VLOOKUP(H1200,codes,2,)</f>
        <v>dw</v>
      </c>
      <c r="J1200" s="53"/>
    </row>
    <row r="1201" spans="1:10" x14ac:dyDescent="0.25">
      <c r="A1201" s="93">
        <v>42438</v>
      </c>
      <c r="B1201" s="35">
        <f>C1201+(D1201-2009)*12</f>
        <v>87</v>
      </c>
      <c r="C1201" s="76">
        <v>3</v>
      </c>
      <c r="D1201" s="76">
        <v>2016</v>
      </c>
      <c r="E1201" s="56">
        <v>1.7333333333333334</v>
      </c>
      <c r="F1201" s="53">
        <f>IF(E1201&gt;0,1,0)</f>
        <v>1</v>
      </c>
      <c r="G1201" s="53">
        <f>SUM(F1200:F1201)</f>
        <v>2</v>
      </c>
      <c r="H1201" s="53">
        <f>IF(G1201=1,IF(F1200=1,1,-1),G1201)</f>
        <v>2</v>
      </c>
      <c r="I1201" s="53" t="str">
        <f>VLOOKUP(H1201,codes,2,)</f>
        <v>ww</v>
      </c>
      <c r="J1201" s="53"/>
    </row>
    <row r="1202" spans="1:10" x14ac:dyDescent="0.25">
      <c r="A1202" s="93">
        <v>42439</v>
      </c>
      <c r="B1202" s="35">
        <f>C1202+(D1202-2009)*12</f>
        <v>87</v>
      </c>
      <c r="C1202" s="76">
        <v>3</v>
      </c>
      <c r="D1202" s="76">
        <v>2016</v>
      </c>
      <c r="E1202" s="56">
        <v>7.1333333333333329</v>
      </c>
      <c r="F1202" s="53">
        <f>IF(E1202&gt;0,1,0)</f>
        <v>1</v>
      </c>
      <c r="G1202" s="53">
        <f>SUM(F1201:F1202)</f>
        <v>2</v>
      </c>
      <c r="H1202" s="53">
        <f>IF(G1202=1,IF(F1201=1,1,-1),G1202)</f>
        <v>2</v>
      </c>
      <c r="I1202" s="53" t="str">
        <f>VLOOKUP(H1202,codes,2,)</f>
        <v>ww</v>
      </c>
      <c r="J1202" s="53"/>
    </row>
    <row r="1203" spans="1:10" x14ac:dyDescent="0.25">
      <c r="A1203" s="93">
        <v>42440</v>
      </c>
      <c r="B1203" s="35">
        <f>C1203+(D1203-2009)*12</f>
        <v>87</v>
      </c>
      <c r="C1203" s="76">
        <v>3</v>
      </c>
      <c r="D1203" s="76">
        <v>2016</v>
      </c>
      <c r="E1203" s="56">
        <v>0</v>
      </c>
      <c r="F1203" s="53">
        <f>IF(E1203&gt;0,1,0)</f>
        <v>0</v>
      </c>
      <c r="G1203" s="53">
        <f>SUM(F1202:F1203)</f>
        <v>1</v>
      </c>
      <c r="H1203" s="53">
        <f>IF(G1203=1,IF(F1202=1,1,-1),G1203)</f>
        <v>1</v>
      </c>
      <c r="I1203" s="53" t="str">
        <f>VLOOKUP(H1203,codes,2,)</f>
        <v>wd</v>
      </c>
      <c r="J1203" s="53"/>
    </row>
    <row r="1204" spans="1:10" x14ac:dyDescent="0.25">
      <c r="A1204" s="93">
        <v>42441</v>
      </c>
      <c r="B1204" s="35">
        <f>C1204+(D1204-2009)*12</f>
        <v>87</v>
      </c>
      <c r="C1204" s="76">
        <v>3</v>
      </c>
      <c r="D1204" s="76">
        <v>2016</v>
      </c>
      <c r="E1204" s="56">
        <v>0</v>
      </c>
      <c r="F1204" s="53">
        <f>IF(E1204&gt;0,1,0)</f>
        <v>0</v>
      </c>
      <c r="G1204" s="53">
        <f>SUM(F1203:F1204)</f>
        <v>0</v>
      </c>
      <c r="H1204" s="53">
        <f>IF(G1204=1,IF(F1203=1,1,-1),G1204)</f>
        <v>0</v>
      </c>
      <c r="I1204" s="53" t="str">
        <f>VLOOKUP(H1204,codes,2,)</f>
        <v>dd</v>
      </c>
      <c r="J1204" s="53"/>
    </row>
    <row r="1205" spans="1:10" x14ac:dyDescent="0.25">
      <c r="A1205" s="93">
        <v>42442</v>
      </c>
      <c r="B1205" s="35">
        <f>C1205+(D1205-2009)*12</f>
        <v>87</v>
      </c>
      <c r="C1205" s="76">
        <v>3</v>
      </c>
      <c r="D1205" s="76">
        <v>2016</v>
      </c>
      <c r="E1205" s="56">
        <v>0</v>
      </c>
      <c r="F1205" s="53">
        <f>IF(E1205&gt;0,1,0)</f>
        <v>0</v>
      </c>
      <c r="G1205" s="53">
        <f>SUM(F1204:F1205)</f>
        <v>0</v>
      </c>
      <c r="H1205" s="53">
        <f>IF(G1205=1,IF(F1204=1,1,-1),G1205)</f>
        <v>0</v>
      </c>
      <c r="I1205" s="53" t="str">
        <f>VLOOKUP(H1205,codes,2,)</f>
        <v>dd</v>
      </c>
      <c r="J1205" s="53"/>
    </row>
    <row r="1206" spans="1:10" x14ac:dyDescent="0.25">
      <c r="A1206" s="93">
        <v>42443</v>
      </c>
      <c r="B1206" s="35">
        <f>C1206+(D1206-2009)*12</f>
        <v>87</v>
      </c>
      <c r="C1206" s="76">
        <v>3</v>
      </c>
      <c r="D1206" s="76">
        <v>2016</v>
      </c>
      <c r="E1206" s="56">
        <v>0</v>
      </c>
      <c r="F1206" s="53">
        <f>IF(E1206&gt;0,1,0)</f>
        <v>0</v>
      </c>
      <c r="G1206" s="53">
        <f>SUM(F1205:F1206)</f>
        <v>0</v>
      </c>
      <c r="H1206" s="53">
        <f>IF(G1206=1,IF(F1205=1,1,-1),G1206)</f>
        <v>0</v>
      </c>
      <c r="I1206" s="53" t="str">
        <f>VLOOKUP(H1206,codes,2,)</f>
        <v>dd</v>
      </c>
      <c r="J1206" s="53"/>
    </row>
    <row r="1207" spans="1:10" x14ac:dyDescent="0.25">
      <c r="A1207" s="93">
        <v>42444</v>
      </c>
      <c r="B1207" s="35">
        <f>C1207+(D1207-2009)*12</f>
        <v>87</v>
      </c>
      <c r="C1207" s="76">
        <v>3</v>
      </c>
      <c r="D1207" s="76">
        <v>2016</v>
      </c>
      <c r="E1207" s="56">
        <v>0.33333333333333331</v>
      </c>
      <c r="F1207" s="53">
        <f>IF(E1207&gt;0,1,0)</f>
        <v>1</v>
      </c>
      <c r="G1207" s="53">
        <f>SUM(F1206:F1207)</f>
        <v>1</v>
      </c>
      <c r="H1207" s="53">
        <f>IF(G1207=1,IF(F1206=1,1,-1),G1207)</f>
        <v>-1</v>
      </c>
      <c r="I1207" s="53" t="str">
        <f>VLOOKUP(H1207,codes,2,)</f>
        <v>dw</v>
      </c>
      <c r="J1207" s="53"/>
    </row>
    <row r="1208" spans="1:10" x14ac:dyDescent="0.25">
      <c r="A1208" s="93">
        <v>42445</v>
      </c>
      <c r="B1208" s="35">
        <f>C1208+(D1208-2009)*12</f>
        <v>87</v>
      </c>
      <c r="C1208" s="76">
        <v>3</v>
      </c>
      <c r="D1208" s="76">
        <v>2016</v>
      </c>
      <c r="E1208" s="56">
        <v>1.1333333333333333</v>
      </c>
      <c r="F1208" s="53">
        <f>IF(E1208&gt;0,1,0)</f>
        <v>1</v>
      </c>
      <c r="G1208" s="53">
        <f>SUM(F1207:F1208)</f>
        <v>2</v>
      </c>
      <c r="H1208" s="53">
        <f>IF(G1208=1,IF(F1207=1,1,-1),G1208)</f>
        <v>2</v>
      </c>
      <c r="I1208" s="53" t="str">
        <f>VLOOKUP(H1208,codes,2,)</f>
        <v>ww</v>
      </c>
      <c r="J1208" s="53"/>
    </row>
    <row r="1209" spans="1:10" x14ac:dyDescent="0.25">
      <c r="A1209" s="93">
        <v>42446</v>
      </c>
      <c r="B1209" s="35">
        <f>C1209+(D1209-2009)*12</f>
        <v>87</v>
      </c>
      <c r="C1209" s="76">
        <v>3</v>
      </c>
      <c r="D1209" s="76">
        <v>2016</v>
      </c>
      <c r="E1209" s="56">
        <v>6.6666666666666666E-2</v>
      </c>
      <c r="F1209" s="53">
        <f>IF(E1209&gt;0,1,0)</f>
        <v>1</v>
      </c>
      <c r="G1209" s="53">
        <f>SUM(F1208:F1209)</f>
        <v>2</v>
      </c>
      <c r="H1209" s="53">
        <f>IF(G1209=1,IF(F1208=1,1,-1),G1209)</f>
        <v>2</v>
      </c>
      <c r="I1209" s="53" t="str">
        <f>VLOOKUP(H1209,codes,2,)</f>
        <v>ww</v>
      </c>
      <c r="J1209" s="53"/>
    </row>
    <row r="1210" spans="1:10" x14ac:dyDescent="0.25">
      <c r="A1210" s="93">
        <v>42447</v>
      </c>
      <c r="B1210" s="35">
        <f>C1210+(D1210-2009)*12</f>
        <v>87</v>
      </c>
      <c r="C1210" s="76">
        <v>3</v>
      </c>
      <c r="D1210" s="76">
        <v>2016</v>
      </c>
      <c r="E1210" s="56">
        <v>0.26666666666666666</v>
      </c>
      <c r="F1210" s="53">
        <f>IF(E1210&gt;0,1,0)</f>
        <v>1</v>
      </c>
      <c r="G1210" s="53">
        <f>SUM(F1209:F1210)</f>
        <v>2</v>
      </c>
      <c r="H1210" s="53">
        <f>IF(G1210=1,IF(F1209=1,1,-1),G1210)</f>
        <v>2</v>
      </c>
      <c r="I1210" s="53" t="str">
        <f>VLOOKUP(H1210,codes,2,)</f>
        <v>ww</v>
      </c>
      <c r="J1210" s="53"/>
    </row>
    <row r="1211" spans="1:10" x14ac:dyDescent="0.25">
      <c r="A1211" s="93">
        <v>42448</v>
      </c>
      <c r="B1211" s="35">
        <f>C1211+(D1211-2009)*12</f>
        <v>87</v>
      </c>
      <c r="C1211" s="76">
        <v>3</v>
      </c>
      <c r="D1211" s="76">
        <v>2016</v>
      </c>
      <c r="E1211" s="56">
        <v>6.6666666666666666E-2</v>
      </c>
      <c r="F1211" s="53">
        <f>IF(E1211&gt;0,1,0)</f>
        <v>1</v>
      </c>
      <c r="G1211" s="53">
        <f>SUM(F1210:F1211)</f>
        <v>2</v>
      </c>
      <c r="H1211" s="53">
        <f>IF(G1211=1,IF(F1210=1,1,-1),G1211)</f>
        <v>2</v>
      </c>
      <c r="I1211" s="53" t="str">
        <f>VLOOKUP(H1211,codes,2,)</f>
        <v>ww</v>
      </c>
      <c r="J1211" s="53"/>
    </row>
    <row r="1212" spans="1:10" x14ac:dyDescent="0.25">
      <c r="A1212" s="93">
        <v>42449</v>
      </c>
      <c r="B1212" s="35">
        <f>C1212+(D1212-2009)*12</f>
        <v>87</v>
      </c>
      <c r="C1212" s="76">
        <v>3</v>
      </c>
      <c r="D1212" s="76">
        <v>2016</v>
      </c>
      <c r="E1212" s="56">
        <v>0</v>
      </c>
      <c r="F1212" s="53">
        <f>IF(E1212&gt;0,1,0)</f>
        <v>0</v>
      </c>
      <c r="G1212" s="53">
        <f>SUM(F1211:F1212)</f>
        <v>1</v>
      </c>
      <c r="H1212" s="53">
        <f>IF(G1212=1,IF(F1211=1,1,-1),G1212)</f>
        <v>1</v>
      </c>
      <c r="I1212" s="53" t="str">
        <f>VLOOKUP(H1212,codes,2,)</f>
        <v>wd</v>
      </c>
      <c r="J1212" s="53"/>
    </row>
    <row r="1213" spans="1:10" x14ac:dyDescent="0.25">
      <c r="A1213" s="93">
        <v>42450</v>
      </c>
      <c r="B1213" s="35">
        <f>C1213+(D1213-2009)*12</f>
        <v>87</v>
      </c>
      <c r="C1213" s="76">
        <v>3</v>
      </c>
      <c r="D1213" s="76">
        <v>2016</v>
      </c>
      <c r="E1213" s="56">
        <v>0</v>
      </c>
      <c r="F1213" s="53">
        <f>IF(E1213&gt;0,1,0)</f>
        <v>0</v>
      </c>
      <c r="G1213" s="53">
        <f>SUM(F1212:F1213)</f>
        <v>0</v>
      </c>
      <c r="H1213" s="53">
        <f>IF(G1213=1,IF(F1212=1,1,-1),G1213)</f>
        <v>0</v>
      </c>
      <c r="I1213" s="53" t="str">
        <f>VLOOKUP(H1213,codes,2,)</f>
        <v>dd</v>
      </c>
      <c r="J1213" s="53"/>
    </row>
    <row r="1214" spans="1:10" x14ac:dyDescent="0.25">
      <c r="A1214" s="93">
        <v>42451</v>
      </c>
      <c r="B1214" s="35">
        <f>C1214+(D1214-2009)*12</f>
        <v>87</v>
      </c>
      <c r="C1214" s="76">
        <v>3</v>
      </c>
      <c r="D1214" s="76">
        <v>2016</v>
      </c>
      <c r="E1214" s="56">
        <v>0</v>
      </c>
      <c r="F1214" s="53">
        <f>IF(E1214&gt;0,1,0)</f>
        <v>0</v>
      </c>
      <c r="G1214" s="53">
        <f>SUM(F1213:F1214)</f>
        <v>0</v>
      </c>
      <c r="H1214" s="53">
        <f>IF(G1214=1,IF(F1213=1,1,-1),G1214)</f>
        <v>0</v>
      </c>
      <c r="I1214" s="53" t="str">
        <f>VLOOKUP(H1214,codes,2,)</f>
        <v>dd</v>
      </c>
      <c r="J1214" s="53"/>
    </row>
    <row r="1215" spans="1:10" x14ac:dyDescent="0.25">
      <c r="A1215" s="93">
        <v>42452</v>
      </c>
      <c r="B1215" s="35">
        <f>C1215+(D1215-2009)*12</f>
        <v>87</v>
      </c>
      <c r="C1215" s="76">
        <v>3</v>
      </c>
      <c r="D1215" s="76">
        <v>2016</v>
      </c>
      <c r="E1215" s="56">
        <v>0</v>
      </c>
      <c r="F1215" s="53">
        <f>IF(E1215&gt;0,1,0)</f>
        <v>0</v>
      </c>
      <c r="G1215" s="53">
        <f>SUM(F1214:F1215)</f>
        <v>0</v>
      </c>
      <c r="H1215" s="53">
        <f>IF(G1215=1,IF(F1214=1,1,-1),G1215)</f>
        <v>0</v>
      </c>
      <c r="I1215" s="53" t="str">
        <f>VLOOKUP(H1215,codes,2,)</f>
        <v>dd</v>
      </c>
      <c r="J1215" s="53"/>
    </row>
    <row r="1216" spans="1:10" x14ac:dyDescent="0.25">
      <c r="A1216" s="93">
        <v>42453</v>
      </c>
      <c r="B1216" s="35">
        <f>C1216+(D1216-2009)*12</f>
        <v>87</v>
      </c>
      <c r="C1216" s="76">
        <v>3</v>
      </c>
      <c r="D1216" s="76">
        <v>2016</v>
      </c>
      <c r="E1216" s="56">
        <v>0</v>
      </c>
      <c r="F1216" s="53">
        <f>IF(E1216&gt;0,1,0)</f>
        <v>0</v>
      </c>
      <c r="G1216" s="53">
        <f>SUM(F1215:F1216)</f>
        <v>0</v>
      </c>
      <c r="H1216" s="53">
        <f>IF(G1216=1,IF(F1215=1,1,-1),G1216)</f>
        <v>0</v>
      </c>
      <c r="I1216" s="53" t="str">
        <f>VLOOKUP(H1216,codes,2,)</f>
        <v>dd</v>
      </c>
      <c r="J1216" s="53"/>
    </row>
    <row r="1217" spans="1:10" x14ac:dyDescent="0.25">
      <c r="A1217" s="93">
        <v>42454</v>
      </c>
      <c r="B1217" s="35">
        <f>C1217+(D1217-2009)*12</f>
        <v>87</v>
      </c>
      <c r="C1217" s="76">
        <v>3</v>
      </c>
      <c r="D1217" s="76">
        <v>2016</v>
      </c>
      <c r="E1217" s="56">
        <v>0.20000000000000004</v>
      </c>
      <c r="F1217" s="53">
        <f>IF(E1217&gt;0,1,0)</f>
        <v>1</v>
      </c>
      <c r="G1217" s="53">
        <f>SUM(F1216:F1217)</f>
        <v>1</v>
      </c>
      <c r="H1217" s="53">
        <f>IF(G1217=1,IF(F1216=1,1,-1),G1217)</f>
        <v>-1</v>
      </c>
      <c r="I1217" s="53" t="str">
        <f>VLOOKUP(H1217,codes,2,)</f>
        <v>dw</v>
      </c>
      <c r="J1217" s="53"/>
    </row>
    <row r="1218" spans="1:10" x14ac:dyDescent="0.25">
      <c r="A1218" s="93">
        <v>42455</v>
      </c>
      <c r="B1218" s="35">
        <f>C1218+(D1218-2009)*12</f>
        <v>87</v>
      </c>
      <c r="C1218" s="76">
        <v>3</v>
      </c>
      <c r="D1218" s="76">
        <v>2016</v>
      </c>
      <c r="E1218" s="56">
        <v>0</v>
      </c>
      <c r="F1218" s="53">
        <f>IF(E1218&gt;0,1,0)</f>
        <v>0</v>
      </c>
      <c r="G1218" s="53">
        <f>SUM(F1217:F1218)</f>
        <v>1</v>
      </c>
      <c r="H1218" s="53">
        <f>IF(G1218=1,IF(F1217=1,1,-1),G1218)</f>
        <v>1</v>
      </c>
      <c r="I1218" s="53" t="str">
        <f>VLOOKUP(H1218,codes,2,)</f>
        <v>wd</v>
      </c>
      <c r="J1218" s="53"/>
    </row>
    <row r="1219" spans="1:10" x14ac:dyDescent="0.25">
      <c r="A1219" s="93">
        <v>42456</v>
      </c>
      <c r="B1219" s="35">
        <f>C1219+(D1219-2009)*12</f>
        <v>87</v>
      </c>
      <c r="C1219" s="76">
        <v>3</v>
      </c>
      <c r="D1219" s="76">
        <v>2016</v>
      </c>
      <c r="E1219" s="56">
        <v>1.8</v>
      </c>
      <c r="F1219" s="53">
        <f>IF(E1219&gt;0,1,0)</f>
        <v>1</v>
      </c>
      <c r="G1219" s="53">
        <f>SUM(F1218:F1219)</f>
        <v>1</v>
      </c>
      <c r="H1219" s="53">
        <f>IF(G1219=1,IF(F1218=1,1,-1),G1219)</f>
        <v>-1</v>
      </c>
      <c r="I1219" s="53" t="str">
        <f>VLOOKUP(H1219,codes,2,)</f>
        <v>dw</v>
      </c>
      <c r="J1219" s="53"/>
    </row>
    <row r="1220" spans="1:10" x14ac:dyDescent="0.25">
      <c r="A1220" s="93">
        <v>42457</v>
      </c>
      <c r="B1220" s="35">
        <f>C1220+(D1220-2009)*12</f>
        <v>87</v>
      </c>
      <c r="C1220" s="76">
        <v>3</v>
      </c>
      <c r="D1220" s="76">
        <v>2016</v>
      </c>
      <c r="E1220" s="56">
        <v>1.9333333333333333</v>
      </c>
      <c r="F1220" s="53">
        <f>IF(E1220&gt;0,1,0)</f>
        <v>1</v>
      </c>
      <c r="G1220" s="53">
        <f>SUM(F1219:F1220)</f>
        <v>2</v>
      </c>
      <c r="H1220" s="53">
        <f>IF(G1220=1,IF(F1219=1,1,-1),G1220)</f>
        <v>2</v>
      </c>
      <c r="I1220" s="53" t="str">
        <f>VLOOKUP(H1220,codes,2,)</f>
        <v>ww</v>
      </c>
      <c r="J1220" s="53"/>
    </row>
    <row r="1221" spans="1:10" x14ac:dyDescent="0.25">
      <c r="A1221" s="93">
        <v>42458</v>
      </c>
      <c r="B1221" s="35">
        <f>C1221+(D1221-2009)*12</f>
        <v>87</v>
      </c>
      <c r="C1221" s="76">
        <v>3</v>
      </c>
      <c r="D1221" s="76">
        <v>2016</v>
      </c>
      <c r="E1221" s="56">
        <v>0.33333333333333331</v>
      </c>
      <c r="F1221" s="53">
        <f>IF(E1221&gt;0,1,0)</f>
        <v>1</v>
      </c>
      <c r="G1221" s="53">
        <f>SUM(F1220:F1221)</f>
        <v>2</v>
      </c>
      <c r="H1221" s="53">
        <f>IF(G1221=1,IF(F1220=1,1,-1),G1221)</f>
        <v>2</v>
      </c>
      <c r="I1221" s="53" t="str">
        <f>VLOOKUP(H1221,codes,2,)</f>
        <v>ww</v>
      </c>
      <c r="J1221" s="53"/>
    </row>
    <row r="1222" spans="1:10" x14ac:dyDescent="0.25">
      <c r="A1222" s="93">
        <v>42459</v>
      </c>
      <c r="B1222" s="35">
        <f>C1222+(D1222-2009)*12</f>
        <v>87</v>
      </c>
      <c r="C1222" s="76">
        <v>3</v>
      </c>
      <c r="D1222" s="76">
        <v>2016</v>
      </c>
      <c r="E1222" s="56">
        <v>0.6</v>
      </c>
      <c r="F1222" s="53">
        <f>IF(E1222&gt;0,1,0)</f>
        <v>1</v>
      </c>
      <c r="G1222" s="53">
        <f>SUM(F1221:F1222)</f>
        <v>2</v>
      </c>
      <c r="H1222" s="53">
        <f>IF(G1222=1,IF(F1221=1,1,-1),G1222)</f>
        <v>2</v>
      </c>
      <c r="I1222" s="53" t="str">
        <f>VLOOKUP(H1222,codes,2,)</f>
        <v>ww</v>
      </c>
      <c r="J1222" s="53"/>
    </row>
    <row r="1223" spans="1:10" x14ac:dyDescent="0.25">
      <c r="A1223" s="93">
        <v>42460</v>
      </c>
      <c r="B1223" s="35">
        <f>C1223+(D1223-2009)*12</f>
        <v>87</v>
      </c>
      <c r="C1223" s="76">
        <v>3</v>
      </c>
      <c r="D1223" s="76">
        <v>2016</v>
      </c>
      <c r="E1223" s="56">
        <v>0</v>
      </c>
      <c r="F1223" s="53">
        <f>IF(E1223&gt;0,1,0)</f>
        <v>0</v>
      </c>
      <c r="G1223" s="53">
        <f>SUM(F1222:F1223)</f>
        <v>1</v>
      </c>
      <c r="H1223" s="53">
        <f>IF(G1223=1,IF(F1222=1,1,-1),G1223)</f>
        <v>1</v>
      </c>
      <c r="I1223" s="53" t="str">
        <f>VLOOKUP(H1223,codes,2,)</f>
        <v>wd</v>
      </c>
      <c r="J1223" s="53"/>
    </row>
    <row r="1224" spans="1:10" x14ac:dyDescent="0.25">
      <c r="A1224" s="93">
        <v>42461</v>
      </c>
      <c r="B1224" s="35">
        <f>C1224+(D1224-2009)*12</f>
        <v>87</v>
      </c>
      <c r="C1224" s="76">
        <v>3</v>
      </c>
      <c r="D1224" s="76">
        <v>2016</v>
      </c>
      <c r="E1224" s="56">
        <v>0.46666666666666662</v>
      </c>
      <c r="F1224" s="53">
        <f>IF(E1224&gt;0,1,0)</f>
        <v>1</v>
      </c>
      <c r="G1224" s="53">
        <f>SUM(F1223:F1224)</f>
        <v>1</v>
      </c>
      <c r="H1224" s="53">
        <f>IF(G1224=1,IF(F1223=1,1,-1),G1224)</f>
        <v>-1</v>
      </c>
      <c r="I1224" s="53" t="str">
        <f>VLOOKUP(H1224,codes,2,)</f>
        <v>dw</v>
      </c>
      <c r="J1224" s="53"/>
    </row>
    <row r="1225" spans="1:10" x14ac:dyDescent="0.25">
      <c r="A1225" s="93">
        <v>42462</v>
      </c>
      <c r="B1225" s="35">
        <f>C1225+(D1225-2009)*12</f>
        <v>87</v>
      </c>
      <c r="C1225" s="76">
        <v>3</v>
      </c>
      <c r="D1225" s="76">
        <v>2016</v>
      </c>
      <c r="E1225" s="56">
        <v>0.66666666666666663</v>
      </c>
      <c r="F1225" s="53">
        <f>IF(E1225&gt;0,1,0)</f>
        <v>1</v>
      </c>
      <c r="G1225" s="53">
        <f>SUM(F1224:F1225)</f>
        <v>2</v>
      </c>
      <c r="H1225" s="53">
        <f>IF(G1225=1,IF(F1224=1,1,-1),G1225)</f>
        <v>2</v>
      </c>
      <c r="I1225" s="53" t="str">
        <f>VLOOKUP(H1225,codes,2,)</f>
        <v>ww</v>
      </c>
      <c r="J1225" s="53"/>
    </row>
    <row r="1226" spans="1:10" x14ac:dyDescent="0.25">
      <c r="A1226" s="93">
        <v>42797</v>
      </c>
      <c r="B1226" s="35">
        <f>C1226+(D1226-2009)*12</f>
        <v>99</v>
      </c>
      <c r="C1226" s="76">
        <v>3</v>
      </c>
      <c r="D1226" s="76">
        <v>2017</v>
      </c>
      <c r="E1226" s="56">
        <v>0.13333333333333333</v>
      </c>
      <c r="F1226" s="53">
        <f>IF(E1226&gt;0,1,0)</f>
        <v>1</v>
      </c>
      <c r="G1226" s="53">
        <f>SUM(F1225:F1226)</f>
        <v>2</v>
      </c>
      <c r="H1226" s="53">
        <f>IF(G1226=1,IF(F1225=1,1,-1),G1226)</f>
        <v>2</v>
      </c>
      <c r="I1226" s="53" t="str">
        <f>VLOOKUP(H1226,codes,2,)</f>
        <v>ww</v>
      </c>
      <c r="J1226" s="53"/>
    </row>
    <row r="1227" spans="1:10" x14ac:dyDescent="0.25">
      <c r="A1227" s="93">
        <v>42798</v>
      </c>
      <c r="B1227" s="35">
        <f>C1227+(D1227-2009)*12</f>
        <v>99</v>
      </c>
      <c r="C1227" s="76">
        <v>3</v>
      </c>
      <c r="D1227" s="76">
        <v>2017</v>
      </c>
      <c r="E1227" s="56">
        <v>14.200000000000001</v>
      </c>
      <c r="F1227" s="53">
        <f>IF(E1227&gt;0,1,0)</f>
        <v>1</v>
      </c>
      <c r="G1227" s="53">
        <f>SUM(F1226:F1227)</f>
        <v>2</v>
      </c>
      <c r="H1227" s="53">
        <f>IF(G1227=1,IF(F1226=1,1,-1),G1227)</f>
        <v>2</v>
      </c>
      <c r="I1227" s="53" t="str">
        <f>VLOOKUP(H1227,codes,2,)</f>
        <v>ww</v>
      </c>
      <c r="J1227" s="53"/>
    </row>
    <row r="1228" spans="1:10" x14ac:dyDescent="0.25">
      <c r="A1228" s="93">
        <v>42799</v>
      </c>
      <c r="B1228" s="35">
        <f>C1228+(D1228-2009)*12</f>
        <v>99</v>
      </c>
      <c r="C1228" s="76">
        <v>3</v>
      </c>
      <c r="D1228" s="76">
        <v>2017</v>
      </c>
      <c r="E1228" s="56">
        <v>0</v>
      </c>
      <c r="F1228" s="53">
        <f>IF(E1228&gt;0,1,0)</f>
        <v>0</v>
      </c>
      <c r="G1228" s="53">
        <f>SUM(F1227:F1228)</f>
        <v>1</v>
      </c>
      <c r="H1228" s="53">
        <f>IF(G1228=1,IF(F1227=1,1,-1),G1228)</f>
        <v>1</v>
      </c>
      <c r="I1228" s="53" t="str">
        <f>VLOOKUP(H1228,codes,2,)</f>
        <v>wd</v>
      </c>
      <c r="J1228" s="53"/>
    </row>
    <row r="1229" spans="1:10" x14ac:dyDescent="0.25">
      <c r="A1229" s="93">
        <v>42800</v>
      </c>
      <c r="B1229" s="35">
        <f>C1229+(D1229-2009)*12</f>
        <v>99</v>
      </c>
      <c r="C1229" s="76">
        <v>3</v>
      </c>
      <c r="D1229" s="76">
        <v>2017</v>
      </c>
      <c r="E1229" s="56">
        <v>0</v>
      </c>
      <c r="F1229" s="53">
        <f>IF(E1229&gt;0,1,0)</f>
        <v>0</v>
      </c>
      <c r="G1229" s="53">
        <f>SUM(F1228:F1229)</f>
        <v>0</v>
      </c>
      <c r="H1229" s="53">
        <f>IF(G1229=1,IF(F1228=1,1,-1),G1229)</f>
        <v>0</v>
      </c>
      <c r="I1229" s="53" t="str">
        <f>VLOOKUP(H1229,codes,2,)</f>
        <v>dd</v>
      </c>
      <c r="J1229" s="53"/>
    </row>
    <row r="1230" spans="1:10" x14ac:dyDescent="0.25">
      <c r="A1230" s="93">
        <v>42801</v>
      </c>
      <c r="B1230" s="35">
        <f>C1230+(D1230-2009)*12</f>
        <v>99</v>
      </c>
      <c r="C1230" s="76">
        <v>3</v>
      </c>
      <c r="D1230" s="76">
        <v>2017</v>
      </c>
      <c r="E1230" s="56">
        <v>1.1333333333333333</v>
      </c>
      <c r="F1230" s="53">
        <f>IF(E1230&gt;0,1,0)</f>
        <v>1</v>
      </c>
      <c r="G1230" s="53">
        <f>SUM(F1229:F1230)</f>
        <v>1</v>
      </c>
      <c r="H1230" s="53">
        <f>IF(G1230=1,IF(F1229=1,1,-1),G1230)</f>
        <v>-1</v>
      </c>
      <c r="I1230" s="53" t="str">
        <f>VLOOKUP(H1230,codes,2,)</f>
        <v>dw</v>
      </c>
      <c r="J1230" s="53"/>
    </row>
    <row r="1231" spans="1:10" x14ac:dyDescent="0.25">
      <c r="A1231" s="93">
        <v>42802</v>
      </c>
      <c r="B1231" s="35">
        <f>C1231+(D1231-2009)*12</f>
        <v>99</v>
      </c>
      <c r="C1231" s="76">
        <v>3</v>
      </c>
      <c r="D1231" s="76">
        <v>2017</v>
      </c>
      <c r="E1231" s="56">
        <v>11.800000000000002</v>
      </c>
      <c r="F1231" s="53">
        <f>IF(E1231&gt;0,1,0)</f>
        <v>1</v>
      </c>
      <c r="G1231" s="53">
        <f>SUM(F1230:F1231)</f>
        <v>2</v>
      </c>
      <c r="H1231" s="53">
        <f>IF(G1231=1,IF(F1230=1,1,-1),G1231)</f>
        <v>2</v>
      </c>
      <c r="I1231" s="53" t="str">
        <f>VLOOKUP(H1231,codes,2,)</f>
        <v>ww</v>
      </c>
      <c r="J1231" s="53"/>
    </row>
    <row r="1232" spans="1:10" x14ac:dyDescent="0.25">
      <c r="A1232" s="93">
        <v>42803</v>
      </c>
      <c r="B1232" s="35">
        <f>C1232+(D1232-2009)*12</f>
        <v>99</v>
      </c>
      <c r="C1232" s="76">
        <v>3</v>
      </c>
      <c r="D1232" s="76">
        <v>2017</v>
      </c>
      <c r="E1232" s="56">
        <v>0</v>
      </c>
      <c r="F1232" s="53">
        <f>IF(E1232&gt;0,1,0)</f>
        <v>0</v>
      </c>
      <c r="G1232" s="53">
        <f>SUM(F1231:F1232)</f>
        <v>1</v>
      </c>
      <c r="H1232" s="53">
        <f>IF(G1232=1,IF(F1231=1,1,-1),G1232)</f>
        <v>1</v>
      </c>
      <c r="I1232" s="53" t="str">
        <f>VLOOKUP(H1232,codes,2,)</f>
        <v>wd</v>
      </c>
      <c r="J1232" s="53"/>
    </row>
    <row r="1233" spans="1:10" x14ac:dyDescent="0.25">
      <c r="A1233" s="93">
        <v>42804</v>
      </c>
      <c r="B1233" s="35">
        <f>C1233+(D1233-2009)*12</f>
        <v>99</v>
      </c>
      <c r="C1233" s="76">
        <v>3</v>
      </c>
      <c r="D1233" s="76">
        <v>2017</v>
      </c>
      <c r="E1233" s="56">
        <v>0</v>
      </c>
      <c r="F1233" s="53">
        <f>IF(E1233&gt;0,1,0)</f>
        <v>0</v>
      </c>
      <c r="G1233" s="53">
        <f>SUM(F1232:F1233)</f>
        <v>0</v>
      </c>
      <c r="H1233" s="53">
        <f>IF(G1233=1,IF(F1232=1,1,-1),G1233)</f>
        <v>0</v>
      </c>
      <c r="I1233" s="53" t="str">
        <f>VLOOKUP(H1233,codes,2,)</f>
        <v>dd</v>
      </c>
      <c r="J1233" s="53"/>
    </row>
    <row r="1234" spans="1:10" x14ac:dyDescent="0.25">
      <c r="A1234" s="93">
        <v>42805</v>
      </c>
      <c r="B1234" s="35">
        <f>C1234+(D1234-2009)*12</f>
        <v>99</v>
      </c>
      <c r="C1234" s="76">
        <v>3</v>
      </c>
      <c r="D1234" s="76">
        <v>2017</v>
      </c>
      <c r="E1234" s="56">
        <v>0</v>
      </c>
      <c r="F1234" s="53">
        <f>IF(E1234&gt;0,1,0)</f>
        <v>0</v>
      </c>
      <c r="G1234" s="53">
        <f>SUM(F1233:F1234)</f>
        <v>0</v>
      </c>
      <c r="H1234" s="53">
        <f>IF(G1234=1,IF(F1233=1,1,-1),G1234)</f>
        <v>0</v>
      </c>
      <c r="I1234" s="53" t="str">
        <f>VLOOKUP(H1234,codes,2,)</f>
        <v>dd</v>
      </c>
      <c r="J1234" s="53"/>
    </row>
    <row r="1235" spans="1:10" x14ac:dyDescent="0.25">
      <c r="A1235" s="93">
        <v>42806</v>
      </c>
      <c r="B1235" s="35">
        <f>C1235+(D1235-2009)*12</f>
        <v>99</v>
      </c>
      <c r="C1235" s="76">
        <v>3</v>
      </c>
      <c r="D1235" s="76">
        <v>2017</v>
      </c>
      <c r="E1235" s="56">
        <v>5.8666666666666663</v>
      </c>
      <c r="F1235" s="53">
        <f>IF(E1235&gt;0,1,0)</f>
        <v>1</v>
      </c>
      <c r="G1235" s="53">
        <f>SUM(F1234:F1235)</f>
        <v>1</v>
      </c>
      <c r="H1235" s="53">
        <f>IF(G1235=1,IF(F1234=1,1,-1),G1235)</f>
        <v>-1</v>
      </c>
      <c r="I1235" s="53" t="str">
        <f>VLOOKUP(H1235,codes,2,)</f>
        <v>dw</v>
      </c>
      <c r="J1235" s="53"/>
    </row>
    <row r="1236" spans="1:10" x14ac:dyDescent="0.25">
      <c r="A1236" s="93">
        <v>42807</v>
      </c>
      <c r="B1236" s="35">
        <f>C1236+(D1236-2009)*12</f>
        <v>99</v>
      </c>
      <c r="C1236" s="76">
        <v>3</v>
      </c>
      <c r="D1236" s="76">
        <v>2017</v>
      </c>
      <c r="E1236" s="56">
        <v>0</v>
      </c>
      <c r="F1236" s="53">
        <f>IF(E1236&gt;0,1,0)</f>
        <v>0</v>
      </c>
      <c r="G1236" s="53">
        <f>SUM(F1235:F1236)</f>
        <v>1</v>
      </c>
      <c r="H1236" s="53">
        <f>IF(G1236=1,IF(F1235=1,1,-1),G1236)</f>
        <v>1</v>
      </c>
      <c r="I1236" s="53" t="str">
        <f>VLOOKUP(H1236,codes,2,)</f>
        <v>wd</v>
      </c>
      <c r="J1236" s="53"/>
    </row>
    <row r="1237" spans="1:10" x14ac:dyDescent="0.25">
      <c r="A1237" s="93">
        <v>42808</v>
      </c>
      <c r="B1237" s="35">
        <f>C1237+(D1237-2009)*12</f>
        <v>99</v>
      </c>
      <c r="C1237" s="76">
        <v>3</v>
      </c>
      <c r="D1237" s="76">
        <v>2017</v>
      </c>
      <c r="E1237" s="56">
        <v>0</v>
      </c>
      <c r="F1237" s="53">
        <f>IF(E1237&gt;0,1,0)</f>
        <v>0</v>
      </c>
      <c r="G1237" s="53">
        <f>SUM(F1236:F1237)</f>
        <v>0</v>
      </c>
      <c r="H1237" s="53">
        <f>IF(G1237=1,IF(F1236=1,1,-1),G1237)</f>
        <v>0</v>
      </c>
      <c r="I1237" s="53" t="str">
        <f>VLOOKUP(H1237,codes,2,)</f>
        <v>dd</v>
      </c>
      <c r="J1237" s="53"/>
    </row>
    <row r="1238" spans="1:10" x14ac:dyDescent="0.25">
      <c r="A1238" s="93">
        <v>42809</v>
      </c>
      <c r="B1238" s="35">
        <f>C1238+(D1238-2009)*12</f>
        <v>99</v>
      </c>
      <c r="C1238" s="76">
        <v>3</v>
      </c>
      <c r="D1238" s="76">
        <v>2017</v>
      </c>
      <c r="E1238" s="56">
        <v>0</v>
      </c>
      <c r="F1238" s="53">
        <f>IF(E1238&gt;0,1,0)</f>
        <v>0</v>
      </c>
      <c r="G1238" s="53">
        <f>SUM(F1237:F1238)</f>
        <v>0</v>
      </c>
      <c r="H1238" s="53">
        <f>IF(G1238=1,IF(F1237=1,1,-1),G1238)</f>
        <v>0</v>
      </c>
      <c r="I1238" s="53" t="str">
        <f>VLOOKUP(H1238,codes,2,)</f>
        <v>dd</v>
      </c>
      <c r="J1238" s="53"/>
    </row>
    <row r="1239" spans="1:10" x14ac:dyDescent="0.25">
      <c r="A1239" s="93">
        <v>42810</v>
      </c>
      <c r="B1239" s="35">
        <f>C1239+(D1239-2009)*12</f>
        <v>99</v>
      </c>
      <c r="C1239" s="76">
        <v>3</v>
      </c>
      <c r="D1239" s="76">
        <v>2017</v>
      </c>
      <c r="E1239" s="56">
        <v>0</v>
      </c>
      <c r="F1239" s="53">
        <f>IF(E1239&gt;0,1,0)</f>
        <v>0</v>
      </c>
      <c r="G1239" s="53">
        <f>SUM(F1238:F1239)</f>
        <v>0</v>
      </c>
      <c r="H1239" s="53">
        <f>IF(G1239=1,IF(F1238=1,1,-1),G1239)</f>
        <v>0</v>
      </c>
      <c r="I1239" s="53" t="str">
        <f>VLOOKUP(H1239,codes,2,)</f>
        <v>dd</v>
      </c>
      <c r="J1239" s="53"/>
    </row>
    <row r="1240" spans="1:10" x14ac:dyDescent="0.25">
      <c r="A1240" s="93">
        <v>42811</v>
      </c>
      <c r="B1240" s="35">
        <f>C1240+(D1240-2009)*12</f>
        <v>99</v>
      </c>
      <c r="C1240" s="76">
        <v>3</v>
      </c>
      <c r="D1240" s="76">
        <v>2017</v>
      </c>
      <c r="E1240" s="56">
        <v>6.6666666666666666E-2</v>
      </c>
      <c r="F1240" s="53">
        <f>IF(E1240&gt;0,1,0)</f>
        <v>1</v>
      </c>
      <c r="G1240" s="53">
        <f>SUM(F1239:F1240)</f>
        <v>1</v>
      </c>
      <c r="H1240" s="53">
        <f>IF(G1240=1,IF(F1239=1,1,-1),G1240)</f>
        <v>-1</v>
      </c>
      <c r="I1240" s="53" t="str">
        <f>VLOOKUP(H1240,codes,2,)</f>
        <v>dw</v>
      </c>
      <c r="J1240" s="53"/>
    </row>
    <row r="1241" spans="1:10" x14ac:dyDescent="0.25">
      <c r="A1241" s="93">
        <v>42812</v>
      </c>
      <c r="B1241" s="35">
        <f>C1241+(D1241-2009)*12</f>
        <v>99</v>
      </c>
      <c r="C1241" s="76">
        <v>3</v>
      </c>
      <c r="D1241" s="76">
        <v>2017</v>
      </c>
      <c r="E1241" s="56">
        <v>2.9333333333333336</v>
      </c>
      <c r="F1241" s="53">
        <f>IF(E1241&gt;0,1,0)</f>
        <v>1</v>
      </c>
      <c r="G1241" s="53">
        <f>SUM(F1240:F1241)</f>
        <v>2</v>
      </c>
      <c r="H1241" s="53">
        <f>IF(G1241=1,IF(F1240=1,1,-1),G1241)</f>
        <v>2</v>
      </c>
      <c r="I1241" s="53" t="str">
        <f>VLOOKUP(H1241,codes,2,)</f>
        <v>ww</v>
      </c>
      <c r="J1241" s="53"/>
    </row>
    <row r="1242" spans="1:10" x14ac:dyDescent="0.25">
      <c r="A1242" s="93">
        <v>42813</v>
      </c>
      <c r="B1242" s="35">
        <f>C1242+(D1242-2009)*12</f>
        <v>99</v>
      </c>
      <c r="C1242" s="76">
        <v>3</v>
      </c>
      <c r="D1242" s="76">
        <v>2017</v>
      </c>
      <c r="E1242" s="56">
        <v>1.8</v>
      </c>
      <c r="F1242" s="53">
        <f>IF(E1242&gt;0,1,0)</f>
        <v>1</v>
      </c>
      <c r="G1242" s="53">
        <f>SUM(F1241:F1242)</f>
        <v>2</v>
      </c>
      <c r="H1242" s="53">
        <f>IF(G1242=1,IF(F1241=1,1,-1),G1242)</f>
        <v>2</v>
      </c>
      <c r="I1242" s="53" t="str">
        <f>VLOOKUP(H1242,codes,2,)</f>
        <v>ww</v>
      </c>
      <c r="J1242" s="53"/>
    </row>
    <row r="1243" spans="1:10" x14ac:dyDescent="0.25">
      <c r="A1243" s="93">
        <v>42814</v>
      </c>
      <c r="B1243" s="35">
        <f>C1243+(D1243-2009)*12</f>
        <v>99</v>
      </c>
      <c r="C1243" s="76">
        <v>3</v>
      </c>
      <c r="D1243" s="76">
        <v>2017</v>
      </c>
      <c r="E1243" s="56">
        <v>0.13333333333333333</v>
      </c>
      <c r="F1243" s="53">
        <f>IF(E1243&gt;0,1,0)</f>
        <v>1</v>
      </c>
      <c r="G1243" s="53">
        <f>SUM(F1242:F1243)</f>
        <v>2</v>
      </c>
      <c r="H1243" s="53">
        <f>IF(G1243=1,IF(F1242=1,1,-1),G1243)</f>
        <v>2</v>
      </c>
      <c r="I1243" s="53" t="str">
        <f>VLOOKUP(H1243,codes,2,)</f>
        <v>ww</v>
      </c>
      <c r="J1243" s="53"/>
    </row>
    <row r="1244" spans="1:10" x14ac:dyDescent="0.25">
      <c r="A1244" s="93">
        <v>42815</v>
      </c>
      <c r="B1244" s="35">
        <f>C1244+(D1244-2009)*12</f>
        <v>99</v>
      </c>
      <c r="C1244" s="76">
        <v>3</v>
      </c>
      <c r="D1244" s="76">
        <v>2017</v>
      </c>
      <c r="E1244" s="56">
        <v>6.6666666666666666E-2</v>
      </c>
      <c r="F1244" s="53">
        <f>IF(E1244&gt;0,1,0)</f>
        <v>1</v>
      </c>
      <c r="G1244" s="53">
        <f>SUM(F1243:F1244)</f>
        <v>2</v>
      </c>
      <c r="H1244" s="53">
        <f>IF(G1244=1,IF(F1243=1,1,-1),G1244)</f>
        <v>2</v>
      </c>
      <c r="I1244" s="53" t="str">
        <f>VLOOKUP(H1244,codes,2,)</f>
        <v>ww</v>
      </c>
      <c r="J1244" s="53"/>
    </row>
    <row r="1245" spans="1:10" x14ac:dyDescent="0.25">
      <c r="A1245" s="93">
        <v>42816</v>
      </c>
      <c r="B1245" s="35">
        <f>C1245+(D1245-2009)*12</f>
        <v>99</v>
      </c>
      <c r="C1245" s="76">
        <v>3</v>
      </c>
      <c r="D1245" s="76">
        <v>2017</v>
      </c>
      <c r="E1245" s="56">
        <v>6.666666666666667</v>
      </c>
      <c r="F1245" s="53">
        <f>IF(E1245&gt;0,1,0)</f>
        <v>1</v>
      </c>
      <c r="G1245" s="53">
        <f>SUM(F1244:F1245)</f>
        <v>2</v>
      </c>
      <c r="H1245" s="53">
        <f>IF(G1245=1,IF(F1244=1,1,-1),G1245)</f>
        <v>2</v>
      </c>
      <c r="I1245" s="53" t="str">
        <f>VLOOKUP(H1245,codes,2,)</f>
        <v>ww</v>
      </c>
      <c r="J1245" s="53"/>
    </row>
    <row r="1246" spans="1:10" x14ac:dyDescent="0.25">
      <c r="A1246" s="93">
        <v>42817</v>
      </c>
      <c r="B1246" s="35">
        <f>C1246+(D1246-2009)*12</f>
        <v>99</v>
      </c>
      <c r="C1246" s="76">
        <v>3</v>
      </c>
      <c r="D1246" s="76">
        <v>2017</v>
      </c>
      <c r="E1246" s="56">
        <v>13.200000000000001</v>
      </c>
      <c r="F1246" s="53">
        <f>IF(E1246&gt;0,1,0)</f>
        <v>1</v>
      </c>
      <c r="G1246" s="53">
        <f>SUM(F1245:F1246)</f>
        <v>2</v>
      </c>
      <c r="H1246" s="53">
        <f>IF(G1246=1,IF(F1245=1,1,-1),G1246)</f>
        <v>2</v>
      </c>
      <c r="I1246" s="53" t="str">
        <f>VLOOKUP(H1246,codes,2,)</f>
        <v>ww</v>
      </c>
      <c r="J1246" s="53"/>
    </row>
    <row r="1247" spans="1:10" x14ac:dyDescent="0.25">
      <c r="A1247" s="93">
        <v>42818</v>
      </c>
      <c r="B1247" s="35">
        <f>C1247+(D1247-2009)*12</f>
        <v>99</v>
      </c>
      <c r="C1247" s="76">
        <v>3</v>
      </c>
      <c r="D1247" s="76">
        <v>2017</v>
      </c>
      <c r="E1247" s="56">
        <v>0</v>
      </c>
      <c r="F1247" s="53">
        <f>IF(E1247&gt;0,1,0)</f>
        <v>0</v>
      </c>
      <c r="G1247" s="53">
        <f>SUM(F1246:F1247)</f>
        <v>1</v>
      </c>
      <c r="H1247" s="53">
        <f>IF(G1247=1,IF(F1246=1,1,-1),G1247)</f>
        <v>1</v>
      </c>
      <c r="I1247" s="53" t="str">
        <f>VLOOKUP(H1247,codes,2,)</f>
        <v>wd</v>
      </c>
      <c r="J1247" s="53"/>
    </row>
    <row r="1248" spans="1:10" x14ac:dyDescent="0.25">
      <c r="A1248" s="93">
        <v>42819</v>
      </c>
      <c r="B1248" s="35">
        <f>C1248+(D1248-2009)*12</f>
        <v>99</v>
      </c>
      <c r="C1248" s="76">
        <v>3</v>
      </c>
      <c r="D1248" s="76">
        <v>2017</v>
      </c>
      <c r="E1248" s="56">
        <v>6.6666666666666666E-2</v>
      </c>
      <c r="F1248" s="53">
        <f>IF(E1248&gt;0,1,0)</f>
        <v>1</v>
      </c>
      <c r="G1248" s="53">
        <f>SUM(F1247:F1248)</f>
        <v>1</v>
      </c>
      <c r="H1248" s="53">
        <f>IF(G1248=1,IF(F1247=1,1,-1),G1248)</f>
        <v>-1</v>
      </c>
      <c r="I1248" s="53" t="str">
        <f>VLOOKUP(H1248,codes,2,)</f>
        <v>dw</v>
      </c>
      <c r="J1248" s="53"/>
    </row>
    <row r="1249" spans="1:10" x14ac:dyDescent="0.25">
      <c r="A1249" s="93">
        <v>42820</v>
      </c>
      <c r="B1249" s="35">
        <f>C1249+(D1249-2009)*12</f>
        <v>99</v>
      </c>
      <c r="C1249" s="76">
        <v>3</v>
      </c>
      <c r="D1249" s="76">
        <v>2017</v>
      </c>
      <c r="E1249" s="56">
        <v>0</v>
      </c>
      <c r="F1249" s="53">
        <f>IF(E1249&gt;0,1,0)</f>
        <v>0</v>
      </c>
      <c r="G1249" s="53">
        <f>SUM(F1248:F1249)</f>
        <v>1</v>
      </c>
      <c r="H1249" s="53">
        <f>IF(G1249=1,IF(F1248=1,1,-1),G1249)</f>
        <v>1</v>
      </c>
      <c r="I1249" s="53" t="str">
        <f>VLOOKUP(H1249,codes,2,)</f>
        <v>wd</v>
      </c>
      <c r="J1249" s="53"/>
    </row>
    <row r="1250" spans="1:10" x14ac:dyDescent="0.25">
      <c r="A1250" s="93">
        <v>42821</v>
      </c>
      <c r="B1250" s="35">
        <f>C1250+(D1250-2009)*12</f>
        <v>99</v>
      </c>
      <c r="C1250" s="76">
        <v>3</v>
      </c>
      <c r="D1250" s="76">
        <v>2017</v>
      </c>
      <c r="E1250" s="56">
        <v>0</v>
      </c>
      <c r="F1250" s="53">
        <f>IF(E1250&gt;0,1,0)</f>
        <v>0</v>
      </c>
      <c r="G1250" s="53">
        <f>SUM(F1249:F1250)</f>
        <v>0</v>
      </c>
      <c r="H1250" s="53">
        <f>IF(G1250=1,IF(F1249=1,1,-1),G1250)</f>
        <v>0</v>
      </c>
      <c r="I1250" s="53" t="str">
        <f>VLOOKUP(H1250,codes,2,)</f>
        <v>dd</v>
      </c>
      <c r="J1250" s="53"/>
    </row>
    <row r="1251" spans="1:10" x14ac:dyDescent="0.25">
      <c r="A1251" s="93">
        <v>42822</v>
      </c>
      <c r="B1251" s="35">
        <f>C1251+(D1251-2009)*12</f>
        <v>99</v>
      </c>
      <c r="C1251" s="76">
        <v>3</v>
      </c>
      <c r="D1251" s="76">
        <v>2017</v>
      </c>
      <c r="E1251" s="56">
        <v>0</v>
      </c>
      <c r="F1251" s="53">
        <f>IF(E1251&gt;0,1,0)</f>
        <v>0</v>
      </c>
      <c r="G1251" s="53">
        <f>SUM(F1250:F1251)</f>
        <v>0</v>
      </c>
      <c r="H1251" s="53">
        <f>IF(G1251=1,IF(F1250=1,1,-1),G1251)</f>
        <v>0</v>
      </c>
      <c r="I1251" s="53" t="str">
        <f>VLOOKUP(H1251,codes,2,)</f>
        <v>dd</v>
      </c>
      <c r="J1251" s="53"/>
    </row>
    <row r="1252" spans="1:10" x14ac:dyDescent="0.25">
      <c r="A1252" s="93">
        <v>42823</v>
      </c>
      <c r="B1252" s="35">
        <f>C1252+(D1252-2009)*12</f>
        <v>99</v>
      </c>
      <c r="C1252" s="76">
        <v>3</v>
      </c>
      <c r="D1252" s="76">
        <v>2017</v>
      </c>
      <c r="E1252" s="56">
        <v>0.20000000000000004</v>
      </c>
      <c r="F1252" s="53">
        <f>IF(E1252&gt;0,1,0)</f>
        <v>1</v>
      </c>
      <c r="G1252" s="53">
        <f>SUM(F1251:F1252)</f>
        <v>1</v>
      </c>
      <c r="H1252" s="53">
        <f>IF(G1252=1,IF(F1251=1,1,-1),G1252)</f>
        <v>-1</v>
      </c>
      <c r="I1252" s="53" t="str">
        <f>VLOOKUP(H1252,codes,2,)</f>
        <v>dw</v>
      </c>
      <c r="J1252" s="53"/>
    </row>
    <row r="1253" spans="1:10" x14ac:dyDescent="0.25">
      <c r="A1253" s="93">
        <v>42824</v>
      </c>
      <c r="B1253" s="35">
        <f>C1253+(D1253-2009)*12</f>
        <v>99</v>
      </c>
      <c r="C1253" s="76">
        <v>3</v>
      </c>
      <c r="D1253" s="76">
        <v>2017</v>
      </c>
      <c r="E1253" s="56">
        <v>0.33333333333333331</v>
      </c>
      <c r="F1253" s="53">
        <f>IF(E1253&gt;0,1,0)</f>
        <v>1</v>
      </c>
      <c r="G1253" s="53">
        <f>SUM(F1252:F1253)</f>
        <v>2</v>
      </c>
      <c r="H1253" s="53">
        <f>IF(G1253=1,IF(F1252=1,1,-1),G1253)</f>
        <v>2</v>
      </c>
      <c r="I1253" s="53" t="str">
        <f>VLOOKUP(H1253,codes,2,)</f>
        <v>ww</v>
      </c>
      <c r="J1253" s="53"/>
    </row>
    <row r="1254" spans="1:10" x14ac:dyDescent="0.25">
      <c r="A1254" s="93">
        <v>42825</v>
      </c>
      <c r="B1254" s="35">
        <f>C1254+(D1254-2009)*12</f>
        <v>99</v>
      </c>
      <c r="C1254" s="76">
        <v>3</v>
      </c>
      <c r="D1254" s="76">
        <v>2017</v>
      </c>
      <c r="E1254" s="56">
        <v>0.13333333333333333</v>
      </c>
      <c r="F1254" s="53">
        <f>IF(E1254&gt;0,1,0)</f>
        <v>1</v>
      </c>
      <c r="G1254" s="53">
        <f>SUM(F1253:F1254)</f>
        <v>2</v>
      </c>
      <c r="H1254" s="53">
        <f>IF(G1254=1,IF(F1253=1,1,-1),G1254)</f>
        <v>2</v>
      </c>
      <c r="I1254" s="53" t="str">
        <f>VLOOKUP(H1254,codes,2,)</f>
        <v>ww</v>
      </c>
      <c r="J1254" s="53"/>
    </row>
    <row r="1255" spans="1:10" x14ac:dyDescent="0.25">
      <c r="A1255" s="93">
        <v>42826</v>
      </c>
      <c r="B1255" s="35">
        <f>C1255+(D1255-2009)*12</f>
        <v>99</v>
      </c>
      <c r="C1255" s="76">
        <v>3</v>
      </c>
      <c r="D1255" s="76">
        <v>2017</v>
      </c>
      <c r="E1255" s="56">
        <v>0</v>
      </c>
      <c r="F1255" s="53">
        <f>IF(E1255&gt;0,1,0)</f>
        <v>0</v>
      </c>
      <c r="G1255" s="53">
        <f>SUM(F1254:F1255)</f>
        <v>1</v>
      </c>
      <c r="H1255" s="53">
        <f>IF(G1255=1,IF(F1254=1,1,-1),G1255)</f>
        <v>1</v>
      </c>
      <c r="I1255" s="53" t="str">
        <f>VLOOKUP(H1255,codes,2,)</f>
        <v>wd</v>
      </c>
      <c r="J1255" s="53"/>
    </row>
    <row r="1256" spans="1:10" x14ac:dyDescent="0.25">
      <c r="A1256" s="93">
        <v>42827</v>
      </c>
      <c r="B1256" s="35">
        <f>C1256+(D1256-2009)*12</f>
        <v>99</v>
      </c>
      <c r="C1256" s="76">
        <v>3</v>
      </c>
      <c r="D1256" s="76">
        <v>2017</v>
      </c>
      <c r="E1256" s="56">
        <v>1.5333333333333332</v>
      </c>
      <c r="F1256" s="53">
        <f>IF(E1256&gt;0,1,0)</f>
        <v>1</v>
      </c>
      <c r="G1256" s="53">
        <f>SUM(F1255:F1256)</f>
        <v>1</v>
      </c>
      <c r="H1256" s="53">
        <f>IF(G1256=1,IF(F1255=1,1,-1),G1256)</f>
        <v>-1</v>
      </c>
      <c r="I1256" s="53" t="str">
        <f>VLOOKUP(H1256,codes,2,)</f>
        <v>dw</v>
      </c>
      <c r="J1256" s="53"/>
    </row>
    <row r="1257" spans="1:10" x14ac:dyDescent="0.25">
      <c r="A1257" s="93">
        <v>43163</v>
      </c>
      <c r="B1257" s="35">
        <f>C1257+(D1257-2009)*12</f>
        <v>111</v>
      </c>
      <c r="C1257" s="76">
        <v>3</v>
      </c>
      <c r="D1257" s="76">
        <v>2018</v>
      </c>
      <c r="E1257" s="56">
        <v>2.2666666666666666</v>
      </c>
      <c r="F1257" s="53">
        <f>IF(E1257&gt;0,1,0)</f>
        <v>1</v>
      </c>
      <c r="G1257" s="53">
        <f>SUM(F1256:F1257)</f>
        <v>2</v>
      </c>
      <c r="H1257" s="53">
        <f>IF(G1257=1,IF(F1256=1,1,-1),G1257)</f>
        <v>2</v>
      </c>
      <c r="I1257" s="53" t="str">
        <f>VLOOKUP(H1257,codes,2,)</f>
        <v>ww</v>
      </c>
      <c r="J1257" s="53"/>
    </row>
    <row r="1258" spans="1:10" x14ac:dyDescent="0.25">
      <c r="A1258" s="93">
        <v>43164</v>
      </c>
      <c r="B1258" s="35">
        <f>C1258+(D1258-2009)*12</f>
        <v>111</v>
      </c>
      <c r="C1258" s="76">
        <v>3</v>
      </c>
      <c r="D1258" s="76">
        <v>2018</v>
      </c>
      <c r="E1258" s="56">
        <v>5.7333333333333334</v>
      </c>
      <c r="F1258" s="53">
        <f>IF(E1258&gt;0,1,0)</f>
        <v>1</v>
      </c>
      <c r="G1258" s="53">
        <f>SUM(F1257:F1258)</f>
        <v>2</v>
      </c>
      <c r="H1258" s="53">
        <f>IF(G1258=1,IF(F1257=1,1,-1),G1258)</f>
        <v>2</v>
      </c>
      <c r="I1258" s="53" t="str">
        <f>VLOOKUP(H1258,codes,2,)</f>
        <v>ww</v>
      </c>
      <c r="J1258" s="53"/>
    </row>
    <row r="1259" spans="1:10" x14ac:dyDescent="0.25">
      <c r="A1259" s="93">
        <v>43165</v>
      </c>
      <c r="B1259" s="35">
        <f>C1259+(D1259-2009)*12</f>
        <v>111</v>
      </c>
      <c r="C1259" s="76">
        <v>3</v>
      </c>
      <c r="D1259" s="76">
        <v>2018</v>
      </c>
      <c r="E1259" s="56">
        <v>12.4</v>
      </c>
      <c r="F1259" s="53">
        <f>IF(E1259&gt;0,1,0)</f>
        <v>1</v>
      </c>
      <c r="G1259" s="53">
        <f>SUM(F1258:F1259)</f>
        <v>2</v>
      </c>
      <c r="H1259" s="53">
        <f>IF(G1259=1,IF(F1258=1,1,-1),G1259)</f>
        <v>2</v>
      </c>
      <c r="I1259" s="53" t="str">
        <f>VLOOKUP(H1259,codes,2,)</f>
        <v>ww</v>
      </c>
      <c r="J1259" s="53"/>
    </row>
    <row r="1260" spans="1:10" x14ac:dyDescent="0.25">
      <c r="A1260" s="93">
        <v>43166</v>
      </c>
      <c r="B1260" s="35">
        <f>C1260+(D1260-2009)*12</f>
        <v>111</v>
      </c>
      <c r="C1260" s="76">
        <v>3</v>
      </c>
      <c r="D1260" s="76">
        <v>2018</v>
      </c>
      <c r="E1260" s="56">
        <v>0.6</v>
      </c>
      <c r="F1260" s="53">
        <f>IF(E1260&gt;0,1,0)</f>
        <v>1</v>
      </c>
      <c r="G1260" s="53">
        <f>SUM(F1259:F1260)</f>
        <v>2</v>
      </c>
      <c r="H1260" s="53">
        <f>IF(G1260=1,IF(F1259=1,1,-1),G1260)</f>
        <v>2</v>
      </c>
      <c r="I1260" s="53" t="str">
        <f>VLOOKUP(H1260,codes,2,)</f>
        <v>ww</v>
      </c>
      <c r="J1260" s="53"/>
    </row>
    <row r="1261" spans="1:10" x14ac:dyDescent="0.25">
      <c r="A1261" s="93">
        <v>43167</v>
      </c>
      <c r="B1261" s="35">
        <f>C1261+(D1261-2009)*12</f>
        <v>111</v>
      </c>
      <c r="C1261" s="76">
        <v>3</v>
      </c>
      <c r="D1261" s="76">
        <v>2018</v>
      </c>
      <c r="E1261" s="56">
        <v>6.6666666666666666E-2</v>
      </c>
      <c r="F1261" s="53">
        <f>IF(E1261&gt;0,1,0)</f>
        <v>1</v>
      </c>
      <c r="G1261" s="53">
        <f>SUM(F1260:F1261)</f>
        <v>2</v>
      </c>
      <c r="H1261" s="53">
        <f>IF(G1261=1,IF(F1260=1,1,-1),G1261)</f>
        <v>2</v>
      </c>
      <c r="I1261" s="53" t="str">
        <f>VLOOKUP(H1261,codes,2,)</f>
        <v>ww</v>
      </c>
      <c r="J1261" s="53"/>
    </row>
    <row r="1262" spans="1:10" x14ac:dyDescent="0.25">
      <c r="A1262" s="93">
        <v>43168</v>
      </c>
      <c r="B1262" s="35">
        <f>C1262+(D1262-2009)*12</f>
        <v>111</v>
      </c>
      <c r="C1262" s="76">
        <v>3</v>
      </c>
      <c r="D1262" s="76">
        <v>2018</v>
      </c>
      <c r="E1262" s="56">
        <v>0</v>
      </c>
      <c r="F1262" s="53">
        <f>IF(E1262&gt;0,1,0)</f>
        <v>0</v>
      </c>
      <c r="G1262" s="53">
        <f>SUM(F1261:F1262)</f>
        <v>1</v>
      </c>
      <c r="H1262" s="53">
        <f>IF(G1262=1,IF(F1261=1,1,-1),G1262)</f>
        <v>1</v>
      </c>
      <c r="I1262" s="53" t="str">
        <f>VLOOKUP(H1262,codes,2,)</f>
        <v>wd</v>
      </c>
      <c r="J1262" s="53"/>
    </row>
    <row r="1263" spans="1:10" x14ac:dyDescent="0.25">
      <c r="A1263" s="93">
        <v>43169</v>
      </c>
      <c r="B1263" s="35">
        <f>C1263+(D1263-2009)*12</f>
        <v>111</v>
      </c>
      <c r="C1263" s="76">
        <v>3</v>
      </c>
      <c r="D1263" s="76">
        <v>2018</v>
      </c>
      <c r="E1263" s="56">
        <v>6.6000000000000005</v>
      </c>
      <c r="F1263" s="53">
        <f>IF(E1263&gt;0,1,0)</f>
        <v>1</v>
      </c>
      <c r="G1263" s="53">
        <f>SUM(F1262:F1263)</f>
        <v>1</v>
      </c>
      <c r="H1263" s="53">
        <f>IF(G1263=1,IF(F1262=1,1,-1),G1263)</f>
        <v>-1</v>
      </c>
      <c r="I1263" s="53" t="str">
        <f>VLOOKUP(H1263,codes,2,)</f>
        <v>dw</v>
      </c>
      <c r="J1263" s="53"/>
    </row>
    <row r="1264" spans="1:10" x14ac:dyDescent="0.25">
      <c r="A1264" s="93">
        <v>43170</v>
      </c>
      <c r="B1264" s="35">
        <f>C1264+(D1264-2009)*12</f>
        <v>111</v>
      </c>
      <c r="C1264" s="76">
        <v>3</v>
      </c>
      <c r="D1264" s="76">
        <v>2018</v>
      </c>
      <c r="E1264" s="56">
        <v>2.5333333333333332</v>
      </c>
      <c r="F1264" s="53">
        <f>IF(E1264&gt;0,1,0)</f>
        <v>1</v>
      </c>
      <c r="G1264" s="53">
        <f>SUM(F1263:F1264)</f>
        <v>2</v>
      </c>
      <c r="H1264" s="53">
        <f>IF(G1264=1,IF(F1263=1,1,-1),G1264)</f>
        <v>2</v>
      </c>
      <c r="I1264" s="53" t="str">
        <f>VLOOKUP(H1264,codes,2,)</f>
        <v>ww</v>
      </c>
      <c r="J1264" s="53"/>
    </row>
    <row r="1265" spans="1:10" x14ac:dyDescent="0.25">
      <c r="A1265" s="93">
        <v>43171</v>
      </c>
      <c r="B1265" s="35">
        <f>C1265+(D1265-2009)*12</f>
        <v>111</v>
      </c>
      <c r="C1265" s="76">
        <v>3</v>
      </c>
      <c r="D1265" s="76">
        <v>2018</v>
      </c>
      <c r="E1265" s="56">
        <v>6.6666666666666666E-2</v>
      </c>
      <c r="F1265" s="53">
        <f>IF(E1265&gt;0,1,0)</f>
        <v>1</v>
      </c>
      <c r="G1265" s="53">
        <f>SUM(F1264:F1265)</f>
        <v>2</v>
      </c>
      <c r="H1265" s="53">
        <f>IF(G1265=1,IF(F1264=1,1,-1),G1265)</f>
        <v>2</v>
      </c>
      <c r="I1265" s="53" t="str">
        <f>VLOOKUP(H1265,codes,2,)</f>
        <v>ww</v>
      </c>
      <c r="J1265" s="53"/>
    </row>
    <row r="1266" spans="1:10" x14ac:dyDescent="0.25">
      <c r="A1266" s="93">
        <v>43172</v>
      </c>
      <c r="B1266" s="35">
        <f>C1266+(D1266-2009)*12</f>
        <v>111</v>
      </c>
      <c r="C1266" s="76">
        <v>3</v>
      </c>
      <c r="D1266" s="76">
        <v>2018</v>
      </c>
      <c r="E1266" s="56">
        <v>2.5333333333333337</v>
      </c>
      <c r="F1266" s="53">
        <f>IF(E1266&gt;0,1,0)</f>
        <v>1</v>
      </c>
      <c r="G1266" s="53">
        <f>SUM(F1265:F1266)</f>
        <v>2</v>
      </c>
      <c r="H1266" s="53">
        <f>IF(G1266=1,IF(F1265=1,1,-1),G1266)</f>
        <v>2</v>
      </c>
      <c r="I1266" s="53" t="str">
        <f>VLOOKUP(H1266,codes,2,)</f>
        <v>ww</v>
      </c>
      <c r="J1266" s="53"/>
    </row>
    <row r="1267" spans="1:10" x14ac:dyDescent="0.25">
      <c r="A1267" s="93">
        <v>43173</v>
      </c>
      <c r="B1267" s="35">
        <f>C1267+(D1267-2009)*12</f>
        <v>111</v>
      </c>
      <c r="C1267" s="76">
        <v>3</v>
      </c>
      <c r="D1267" s="76">
        <v>2018</v>
      </c>
      <c r="E1267" s="56">
        <v>0</v>
      </c>
      <c r="F1267" s="53">
        <f>IF(E1267&gt;0,1,0)</f>
        <v>0</v>
      </c>
      <c r="G1267" s="53">
        <f>SUM(F1266:F1267)</f>
        <v>1</v>
      </c>
      <c r="H1267" s="53">
        <f>IF(G1267=1,IF(F1266=1,1,-1),G1267)</f>
        <v>1</v>
      </c>
      <c r="I1267" s="53" t="str">
        <f>VLOOKUP(H1267,codes,2,)</f>
        <v>wd</v>
      </c>
      <c r="J1267" s="53"/>
    </row>
    <row r="1268" spans="1:10" x14ac:dyDescent="0.25">
      <c r="A1268" s="93">
        <v>43174</v>
      </c>
      <c r="B1268" s="35">
        <f>C1268+(D1268-2009)*12</f>
        <v>111</v>
      </c>
      <c r="C1268" s="76">
        <v>3</v>
      </c>
      <c r="D1268" s="76">
        <v>2018</v>
      </c>
      <c r="E1268" s="56">
        <v>0</v>
      </c>
      <c r="F1268" s="53">
        <f>IF(E1268&gt;0,1,0)</f>
        <v>0</v>
      </c>
      <c r="G1268" s="53">
        <f>SUM(F1267:F1268)</f>
        <v>0</v>
      </c>
      <c r="H1268" s="53">
        <f>IF(G1268=1,IF(F1267=1,1,-1),G1268)</f>
        <v>0</v>
      </c>
      <c r="I1268" s="53" t="str">
        <f>VLOOKUP(H1268,codes,2,)</f>
        <v>dd</v>
      </c>
      <c r="J1268" s="53"/>
    </row>
    <row r="1269" spans="1:10" x14ac:dyDescent="0.25">
      <c r="A1269" s="93">
        <v>43175</v>
      </c>
      <c r="B1269" s="35">
        <f>C1269+(D1269-2009)*12</f>
        <v>111</v>
      </c>
      <c r="C1269" s="76">
        <v>3</v>
      </c>
      <c r="D1269" s="76">
        <v>2018</v>
      </c>
      <c r="E1269" s="56">
        <v>18.400000000000002</v>
      </c>
      <c r="F1269" s="53">
        <f>IF(E1269&gt;0,1,0)</f>
        <v>1</v>
      </c>
      <c r="G1269" s="53">
        <f>SUM(F1268:F1269)</f>
        <v>1</v>
      </c>
      <c r="H1269" s="53">
        <f>IF(G1269=1,IF(F1268=1,1,-1),G1269)</f>
        <v>-1</v>
      </c>
      <c r="I1269" s="53" t="str">
        <f>VLOOKUP(H1269,codes,2,)</f>
        <v>dw</v>
      </c>
      <c r="J1269" s="53"/>
    </row>
    <row r="1270" spans="1:10" x14ac:dyDescent="0.25">
      <c r="A1270" s="93">
        <v>43176</v>
      </c>
      <c r="B1270" s="35">
        <f>C1270+(D1270-2009)*12</f>
        <v>111</v>
      </c>
      <c r="C1270" s="76">
        <v>3</v>
      </c>
      <c r="D1270" s="76">
        <v>2018</v>
      </c>
      <c r="E1270" s="56">
        <v>6.1333333333333337</v>
      </c>
      <c r="F1270" s="53">
        <f>IF(E1270&gt;0,1,0)</f>
        <v>1</v>
      </c>
      <c r="G1270" s="53">
        <f>SUM(F1269:F1270)</f>
        <v>2</v>
      </c>
      <c r="H1270" s="53">
        <f>IF(G1270=1,IF(F1269=1,1,-1),G1270)</f>
        <v>2</v>
      </c>
      <c r="I1270" s="53" t="str">
        <f>VLOOKUP(H1270,codes,2,)</f>
        <v>ww</v>
      </c>
      <c r="J1270" s="53"/>
    </row>
    <row r="1271" spans="1:10" x14ac:dyDescent="0.25">
      <c r="A1271" s="93">
        <v>43177</v>
      </c>
      <c r="B1271" s="35">
        <f>C1271+(D1271-2009)*12</f>
        <v>111</v>
      </c>
      <c r="C1271" s="76">
        <v>3</v>
      </c>
      <c r="D1271" s="76">
        <v>2018</v>
      </c>
      <c r="E1271" s="56">
        <v>1.3333333333333333</v>
      </c>
      <c r="F1271" s="53">
        <f>IF(E1271&gt;0,1,0)</f>
        <v>1</v>
      </c>
      <c r="G1271" s="53">
        <f>SUM(F1270:F1271)</f>
        <v>2</v>
      </c>
      <c r="H1271" s="53">
        <f>IF(G1271=1,IF(F1270=1,1,-1),G1271)</f>
        <v>2</v>
      </c>
      <c r="I1271" s="53" t="str">
        <f>VLOOKUP(H1271,codes,2,)</f>
        <v>ww</v>
      </c>
      <c r="J1271" s="53"/>
    </row>
    <row r="1272" spans="1:10" x14ac:dyDescent="0.25">
      <c r="A1272" s="93">
        <v>43178</v>
      </c>
      <c r="B1272" s="35">
        <f>C1272+(D1272-2009)*12</f>
        <v>111</v>
      </c>
      <c r="C1272" s="76">
        <v>3</v>
      </c>
      <c r="D1272" s="76">
        <v>2018</v>
      </c>
      <c r="E1272" s="56">
        <v>0.66666666666666663</v>
      </c>
      <c r="F1272" s="53">
        <f>IF(E1272&gt;0,1,0)</f>
        <v>1</v>
      </c>
      <c r="G1272" s="53">
        <f>SUM(F1271:F1272)</f>
        <v>2</v>
      </c>
      <c r="H1272" s="53">
        <f>IF(G1272=1,IF(F1271=1,1,-1),G1272)</f>
        <v>2</v>
      </c>
      <c r="I1272" s="53" t="str">
        <f>VLOOKUP(H1272,codes,2,)</f>
        <v>ww</v>
      </c>
      <c r="J1272" s="53"/>
    </row>
    <row r="1273" spans="1:10" x14ac:dyDescent="0.25">
      <c r="A1273" s="93">
        <v>43179</v>
      </c>
      <c r="B1273" s="35">
        <f>C1273+(D1273-2009)*12</f>
        <v>111</v>
      </c>
      <c r="C1273" s="76">
        <v>3</v>
      </c>
      <c r="D1273" s="76">
        <v>2018</v>
      </c>
      <c r="E1273" s="56">
        <v>0</v>
      </c>
      <c r="F1273" s="53">
        <f>IF(E1273&gt;0,1,0)</f>
        <v>0</v>
      </c>
      <c r="G1273" s="53">
        <f>SUM(F1272:F1273)</f>
        <v>1</v>
      </c>
      <c r="H1273" s="53">
        <f>IF(G1273=1,IF(F1272=1,1,-1),G1273)</f>
        <v>1</v>
      </c>
      <c r="I1273" s="53" t="str">
        <f>VLOOKUP(H1273,codes,2,)</f>
        <v>wd</v>
      </c>
      <c r="J1273" s="53"/>
    </row>
    <row r="1274" spans="1:10" x14ac:dyDescent="0.25">
      <c r="A1274" s="93">
        <v>43180</v>
      </c>
      <c r="B1274" s="35">
        <f>C1274+(D1274-2009)*12</f>
        <v>111</v>
      </c>
      <c r="C1274" s="76">
        <v>3</v>
      </c>
      <c r="D1274" s="76">
        <v>2018</v>
      </c>
      <c r="E1274" s="56">
        <v>0</v>
      </c>
      <c r="F1274" s="53">
        <f>IF(E1274&gt;0,1,0)</f>
        <v>0</v>
      </c>
      <c r="G1274" s="53">
        <f>SUM(F1273:F1274)</f>
        <v>0</v>
      </c>
      <c r="H1274" s="53">
        <f>IF(G1274=1,IF(F1273=1,1,-1),G1274)</f>
        <v>0</v>
      </c>
      <c r="I1274" s="53" t="str">
        <f>VLOOKUP(H1274,codes,2,)</f>
        <v>dd</v>
      </c>
      <c r="J1274" s="53"/>
    </row>
    <row r="1275" spans="1:10" x14ac:dyDescent="0.25">
      <c r="A1275" s="93">
        <v>43181</v>
      </c>
      <c r="B1275" s="35">
        <f>C1275+(D1275-2009)*12</f>
        <v>111</v>
      </c>
      <c r="C1275" s="76">
        <v>3</v>
      </c>
      <c r="D1275" s="76">
        <v>2018</v>
      </c>
      <c r="E1275" s="56">
        <v>0.39999999999999997</v>
      </c>
      <c r="F1275" s="53">
        <f>IF(E1275&gt;0,1,0)</f>
        <v>1</v>
      </c>
      <c r="G1275" s="53">
        <f>SUM(F1274:F1275)</f>
        <v>1</v>
      </c>
      <c r="H1275" s="53">
        <f>IF(G1275=1,IF(F1274=1,1,-1),G1275)</f>
        <v>-1</v>
      </c>
      <c r="I1275" s="53" t="str">
        <f>VLOOKUP(H1275,codes,2,)</f>
        <v>dw</v>
      </c>
      <c r="J1275" s="53"/>
    </row>
    <row r="1276" spans="1:10" x14ac:dyDescent="0.25">
      <c r="A1276" s="93">
        <v>43182</v>
      </c>
      <c r="B1276" s="35">
        <f>C1276+(D1276-2009)*12</f>
        <v>111</v>
      </c>
      <c r="C1276" s="76">
        <v>3</v>
      </c>
      <c r="D1276" s="76">
        <v>2018</v>
      </c>
      <c r="E1276" s="56">
        <v>1.8</v>
      </c>
      <c r="F1276" s="53">
        <f>IF(E1276&gt;0,1,0)</f>
        <v>1</v>
      </c>
      <c r="G1276" s="53">
        <f>SUM(F1275:F1276)</f>
        <v>2</v>
      </c>
      <c r="H1276" s="53">
        <f>IF(G1276=1,IF(F1275=1,1,-1),G1276)</f>
        <v>2</v>
      </c>
      <c r="I1276" s="53" t="str">
        <f>VLOOKUP(H1276,codes,2,)</f>
        <v>ww</v>
      </c>
      <c r="J1276" s="53"/>
    </row>
    <row r="1277" spans="1:10" x14ac:dyDescent="0.25">
      <c r="A1277" s="93">
        <v>43183</v>
      </c>
      <c r="B1277" s="35">
        <f>C1277+(D1277-2009)*12</f>
        <v>111</v>
      </c>
      <c r="C1277" s="76">
        <v>3</v>
      </c>
      <c r="D1277" s="76">
        <v>2018</v>
      </c>
      <c r="E1277" s="56">
        <v>6.6666666666666666E-2</v>
      </c>
      <c r="F1277" s="53">
        <f>IF(E1277&gt;0,1,0)</f>
        <v>1</v>
      </c>
      <c r="G1277" s="53">
        <f>SUM(F1276:F1277)</f>
        <v>2</v>
      </c>
      <c r="H1277" s="53">
        <f>IF(G1277=1,IF(F1276=1,1,-1),G1277)</f>
        <v>2</v>
      </c>
      <c r="I1277" s="53" t="str">
        <f>VLOOKUP(H1277,codes,2,)</f>
        <v>ww</v>
      </c>
      <c r="J1277" s="53"/>
    </row>
    <row r="1278" spans="1:10" x14ac:dyDescent="0.25">
      <c r="A1278" s="93">
        <v>43184</v>
      </c>
      <c r="B1278" s="35">
        <f>C1278+(D1278-2009)*12</f>
        <v>111</v>
      </c>
      <c r="C1278" s="76">
        <v>3</v>
      </c>
      <c r="D1278" s="76">
        <v>2018</v>
      </c>
      <c r="E1278" s="56">
        <v>0</v>
      </c>
      <c r="F1278" s="53">
        <f>IF(E1278&gt;0,1,0)</f>
        <v>0</v>
      </c>
      <c r="G1278" s="53">
        <f>SUM(F1277:F1278)</f>
        <v>1</v>
      </c>
      <c r="H1278" s="53">
        <f>IF(G1278=1,IF(F1277=1,1,-1),G1278)</f>
        <v>1</v>
      </c>
      <c r="I1278" s="53" t="str">
        <f>VLOOKUP(H1278,codes,2,)</f>
        <v>wd</v>
      </c>
      <c r="J1278" s="53"/>
    </row>
    <row r="1279" spans="1:10" x14ac:dyDescent="0.25">
      <c r="A1279" s="93">
        <v>43185</v>
      </c>
      <c r="B1279" s="35">
        <f>C1279+(D1279-2009)*12</f>
        <v>111</v>
      </c>
      <c r="C1279" s="76">
        <v>3</v>
      </c>
      <c r="D1279" s="76">
        <v>2018</v>
      </c>
      <c r="E1279" s="56">
        <v>0</v>
      </c>
      <c r="F1279" s="53">
        <f>IF(E1279&gt;0,1,0)</f>
        <v>0</v>
      </c>
      <c r="G1279" s="53">
        <f>SUM(F1278:F1279)</f>
        <v>0</v>
      </c>
      <c r="H1279" s="53">
        <f>IF(G1279=1,IF(F1278=1,1,-1),G1279)</f>
        <v>0</v>
      </c>
      <c r="I1279" s="53" t="str">
        <f>VLOOKUP(H1279,codes,2,)</f>
        <v>dd</v>
      </c>
      <c r="J1279" s="53"/>
    </row>
    <row r="1280" spans="1:10" x14ac:dyDescent="0.25">
      <c r="A1280" s="93">
        <v>43186</v>
      </c>
      <c r="B1280" s="35">
        <f>C1280+(D1280-2009)*12</f>
        <v>111</v>
      </c>
      <c r="C1280" s="76">
        <v>3</v>
      </c>
      <c r="D1280" s="76">
        <v>2018</v>
      </c>
      <c r="E1280" s="56">
        <v>3.5333333333333337</v>
      </c>
      <c r="F1280" s="53">
        <f>IF(E1280&gt;0,1,0)</f>
        <v>1</v>
      </c>
      <c r="G1280" s="53">
        <f>SUM(F1279:F1280)</f>
        <v>1</v>
      </c>
      <c r="H1280" s="53">
        <f>IF(G1280=1,IF(F1279=1,1,-1),G1280)</f>
        <v>-1</v>
      </c>
      <c r="I1280" s="53" t="str">
        <f>VLOOKUP(H1280,codes,2,)</f>
        <v>dw</v>
      </c>
      <c r="J1280" s="53"/>
    </row>
    <row r="1281" spans="1:10" x14ac:dyDescent="0.25">
      <c r="A1281" s="93">
        <v>43187</v>
      </c>
      <c r="B1281" s="35">
        <f>C1281+(D1281-2009)*12</f>
        <v>111</v>
      </c>
      <c r="C1281" s="76">
        <v>3</v>
      </c>
      <c r="D1281" s="76">
        <v>2018</v>
      </c>
      <c r="E1281" s="56">
        <v>0.73333333333333339</v>
      </c>
      <c r="F1281" s="53">
        <f>IF(E1281&gt;0,1,0)</f>
        <v>1</v>
      </c>
      <c r="G1281" s="53">
        <f>SUM(F1280:F1281)</f>
        <v>2</v>
      </c>
      <c r="H1281" s="53">
        <f>IF(G1281=1,IF(F1280=1,1,-1),G1281)</f>
        <v>2</v>
      </c>
      <c r="I1281" s="53" t="str">
        <f>VLOOKUP(H1281,codes,2,)</f>
        <v>ww</v>
      </c>
      <c r="J1281" s="53"/>
    </row>
    <row r="1282" spans="1:10" x14ac:dyDescent="0.25">
      <c r="A1282" s="93">
        <v>43188</v>
      </c>
      <c r="B1282" s="35">
        <f>C1282+(D1282-2009)*12</f>
        <v>111</v>
      </c>
      <c r="C1282" s="76">
        <v>3</v>
      </c>
      <c r="D1282" s="76">
        <v>2018</v>
      </c>
      <c r="E1282" s="56">
        <v>2.4666666666666668</v>
      </c>
      <c r="F1282" s="53">
        <f>IF(E1282&gt;0,1,0)</f>
        <v>1</v>
      </c>
      <c r="G1282" s="53">
        <f>SUM(F1281:F1282)</f>
        <v>2</v>
      </c>
      <c r="H1282" s="53">
        <f>IF(G1282=1,IF(F1281=1,1,-1),G1282)</f>
        <v>2</v>
      </c>
      <c r="I1282" s="53" t="str">
        <f>VLOOKUP(H1282,codes,2,)</f>
        <v>ww</v>
      </c>
      <c r="J1282" s="53"/>
    </row>
    <row r="1283" spans="1:10" x14ac:dyDescent="0.25">
      <c r="A1283" s="93">
        <v>43189</v>
      </c>
      <c r="B1283" s="35">
        <f>C1283+(D1283-2009)*12</f>
        <v>111</v>
      </c>
      <c r="C1283" s="76">
        <v>3</v>
      </c>
      <c r="D1283" s="76">
        <v>2018</v>
      </c>
      <c r="E1283" s="56">
        <v>5.5333333333333341</v>
      </c>
      <c r="F1283" s="53">
        <f>IF(E1283&gt;0,1,0)</f>
        <v>1</v>
      </c>
      <c r="G1283" s="53">
        <f>SUM(F1282:F1283)</f>
        <v>2</v>
      </c>
      <c r="H1283" s="53">
        <f>IF(G1283=1,IF(F1282=1,1,-1),G1283)</f>
        <v>2</v>
      </c>
      <c r="I1283" s="53" t="str">
        <f>VLOOKUP(H1283,codes,2,)</f>
        <v>ww</v>
      </c>
      <c r="J1283" s="53"/>
    </row>
    <row r="1284" spans="1:10" x14ac:dyDescent="0.25">
      <c r="A1284" s="93">
        <v>43190</v>
      </c>
      <c r="B1284" s="35">
        <f>C1284+(D1284-2009)*12</f>
        <v>111</v>
      </c>
      <c r="C1284" s="76">
        <v>3</v>
      </c>
      <c r="D1284" s="76">
        <v>2018</v>
      </c>
      <c r="E1284" s="56">
        <v>7.1333333333333329</v>
      </c>
      <c r="F1284" s="53">
        <f>IF(E1284&gt;0,1,0)</f>
        <v>1</v>
      </c>
      <c r="G1284" s="53">
        <f>SUM(F1283:F1284)</f>
        <v>2</v>
      </c>
      <c r="H1284" s="53">
        <f>IF(G1284=1,IF(F1283=1,1,-1),G1284)</f>
        <v>2</v>
      </c>
      <c r="I1284" s="53" t="str">
        <f>VLOOKUP(H1284,codes,2,)</f>
        <v>ww</v>
      </c>
      <c r="J1284" s="53"/>
    </row>
    <row r="1285" spans="1:10" x14ac:dyDescent="0.25">
      <c r="A1285" s="93">
        <v>43191</v>
      </c>
      <c r="B1285" s="35">
        <f>C1285+(D1285-2009)*12</f>
        <v>111</v>
      </c>
      <c r="C1285" s="76">
        <v>3</v>
      </c>
      <c r="D1285" s="76">
        <v>2018</v>
      </c>
      <c r="E1285" s="56">
        <v>3.6666666666666665</v>
      </c>
      <c r="F1285" s="53">
        <f>IF(E1285&gt;0,1,0)</f>
        <v>1</v>
      </c>
      <c r="G1285" s="53">
        <f>SUM(F1284:F1285)</f>
        <v>2</v>
      </c>
      <c r="H1285" s="53">
        <f>IF(G1285=1,IF(F1284=1,1,-1),G1285)</f>
        <v>2</v>
      </c>
      <c r="I1285" s="53" t="str">
        <f>VLOOKUP(H1285,codes,2,)</f>
        <v>ww</v>
      </c>
      <c r="J1285" s="53"/>
    </row>
    <row r="1286" spans="1:10" x14ac:dyDescent="0.25">
      <c r="A1286" s="93">
        <v>43192</v>
      </c>
      <c r="B1286" s="35">
        <f>C1286+(D1286-2009)*12</f>
        <v>111</v>
      </c>
      <c r="C1286" s="76">
        <v>3</v>
      </c>
      <c r="D1286" s="76">
        <v>2018</v>
      </c>
      <c r="E1286" s="56">
        <v>2.8666666666666667</v>
      </c>
      <c r="F1286" s="53">
        <f>IF(E1286&gt;0,1,0)</f>
        <v>1</v>
      </c>
      <c r="G1286" s="53">
        <f>SUM(F1285:F1286)</f>
        <v>2</v>
      </c>
      <c r="H1286" s="53">
        <f>IF(G1286=1,IF(F1285=1,1,-1),G1286)</f>
        <v>2</v>
      </c>
      <c r="I1286" s="53" t="str">
        <f>VLOOKUP(H1286,codes,2,)</f>
        <v>ww</v>
      </c>
      <c r="J1286" s="53"/>
    </row>
    <row r="1287" spans="1:10" x14ac:dyDescent="0.25">
      <c r="A1287" s="93">
        <v>43193</v>
      </c>
      <c r="B1287" s="35">
        <f>C1287+(D1287-2009)*12</f>
        <v>111</v>
      </c>
      <c r="C1287" s="76">
        <v>3</v>
      </c>
      <c r="D1287" s="76">
        <v>2018</v>
      </c>
      <c r="E1287" s="56">
        <v>14.866666666666665</v>
      </c>
      <c r="F1287" s="53">
        <f>IF(E1287&gt;0,1,0)</f>
        <v>1</v>
      </c>
      <c r="G1287" s="53">
        <f>SUM(F1286:F1287)</f>
        <v>2</v>
      </c>
      <c r="H1287" s="53">
        <f>IF(G1287=1,IF(F1286=1,1,-1),G1287)</f>
        <v>2</v>
      </c>
      <c r="I1287" s="53" t="str">
        <f>VLOOKUP(H1287,codes,2,)</f>
        <v>ww</v>
      </c>
      <c r="J1287" s="53"/>
    </row>
    <row r="1288" spans="1:10" x14ac:dyDescent="0.25">
      <c r="A1288" s="93">
        <v>43525</v>
      </c>
      <c r="B1288" s="35">
        <f>C1288+(D1288-2009)*12</f>
        <v>123</v>
      </c>
      <c r="C1288" s="76">
        <v>3</v>
      </c>
      <c r="D1288" s="76">
        <v>2019</v>
      </c>
      <c r="E1288" s="56">
        <v>0.66666666666666663</v>
      </c>
      <c r="F1288" s="53">
        <f>IF(E1288&gt;0,1,0)</f>
        <v>1</v>
      </c>
      <c r="G1288" s="53">
        <f>SUM(F1287:F1288)</f>
        <v>2</v>
      </c>
      <c r="H1288" s="53">
        <f>IF(G1288=1,IF(F1287=1,1,-1),G1288)</f>
        <v>2</v>
      </c>
      <c r="I1288" s="53" t="str">
        <f>VLOOKUP(H1288,codes,2,)</f>
        <v>ww</v>
      </c>
      <c r="J1288" s="53"/>
    </row>
    <row r="1289" spans="1:10" x14ac:dyDescent="0.25">
      <c r="A1289" s="93">
        <v>43526</v>
      </c>
      <c r="B1289" s="35">
        <f>C1289+(D1289-2009)*12</f>
        <v>123</v>
      </c>
      <c r="C1289" s="76">
        <v>3</v>
      </c>
      <c r="D1289" s="76">
        <v>2019</v>
      </c>
      <c r="E1289" s="56">
        <v>6.3999999999999995</v>
      </c>
      <c r="F1289" s="53">
        <f>IF(E1289&gt;0,1,0)</f>
        <v>1</v>
      </c>
      <c r="G1289" s="53">
        <f>SUM(F1288:F1289)</f>
        <v>2</v>
      </c>
      <c r="H1289" s="53">
        <f>IF(G1289=1,IF(F1288=1,1,-1),G1289)</f>
        <v>2</v>
      </c>
      <c r="I1289" s="53" t="str">
        <f>VLOOKUP(H1289,codes,2,)</f>
        <v>ww</v>
      </c>
      <c r="J1289" s="53"/>
    </row>
    <row r="1290" spans="1:10" x14ac:dyDescent="0.25">
      <c r="A1290" s="93">
        <v>43527</v>
      </c>
      <c r="B1290" s="35">
        <f>C1290+(D1290-2009)*12</f>
        <v>123</v>
      </c>
      <c r="C1290" s="76">
        <v>3</v>
      </c>
      <c r="D1290" s="76">
        <v>2019</v>
      </c>
      <c r="E1290" s="56">
        <v>0.46666666666666662</v>
      </c>
      <c r="F1290" s="53">
        <f>IF(E1290&gt;0,1,0)</f>
        <v>1</v>
      </c>
      <c r="G1290" s="53">
        <f>SUM(F1289:F1290)</f>
        <v>2</v>
      </c>
      <c r="H1290" s="53">
        <f>IF(G1290=1,IF(F1289=1,1,-1),G1290)</f>
        <v>2</v>
      </c>
      <c r="I1290" s="53" t="str">
        <f>VLOOKUP(H1290,codes,2,)</f>
        <v>ww</v>
      </c>
      <c r="J1290" s="53"/>
    </row>
    <row r="1291" spans="1:10" x14ac:dyDescent="0.25">
      <c r="A1291" s="93">
        <v>43528</v>
      </c>
      <c r="B1291" s="35">
        <f>C1291+(D1291-2009)*12</f>
        <v>123</v>
      </c>
      <c r="C1291" s="76">
        <v>3</v>
      </c>
      <c r="D1291" s="76">
        <v>2019</v>
      </c>
      <c r="E1291" s="56">
        <v>9.4666666666666668</v>
      </c>
      <c r="F1291" s="53">
        <f>IF(E1291&gt;0,1,0)</f>
        <v>1</v>
      </c>
      <c r="G1291" s="53">
        <f>SUM(F1290:F1291)</f>
        <v>2</v>
      </c>
      <c r="H1291" s="53">
        <f>IF(G1291=1,IF(F1290=1,1,-1),G1291)</f>
        <v>2</v>
      </c>
      <c r="I1291" s="53" t="str">
        <f>VLOOKUP(H1291,codes,2,)</f>
        <v>ww</v>
      </c>
      <c r="J1291" s="53"/>
    </row>
    <row r="1292" spans="1:10" x14ac:dyDescent="0.25">
      <c r="A1292" s="93">
        <v>43529</v>
      </c>
      <c r="B1292" s="35">
        <f>C1292+(D1292-2009)*12</f>
        <v>123</v>
      </c>
      <c r="C1292" s="76">
        <v>3</v>
      </c>
      <c r="D1292" s="76">
        <v>2019</v>
      </c>
      <c r="E1292" s="56">
        <v>3.8666666666666667</v>
      </c>
      <c r="F1292" s="53">
        <f>IF(E1292&gt;0,1,0)</f>
        <v>1</v>
      </c>
      <c r="G1292" s="53">
        <f>SUM(F1291:F1292)</f>
        <v>2</v>
      </c>
      <c r="H1292" s="53">
        <f>IF(G1292=1,IF(F1291=1,1,-1),G1292)</f>
        <v>2</v>
      </c>
      <c r="I1292" s="53" t="str">
        <f>VLOOKUP(H1292,codes,2,)</f>
        <v>ww</v>
      </c>
      <c r="J1292" s="53"/>
    </row>
    <row r="1293" spans="1:10" x14ac:dyDescent="0.25">
      <c r="A1293" s="93">
        <v>43530</v>
      </c>
      <c r="B1293" s="35">
        <f>C1293+(D1293-2009)*12</f>
        <v>123</v>
      </c>
      <c r="C1293" s="76">
        <v>3</v>
      </c>
      <c r="D1293" s="76">
        <v>2019</v>
      </c>
      <c r="E1293" s="56">
        <v>4.333333333333333</v>
      </c>
      <c r="F1293" s="53">
        <f>IF(E1293&gt;0,1,0)</f>
        <v>1</v>
      </c>
      <c r="G1293" s="53">
        <f>SUM(F1292:F1293)</f>
        <v>2</v>
      </c>
      <c r="H1293" s="53">
        <f>IF(G1293=1,IF(F1292=1,1,-1),G1293)</f>
        <v>2</v>
      </c>
      <c r="I1293" s="53" t="str">
        <f>VLOOKUP(H1293,codes,2,)</f>
        <v>ww</v>
      </c>
      <c r="J1293" s="53"/>
    </row>
    <row r="1294" spans="1:10" x14ac:dyDescent="0.25">
      <c r="A1294" s="93">
        <v>43531</v>
      </c>
      <c r="B1294" s="35">
        <f>C1294+(D1294-2009)*12</f>
        <v>123</v>
      </c>
      <c r="C1294" s="76">
        <v>3</v>
      </c>
      <c r="D1294" s="76">
        <v>2019</v>
      </c>
      <c r="E1294" s="56">
        <v>3.8000000000000003</v>
      </c>
      <c r="F1294" s="53">
        <f>IF(E1294&gt;0,1,0)</f>
        <v>1</v>
      </c>
      <c r="G1294" s="53">
        <f>SUM(F1293:F1294)</f>
        <v>2</v>
      </c>
      <c r="H1294" s="53">
        <f>IF(G1294=1,IF(F1293=1,1,-1),G1294)</f>
        <v>2</v>
      </c>
      <c r="I1294" s="53" t="str">
        <f>VLOOKUP(H1294,codes,2,)</f>
        <v>ww</v>
      </c>
      <c r="J1294" s="53"/>
    </row>
    <row r="1295" spans="1:10" x14ac:dyDescent="0.25">
      <c r="A1295" s="93">
        <v>43532</v>
      </c>
      <c r="B1295" s="35">
        <f>C1295+(D1295-2009)*12</f>
        <v>123</v>
      </c>
      <c r="C1295" s="76">
        <v>3</v>
      </c>
      <c r="D1295" s="76">
        <v>2019</v>
      </c>
      <c r="E1295" s="56">
        <v>2.3333333333333335</v>
      </c>
      <c r="F1295" s="53">
        <f>IF(E1295&gt;0,1,0)</f>
        <v>1</v>
      </c>
      <c r="G1295" s="53">
        <f>SUM(F1294:F1295)</f>
        <v>2</v>
      </c>
      <c r="H1295" s="53">
        <f>IF(G1295=1,IF(F1294=1,1,-1),G1295)</f>
        <v>2</v>
      </c>
      <c r="I1295" s="53" t="str">
        <f>VLOOKUP(H1295,codes,2,)</f>
        <v>ww</v>
      </c>
      <c r="J1295" s="53"/>
    </row>
    <row r="1296" spans="1:10" x14ac:dyDescent="0.25">
      <c r="A1296" s="93">
        <v>43533</v>
      </c>
      <c r="B1296" s="35">
        <f>C1296+(D1296-2009)*12</f>
        <v>123</v>
      </c>
      <c r="C1296" s="76">
        <v>3</v>
      </c>
      <c r="D1296" s="76">
        <v>2019</v>
      </c>
      <c r="E1296" s="56">
        <v>1</v>
      </c>
      <c r="F1296" s="53">
        <f>IF(E1296&gt;0,1,0)</f>
        <v>1</v>
      </c>
      <c r="G1296" s="53">
        <f>SUM(F1295:F1296)</f>
        <v>2</v>
      </c>
      <c r="H1296" s="53">
        <f>IF(G1296=1,IF(F1295=1,1,-1),G1296)</f>
        <v>2</v>
      </c>
      <c r="I1296" s="53" t="str">
        <f>VLOOKUP(H1296,codes,2,)</f>
        <v>ww</v>
      </c>
      <c r="J1296" s="53"/>
    </row>
    <row r="1297" spans="1:10" x14ac:dyDescent="0.25">
      <c r="A1297" s="93">
        <v>43534</v>
      </c>
      <c r="B1297" s="35">
        <f>C1297+(D1297-2009)*12</f>
        <v>123</v>
      </c>
      <c r="C1297" s="76">
        <v>3</v>
      </c>
      <c r="D1297" s="76">
        <v>2019</v>
      </c>
      <c r="E1297" s="56">
        <v>0.86666666666666681</v>
      </c>
      <c r="F1297" s="53">
        <f>IF(E1297&gt;0,1,0)</f>
        <v>1</v>
      </c>
      <c r="G1297" s="53">
        <f>SUM(F1296:F1297)</f>
        <v>2</v>
      </c>
      <c r="H1297" s="53">
        <f>IF(G1297=1,IF(F1296=1,1,-1),G1297)</f>
        <v>2</v>
      </c>
      <c r="I1297" s="53" t="str">
        <f>VLOOKUP(H1297,codes,2,)</f>
        <v>ww</v>
      </c>
      <c r="J1297" s="53"/>
    </row>
    <row r="1298" spans="1:10" x14ac:dyDescent="0.25">
      <c r="A1298" s="93">
        <v>43535</v>
      </c>
      <c r="B1298" s="35">
        <f>C1298+(D1298-2009)*12</f>
        <v>123</v>
      </c>
      <c r="C1298" s="76">
        <v>3</v>
      </c>
      <c r="D1298" s="76">
        <v>2019</v>
      </c>
      <c r="E1298" s="56">
        <v>1.7333333333333334</v>
      </c>
      <c r="F1298" s="53">
        <f>IF(E1298&gt;0,1,0)</f>
        <v>1</v>
      </c>
      <c r="G1298" s="53">
        <f>SUM(F1297:F1298)</f>
        <v>2</v>
      </c>
      <c r="H1298" s="53">
        <f>IF(G1298=1,IF(F1297=1,1,-1),G1298)</f>
        <v>2</v>
      </c>
      <c r="I1298" s="53" t="str">
        <f>VLOOKUP(H1298,codes,2,)</f>
        <v>ww</v>
      </c>
      <c r="J1298" s="53"/>
    </row>
    <row r="1299" spans="1:10" x14ac:dyDescent="0.25">
      <c r="A1299" s="93">
        <v>43536</v>
      </c>
      <c r="B1299" s="35">
        <f>C1299+(D1299-2009)*12</f>
        <v>123</v>
      </c>
      <c r="C1299" s="76">
        <v>3</v>
      </c>
      <c r="D1299" s="76">
        <v>2019</v>
      </c>
      <c r="E1299" s="56">
        <v>1.2666666666666668</v>
      </c>
      <c r="F1299" s="53">
        <f>IF(E1299&gt;0,1,0)</f>
        <v>1</v>
      </c>
      <c r="G1299" s="53">
        <f>SUM(F1298:F1299)</f>
        <v>2</v>
      </c>
      <c r="H1299" s="53">
        <f>IF(G1299=1,IF(F1298=1,1,-1),G1299)</f>
        <v>2</v>
      </c>
      <c r="I1299" s="53" t="str">
        <f>VLOOKUP(H1299,codes,2,)</f>
        <v>ww</v>
      </c>
      <c r="J1299" s="53"/>
    </row>
    <row r="1300" spans="1:10" x14ac:dyDescent="0.25">
      <c r="A1300" s="93">
        <v>43537</v>
      </c>
      <c r="B1300" s="35">
        <f>C1300+(D1300-2009)*12</f>
        <v>123</v>
      </c>
      <c r="C1300" s="76">
        <v>3</v>
      </c>
      <c r="D1300" s="76">
        <v>2019</v>
      </c>
      <c r="E1300" s="56">
        <v>0.33333333333333331</v>
      </c>
      <c r="F1300" s="53">
        <f>IF(E1300&gt;0,1,0)</f>
        <v>1</v>
      </c>
      <c r="G1300" s="53">
        <f>SUM(F1299:F1300)</f>
        <v>2</v>
      </c>
      <c r="H1300" s="53">
        <f>IF(G1300=1,IF(F1299=1,1,-1),G1300)</f>
        <v>2</v>
      </c>
      <c r="I1300" s="53" t="str">
        <f>VLOOKUP(H1300,codes,2,)</f>
        <v>ww</v>
      </c>
      <c r="J1300" s="53"/>
    </row>
    <row r="1301" spans="1:10" x14ac:dyDescent="0.25">
      <c r="A1301" s="93">
        <v>43538</v>
      </c>
      <c r="B1301" s="35">
        <f>C1301+(D1301-2009)*12</f>
        <v>123</v>
      </c>
      <c r="C1301" s="76">
        <v>3</v>
      </c>
      <c r="D1301" s="76">
        <v>2019</v>
      </c>
      <c r="E1301" s="56">
        <v>0.93333333333333324</v>
      </c>
      <c r="F1301" s="53">
        <f>IF(E1301&gt;0,1,0)</f>
        <v>1</v>
      </c>
      <c r="G1301" s="53">
        <f>SUM(F1300:F1301)</f>
        <v>2</v>
      </c>
      <c r="H1301" s="53">
        <f>IF(G1301=1,IF(F1300=1,1,-1),G1301)</f>
        <v>2</v>
      </c>
      <c r="I1301" s="53" t="str">
        <f>VLOOKUP(H1301,codes,2,)</f>
        <v>ww</v>
      </c>
      <c r="J1301" s="53"/>
    </row>
    <row r="1302" spans="1:10" x14ac:dyDescent="0.25">
      <c r="A1302" s="93">
        <v>43539</v>
      </c>
      <c r="B1302" s="35">
        <f>C1302+(D1302-2009)*12</f>
        <v>123</v>
      </c>
      <c r="C1302" s="76">
        <v>3</v>
      </c>
      <c r="D1302" s="76">
        <v>2019</v>
      </c>
      <c r="E1302" s="56">
        <v>0.39999999999999997</v>
      </c>
      <c r="F1302" s="53">
        <f>IF(E1302&gt;0,1,0)</f>
        <v>1</v>
      </c>
      <c r="G1302" s="53">
        <f>SUM(F1301:F1302)</f>
        <v>2</v>
      </c>
      <c r="H1302" s="53">
        <f>IF(G1302=1,IF(F1301=1,1,-1),G1302)</f>
        <v>2</v>
      </c>
      <c r="I1302" s="53" t="str">
        <f>VLOOKUP(H1302,codes,2,)</f>
        <v>ww</v>
      </c>
      <c r="J1302" s="53"/>
    </row>
    <row r="1303" spans="1:10" x14ac:dyDescent="0.25">
      <c r="A1303" s="93">
        <v>43540</v>
      </c>
      <c r="B1303" s="35">
        <f>C1303+(D1303-2009)*12</f>
        <v>123</v>
      </c>
      <c r="C1303" s="76">
        <v>3</v>
      </c>
      <c r="D1303" s="76">
        <v>2019</v>
      </c>
      <c r="E1303" s="56">
        <v>9.6666666666666661</v>
      </c>
      <c r="F1303" s="53">
        <f>IF(E1303&gt;0,1,0)</f>
        <v>1</v>
      </c>
      <c r="G1303" s="53">
        <f>SUM(F1302:F1303)</f>
        <v>2</v>
      </c>
      <c r="H1303" s="53">
        <f>IF(G1303=1,IF(F1302=1,1,-1),G1303)</f>
        <v>2</v>
      </c>
      <c r="I1303" s="53" t="str">
        <f>VLOOKUP(H1303,codes,2,)</f>
        <v>ww</v>
      </c>
      <c r="J1303" s="53"/>
    </row>
    <row r="1304" spans="1:10" x14ac:dyDescent="0.25">
      <c r="A1304" s="93">
        <v>43541</v>
      </c>
      <c r="B1304" s="35">
        <f>C1304+(D1304-2009)*12</f>
        <v>123</v>
      </c>
      <c r="C1304" s="76">
        <v>3</v>
      </c>
      <c r="D1304" s="76">
        <v>2019</v>
      </c>
      <c r="E1304" s="56">
        <v>5.6000000000000005</v>
      </c>
      <c r="F1304" s="53">
        <f>IF(E1304&gt;0,1,0)</f>
        <v>1</v>
      </c>
      <c r="G1304" s="53">
        <f>SUM(F1303:F1304)</f>
        <v>2</v>
      </c>
      <c r="H1304" s="53">
        <f>IF(G1304=1,IF(F1303=1,1,-1),G1304)</f>
        <v>2</v>
      </c>
      <c r="I1304" s="53" t="str">
        <f>VLOOKUP(H1304,codes,2,)</f>
        <v>ww</v>
      </c>
      <c r="J1304" s="53"/>
    </row>
    <row r="1305" spans="1:10" x14ac:dyDescent="0.25">
      <c r="A1305" s="93">
        <v>43542</v>
      </c>
      <c r="B1305" s="35">
        <f>C1305+(D1305-2009)*12</f>
        <v>123</v>
      </c>
      <c r="C1305" s="76">
        <v>3</v>
      </c>
      <c r="D1305" s="76">
        <v>2019</v>
      </c>
      <c r="E1305" s="56">
        <v>2.3333333333333335</v>
      </c>
      <c r="F1305" s="53">
        <f>IF(E1305&gt;0,1,0)</f>
        <v>1</v>
      </c>
      <c r="G1305" s="53">
        <f>SUM(F1304:F1305)</f>
        <v>2</v>
      </c>
      <c r="H1305" s="53">
        <f>IF(G1305=1,IF(F1304=1,1,-1),G1305)</f>
        <v>2</v>
      </c>
      <c r="I1305" s="53" t="str">
        <f>VLOOKUP(H1305,codes,2,)</f>
        <v>ww</v>
      </c>
      <c r="J1305" s="53"/>
    </row>
    <row r="1306" spans="1:10" x14ac:dyDescent="0.25">
      <c r="A1306" s="93">
        <v>43543</v>
      </c>
      <c r="B1306" s="35">
        <f>C1306+(D1306-2009)*12</f>
        <v>123</v>
      </c>
      <c r="C1306" s="76">
        <v>3</v>
      </c>
      <c r="D1306" s="76">
        <v>2019</v>
      </c>
      <c r="E1306" s="56">
        <v>0.46666666666666662</v>
      </c>
      <c r="F1306" s="53">
        <f>IF(E1306&gt;0,1,0)</f>
        <v>1</v>
      </c>
      <c r="G1306" s="53">
        <f>SUM(F1305:F1306)</f>
        <v>2</v>
      </c>
      <c r="H1306" s="53">
        <f>IF(G1306=1,IF(F1305=1,1,-1),G1306)</f>
        <v>2</v>
      </c>
      <c r="I1306" s="53" t="str">
        <f>VLOOKUP(H1306,codes,2,)</f>
        <v>ww</v>
      </c>
      <c r="J1306" s="53"/>
    </row>
    <row r="1307" spans="1:10" x14ac:dyDescent="0.25">
      <c r="A1307" s="93">
        <v>43544</v>
      </c>
      <c r="B1307" s="35">
        <f>C1307+(D1307-2009)*12</f>
        <v>123</v>
      </c>
      <c r="C1307" s="76">
        <v>3</v>
      </c>
      <c r="D1307" s="76">
        <v>2019</v>
      </c>
      <c r="E1307" s="56">
        <v>0</v>
      </c>
      <c r="F1307" s="53">
        <f>IF(E1307&gt;0,1,0)</f>
        <v>0</v>
      </c>
      <c r="G1307" s="53">
        <f>SUM(F1306:F1307)</f>
        <v>1</v>
      </c>
      <c r="H1307" s="53">
        <f>IF(G1307=1,IF(F1306=1,1,-1),G1307)</f>
        <v>1</v>
      </c>
      <c r="I1307" s="53" t="str">
        <f>VLOOKUP(H1307,codes,2,)</f>
        <v>wd</v>
      </c>
      <c r="J1307" s="53"/>
    </row>
    <row r="1308" spans="1:10" x14ac:dyDescent="0.25">
      <c r="A1308" s="93">
        <v>43545</v>
      </c>
      <c r="B1308" s="35">
        <f>C1308+(D1308-2009)*12</f>
        <v>123</v>
      </c>
      <c r="C1308" s="76">
        <v>3</v>
      </c>
      <c r="D1308" s="76">
        <v>2019</v>
      </c>
      <c r="E1308" s="56">
        <v>0</v>
      </c>
      <c r="F1308" s="53">
        <f>IF(E1308&gt;0,1,0)</f>
        <v>0</v>
      </c>
      <c r="G1308" s="53">
        <f>SUM(F1307:F1308)</f>
        <v>0</v>
      </c>
      <c r="H1308" s="53">
        <f>IF(G1308=1,IF(F1307=1,1,-1),G1308)</f>
        <v>0</v>
      </c>
      <c r="I1308" s="53" t="str">
        <f>VLOOKUP(H1308,codes,2,)</f>
        <v>dd</v>
      </c>
      <c r="J1308" s="53"/>
    </row>
    <row r="1309" spans="1:10" x14ac:dyDescent="0.25">
      <c r="A1309" s="93">
        <v>43546</v>
      </c>
      <c r="B1309" s="35">
        <f>C1309+(D1309-2009)*12</f>
        <v>123</v>
      </c>
      <c r="C1309" s="76">
        <v>3</v>
      </c>
      <c r="D1309" s="76">
        <v>2019</v>
      </c>
      <c r="E1309" s="56">
        <v>0</v>
      </c>
      <c r="F1309" s="53">
        <f>IF(E1309&gt;0,1,0)</f>
        <v>0</v>
      </c>
      <c r="G1309" s="53">
        <f>SUM(F1308:F1309)</f>
        <v>0</v>
      </c>
      <c r="H1309" s="53">
        <f>IF(G1309=1,IF(F1308=1,1,-1),G1309)</f>
        <v>0</v>
      </c>
      <c r="I1309" s="53" t="str">
        <f>VLOOKUP(H1309,codes,2,)</f>
        <v>dd</v>
      </c>
      <c r="J1309" s="53"/>
    </row>
    <row r="1310" spans="1:10" x14ac:dyDescent="0.25">
      <c r="A1310" s="93">
        <v>43547</v>
      </c>
      <c r="B1310" s="35">
        <f>C1310+(D1310-2009)*12</f>
        <v>123</v>
      </c>
      <c r="C1310" s="76">
        <v>3</v>
      </c>
      <c r="D1310" s="76">
        <v>2019</v>
      </c>
      <c r="E1310" s="56">
        <v>0.33333333333333331</v>
      </c>
      <c r="F1310" s="53">
        <f>IF(E1310&gt;0,1,0)</f>
        <v>1</v>
      </c>
      <c r="G1310" s="53">
        <f>SUM(F1309:F1310)</f>
        <v>1</v>
      </c>
      <c r="H1310" s="53">
        <f>IF(G1310=1,IF(F1309=1,1,-1),G1310)</f>
        <v>-1</v>
      </c>
      <c r="I1310" s="53" t="str">
        <f>VLOOKUP(H1310,codes,2,)</f>
        <v>dw</v>
      </c>
      <c r="J1310" s="53"/>
    </row>
    <row r="1311" spans="1:10" x14ac:dyDescent="0.25">
      <c r="A1311" s="93">
        <v>43548</v>
      </c>
      <c r="B1311" s="35">
        <f>C1311+(D1311-2009)*12</f>
        <v>123</v>
      </c>
      <c r="C1311" s="76">
        <v>3</v>
      </c>
      <c r="D1311" s="76">
        <v>2019</v>
      </c>
      <c r="E1311" s="56">
        <v>0.13333333333333333</v>
      </c>
      <c r="F1311" s="53">
        <f>IF(E1311&gt;0,1,0)</f>
        <v>1</v>
      </c>
      <c r="G1311" s="53">
        <f>SUM(F1310:F1311)</f>
        <v>2</v>
      </c>
      <c r="H1311" s="53">
        <f>IF(G1311=1,IF(F1310=1,1,-1),G1311)</f>
        <v>2</v>
      </c>
      <c r="I1311" s="53" t="str">
        <f>VLOOKUP(H1311,codes,2,)</f>
        <v>ww</v>
      </c>
      <c r="J1311" s="53"/>
    </row>
    <row r="1312" spans="1:10" x14ac:dyDescent="0.25">
      <c r="A1312" s="93">
        <v>43549</v>
      </c>
      <c r="B1312" s="35">
        <f>C1312+(D1312-2009)*12</f>
        <v>123</v>
      </c>
      <c r="C1312" s="76">
        <v>3</v>
      </c>
      <c r="D1312" s="76">
        <v>2019</v>
      </c>
      <c r="E1312" s="56">
        <v>0.13333333333333333</v>
      </c>
      <c r="F1312" s="53">
        <f>IF(E1312&gt;0,1,0)</f>
        <v>1</v>
      </c>
      <c r="G1312" s="53">
        <f>SUM(F1311:F1312)</f>
        <v>2</v>
      </c>
      <c r="H1312" s="53">
        <f>IF(G1312=1,IF(F1311=1,1,-1),G1312)</f>
        <v>2</v>
      </c>
      <c r="I1312" s="53" t="str">
        <f>VLOOKUP(H1312,codes,2,)</f>
        <v>ww</v>
      </c>
      <c r="J1312" s="53"/>
    </row>
    <row r="1313" spans="1:10" x14ac:dyDescent="0.25">
      <c r="A1313" s="93">
        <v>43550</v>
      </c>
      <c r="B1313" s="35">
        <f>C1313+(D1313-2009)*12</f>
        <v>123</v>
      </c>
      <c r="C1313" s="76">
        <v>3</v>
      </c>
      <c r="D1313" s="76">
        <v>2019</v>
      </c>
      <c r="E1313" s="56">
        <v>6.6666666666666666E-2</v>
      </c>
      <c r="F1313" s="53">
        <f>IF(E1313&gt;0,1,0)</f>
        <v>1</v>
      </c>
      <c r="G1313" s="53">
        <f>SUM(F1312:F1313)</f>
        <v>2</v>
      </c>
      <c r="H1313" s="53">
        <f>IF(G1313=1,IF(F1312=1,1,-1),G1313)</f>
        <v>2</v>
      </c>
      <c r="I1313" s="53" t="str">
        <f>VLOOKUP(H1313,codes,2,)</f>
        <v>ww</v>
      </c>
      <c r="J1313" s="53"/>
    </row>
    <row r="1314" spans="1:10" x14ac:dyDescent="0.25">
      <c r="A1314" s="93">
        <v>43551</v>
      </c>
      <c r="B1314" s="35">
        <f>C1314+(D1314-2009)*12</f>
        <v>123</v>
      </c>
      <c r="C1314" s="76">
        <v>3</v>
      </c>
      <c r="D1314" s="76">
        <v>2019</v>
      </c>
      <c r="E1314" s="56">
        <v>0</v>
      </c>
      <c r="F1314" s="53">
        <f>IF(E1314&gt;0,1,0)</f>
        <v>0</v>
      </c>
      <c r="G1314" s="53">
        <f>SUM(F1313:F1314)</f>
        <v>1</v>
      </c>
      <c r="H1314" s="53">
        <f>IF(G1314=1,IF(F1313=1,1,-1),G1314)</f>
        <v>1</v>
      </c>
      <c r="I1314" s="53" t="str">
        <f>VLOOKUP(H1314,codes,2,)</f>
        <v>wd</v>
      </c>
      <c r="J1314" s="53"/>
    </row>
    <row r="1315" spans="1:10" x14ac:dyDescent="0.25">
      <c r="A1315" s="93">
        <v>43552</v>
      </c>
      <c r="B1315" s="35">
        <f>C1315+(D1315-2009)*12</f>
        <v>123</v>
      </c>
      <c r="C1315" s="76">
        <v>3</v>
      </c>
      <c r="D1315" s="76">
        <v>2019</v>
      </c>
      <c r="E1315" s="56">
        <v>0</v>
      </c>
      <c r="F1315" s="53">
        <f>IF(E1315&gt;0,1,0)</f>
        <v>0</v>
      </c>
      <c r="G1315" s="53">
        <f>SUM(F1314:F1315)</f>
        <v>0</v>
      </c>
      <c r="H1315" s="53">
        <f>IF(G1315=1,IF(F1314=1,1,-1),G1315)</f>
        <v>0</v>
      </c>
      <c r="I1315" s="53" t="str">
        <f>VLOOKUP(H1315,codes,2,)</f>
        <v>dd</v>
      </c>
      <c r="J1315" s="53"/>
    </row>
    <row r="1316" spans="1:10" x14ac:dyDescent="0.25">
      <c r="A1316" s="93">
        <v>43553</v>
      </c>
      <c r="B1316" s="35">
        <f>C1316+(D1316-2009)*12</f>
        <v>123</v>
      </c>
      <c r="C1316" s="76">
        <v>3</v>
      </c>
      <c r="D1316" s="76">
        <v>2019</v>
      </c>
      <c r="E1316" s="56">
        <v>0</v>
      </c>
      <c r="F1316" s="53">
        <f>IF(E1316&gt;0,1,0)</f>
        <v>0</v>
      </c>
      <c r="G1316" s="53">
        <f>SUM(F1315:F1316)</f>
        <v>0</v>
      </c>
      <c r="H1316" s="53">
        <f>IF(G1316=1,IF(F1315=1,1,-1),G1316)</f>
        <v>0</v>
      </c>
      <c r="I1316" s="53" t="str">
        <f>VLOOKUP(H1316,codes,2,)</f>
        <v>dd</v>
      </c>
      <c r="J1316" s="53"/>
    </row>
    <row r="1317" spans="1:10" x14ac:dyDescent="0.25">
      <c r="A1317" s="93">
        <v>43554</v>
      </c>
      <c r="B1317" s="35">
        <f>C1317+(D1317-2009)*12</f>
        <v>123</v>
      </c>
      <c r="C1317" s="76">
        <v>3</v>
      </c>
      <c r="D1317" s="76">
        <v>2019</v>
      </c>
      <c r="E1317" s="56">
        <v>0</v>
      </c>
      <c r="F1317" s="53">
        <f>IF(E1317&gt;0,1,0)</f>
        <v>0</v>
      </c>
      <c r="G1317" s="53">
        <f>SUM(F1316:F1317)</f>
        <v>0</v>
      </c>
      <c r="H1317" s="53">
        <f>IF(G1317=1,IF(F1316=1,1,-1),G1317)</f>
        <v>0</v>
      </c>
      <c r="I1317" s="53" t="str">
        <f>VLOOKUP(H1317,codes,2,)</f>
        <v>dd</v>
      </c>
      <c r="J1317" s="53"/>
    </row>
    <row r="1318" spans="1:10" x14ac:dyDescent="0.25">
      <c r="A1318" s="93">
        <v>43555</v>
      </c>
      <c r="B1318" s="35">
        <f>C1318+(D1318-2009)*12</f>
        <v>123</v>
      </c>
      <c r="C1318" s="76">
        <v>3</v>
      </c>
      <c r="D1318" s="76">
        <v>2019</v>
      </c>
      <c r="E1318" s="56">
        <v>0.93333333333333324</v>
      </c>
      <c r="F1318" s="53">
        <f>IF(E1318&gt;0,1,0)</f>
        <v>1</v>
      </c>
      <c r="G1318" s="53">
        <f>SUM(F1317:F1318)</f>
        <v>1</v>
      </c>
      <c r="H1318" s="53">
        <f>IF(G1318=1,IF(F1317=1,1,-1),G1318)</f>
        <v>-1</v>
      </c>
      <c r="I1318" s="53" t="str">
        <f>VLOOKUP(H1318,codes,2,)</f>
        <v>dw</v>
      </c>
      <c r="J1318" s="53"/>
    </row>
    <row r="1319" spans="1:10" x14ac:dyDescent="0.25">
      <c r="A1319" s="93">
        <v>43891</v>
      </c>
      <c r="B1319" s="35">
        <f>C1319+(D1319-2009)*12</f>
        <v>135</v>
      </c>
      <c r="C1319" s="76">
        <v>3</v>
      </c>
      <c r="D1319" s="53">
        <v>2020</v>
      </c>
      <c r="E1319" s="56">
        <v>1.8</v>
      </c>
      <c r="F1319" s="53">
        <f>IF(E1319&gt;0,1,0)</f>
        <v>1</v>
      </c>
      <c r="G1319" s="53">
        <f>SUM(F1318:F1319)</f>
        <v>2</v>
      </c>
      <c r="H1319" s="53">
        <f>IF(G1319=1,IF(F1318=1,1,-1),G1319)</f>
        <v>2</v>
      </c>
      <c r="I1319" s="53" t="str">
        <f>VLOOKUP(H1319,codes,2,)</f>
        <v>ww</v>
      </c>
      <c r="J1319" s="53"/>
    </row>
    <row r="1320" spans="1:10" x14ac:dyDescent="0.25">
      <c r="A1320" s="93">
        <v>43892</v>
      </c>
      <c r="B1320" s="35">
        <f>C1320+(D1320-2009)*12</f>
        <v>135</v>
      </c>
      <c r="C1320" s="76">
        <v>3</v>
      </c>
      <c r="D1320" s="53">
        <v>2020</v>
      </c>
      <c r="E1320" s="56">
        <v>0</v>
      </c>
      <c r="F1320" s="53">
        <f>IF(E1320&gt;0,1,0)</f>
        <v>0</v>
      </c>
      <c r="G1320" s="53">
        <f>SUM(F1319:F1320)</f>
        <v>1</v>
      </c>
      <c r="H1320" s="53">
        <f>IF(G1320=1,IF(F1319=1,1,-1),G1320)</f>
        <v>1</v>
      </c>
      <c r="I1320" s="53" t="str">
        <f>VLOOKUP(H1320,codes,2,)</f>
        <v>wd</v>
      </c>
      <c r="J1320" s="53"/>
    </row>
    <row r="1321" spans="1:10" x14ac:dyDescent="0.25">
      <c r="A1321" s="93">
        <v>43893</v>
      </c>
      <c r="B1321" s="35">
        <f>C1321+(D1321-2009)*12</f>
        <v>135</v>
      </c>
      <c r="C1321" s="76">
        <v>3</v>
      </c>
      <c r="D1321" s="53">
        <v>2020</v>
      </c>
      <c r="E1321" s="56">
        <v>0</v>
      </c>
      <c r="F1321" s="53">
        <f>IF(E1321&gt;0,1,0)</f>
        <v>0</v>
      </c>
      <c r="G1321" s="53">
        <f>SUM(F1320:F1321)</f>
        <v>0</v>
      </c>
      <c r="H1321" s="53">
        <f>IF(G1321=1,IF(F1320=1,1,-1),G1321)</f>
        <v>0</v>
      </c>
      <c r="I1321" s="53" t="str">
        <f>VLOOKUP(H1321,codes,2,)</f>
        <v>dd</v>
      </c>
      <c r="J1321" s="53"/>
    </row>
    <row r="1322" spans="1:10" x14ac:dyDescent="0.25">
      <c r="A1322" s="93">
        <v>43894</v>
      </c>
      <c r="B1322" s="35">
        <f>C1322+(D1322-2009)*12</f>
        <v>135</v>
      </c>
      <c r="C1322" s="76">
        <v>3</v>
      </c>
      <c r="D1322" s="53">
        <v>2020</v>
      </c>
      <c r="E1322" s="56">
        <v>0.20000000000000004</v>
      </c>
      <c r="F1322" s="53">
        <f>IF(E1322&gt;0,1,0)</f>
        <v>1</v>
      </c>
      <c r="G1322" s="53">
        <f>SUM(F1321:F1322)</f>
        <v>1</v>
      </c>
      <c r="H1322" s="53">
        <f>IF(G1322=1,IF(F1321=1,1,-1),G1322)</f>
        <v>-1</v>
      </c>
      <c r="I1322" s="53" t="str">
        <f>VLOOKUP(H1322,codes,2,)</f>
        <v>dw</v>
      </c>
      <c r="J1322" s="53"/>
    </row>
    <row r="1323" spans="1:10" x14ac:dyDescent="0.25">
      <c r="A1323" s="93">
        <v>43895</v>
      </c>
      <c r="B1323" s="35">
        <f>C1323+(D1323-2009)*12</f>
        <v>135</v>
      </c>
      <c r="C1323" s="76">
        <v>3</v>
      </c>
      <c r="D1323" s="53">
        <v>2020</v>
      </c>
      <c r="E1323" s="56">
        <v>0</v>
      </c>
      <c r="F1323" s="53">
        <f>IF(E1323&gt;0,1,0)</f>
        <v>0</v>
      </c>
      <c r="G1323" s="53">
        <f>SUM(F1322:F1323)</f>
        <v>1</v>
      </c>
      <c r="H1323" s="53">
        <f>IF(G1323=1,IF(F1322=1,1,-1),G1323)</f>
        <v>1</v>
      </c>
      <c r="I1323" s="53" t="str">
        <f>VLOOKUP(H1323,codes,2,)</f>
        <v>wd</v>
      </c>
      <c r="J1323" s="53"/>
    </row>
    <row r="1324" spans="1:10" x14ac:dyDescent="0.25">
      <c r="A1324" s="93">
        <v>43896</v>
      </c>
      <c r="B1324" s="35">
        <f>C1324+(D1324-2009)*12</f>
        <v>135</v>
      </c>
      <c r="C1324" s="76">
        <v>3</v>
      </c>
      <c r="D1324" s="53">
        <v>2020</v>
      </c>
      <c r="E1324" s="56">
        <v>6.6666666666666666E-2</v>
      </c>
      <c r="F1324" s="53">
        <f>IF(E1324&gt;0,1,0)</f>
        <v>1</v>
      </c>
      <c r="G1324" s="53">
        <f>SUM(F1323:F1324)</f>
        <v>1</v>
      </c>
      <c r="H1324" s="53">
        <f>IF(G1324=1,IF(F1323=1,1,-1),G1324)</f>
        <v>-1</v>
      </c>
      <c r="I1324" s="53" t="str">
        <f>VLOOKUP(H1324,codes,2,)</f>
        <v>dw</v>
      </c>
      <c r="J1324" s="53"/>
    </row>
    <row r="1325" spans="1:10" x14ac:dyDescent="0.25">
      <c r="A1325" s="93">
        <v>43897</v>
      </c>
      <c r="B1325" s="35">
        <f>C1325+(D1325-2009)*12</f>
        <v>135</v>
      </c>
      <c r="C1325" s="76">
        <v>3</v>
      </c>
      <c r="D1325" s="53">
        <v>2020</v>
      </c>
      <c r="E1325" s="56">
        <v>0.13333333333333333</v>
      </c>
      <c r="F1325" s="53">
        <f>IF(E1325&gt;0,1,0)</f>
        <v>1</v>
      </c>
      <c r="G1325" s="53">
        <f>SUM(F1324:F1325)</f>
        <v>2</v>
      </c>
      <c r="H1325" s="53">
        <f>IF(G1325=1,IF(F1324=1,1,-1),G1325)</f>
        <v>2</v>
      </c>
      <c r="I1325" s="53" t="str">
        <f>VLOOKUP(H1325,codes,2,)</f>
        <v>ww</v>
      </c>
      <c r="J1325" s="53"/>
    </row>
    <row r="1326" spans="1:10" x14ac:dyDescent="0.25">
      <c r="A1326" s="93">
        <v>43898</v>
      </c>
      <c r="B1326" s="35">
        <f>C1326+(D1326-2009)*12</f>
        <v>135</v>
      </c>
      <c r="C1326" s="76">
        <v>3</v>
      </c>
      <c r="D1326" s="53">
        <v>2020</v>
      </c>
      <c r="E1326" s="56">
        <v>1.8</v>
      </c>
      <c r="F1326" s="53">
        <f>IF(E1326&gt;0,1,0)</f>
        <v>1</v>
      </c>
      <c r="G1326" s="53">
        <f>SUM(F1325:F1326)</f>
        <v>2</v>
      </c>
      <c r="H1326" s="53">
        <f>IF(G1326=1,IF(F1325=1,1,-1),G1326)</f>
        <v>2</v>
      </c>
      <c r="I1326" s="53" t="str">
        <f>VLOOKUP(H1326,codes,2,)</f>
        <v>ww</v>
      </c>
      <c r="J1326" s="53"/>
    </row>
    <row r="1327" spans="1:10" x14ac:dyDescent="0.25">
      <c r="A1327" s="93">
        <v>43899</v>
      </c>
      <c r="B1327" s="35">
        <f>C1327+(D1327-2009)*12</f>
        <v>135</v>
      </c>
      <c r="C1327" s="76">
        <v>3</v>
      </c>
      <c r="D1327" s="53">
        <v>2020</v>
      </c>
      <c r="E1327" s="56">
        <v>6.6666666666666666E-2</v>
      </c>
      <c r="F1327" s="53">
        <f>IF(E1327&gt;0,1,0)</f>
        <v>1</v>
      </c>
      <c r="G1327" s="53">
        <f>SUM(F1326:F1327)</f>
        <v>2</v>
      </c>
      <c r="H1327" s="53">
        <f>IF(G1327=1,IF(F1326=1,1,-1),G1327)</f>
        <v>2</v>
      </c>
      <c r="I1327" s="53" t="str">
        <f>VLOOKUP(H1327,codes,2,)</f>
        <v>ww</v>
      </c>
      <c r="J1327" s="53"/>
    </row>
    <row r="1328" spans="1:10" x14ac:dyDescent="0.25">
      <c r="A1328" s="93">
        <v>43900</v>
      </c>
      <c r="B1328" s="35">
        <f>C1328+(D1328-2009)*12</f>
        <v>135</v>
      </c>
      <c r="C1328" s="76">
        <v>3</v>
      </c>
      <c r="D1328" s="53">
        <v>2020</v>
      </c>
      <c r="E1328" s="56">
        <v>2.3333333333333335</v>
      </c>
      <c r="F1328" s="53">
        <f>IF(E1328&gt;0,1,0)</f>
        <v>1</v>
      </c>
      <c r="G1328" s="53">
        <f>SUM(F1327:F1328)</f>
        <v>2</v>
      </c>
      <c r="H1328" s="53">
        <f>IF(G1328=1,IF(F1327=1,1,-1),G1328)</f>
        <v>2</v>
      </c>
      <c r="I1328" s="53" t="str">
        <f>VLOOKUP(H1328,codes,2,)</f>
        <v>ww</v>
      </c>
      <c r="J1328" s="53"/>
    </row>
    <row r="1329" spans="1:10" x14ac:dyDescent="0.25">
      <c r="A1329" s="93">
        <v>43901</v>
      </c>
      <c r="B1329" s="35">
        <f>C1329+(D1329-2009)*12</f>
        <v>135</v>
      </c>
      <c r="C1329" s="76">
        <v>3</v>
      </c>
      <c r="D1329" s="53">
        <v>2020</v>
      </c>
      <c r="E1329" s="56">
        <v>0.39999999999999997</v>
      </c>
      <c r="F1329" s="53">
        <f>IF(E1329&gt;0,1,0)</f>
        <v>1</v>
      </c>
      <c r="G1329" s="53">
        <f>SUM(F1328:F1329)</f>
        <v>2</v>
      </c>
      <c r="H1329" s="53">
        <f>IF(G1329=1,IF(F1328=1,1,-1),G1329)</f>
        <v>2</v>
      </c>
      <c r="I1329" s="53" t="str">
        <f>VLOOKUP(H1329,codes,2,)</f>
        <v>ww</v>
      </c>
      <c r="J1329" s="53"/>
    </row>
    <row r="1330" spans="1:10" x14ac:dyDescent="0.25">
      <c r="A1330" s="93">
        <v>43902</v>
      </c>
      <c r="B1330" s="35">
        <f>C1330+(D1330-2009)*12</f>
        <v>135</v>
      </c>
      <c r="C1330" s="76">
        <v>3</v>
      </c>
      <c r="D1330" s="53">
        <v>2020</v>
      </c>
      <c r="E1330" s="56">
        <v>9.4</v>
      </c>
      <c r="F1330" s="53">
        <f>IF(E1330&gt;0,1,0)</f>
        <v>1</v>
      </c>
      <c r="G1330" s="53">
        <f>SUM(F1329:F1330)</f>
        <v>2</v>
      </c>
      <c r="H1330" s="53">
        <f>IF(G1330=1,IF(F1329=1,1,-1),G1330)</f>
        <v>2</v>
      </c>
      <c r="I1330" s="53" t="str">
        <f>VLOOKUP(H1330,codes,2,)</f>
        <v>ww</v>
      </c>
      <c r="J1330" s="53"/>
    </row>
    <row r="1331" spans="1:10" x14ac:dyDescent="0.25">
      <c r="A1331" s="93">
        <v>43903</v>
      </c>
      <c r="B1331" s="35">
        <f>C1331+(D1331-2009)*12</f>
        <v>135</v>
      </c>
      <c r="C1331" s="76">
        <v>3</v>
      </c>
      <c r="D1331" s="53">
        <v>2020</v>
      </c>
      <c r="E1331" s="56">
        <v>2.2666666666666666</v>
      </c>
      <c r="F1331" s="53">
        <f>IF(E1331&gt;0,1,0)</f>
        <v>1</v>
      </c>
      <c r="G1331" s="53">
        <f>SUM(F1330:F1331)</f>
        <v>2</v>
      </c>
      <c r="H1331" s="53">
        <f>IF(G1331=1,IF(F1330=1,1,-1),G1331)</f>
        <v>2</v>
      </c>
      <c r="I1331" s="53" t="str">
        <f>VLOOKUP(H1331,codes,2,)</f>
        <v>ww</v>
      </c>
      <c r="J1331" s="53"/>
    </row>
    <row r="1332" spans="1:10" x14ac:dyDescent="0.25">
      <c r="A1332" s="93">
        <v>43904</v>
      </c>
      <c r="B1332" s="35">
        <f>C1332+(D1332-2009)*12</f>
        <v>135</v>
      </c>
      <c r="C1332" s="76">
        <v>3</v>
      </c>
      <c r="D1332" s="53">
        <v>2020</v>
      </c>
      <c r="E1332" s="56">
        <v>0.13333333333333333</v>
      </c>
      <c r="F1332" s="53">
        <f>IF(E1332&gt;0,1,0)</f>
        <v>1</v>
      </c>
      <c r="G1332" s="53">
        <f>SUM(F1331:F1332)</f>
        <v>2</v>
      </c>
      <c r="H1332" s="53">
        <f>IF(G1332=1,IF(F1331=1,1,-1),G1332)</f>
        <v>2</v>
      </c>
      <c r="I1332" s="53" t="str">
        <f>VLOOKUP(H1332,codes,2,)</f>
        <v>ww</v>
      </c>
      <c r="J1332" s="53"/>
    </row>
    <row r="1333" spans="1:10" x14ac:dyDescent="0.25">
      <c r="A1333" s="93">
        <v>43905</v>
      </c>
      <c r="B1333" s="35">
        <f>C1333+(D1333-2009)*12</f>
        <v>135</v>
      </c>
      <c r="C1333" s="76">
        <v>3</v>
      </c>
      <c r="D1333" s="53">
        <v>2020</v>
      </c>
      <c r="E1333" s="56">
        <v>0</v>
      </c>
      <c r="F1333" s="53">
        <f>IF(E1333&gt;0,1,0)</f>
        <v>0</v>
      </c>
      <c r="G1333" s="53">
        <f>SUM(F1332:F1333)</f>
        <v>1</v>
      </c>
      <c r="H1333" s="53">
        <f>IF(G1333=1,IF(F1332=1,1,-1),G1333)</f>
        <v>1</v>
      </c>
      <c r="I1333" s="53" t="str">
        <f>VLOOKUP(H1333,codes,2,)</f>
        <v>wd</v>
      </c>
      <c r="J1333" s="53"/>
    </row>
    <row r="1334" spans="1:10" x14ac:dyDescent="0.25">
      <c r="A1334" s="93">
        <v>43906</v>
      </c>
      <c r="B1334" s="35">
        <f>C1334+(D1334-2009)*12</f>
        <v>135</v>
      </c>
      <c r="C1334" s="76">
        <v>3</v>
      </c>
      <c r="D1334" s="53">
        <v>2020</v>
      </c>
      <c r="E1334" s="56">
        <v>0.33333333333333331</v>
      </c>
      <c r="F1334" s="53">
        <f>IF(E1334&gt;0,1,0)</f>
        <v>1</v>
      </c>
      <c r="G1334" s="53">
        <f>SUM(F1333:F1334)</f>
        <v>1</v>
      </c>
      <c r="H1334" s="53">
        <f>IF(G1334=1,IF(F1333=1,1,-1),G1334)</f>
        <v>-1</v>
      </c>
      <c r="I1334" s="53" t="str">
        <f>VLOOKUP(H1334,codes,2,)</f>
        <v>dw</v>
      </c>
      <c r="J1334" s="53"/>
    </row>
    <row r="1335" spans="1:10" x14ac:dyDescent="0.25">
      <c r="A1335" s="93">
        <v>43907</v>
      </c>
      <c r="B1335" s="35">
        <f>C1335+(D1335-2009)*12</f>
        <v>135</v>
      </c>
      <c r="C1335" s="76">
        <v>3</v>
      </c>
      <c r="D1335" s="53">
        <v>2020</v>
      </c>
      <c r="E1335" s="56">
        <v>0.33333333333333331</v>
      </c>
      <c r="F1335" s="53">
        <f>IF(E1335&gt;0,1,0)</f>
        <v>1</v>
      </c>
      <c r="G1335" s="53">
        <f>SUM(F1334:F1335)</f>
        <v>2</v>
      </c>
      <c r="H1335" s="53">
        <f>IF(G1335=1,IF(F1334=1,1,-1),G1335)</f>
        <v>2</v>
      </c>
      <c r="I1335" s="53" t="str">
        <f>VLOOKUP(H1335,codes,2,)</f>
        <v>ww</v>
      </c>
      <c r="J1335" s="53"/>
    </row>
    <row r="1336" spans="1:10" x14ac:dyDescent="0.25">
      <c r="A1336" s="93">
        <v>43908</v>
      </c>
      <c r="B1336" s="35">
        <f>C1336+(D1336-2009)*12</f>
        <v>135</v>
      </c>
      <c r="C1336" s="76">
        <v>3</v>
      </c>
      <c r="D1336" s="53">
        <v>2020</v>
      </c>
      <c r="E1336" s="56">
        <v>0</v>
      </c>
      <c r="F1336" s="53">
        <f>IF(E1336&gt;0,1,0)</f>
        <v>0</v>
      </c>
      <c r="G1336" s="53">
        <f>SUM(F1335:F1336)</f>
        <v>1</v>
      </c>
      <c r="H1336" s="53">
        <f>IF(G1336=1,IF(F1335=1,1,-1),G1336)</f>
        <v>1</v>
      </c>
      <c r="I1336" s="53" t="str">
        <f>VLOOKUP(H1336,codes,2,)</f>
        <v>wd</v>
      </c>
      <c r="J1336" s="53"/>
    </row>
    <row r="1337" spans="1:10" x14ac:dyDescent="0.25">
      <c r="A1337" s="93">
        <v>43909</v>
      </c>
      <c r="B1337" s="35">
        <f>C1337+(D1337-2009)*12</f>
        <v>135</v>
      </c>
      <c r="C1337" s="76">
        <v>3</v>
      </c>
      <c r="D1337" s="53">
        <v>2020</v>
      </c>
      <c r="E1337" s="56">
        <v>0</v>
      </c>
      <c r="F1337" s="53">
        <f>IF(E1337&gt;0,1,0)</f>
        <v>0</v>
      </c>
      <c r="G1337" s="53">
        <f>SUM(F1336:F1337)</f>
        <v>0</v>
      </c>
      <c r="H1337" s="53">
        <f>IF(G1337=1,IF(F1336=1,1,-1),G1337)</f>
        <v>0</v>
      </c>
      <c r="I1337" s="53" t="str">
        <f>VLOOKUP(H1337,codes,2,)</f>
        <v>dd</v>
      </c>
      <c r="J1337" s="53"/>
    </row>
    <row r="1338" spans="1:10" x14ac:dyDescent="0.25">
      <c r="A1338" s="93">
        <v>43910</v>
      </c>
      <c r="B1338" s="35">
        <f>C1338+(D1338-2009)*12</f>
        <v>135</v>
      </c>
      <c r="C1338" s="76">
        <v>3</v>
      </c>
      <c r="D1338" s="53">
        <v>2020</v>
      </c>
      <c r="E1338" s="56">
        <v>0</v>
      </c>
      <c r="F1338" s="53">
        <f>IF(E1338&gt;0,1,0)</f>
        <v>0</v>
      </c>
      <c r="G1338" s="53">
        <f>SUM(F1337:F1338)</f>
        <v>0</v>
      </c>
      <c r="H1338" s="53">
        <f>IF(G1338=1,IF(F1337=1,1,-1),G1338)</f>
        <v>0</v>
      </c>
      <c r="I1338" s="53" t="str">
        <f>VLOOKUP(H1338,codes,2,)</f>
        <v>dd</v>
      </c>
      <c r="J1338" s="53"/>
    </row>
    <row r="1339" spans="1:10" x14ac:dyDescent="0.25">
      <c r="A1339" s="93">
        <v>43911</v>
      </c>
      <c r="B1339" s="35">
        <f>C1339+(D1339-2009)*12</f>
        <v>135</v>
      </c>
      <c r="C1339" s="76">
        <v>3</v>
      </c>
      <c r="D1339" s="53">
        <v>2020</v>
      </c>
      <c r="E1339" s="56">
        <v>0.46666666666666662</v>
      </c>
      <c r="F1339" s="53">
        <f>IF(E1339&gt;0,1,0)</f>
        <v>1</v>
      </c>
      <c r="G1339" s="53">
        <f>SUM(F1338:F1339)</f>
        <v>1</v>
      </c>
      <c r="H1339" s="53">
        <f>IF(G1339=1,IF(F1338=1,1,-1),G1339)</f>
        <v>-1</v>
      </c>
      <c r="I1339" s="53" t="str">
        <f>VLOOKUP(H1339,codes,2,)</f>
        <v>dw</v>
      </c>
      <c r="J1339" s="53"/>
    </row>
    <row r="1340" spans="1:10" x14ac:dyDescent="0.25">
      <c r="A1340" s="93">
        <v>43912</v>
      </c>
      <c r="B1340" s="35">
        <f>C1340+(D1340-2009)*12</f>
        <v>135</v>
      </c>
      <c r="C1340" s="76">
        <v>3</v>
      </c>
      <c r="D1340" s="53">
        <v>2020</v>
      </c>
      <c r="E1340" s="56">
        <v>6.6666666666666666E-2</v>
      </c>
      <c r="F1340" s="53">
        <f>IF(E1340&gt;0,1,0)</f>
        <v>1</v>
      </c>
      <c r="G1340" s="53">
        <f>SUM(F1339:F1340)</f>
        <v>2</v>
      </c>
      <c r="H1340" s="53">
        <f>IF(G1340=1,IF(F1339=1,1,-1),G1340)</f>
        <v>2</v>
      </c>
      <c r="I1340" s="53" t="str">
        <f>VLOOKUP(H1340,codes,2,)</f>
        <v>ww</v>
      </c>
      <c r="J1340" s="53"/>
    </row>
    <row r="1341" spans="1:10" x14ac:dyDescent="0.25">
      <c r="A1341" s="93">
        <v>43913</v>
      </c>
      <c r="B1341" s="35">
        <f>C1341+(D1341-2009)*12</f>
        <v>135</v>
      </c>
      <c r="C1341" s="76">
        <v>3</v>
      </c>
      <c r="D1341" s="53">
        <v>2020</v>
      </c>
      <c r="E1341" s="56">
        <v>0</v>
      </c>
      <c r="F1341" s="53">
        <f>IF(E1341&gt;0,1,0)</f>
        <v>0</v>
      </c>
      <c r="G1341" s="53">
        <f>SUM(F1340:F1341)</f>
        <v>1</v>
      </c>
      <c r="H1341" s="53">
        <f>IF(G1341=1,IF(F1340=1,1,-1),G1341)</f>
        <v>1</v>
      </c>
      <c r="I1341" s="53" t="str">
        <f>VLOOKUP(H1341,codes,2,)</f>
        <v>wd</v>
      </c>
      <c r="J1341" s="53"/>
    </row>
    <row r="1342" spans="1:10" x14ac:dyDescent="0.25">
      <c r="A1342" s="93">
        <v>43914</v>
      </c>
      <c r="B1342" s="35">
        <f>C1342+(D1342-2009)*12</f>
        <v>135</v>
      </c>
      <c r="C1342" s="76">
        <v>3</v>
      </c>
      <c r="D1342" s="53">
        <v>2020</v>
      </c>
      <c r="E1342" s="56">
        <v>0</v>
      </c>
      <c r="F1342" s="53">
        <f>IF(E1342&gt;0,1,0)</f>
        <v>0</v>
      </c>
      <c r="G1342" s="53">
        <f>SUM(F1341:F1342)</f>
        <v>0</v>
      </c>
      <c r="H1342" s="53">
        <f>IF(G1342=1,IF(F1341=1,1,-1),G1342)</f>
        <v>0</v>
      </c>
      <c r="I1342" s="53" t="str">
        <f>VLOOKUP(H1342,codes,2,)</f>
        <v>dd</v>
      </c>
      <c r="J1342" s="53"/>
    </row>
    <row r="1343" spans="1:10" x14ac:dyDescent="0.25">
      <c r="A1343" s="93">
        <v>43915</v>
      </c>
      <c r="B1343" s="35">
        <f>C1343+(D1343-2009)*12</f>
        <v>135</v>
      </c>
      <c r="C1343" s="76">
        <v>3</v>
      </c>
      <c r="D1343" s="53">
        <v>2020</v>
      </c>
      <c r="E1343" s="56">
        <v>0</v>
      </c>
      <c r="F1343" s="53">
        <f>IF(E1343&gt;0,1,0)</f>
        <v>0</v>
      </c>
      <c r="G1343" s="53">
        <f>SUM(F1342:F1343)</f>
        <v>0</v>
      </c>
      <c r="H1343" s="53">
        <f>IF(G1343=1,IF(F1342=1,1,-1),G1343)</f>
        <v>0</v>
      </c>
      <c r="I1343" s="53" t="str">
        <f>VLOOKUP(H1343,codes,2,)</f>
        <v>dd</v>
      </c>
      <c r="J1343" s="53"/>
    </row>
    <row r="1344" spans="1:10" x14ac:dyDescent="0.25">
      <c r="A1344" s="93">
        <v>43916</v>
      </c>
      <c r="B1344" s="35">
        <f>C1344+(D1344-2009)*12</f>
        <v>135</v>
      </c>
      <c r="C1344" s="76">
        <v>3</v>
      </c>
      <c r="D1344" s="53">
        <v>2020</v>
      </c>
      <c r="E1344" s="56">
        <v>0</v>
      </c>
      <c r="F1344" s="53">
        <f>IF(E1344&gt;0,1,0)</f>
        <v>0</v>
      </c>
      <c r="G1344" s="53">
        <f>SUM(F1343:F1344)</f>
        <v>0</v>
      </c>
      <c r="H1344" s="53">
        <f>IF(G1344=1,IF(F1343=1,1,-1),G1344)</f>
        <v>0</v>
      </c>
      <c r="I1344" s="53" t="str">
        <f>VLOOKUP(H1344,codes,2,)</f>
        <v>dd</v>
      </c>
      <c r="J1344" s="53"/>
    </row>
    <row r="1345" spans="1:10" x14ac:dyDescent="0.25">
      <c r="A1345" s="93">
        <v>43917</v>
      </c>
      <c r="B1345" s="35">
        <f>C1345+(D1345-2009)*12</f>
        <v>135</v>
      </c>
      <c r="C1345" s="76">
        <v>3</v>
      </c>
      <c r="D1345" s="53">
        <v>2020</v>
      </c>
      <c r="E1345" s="56">
        <v>0</v>
      </c>
      <c r="F1345" s="53">
        <f>IF(E1345&gt;0,1,0)</f>
        <v>0</v>
      </c>
      <c r="G1345" s="53">
        <f>SUM(F1344:F1345)</f>
        <v>0</v>
      </c>
      <c r="H1345" s="53">
        <f>IF(G1345=1,IF(F1344=1,1,-1),G1345)</f>
        <v>0</v>
      </c>
      <c r="I1345" s="53" t="str">
        <f>VLOOKUP(H1345,codes,2,)</f>
        <v>dd</v>
      </c>
      <c r="J1345" s="53"/>
    </row>
    <row r="1346" spans="1:10" x14ac:dyDescent="0.25">
      <c r="A1346" s="93">
        <v>43918</v>
      </c>
      <c r="B1346" s="35">
        <f>C1346+(D1346-2009)*12</f>
        <v>135</v>
      </c>
      <c r="C1346" s="76">
        <v>3</v>
      </c>
      <c r="D1346" s="53">
        <v>2020</v>
      </c>
      <c r="E1346" s="56">
        <v>6.6666666666666666E-2</v>
      </c>
      <c r="F1346" s="53">
        <f>IF(E1346&gt;0,1,0)</f>
        <v>1</v>
      </c>
      <c r="G1346" s="53">
        <f>SUM(F1345:F1346)</f>
        <v>1</v>
      </c>
      <c r="H1346" s="53">
        <f>IF(G1346=1,IF(F1345=1,1,-1),G1346)</f>
        <v>-1</v>
      </c>
      <c r="I1346" s="53" t="str">
        <f>VLOOKUP(H1346,codes,2,)</f>
        <v>dw</v>
      </c>
      <c r="J1346" s="53"/>
    </row>
    <row r="1347" spans="1:10" x14ac:dyDescent="0.25">
      <c r="A1347" s="93">
        <v>43919</v>
      </c>
      <c r="B1347" s="35">
        <f>C1347+(D1347-2009)*12</f>
        <v>135</v>
      </c>
      <c r="C1347" s="76">
        <v>3</v>
      </c>
      <c r="D1347" s="53">
        <v>2020</v>
      </c>
      <c r="E1347" s="56">
        <v>1.0666666666666667</v>
      </c>
      <c r="F1347" s="53">
        <f>IF(E1347&gt;0,1,0)</f>
        <v>1</v>
      </c>
      <c r="G1347" s="53">
        <f>SUM(F1346:F1347)</f>
        <v>2</v>
      </c>
      <c r="H1347" s="53">
        <f>IF(G1347=1,IF(F1346=1,1,-1),G1347)</f>
        <v>2</v>
      </c>
      <c r="I1347" s="53" t="str">
        <f>VLOOKUP(H1347,codes,2,)</f>
        <v>ww</v>
      </c>
      <c r="J1347" s="53"/>
    </row>
    <row r="1348" spans="1:10" x14ac:dyDescent="0.25">
      <c r="A1348" s="93">
        <v>43920</v>
      </c>
      <c r="B1348" s="35">
        <f>C1348+(D1348-2009)*12</f>
        <v>135</v>
      </c>
      <c r="C1348" s="76">
        <v>3</v>
      </c>
      <c r="D1348" s="53">
        <v>2020</v>
      </c>
      <c r="E1348" s="56">
        <v>0.26666666666666666</v>
      </c>
      <c r="F1348" s="53">
        <f>IF(E1348&gt;0,1,0)</f>
        <v>1</v>
      </c>
      <c r="G1348" s="53">
        <f>SUM(F1347:F1348)</f>
        <v>2</v>
      </c>
      <c r="H1348" s="53">
        <f>IF(G1348=1,IF(F1347=1,1,-1),G1348)</f>
        <v>2</v>
      </c>
      <c r="I1348" s="53" t="str">
        <f>VLOOKUP(H1348,codes,2,)</f>
        <v>ww</v>
      </c>
      <c r="J1348" s="53"/>
    </row>
    <row r="1349" spans="1:10" x14ac:dyDescent="0.25">
      <c r="A1349" s="93">
        <v>43921</v>
      </c>
      <c r="B1349" s="35">
        <f>C1349+(D1349-2009)*12</f>
        <v>135</v>
      </c>
      <c r="C1349" s="76">
        <v>3</v>
      </c>
      <c r="D1349" s="53">
        <v>2020</v>
      </c>
      <c r="E1349" s="56">
        <v>2.5333333333333332</v>
      </c>
      <c r="F1349" s="53">
        <f>IF(E1349&gt;0,1,0)</f>
        <v>1</v>
      </c>
      <c r="G1349" s="53">
        <f>SUM(F1348:F1349)</f>
        <v>2</v>
      </c>
      <c r="H1349" s="53">
        <f>IF(G1349=1,IF(F1348=1,1,-1),G1349)</f>
        <v>2</v>
      </c>
      <c r="I1349" s="53" t="str">
        <f>VLOOKUP(H1349,codes,2,)</f>
        <v>ww</v>
      </c>
      <c r="J1349" s="53"/>
    </row>
    <row r="1350" spans="1:10" x14ac:dyDescent="0.25">
      <c r="A1350" s="93">
        <v>44256</v>
      </c>
      <c r="B1350" s="35">
        <f>C1350+(D1350-2009)*12</f>
        <v>147</v>
      </c>
      <c r="C1350" s="76">
        <v>3</v>
      </c>
      <c r="D1350" s="53">
        <v>2021</v>
      </c>
      <c r="E1350" s="56">
        <v>0</v>
      </c>
      <c r="F1350" s="53">
        <f>IF(E1350&gt;0,1,0)</f>
        <v>0</v>
      </c>
      <c r="G1350" s="53">
        <f>SUM(F1349:F1350)</f>
        <v>1</v>
      </c>
      <c r="H1350" s="53">
        <f>IF(G1350=1,IF(F1349=1,1,-1),G1350)</f>
        <v>1</v>
      </c>
      <c r="I1350" s="53" t="str">
        <f>VLOOKUP(H1350,codes,2,)</f>
        <v>wd</v>
      </c>
      <c r="J1350" s="53"/>
    </row>
    <row r="1351" spans="1:10" x14ac:dyDescent="0.25">
      <c r="A1351" s="93">
        <v>44257</v>
      </c>
      <c r="B1351" s="35">
        <f>C1351+(D1351-2009)*12</f>
        <v>147</v>
      </c>
      <c r="C1351" s="76">
        <v>3</v>
      </c>
      <c r="D1351" s="53">
        <v>2021</v>
      </c>
      <c r="E1351" s="56">
        <v>0</v>
      </c>
      <c r="F1351" s="53">
        <f>IF(E1351&gt;0,1,0)</f>
        <v>0</v>
      </c>
      <c r="G1351" s="53">
        <f>SUM(F1350:F1351)</f>
        <v>0</v>
      </c>
      <c r="H1351" s="53">
        <f>IF(G1351=1,IF(F1350=1,1,-1),G1351)</f>
        <v>0</v>
      </c>
      <c r="I1351" s="53" t="str">
        <f>VLOOKUP(H1351,codes,2,)</f>
        <v>dd</v>
      </c>
      <c r="J1351" s="53"/>
    </row>
    <row r="1352" spans="1:10" x14ac:dyDescent="0.25">
      <c r="A1352" s="93">
        <v>44258</v>
      </c>
      <c r="B1352" s="35">
        <f>C1352+(D1352-2009)*12</f>
        <v>147</v>
      </c>
      <c r="C1352" s="76">
        <v>3</v>
      </c>
      <c r="D1352" s="53">
        <v>2021</v>
      </c>
      <c r="E1352" s="56">
        <v>0</v>
      </c>
      <c r="F1352" s="53">
        <f>IF(E1352&gt;0,1,0)</f>
        <v>0</v>
      </c>
      <c r="G1352" s="53">
        <f>SUM(F1351:F1352)</f>
        <v>0</v>
      </c>
      <c r="H1352" s="53">
        <f>IF(G1352=1,IF(F1351=1,1,-1),G1352)</f>
        <v>0</v>
      </c>
      <c r="I1352" s="53" t="str">
        <f>VLOOKUP(H1352,codes,2,)</f>
        <v>dd</v>
      </c>
      <c r="J1352" s="53"/>
    </row>
    <row r="1353" spans="1:10" x14ac:dyDescent="0.25">
      <c r="A1353" s="93">
        <v>44259</v>
      </c>
      <c r="B1353" s="35">
        <f>C1353+(D1353-2009)*12</f>
        <v>147</v>
      </c>
      <c r="C1353" s="76">
        <v>3</v>
      </c>
      <c r="D1353" s="53">
        <v>2021</v>
      </c>
      <c r="E1353" s="56">
        <v>0.73333333333333339</v>
      </c>
      <c r="F1353" s="53">
        <f>IF(E1353&gt;0,1,0)</f>
        <v>1</v>
      </c>
      <c r="G1353" s="53">
        <f>SUM(F1352:F1353)</f>
        <v>1</v>
      </c>
      <c r="H1353" s="53">
        <f>IF(G1353=1,IF(F1352=1,1,-1),G1353)</f>
        <v>-1</v>
      </c>
      <c r="I1353" s="53" t="str">
        <f>VLOOKUP(H1353,codes,2,)</f>
        <v>dw</v>
      </c>
      <c r="J1353" s="53"/>
    </row>
    <row r="1354" spans="1:10" x14ac:dyDescent="0.25">
      <c r="A1354" s="93">
        <v>44260</v>
      </c>
      <c r="B1354" s="35">
        <f>C1354+(D1354-2009)*12</f>
        <v>147</v>
      </c>
      <c r="C1354" s="76">
        <v>3</v>
      </c>
      <c r="D1354" s="53">
        <v>2021</v>
      </c>
      <c r="E1354" s="56">
        <v>1.4000000000000001</v>
      </c>
      <c r="F1354" s="53">
        <f>IF(E1354&gt;0,1,0)</f>
        <v>1</v>
      </c>
      <c r="G1354" s="53">
        <f>SUM(F1353:F1354)</f>
        <v>2</v>
      </c>
      <c r="H1354" s="53">
        <f>IF(G1354=1,IF(F1353=1,1,-1),G1354)</f>
        <v>2</v>
      </c>
      <c r="I1354" s="53" t="str">
        <f>VLOOKUP(H1354,codes,2,)</f>
        <v>ww</v>
      </c>
      <c r="J1354" s="53"/>
    </row>
    <row r="1355" spans="1:10" x14ac:dyDescent="0.25">
      <c r="A1355" s="93">
        <v>44261</v>
      </c>
      <c r="B1355" s="35">
        <f>C1355+(D1355-2009)*12</f>
        <v>147</v>
      </c>
      <c r="C1355" s="76">
        <v>3</v>
      </c>
      <c r="D1355" s="53">
        <v>2021</v>
      </c>
      <c r="E1355" s="56">
        <v>6.6666666666666666E-2</v>
      </c>
      <c r="F1355" s="53">
        <f>IF(E1355&gt;0,1,0)</f>
        <v>1</v>
      </c>
      <c r="G1355" s="53">
        <f>SUM(F1354:F1355)</f>
        <v>2</v>
      </c>
      <c r="H1355" s="53">
        <f>IF(G1355=1,IF(F1354=1,1,-1),G1355)</f>
        <v>2</v>
      </c>
      <c r="I1355" s="53" t="str">
        <f>VLOOKUP(H1355,codes,2,)</f>
        <v>ww</v>
      </c>
      <c r="J1355" s="53"/>
    </row>
    <row r="1356" spans="1:10" x14ac:dyDescent="0.25">
      <c r="A1356" s="93">
        <v>44262</v>
      </c>
      <c r="B1356" s="35">
        <f>C1356+(D1356-2009)*12</f>
        <v>147</v>
      </c>
      <c r="C1356" s="76">
        <v>3</v>
      </c>
      <c r="D1356" s="53">
        <v>2021</v>
      </c>
      <c r="E1356" s="56">
        <v>0</v>
      </c>
      <c r="F1356" s="53">
        <f>IF(E1356&gt;0,1,0)</f>
        <v>0</v>
      </c>
      <c r="G1356" s="53">
        <f>SUM(F1355:F1356)</f>
        <v>1</v>
      </c>
      <c r="H1356" s="53">
        <f>IF(G1356=1,IF(F1355=1,1,-1),G1356)</f>
        <v>1</v>
      </c>
      <c r="I1356" s="53" t="str">
        <f>VLOOKUP(H1356,codes,2,)</f>
        <v>wd</v>
      </c>
      <c r="J1356" s="53"/>
    </row>
    <row r="1357" spans="1:10" x14ac:dyDescent="0.25">
      <c r="A1357" s="93">
        <v>44263</v>
      </c>
      <c r="B1357" s="35">
        <f>C1357+(D1357-2009)*12</f>
        <v>147</v>
      </c>
      <c r="C1357" s="76">
        <v>3</v>
      </c>
      <c r="D1357" s="53">
        <v>2021</v>
      </c>
      <c r="E1357" s="56">
        <v>0.33333333333333331</v>
      </c>
      <c r="F1357" s="53">
        <f>IF(E1357&gt;0,1,0)</f>
        <v>1</v>
      </c>
      <c r="G1357" s="53">
        <f>SUM(F1356:F1357)</f>
        <v>1</v>
      </c>
      <c r="H1357" s="53">
        <f>IF(G1357=1,IF(F1356=1,1,-1),G1357)</f>
        <v>-1</v>
      </c>
      <c r="I1357" s="53" t="str">
        <f>VLOOKUP(H1357,codes,2,)</f>
        <v>dw</v>
      </c>
      <c r="J1357" s="53"/>
    </row>
    <row r="1358" spans="1:10" x14ac:dyDescent="0.25">
      <c r="A1358" s="93">
        <v>44264</v>
      </c>
      <c r="B1358" s="35">
        <f>C1358+(D1358-2009)*12</f>
        <v>147</v>
      </c>
      <c r="C1358" s="76">
        <v>3</v>
      </c>
      <c r="D1358" s="53">
        <v>2021</v>
      </c>
      <c r="E1358" s="56">
        <v>0.26666666666666666</v>
      </c>
      <c r="F1358" s="53">
        <f>IF(E1358&gt;0,1,0)</f>
        <v>1</v>
      </c>
      <c r="G1358" s="53">
        <f>SUM(F1357:F1358)</f>
        <v>2</v>
      </c>
      <c r="H1358" s="53">
        <f>IF(G1358=1,IF(F1357=1,1,-1),G1358)</f>
        <v>2</v>
      </c>
      <c r="I1358" s="53" t="str">
        <f>VLOOKUP(H1358,codes,2,)</f>
        <v>ww</v>
      </c>
      <c r="J1358" s="53"/>
    </row>
    <row r="1359" spans="1:10" x14ac:dyDescent="0.25">
      <c r="A1359" s="93">
        <v>44265</v>
      </c>
      <c r="B1359" s="35">
        <f>C1359+(D1359-2009)*12</f>
        <v>147</v>
      </c>
      <c r="C1359" s="76">
        <v>3</v>
      </c>
      <c r="D1359" s="53">
        <v>2021</v>
      </c>
      <c r="E1359" s="56">
        <v>0.8666666666666667</v>
      </c>
      <c r="F1359" s="53">
        <f>IF(E1359&gt;0,1,0)</f>
        <v>1</v>
      </c>
      <c r="G1359" s="53">
        <f>SUM(F1358:F1359)</f>
        <v>2</v>
      </c>
      <c r="H1359" s="53">
        <f>IF(G1359=1,IF(F1358=1,1,-1),G1359)</f>
        <v>2</v>
      </c>
      <c r="I1359" s="53" t="str">
        <f>VLOOKUP(H1359,codes,2,)</f>
        <v>ww</v>
      </c>
      <c r="J1359" s="53"/>
    </row>
    <row r="1360" spans="1:10" x14ac:dyDescent="0.25">
      <c r="A1360" s="93">
        <v>44266</v>
      </c>
      <c r="B1360" s="35">
        <f>C1360+(D1360-2009)*12</f>
        <v>147</v>
      </c>
      <c r="C1360" s="76">
        <v>3</v>
      </c>
      <c r="D1360" s="53">
        <v>2021</v>
      </c>
      <c r="E1360" s="56">
        <v>3.8000000000000003</v>
      </c>
      <c r="F1360" s="53">
        <f>IF(E1360&gt;0,1,0)</f>
        <v>1</v>
      </c>
      <c r="G1360" s="53">
        <f>SUM(F1359:F1360)</f>
        <v>2</v>
      </c>
      <c r="H1360" s="53">
        <f>IF(G1360=1,IF(F1359=1,1,-1),G1360)</f>
        <v>2</v>
      </c>
      <c r="I1360" s="53" t="str">
        <f>VLOOKUP(H1360,codes,2,)</f>
        <v>ww</v>
      </c>
      <c r="J1360" s="53"/>
    </row>
    <row r="1361" spans="1:10" x14ac:dyDescent="0.25">
      <c r="A1361" s="93">
        <v>44267</v>
      </c>
      <c r="B1361" s="35">
        <f>C1361+(D1361-2009)*12</f>
        <v>147</v>
      </c>
      <c r="C1361" s="76">
        <v>3</v>
      </c>
      <c r="D1361" s="53">
        <v>2021</v>
      </c>
      <c r="E1361" s="56">
        <v>0.39999999999999997</v>
      </c>
      <c r="F1361" s="53">
        <f>IF(E1361&gt;0,1,0)</f>
        <v>1</v>
      </c>
      <c r="G1361" s="53">
        <f>SUM(F1360:F1361)</f>
        <v>2</v>
      </c>
      <c r="H1361" s="53">
        <f>IF(G1361=1,IF(F1360=1,1,-1),G1361)</f>
        <v>2</v>
      </c>
      <c r="I1361" s="53" t="str">
        <f>VLOOKUP(H1361,codes,2,)</f>
        <v>ww</v>
      </c>
      <c r="J1361" s="53"/>
    </row>
    <row r="1362" spans="1:10" x14ac:dyDescent="0.25">
      <c r="A1362" s="93">
        <v>44268</v>
      </c>
      <c r="B1362" s="35">
        <f>C1362+(D1362-2009)*12</f>
        <v>147</v>
      </c>
      <c r="C1362" s="76">
        <v>3</v>
      </c>
      <c r="D1362" s="53">
        <v>2021</v>
      </c>
      <c r="E1362" s="56">
        <v>4.2</v>
      </c>
      <c r="F1362" s="53">
        <f>IF(E1362&gt;0,1,0)</f>
        <v>1</v>
      </c>
      <c r="G1362" s="53">
        <f>SUM(F1361:F1362)</f>
        <v>2</v>
      </c>
      <c r="H1362" s="53">
        <f>IF(G1362=1,IF(F1361=1,1,-1),G1362)</f>
        <v>2</v>
      </c>
      <c r="I1362" s="53" t="str">
        <f>VLOOKUP(H1362,codes,2,)</f>
        <v>ww</v>
      </c>
      <c r="J1362" s="53"/>
    </row>
    <row r="1363" spans="1:10" x14ac:dyDescent="0.25">
      <c r="A1363" s="93">
        <v>44269</v>
      </c>
      <c r="B1363" s="35">
        <f>C1363+(D1363-2009)*12</f>
        <v>147</v>
      </c>
      <c r="C1363" s="76">
        <v>3</v>
      </c>
      <c r="D1363" s="53">
        <v>2021</v>
      </c>
      <c r="E1363" s="56">
        <v>0.40000000000000008</v>
      </c>
      <c r="F1363" s="53">
        <f>IF(E1363&gt;0,1,0)</f>
        <v>1</v>
      </c>
      <c r="G1363" s="53">
        <f>SUM(F1362:F1363)</f>
        <v>2</v>
      </c>
      <c r="H1363" s="53">
        <f>IF(G1363=1,IF(F1362=1,1,-1),G1363)</f>
        <v>2</v>
      </c>
      <c r="I1363" s="53" t="str">
        <f>VLOOKUP(H1363,codes,2,)</f>
        <v>ww</v>
      </c>
      <c r="J1363" s="53"/>
    </row>
    <row r="1364" spans="1:10" x14ac:dyDescent="0.25">
      <c r="A1364" s="93">
        <v>44270</v>
      </c>
      <c r="B1364" s="35">
        <f>C1364+(D1364-2009)*12</f>
        <v>147</v>
      </c>
      <c r="C1364" s="76">
        <v>3</v>
      </c>
      <c r="D1364" s="53">
        <v>2021</v>
      </c>
      <c r="E1364" s="56">
        <v>0</v>
      </c>
      <c r="F1364" s="53">
        <f>IF(E1364&gt;0,1,0)</f>
        <v>0</v>
      </c>
      <c r="G1364" s="53">
        <f>SUM(F1363:F1364)</f>
        <v>1</v>
      </c>
      <c r="H1364" s="53">
        <f>IF(G1364=1,IF(F1363=1,1,-1),G1364)</f>
        <v>1</v>
      </c>
      <c r="I1364" s="53" t="str">
        <f>VLOOKUP(H1364,codes,2,)</f>
        <v>wd</v>
      </c>
      <c r="J1364" s="53"/>
    </row>
    <row r="1365" spans="1:10" x14ac:dyDescent="0.25">
      <c r="A1365" s="93">
        <v>44271</v>
      </c>
      <c r="B1365" s="35">
        <f>C1365+(D1365-2009)*12</f>
        <v>147</v>
      </c>
      <c r="C1365" s="76">
        <v>3</v>
      </c>
      <c r="D1365" s="53">
        <v>2021</v>
      </c>
      <c r="E1365" s="56">
        <v>1.5999999999999999</v>
      </c>
      <c r="F1365" s="53">
        <f>IF(E1365&gt;0,1,0)</f>
        <v>1</v>
      </c>
      <c r="G1365" s="53">
        <f>SUM(F1364:F1365)</f>
        <v>1</v>
      </c>
      <c r="H1365" s="53">
        <f>IF(G1365=1,IF(F1364=1,1,-1),G1365)</f>
        <v>-1</v>
      </c>
      <c r="I1365" s="53" t="str">
        <f>VLOOKUP(H1365,codes,2,)</f>
        <v>dw</v>
      </c>
      <c r="J1365" s="53"/>
    </row>
    <row r="1366" spans="1:10" x14ac:dyDescent="0.25">
      <c r="A1366" s="93">
        <v>44272</v>
      </c>
      <c r="B1366" s="35">
        <f>C1366+(D1366-2009)*12</f>
        <v>147</v>
      </c>
      <c r="C1366" s="76">
        <v>3</v>
      </c>
      <c r="D1366" s="53">
        <v>2021</v>
      </c>
      <c r="E1366" s="56">
        <v>0</v>
      </c>
      <c r="F1366" s="53">
        <f>IF(E1366&gt;0,1,0)</f>
        <v>0</v>
      </c>
      <c r="G1366" s="53">
        <f>SUM(F1365:F1366)</f>
        <v>1</v>
      </c>
      <c r="H1366" s="53">
        <f>IF(G1366=1,IF(F1365=1,1,-1),G1366)</f>
        <v>1</v>
      </c>
      <c r="I1366" s="53" t="str">
        <f>VLOOKUP(H1366,codes,2,)</f>
        <v>wd</v>
      </c>
      <c r="J1366" s="53"/>
    </row>
    <row r="1367" spans="1:10" x14ac:dyDescent="0.25">
      <c r="A1367" s="93">
        <v>44273</v>
      </c>
      <c r="B1367" s="35">
        <f>C1367+(D1367-2009)*12</f>
        <v>147</v>
      </c>
      <c r="C1367" s="76">
        <v>3</v>
      </c>
      <c r="D1367" s="53">
        <v>2021</v>
      </c>
      <c r="E1367" s="56">
        <v>0</v>
      </c>
      <c r="F1367" s="53">
        <f>IF(E1367&gt;0,1,0)</f>
        <v>0</v>
      </c>
      <c r="G1367" s="53">
        <f>SUM(F1366:F1367)</f>
        <v>0</v>
      </c>
      <c r="H1367" s="53">
        <f>IF(G1367=1,IF(F1366=1,1,-1),G1367)</f>
        <v>0</v>
      </c>
      <c r="I1367" s="53" t="str">
        <f>VLOOKUP(H1367,codes,2,)</f>
        <v>dd</v>
      </c>
      <c r="J1367" s="53"/>
    </row>
    <row r="1368" spans="1:10" x14ac:dyDescent="0.25">
      <c r="A1368" s="93">
        <v>44274</v>
      </c>
      <c r="B1368" s="35">
        <f>C1368+(D1368-2009)*12</f>
        <v>147</v>
      </c>
      <c r="C1368" s="76">
        <v>3</v>
      </c>
      <c r="D1368" s="53">
        <v>2021</v>
      </c>
      <c r="E1368" s="56">
        <v>0.79999999999999993</v>
      </c>
      <c r="F1368" s="53">
        <f>IF(E1368&gt;0,1,0)</f>
        <v>1</v>
      </c>
      <c r="G1368" s="53">
        <f>SUM(F1367:F1368)</f>
        <v>1</v>
      </c>
      <c r="H1368" s="53">
        <f>IF(G1368=1,IF(F1367=1,1,-1),G1368)</f>
        <v>-1</v>
      </c>
      <c r="I1368" s="53" t="str">
        <f>VLOOKUP(H1368,codes,2,)</f>
        <v>dw</v>
      </c>
      <c r="J1368" s="53"/>
    </row>
    <row r="1369" spans="1:10" x14ac:dyDescent="0.25">
      <c r="A1369" s="93">
        <v>44275</v>
      </c>
      <c r="B1369" s="35">
        <f>C1369+(D1369-2009)*12</f>
        <v>147</v>
      </c>
      <c r="C1369" s="76">
        <v>3</v>
      </c>
      <c r="D1369" s="53">
        <v>2021</v>
      </c>
      <c r="E1369" s="56">
        <v>0.33333333333333331</v>
      </c>
      <c r="F1369" s="53">
        <f>IF(E1369&gt;0,1,0)</f>
        <v>1</v>
      </c>
      <c r="G1369" s="53">
        <f>SUM(F1368:F1369)</f>
        <v>2</v>
      </c>
      <c r="H1369" s="53">
        <f>IF(G1369=1,IF(F1368=1,1,-1),G1369)</f>
        <v>2</v>
      </c>
      <c r="I1369" s="53" t="str">
        <f>VLOOKUP(H1369,codes,2,)</f>
        <v>ww</v>
      </c>
      <c r="J1369" s="53"/>
    </row>
    <row r="1370" spans="1:10" x14ac:dyDescent="0.25">
      <c r="A1370" s="93">
        <v>44276</v>
      </c>
      <c r="B1370" s="35">
        <f>C1370+(D1370-2009)*12</f>
        <v>147</v>
      </c>
      <c r="C1370" s="76">
        <v>3</v>
      </c>
      <c r="D1370" s="53">
        <v>2021</v>
      </c>
      <c r="E1370" s="56">
        <v>0</v>
      </c>
      <c r="F1370" s="53">
        <f>IF(E1370&gt;0,1,0)</f>
        <v>0</v>
      </c>
      <c r="G1370" s="53">
        <f>SUM(F1369:F1370)</f>
        <v>1</v>
      </c>
      <c r="H1370" s="53">
        <f>IF(G1370=1,IF(F1369=1,1,-1),G1370)</f>
        <v>1</v>
      </c>
      <c r="I1370" s="53" t="str">
        <f>VLOOKUP(H1370,codes,2,)</f>
        <v>wd</v>
      </c>
      <c r="J1370" s="53"/>
    </row>
    <row r="1371" spans="1:10" x14ac:dyDescent="0.25">
      <c r="A1371" s="93">
        <v>44277</v>
      </c>
      <c r="B1371" s="35">
        <f>C1371+(D1371-2009)*12</f>
        <v>147</v>
      </c>
      <c r="C1371" s="76">
        <v>3</v>
      </c>
      <c r="D1371" s="53">
        <v>2021</v>
      </c>
      <c r="E1371" s="56">
        <v>0</v>
      </c>
      <c r="F1371" s="53">
        <f>IF(E1371&gt;0,1,0)</f>
        <v>0</v>
      </c>
      <c r="G1371" s="53">
        <f>SUM(F1370:F1371)</f>
        <v>0</v>
      </c>
      <c r="H1371" s="53">
        <f>IF(G1371=1,IF(F1370=1,1,-1),G1371)</f>
        <v>0</v>
      </c>
      <c r="I1371" s="53" t="str">
        <f>VLOOKUP(H1371,codes,2,)</f>
        <v>dd</v>
      </c>
      <c r="J1371" s="53"/>
    </row>
    <row r="1372" spans="1:10" x14ac:dyDescent="0.25">
      <c r="A1372" s="93">
        <v>44278</v>
      </c>
      <c r="B1372" s="35">
        <f>C1372+(D1372-2009)*12</f>
        <v>147</v>
      </c>
      <c r="C1372" s="76">
        <v>3</v>
      </c>
      <c r="D1372" s="53">
        <v>2021</v>
      </c>
      <c r="E1372" s="56">
        <v>0</v>
      </c>
      <c r="F1372" s="53">
        <f>IF(E1372&gt;0,1,0)</f>
        <v>0</v>
      </c>
      <c r="G1372" s="53">
        <f>SUM(F1371:F1372)</f>
        <v>0</v>
      </c>
      <c r="H1372" s="53">
        <f>IF(G1372=1,IF(F1371=1,1,-1),G1372)</f>
        <v>0</v>
      </c>
      <c r="I1372" s="53" t="str">
        <f>VLOOKUP(H1372,codes,2,)</f>
        <v>dd</v>
      </c>
      <c r="J1372" s="53"/>
    </row>
    <row r="1373" spans="1:10" x14ac:dyDescent="0.25">
      <c r="A1373" s="93">
        <v>44279</v>
      </c>
      <c r="B1373" s="35">
        <f>C1373+(D1373-2009)*12</f>
        <v>147</v>
      </c>
      <c r="C1373" s="76">
        <v>3</v>
      </c>
      <c r="D1373" s="53">
        <v>2021</v>
      </c>
      <c r="E1373" s="56">
        <v>0</v>
      </c>
      <c r="F1373" s="53">
        <f>IF(E1373&gt;0,1,0)</f>
        <v>0</v>
      </c>
      <c r="G1373" s="53">
        <f>SUM(F1372:F1373)</f>
        <v>0</v>
      </c>
      <c r="H1373" s="53">
        <f>IF(G1373=1,IF(F1372=1,1,-1),G1373)</f>
        <v>0</v>
      </c>
      <c r="I1373" s="53" t="str">
        <f>VLOOKUP(H1373,codes,2,)</f>
        <v>dd</v>
      </c>
      <c r="J1373" s="53"/>
    </row>
    <row r="1374" spans="1:10" x14ac:dyDescent="0.25">
      <c r="A1374" s="93">
        <v>44280</v>
      </c>
      <c r="B1374" s="35">
        <f>C1374+(D1374-2009)*12</f>
        <v>147</v>
      </c>
      <c r="C1374" s="76">
        <v>3</v>
      </c>
      <c r="D1374" s="53">
        <v>2021</v>
      </c>
      <c r="E1374" s="56">
        <v>0.13333333333333333</v>
      </c>
      <c r="F1374" s="53">
        <f>IF(E1374&gt;0,1,0)</f>
        <v>1</v>
      </c>
      <c r="G1374" s="53">
        <f>SUM(F1373:F1374)</f>
        <v>1</v>
      </c>
      <c r="H1374" s="53">
        <f>IF(G1374=1,IF(F1373=1,1,-1),G1374)</f>
        <v>-1</v>
      </c>
      <c r="I1374" s="53" t="str">
        <f>VLOOKUP(H1374,codes,2,)</f>
        <v>dw</v>
      </c>
      <c r="J1374" s="53"/>
    </row>
    <row r="1375" spans="1:10" x14ac:dyDescent="0.25">
      <c r="A1375" s="93">
        <v>44281</v>
      </c>
      <c r="B1375" s="35">
        <f>C1375+(D1375-2009)*12</f>
        <v>147</v>
      </c>
      <c r="C1375" s="76">
        <v>3</v>
      </c>
      <c r="D1375" s="53">
        <v>2021</v>
      </c>
      <c r="E1375" s="56">
        <v>0.20000000000000004</v>
      </c>
      <c r="F1375" s="53">
        <f>IF(E1375&gt;0,1,0)</f>
        <v>1</v>
      </c>
      <c r="G1375" s="53">
        <f>SUM(F1374:F1375)</f>
        <v>2</v>
      </c>
      <c r="H1375" s="53">
        <f>IF(G1375=1,IF(F1374=1,1,-1),G1375)</f>
        <v>2</v>
      </c>
      <c r="I1375" s="53" t="str">
        <f>VLOOKUP(H1375,codes,2,)</f>
        <v>ww</v>
      </c>
      <c r="J1375" s="53"/>
    </row>
    <row r="1376" spans="1:10" x14ac:dyDescent="0.25">
      <c r="A1376" s="93">
        <v>44282</v>
      </c>
      <c r="B1376" s="35">
        <f>C1376+(D1376-2009)*12</f>
        <v>147</v>
      </c>
      <c r="C1376" s="76">
        <v>3</v>
      </c>
      <c r="D1376" s="53">
        <v>2021</v>
      </c>
      <c r="E1376" s="56">
        <v>0.39999999999999997</v>
      </c>
      <c r="F1376" s="53">
        <f>IF(E1376&gt;0,1,0)</f>
        <v>1</v>
      </c>
      <c r="G1376" s="53">
        <f>SUM(F1375:F1376)</f>
        <v>2</v>
      </c>
      <c r="H1376" s="53">
        <f>IF(G1376=1,IF(F1375=1,1,-1),G1376)</f>
        <v>2</v>
      </c>
      <c r="I1376" s="53" t="str">
        <f>VLOOKUP(H1376,codes,2,)</f>
        <v>ww</v>
      </c>
      <c r="J1376" s="53"/>
    </row>
    <row r="1377" spans="1:10" x14ac:dyDescent="0.25">
      <c r="A1377" s="93">
        <v>44283</v>
      </c>
      <c r="B1377" s="35">
        <f>C1377+(D1377-2009)*12</f>
        <v>147</v>
      </c>
      <c r="C1377" s="76">
        <v>3</v>
      </c>
      <c r="D1377" s="53">
        <v>2021</v>
      </c>
      <c r="E1377" s="56">
        <v>0.20000000000000004</v>
      </c>
      <c r="F1377" s="53">
        <f>IF(E1377&gt;0,1,0)</f>
        <v>1</v>
      </c>
      <c r="G1377" s="53">
        <f>SUM(F1376:F1377)</f>
        <v>2</v>
      </c>
      <c r="H1377" s="53">
        <f>IF(G1377=1,IF(F1376=1,1,-1),G1377)</f>
        <v>2</v>
      </c>
      <c r="I1377" s="53" t="str">
        <f>VLOOKUP(H1377,codes,2,)</f>
        <v>ww</v>
      </c>
      <c r="J1377" s="53"/>
    </row>
    <row r="1378" spans="1:10" x14ac:dyDescent="0.25">
      <c r="A1378" s="93">
        <v>44284</v>
      </c>
      <c r="B1378" s="35">
        <f>C1378+(D1378-2009)*12</f>
        <v>147</v>
      </c>
      <c r="C1378" s="76">
        <v>3</v>
      </c>
      <c r="D1378" s="53">
        <v>2021</v>
      </c>
      <c r="E1378" s="56">
        <v>6.6666666666666666E-2</v>
      </c>
      <c r="F1378" s="53">
        <f>IF(E1378&gt;0,1,0)</f>
        <v>1</v>
      </c>
      <c r="G1378" s="53">
        <f>SUM(F1377:F1378)</f>
        <v>2</v>
      </c>
      <c r="H1378" s="53">
        <f>IF(G1378=1,IF(F1377=1,1,-1),G1378)</f>
        <v>2</v>
      </c>
      <c r="I1378" s="53" t="str">
        <f>VLOOKUP(H1378,codes,2,)</f>
        <v>ww</v>
      </c>
      <c r="J1378" s="53"/>
    </row>
    <row r="1379" spans="1:10" x14ac:dyDescent="0.25">
      <c r="A1379" s="93">
        <v>44285</v>
      </c>
      <c r="B1379" s="35">
        <f>C1379+(D1379-2009)*12</f>
        <v>147</v>
      </c>
      <c r="C1379" s="76">
        <v>3</v>
      </c>
      <c r="D1379" s="53">
        <v>2021</v>
      </c>
      <c r="E1379" s="56">
        <v>0</v>
      </c>
      <c r="F1379" s="53">
        <f>IF(E1379&gt;0,1,0)</f>
        <v>0</v>
      </c>
      <c r="G1379" s="53">
        <f>SUM(F1378:F1379)</f>
        <v>1</v>
      </c>
      <c r="H1379" s="53">
        <f>IF(G1379=1,IF(F1378=1,1,-1),G1379)</f>
        <v>1</v>
      </c>
      <c r="I1379" s="53" t="str">
        <f>VLOOKUP(H1379,codes,2,)</f>
        <v>wd</v>
      </c>
      <c r="J1379" s="53"/>
    </row>
    <row r="1380" spans="1:10" x14ac:dyDescent="0.25">
      <c r="A1380" s="93">
        <v>44286</v>
      </c>
      <c r="B1380" s="35">
        <f>C1380+(D1380-2009)*12</f>
        <v>147</v>
      </c>
      <c r="C1380" s="76">
        <v>3</v>
      </c>
      <c r="D1380" s="53">
        <v>2021</v>
      </c>
      <c r="E1380" s="56">
        <v>0</v>
      </c>
      <c r="F1380" s="53">
        <f>IF(E1380&gt;0,1,0)</f>
        <v>0</v>
      </c>
      <c r="G1380" s="53">
        <f>SUM(F1379:F1380)</f>
        <v>0</v>
      </c>
      <c r="H1380" s="53">
        <f>IF(G1380=1,IF(F1379=1,1,-1),G1380)</f>
        <v>0</v>
      </c>
      <c r="I1380" s="53" t="str">
        <f>VLOOKUP(H1380,codes,2,)</f>
        <v>dd</v>
      </c>
      <c r="J1380" s="53"/>
    </row>
    <row r="1381" spans="1:10" x14ac:dyDescent="0.25">
      <c r="A1381" s="93">
        <v>44621</v>
      </c>
      <c r="B1381" s="35">
        <f>C1381+(D1381-2009)*12</f>
        <v>159</v>
      </c>
      <c r="C1381" s="76">
        <v>3</v>
      </c>
      <c r="D1381" s="53">
        <v>2022</v>
      </c>
      <c r="E1381" s="56">
        <v>2.9333333333333336</v>
      </c>
      <c r="F1381" s="53">
        <f>IF(E1381&gt;0,1,0)</f>
        <v>1</v>
      </c>
      <c r="G1381" s="53">
        <f>SUM(F1380:F1381)</f>
        <v>1</v>
      </c>
      <c r="H1381" s="53">
        <f>IF(G1381=1,IF(F1380=1,1,-1),G1381)</f>
        <v>-1</v>
      </c>
      <c r="I1381" s="53" t="str">
        <f>VLOOKUP(H1381,codes,2,)</f>
        <v>dw</v>
      </c>
      <c r="J1381" s="53"/>
    </row>
    <row r="1382" spans="1:10" x14ac:dyDescent="0.25">
      <c r="A1382" s="93">
        <v>44622</v>
      </c>
      <c r="B1382" s="35">
        <f>C1382+(D1382-2009)*12</f>
        <v>159</v>
      </c>
      <c r="C1382" s="76">
        <v>3</v>
      </c>
      <c r="D1382" s="53">
        <v>2022</v>
      </c>
      <c r="E1382" s="56">
        <v>0</v>
      </c>
      <c r="F1382" s="53">
        <f>IF(E1382&gt;0,1,0)</f>
        <v>0</v>
      </c>
      <c r="G1382" s="53">
        <f>SUM(F1381:F1382)</f>
        <v>1</v>
      </c>
      <c r="H1382" s="53">
        <f>IF(G1382=1,IF(F1381=1,1,-1),G1382)</f>
        <v>1</v>
      </c>
      <c r="I1382" s="53" t="str">
        <f>VLOOKUP(H1382,codes,2,)</f>
        <v>wd</v>
      </c>
      <c r="J1382" s="53"/>
    </row>
    <row r="1383" spans="1:10" x14ac:dyDescent="0.25">
      <c r="A1383" s="93">
        <v>44623</v>
      </c>
      <c r="B1383" s="35">
        <f>C1383+(D1383-2009)*12</f>
        <v>159</v>
      </c>
      <c r="C1383" s="76">
        <v>3</v>
      </c>
      <c r="D1383" s="53">
        <v>2022</v>
      </c>
      <c r="E1383" s="56">
        <v>0.73333333333333339</v>
      </c>
      <c r="F1383" s="53">
        <f>IF(E1383&gt;0,1,0)</f>
        <v>1</v>
      </c>
      <c r="G1383" s="53">
        <f>SUM(F1382:F1383)</f>
        <v>1</v>
      </c>
      <c r="H1383" s="53">
        <f>IF(G1383=1,IF(F1382=1,1,-1),G1383)</f>
        <v>-1</v>
      </c>
      <c r="I1383" s="53" t="str">
        <f>VLOOKUP(H1383,codes,2,)</f>
        <v>dw</v>
      </c>
      <c r="J1383" s="53"/>
    </row>
    <row r="1384" spans="1:10" x14ac:dyDescent="0.25">
      <c r="A1384" s="93">
        <v>44624</v>
      </c>
      <c r="B1384" s="35">
        <f>C1384+(D1384-2009)*12</f>
        <v>159</v>
      </c>
      <c r="C1384" s="76">
        <v>3</v>
      </c>
      <c r="D1384" s="53">
        <v>2022</v>
      </c>
      <c r="E1384" s="56">
        <v>9.1333333333333329</v>
      </c>
      <c r="F1384" s="53">
        <f>IF(E1384&gt;0,1,0)</f>
        <v>1</v>
      </c>
      <c r="G1384" s="53">
        <f>SUM(F1383:F1384)</f>
        <v>2</v>
      </c>
      <c r="H1384" s="53">
        <f>IF(G1384=1,IF(F1383=1,1,-1),G1384)</f>
        <v>2</v>
      </c>
      <c r="I1384" s="53" t="str">
        <f>VLOOKUP(H1384,codes,2,)</f>
        <v>ww</v>
      </c>
      <c r="J1384" s="53"/>
    </row>
    <row r="1385" spans="1:10" x14ac:dyDescent="0.25">
      <c r="A1385" s="93">
        <v>44625</v>
      </c>
      <c r="B1385" s="35">
        <f>C1385+(D1385-2009)*12</f>
        <v>159</v>
      </c>
      <c r="C1385" s="76">
        <v>3</v>
      </c>
      <c r="D1385" s="53">
        <v>2022</v>
      </c>
      <c r="E1385" s="56">
        <v>1.0666666666666667</v>
      </c>
      <c r="F1385" s="53">
        <f>IF(E1385&gt;0,1,0)</f>
        <v>1</v>
      </c>
      <c r="G1385" s="53">
        <f>SUM(F1384:F1385)</f>
        <v>2</v>
      </c>
      <c r="H1385" s="53">
        <f>IF(G1385=1,IF(F1384=1,1,-1),G1385)</f>
        <v>2</v>
      </c>
      <c r="I1385" s="53" t="str">
        <f>VLOOKUP(H1385,codes,2,)</f>
        <v>ww</v>
      </c>
      <c r="J1385" s="53"/>
    </row>
    <row r="1386" spans="1:10" x14ac:dyDescent="0.25">
      <c r="A1386" s="93">
        <v>44626</v>
      </c>
      <c r="B1386" s="35">
        <f>C1386+(D1386-2009)*12</f>
        <v>159</v>
      </c>
      <c r="C1386" s="76">
        <v>3</v>
      </c>
      <c r="D1386" s="53">
        <v>2022</v>
      </c>
      <c r="E1386" s="56">
        <v>0.40000000000000008</v>
      </c>
      <c r="F1386" s="53">
        <f>IF(E1386&gt;0,1,0)</f>
        <v>1</v>
      </c>
      <c r="G1386" s="53">
        <f>SUM(F1385:F1386)</f>
        <v>2</v>
      </c>
      <c r="H1386" s="53">
        <f>IF(G1386=1,IF(F1385=1,1,-1),G1386)</f>
        <v>2</v>
      </c>
      <c r="I1386" s="53" t="str">
        <f>VLOOKUP(H1386,codes,2,)</f>
        <v>ww</v>
      </c>
      <c r="J1386" s="53"/>
    </row>
    <row r="1387" spans="1:10" x14ac:dyDescent="0.25">
      <c r="A1387" s="93">
        <v>44627</v>
      </c>
      <c r="B1387" s="35">
        <f>C1387+(D1387-2009)*12</f>
        <v>159</v>
      </c>
      <c r="C1387" s="76">
        <v>3</v>
      </c>
      <c r="D1387" s="53">
        <v>2022</v>
      </c>
      <c r="E1387" s="56">
        <v>6.6666666666666666E-2</v>
      </c>
      <c r="F1387" s="53">
        <f>IF(E1387&gt;0,1,0)</f>
        <v>1</v>
      </c>
      <c r="G1387" s="53">
        <f>SUM(F1386:F1387)</f>
        <v>2</v>
      </c>
      <c r="H1387" s="53">
        <f>IF(G1387=1,IF(F1386=1,1,-1),G1387)</f>
        <v>2</v>
      </c>
      <c r="I1387" s="53" t="str">
        <f>VLOOKUP(H1387,codes,2,)</f>
        <v>ww</v>
      </c>
      <c r="J1387" s="53"/>
    </row>
    <row r="1388" spans="1:10" x14ac:dyDescent="0.25">
      <c r="A1388" s="93">
        <v>44628</v>
      </c>
      <c r="B1388" s="35">
        <f>C1388+(D1388-2009)*12</f>
        <v>159</v>
      </c>
      <c r="C1388" s="76">
        <v>3</v>
      </c>
      <c r="D1388" s="53">
        <v>2022</v>
      </c>
      <c r="E1388" s="56">
        <v>0</v>
      </c>
      <c r="F1388" s="53">
        <f>IF(E1388&gt;0,1,0)</f>
        <v>0</v>
      </c>
      <c r="G1388" s="53">
        <f>SUM(F1387:F1388)</f>
        <v>1</v>
      </c>
      <c r="H1388" s="53">
        <f>IF(G1388=1,IF(F1387=1,1,-1),G1388)</f>
        <v>1</v>
      </c>
      <c r="I1388" s="53" t="str">
        <f>VLOOKUP(H1388,codes,2,)</f>
        <v>wd</v>
      </c>
      <c r="J1388" s="53"/>
    </row>
    <row r="1389" spans="1:10" x14ac:dyDescent="0.25">
      <c r="A1389" s="93">
        <v>44629</v>
      </c>
      <c r="B1389" s="35">
        <f>C1389+(D1389-2009)*12</f>
        <v>159</v>
      </c>
      <c r="C1389" s="76">
        <v>3</v>
      </c>
      <c r="D1389" s="53">
        <v>2022</v>
      </c>
      <c r="E1389" s="56">
        <v>0</v>
      </c>
      <c r="F1389" s="53">
        <f>IF(E1389&gt;0,1,0)</f>
        <v>0</v>
      </c>
      <c r="G1389" s="53">
        <f>SUM(F1388:F1389)</f>
        <v>0</v>
      </c>
      <c r="H1389" s="53">
        <f>IF(G1389=1,IF(F1388=1,1,-1),G1389)</f>
        <v>0</v>
      </c>
      <c r="I1389" s="53" t="str">
        <f>VLOOKUP(H1389,codes,2,)</f>
        <v>dd</v>
      </c>
      <c r="J1389" s="53"/>
    </row>
    <row r="1390" spans="1:10" x14ac:dyDescent="0.25">
      <c r="A1390" s="93">
        <v>44630</v>
      </c>
      <c r="B1390" s="35">
        <f>C1390+(D1390-2009)*12</f>
        <v>159</v>
      </c>
      <c r="C1390" s="76">
        <v>3</v>
      </c>
      <c r="D1390" s="53">
        <v>2022</v>
      </c>
      <c r="E1390" s="56">
        <v>0</v>
      </c>
      <c r="F1390" s="53">
        <f>IF(E1390&gt;0,1,0)</f>
        <v>0</v>
      </c>
      <c r="G1390" s="53">
        <f>SUM(F1389:F1390)</f>
        <v>0</v>
      </c>
      <c r="H1390" s="53">
        <f>IF(G1390=1,IF(F1389=1,1,-1),G1390)</f>
        <v>0</v>
      </c>
      <c r="I1390" s="53" t="str">
        <f>VLOOKUP(H1390,codes,2,)</f>
        <v>dd</v>
      </c>
      <c r="J1390" s="53"/>
    </row>
    <row r="1391" spans="1:10" x14ac:dyDescent="0.25">
      <c r="A1391" s="93">
        <v>44631</v>
      </c>
      <c r="B1391" s="35">
        <f>C1391+(D1391-2009)*12</f>
        <v>159</v>
      </c>
      <c r="C1391" s="76">
        <v>3</v>
      </c>
      <c r="D1391" s="53">
        <v>2022</v>
      </c>
      <c r="E1391" s="56">
        <v>0</v>
      </c>
      <c r="F1391" s="53">
        <f>IF(E1391&gt;0,1,0)</f>
        <v>0</v>
      </c>
      <c r="G1391" s="53">
        <f>SUM(F1390:F1391)</f>
        <v>0</v>
      </c>
      <c r="H1391" s="53">
        <f>IF(G1391=1,IF(F1390=1,1,-1),G1391)</f>
        <v>0</v>
      </c>
      <c r="I1391" s="53" t="str">
        <f>VLOOKUP(H1391,codes,2,)</f>
        <v>dd</v>
      </c>
      <c r="J1391" s="53"/>
    </row>
    <row r="1392" spans="1:10" x14ac:dyDescent="0.25">
      <c r="A1392" s="93">
        <v>44632</v>
      </c>
      <c r="B1392" s="35">
        <f>C1392+(D1392-2009)*12</f>
        <v>159</v>
      </c>
      <c r="C1392" s="76">
        <v>3</v>
      </c>
      <c r="D1392" s="53">
        <v>2022</v>
      </c>
      <c r="E1392" s="56">
        <v>1.1333333333333333</v>
      </c>
      <c r="F1392" s="53">
        <f>IF(E1392&gt;0,1,0)</f>
        <v>1</v>
      </c>
      <c r="G1392" s="53">
        <f>SUM(F1391:F1392)</f>
        <v>1</v>
      </c>
      <c r="H1392" s="53">
        <f>IF(G1392=1,IF(F1391=1,1,-1),G1392)</f>
        <v>-1</v>
      </c>
      <c r="I1392" s="53" t="str">
        <f>VLOOKUP(H1392,codes,2,)</f>
        <v>dw</v>
      </c>
      <c r="J1392" s="53"/>
    </row>
    <row r="1393" spans="1:10" x14ac:dyDescent="0.25">
      <c r="A1393" s="93">
        <v>44633</v>
      </c>
      <c r="B1393" s="35">
        <f>C1393+(D1393-2009)*12</f>
        <v>159</v>
      </c>
      <c r="C1393" s="76">
        <v>3</v>
      </c>
      <c r="D1393" s="53">
        <v>2022</v>
      </c>
      <c r="E1393" s="56">
        <v>0</v>
      </c>
      <c r="F1393" s="53">
        <f>IF(E1393&gt;0,1,0)</f>
        <v>0</v>
      </c>
      <c r="G1393" s="53">
        <f>SUM(F1392:F1393)</f>
        <v>1</v>
      </c>
      <c r="H1393" s="53">
        <f>IF(G1393=1,IF(F1392=1,1,-1),G1393)</f>
        <v>1</v>
      </c>
      <c r="I1393" s="53" t="str">
        <f>VLOOKUP(H1393,codes,2,)</f>
        <v>wd</v>
      </c>
      <c r="J1393" s="53"/>
    </row>
    <row r="1394" spans="1:10" x14ac:dyDescent="0.25">
      <c r="A1394" s="93">
        <v>44634</v>
      </c>
      <c r="B1394" s="35">
        <f>C1394+(D1394-2009)*12</f>
        <v>159</v>
      </c>
      <c r="C1394" s="76">
        <v>3</v>
      </c>
      <c r="D1394" s="53">
        <v>2022</v>
      </c>
      <c r="E1394" s="56">
        <v>0</v>
      </c>
      <c r="F1394" s="53">
        <f>IF(E1394&gt;0,1,0)</f>
        <v>0</v>
      </c>
      <c r="G1394" s="53">
        <f>SUM(F1393:F1394)</f>
        <v>0</v>
      </c>
      <c r="H1394" s="53">
        <f>IF(G1394=1,IF(F1393=1,1,-1),G1394)</f>
        <v>0</v>
      </c>
      <c r="I1394" s="53" t="str">
        <f>VLOOKUP(H1394,codes,2,)</f>
        <v>dd</v>
      </c>
      <c r="J1394" s="53"/>
    </row>
    <row r="1395" spans="1:10" x14ac:dyDescent="0.25">
      <c r="A1395" s="93">
        <v>44635</v>
      </c>
      <c r="B1395" s="35">
        <f>C1395+(D1395-2009)*12</f>
        <v>159</v>
      </c>
      <c r="C1395" s="76">
        <v>3</v>
      </c>
      <c r="D1395" s="53">
        <v>2022</v>
      </c>
      <c r="E1395" s="56">
        <v>0</v>
      </c>
      <c r="F1395" s="53">
        <f>IF(E1395&gt;0,1,0)</f>
        <v>0</v>
      </c>
      <c r="G1395" s="53">
        <f>SUM(F1394:F1395)</f>
        <v>0</v>
      </c>
      <c r="H1395" s="53">
        <f>IF(G1395=1,IF(F1394=1,1,-1),G1395)</f>
        <v>0</v>
      </c>
      <c r="I1395" s="53" t="str">
        <f>VLOOKUP(H1395,codes,2,)</f>
        <v>dd</v>
      </c>
      <c r="J1395" s="53"/>
    </row>
    <row r="1396" spans="1:10" x14ac:dyDescent="0.25">
      <c r="A1396" s="93">
        <v>44636</v>
      </c>
      <c r="B1396" s="35">
        <f>C1396+(D1396-2009)*12</f>
        <v>159</v>
      </c>
      <c r="C1396" s="76">
        <v>3</v>
      </c>
      <c r="D1396" s="53">
        <v>2022</v>
      </c>
      <c r="E1396" s="56">
        <v>0</v>
      </c>
      <c r="F1396" s="53">
        <f>IF(E1396&gt;0,1,0)</f>
        <v>0</v>
      </c>
      <c r="G1396" s="53">
        <f>SUM(F1395:F1396)</f>
        <v>0</v>
      </c>
      <c r="H1396" s="53">
        <f>IF(G1396=1,IF(F1395=1,1,-1),G1396)</f>
        <v>0</v>
      </c>
      <c r="I1396" s="53" t="str">
        <f>VLOOKUP(H1396,codes,2,)</f>
        <v>dd</v>
      </c>
      <c r="J1396" s="53"/>
    </row>
    <row r="1397" spans="1:10" x14ac:dyDescent="0.25">
      <c r="A1397" s="93">
        <v>44637</v>
      </c>
      <c r="B1397" s="35">
        <f>C1397+(D1397-2009)*12</f>
        <v>159</v>
      </c>
      <c r="C1397" s="76">
        <v>3</v>
      </c>
      <c r="D1397" s="53">
        <v>2022</v>
      </c>
      <c r="E1397" s="56">
        <v>3.8666666666666671</v>
      </c>
      <c r="F1397" s="53">
        <f>IF(E1397&gt;0,1,0)</f>
        <v>1</v>
      </c>
      <c r="G1397" s="53">
        <f>SUM(F1396:F1397)</f>
        <v>1</v>
      </c>
      <c r="H1397" s="53">
        <f>IF(G1397=1,IF(F1396=1,1,-1),G1397)</f>
        <v>-1</v>
      </c>
      <c r="I1397" s="53" t="str">
        <f>VLOOKUP(H1397,codes,2,)</f>
        <v>dw</v>
      </c>
      <c r="J1397" s="53"/>
    </row>
    <row r="1398" spans="1:10" x14ac:dyDescent="0.25">
      <c r="A1398" s="93">
        <v>44638</v>
      </c>
      <c r="B1398" s="35">
        <f>C1398+(D1398-2009)*12</f>
        <v>159</v>
      </c>
      <c r="C1398" s="76">
        <v>3</v>
      </c>
      <c r="D1398" s="53">
        <v>2022</v>
      </c>
      <c r="E1398" s="56">
        <v>0</v>
      </c>
      <c r="F1398" s="53">
        <f>IF(E1398&gt;0,1,0)</f>
        <v>0</v>
      </c>
      <c r="G1398" s="53">
        <f>SUM(F1397:F1398)</f>
        <v>1</v>
      </c>
      <c r="H1398" s="53">
        <f>IF(G1398=1,IF(F1397=1,1,-1),G1398)</f>
        <v>1</v>
      </c>
      <c r="I1398" s="53" t="str">
        <f>VLOOKUP(H1398,codes,2,)</f>
        <v>wd</v>
      </c>
      <c r="J1398" s="53"/>
    </row>
    <row r="1399" spans="1:10" x14ac:dyDescent="0.25">
      <c r="A1399" s="93">
        <v>44639</v>
      </c>
      <c r="B1399" s="35">
        <f>C1399+(D1399-2009)*12</f>
        <v>159</v>
      </c>
      <c r="C1399" s="76">
        <v>3</v>
      </c>
      <c r="D1399" s="53">
        <v>2022</v>
      </c>
      <c r="E1399" s="56">
        <v>0</v>
      </c>
      <c r="F1399" s="53">
        <f>IF(E1399&gt;0,1,0)</f>
        <v>0</v>
      </c>
      <c r="G1399" s="53">
        <f>SUM(F1398:F1399)</f>
        <v>0</v>
      </c>
      <c r="H1399" s="53">
        <f>IF(G1399=1,IF(F1398=1,1,-1),G1399)</f>
        <v>0</v>
      </c>
      <c r="I1399" s="53" t="str">
        <f>VLOOKUP(H1399,codes,2,)</f>
        <v>dd</v>
      </c>
      <c r="J1399" s="53"/>
    </row>
    <row r="1400" spans="1:10" x14ac:dyDescent="0.25">
      <c r="A1400" s="93">
        <v>44640</v>
      </c>
      <c r="B1400" s="35">
        <f>C1400+(D1400-2009)*12</f>
        <v>159</v>
      </c>
      <c r="C1400" s="76">
        <v>3</v>
      </c>
      <c r="D1400" s="53">
        <v>2022</v>
      </c>
      <c r="E1400" s="56">
        <v>0</v>
      </c>
      <c r="F1400" s="53">
        <f>IF(E1400&gt;0,1,0)</f>
        <v>0</v>
      </c>
      <c r="G1400" s="53">
        <f>SUM(F1399:F1400)</f>
        <v>0</v>
      </c>
      <c r="H1400" s="53">
        <f>IF(G1400=1,IF(F1399=1,1,-1),G1400)</f>
        <v>0</v>
      </c>
      <c r="I1400" s="53" t="str">
        <f>VLOOKUP(H1400,codes,2,)</f>
        <v>dd</v>
      </c>
      <c r="J1400" s="53"/>
    </row>
    <row r="1401" spans="1:10" x14ac:dyDescent="0.25">
      <c r="A1401" s="93">
        <v>44641</v>
      </c>
      <c r="B1401" s="35">
        <f>C1401+(D1401-2009)*12</f>
        <v>159</v>
      </c>
      <c r="C1401" s="76">
        <v>3</v>
      </c>
      <c r="D1401" s="53">
        <v>2022</v>
      </c>
      <c r="E1401" s="56">
        <v>0</v>
      </c>
      <c r="F1401" s="53">
        <f>IF(E1401&gt;0,1,0)</f>
        <v>0</v>
      </c>
      <c r="G1401" s="53">
        <f>SUM(F1400:F1401)</f>
        <v>0</v>
      </c>
      <c r="H1401" s="53">
        <f>IF(G1401=1,IF(F1400=1,1,-1),G1401)</f>
        <v>0</v>
      </c>
      <c r="I1401" s="53" t="str">
        <f>VLOOKUP(H1401,codes,2,)</f>
        <v>dd</v>
      </c>
      <c r="J1401" s="53"/>
    </row>
    <row r="1402" spans="1:10" x14ac:dyDescent="0.25">
      <c r="A1402" s="93">
        <v>44642</v>
      </c>
      <c r="B1402" s="35">
        <f>C1402+(D1402-2009)*12</f>
        <v>159</v>
      </c>
      <c r="C1402" s="76">
        <v>3</v>
      </c>
      <c r="D1402" s="53">
        <v>2022</v>
      </c>
      <c r="E1402" s="56">
        <v>0</v>
      </c>
      <c r="F1402" s="53">
        <f>IF(E1402&gt;0,1,0)</f>
        <v>0</v>
      </c>
      <c r="G1402" s="53">
        <f>SUM(F1401:F1402)</f>
        <v>0</v>
      </c>
      <c r="H1402" s="53">
        <f>IF(G1402=1,IF(F1401=1,1,-1),G1402)</f>
        <v>0</v>
      </c>
      <c r="I1402" s="53" t="str">
        <f>VLOOKUP(H1402,codes,2,)</f>
        <v>dd</v>
      </c>
      <c r="J1402" s="53"/>
    </row>
    <row r="1403" spans="1:10" x14ac:dyDescent="0.25">
      <c r="A1403" s="93">
        <v>44643</v>
      </c>
      <c r="B1403" s="35">
        <f>C1403+(D1403-2009)*12</f>
        <v>159</v>
      </c>
      <c r="C1403" s="76">
        <v>3</v>
      </c>
      <c r="D1403" s="53">
        <v>2022</v>
      </c>
      <c r="E1403" s="56">
        <v>0</v>
      </c>
      <c r="F1403" s="53">
        <f>IF(E1403&gt;0,1,0)</f>
        <v>0</v>
      </c>
      <c r="G1403" s="53">
        <f>SUM(F1402:F1403)</f>
        <v>0</v>
      </c>
      <c r="H1403" s="53">
        <f>IF(G1403=1,IF(F1402=1,1,-1),G1403)</f>
        <v>0</v>
      </c>
      <c r="I1403" s="53" t="str">
        <f>VLOOKUP(H1403,codes,2,)</f>
        <v>dd</v>
      </c>
      <c r="J1403" s="53"/>
    </row>
    <row r="1404" spans="1:10" x14ac:dyDescent="0.25">
      <c r="A1404" s="93">
        <v>44644</v>
      </c>
      <c r="B1404" s="35">
        <f>C1404+(D1404-2009)*12</f>
        <v>159</v>
      </c>
      <c r="C1404" s="76">
        <v>3</v>
      </c>
      <c r="D1404" s="53">
        <v>2022</v>
      </c>
      <c r="E1404" s="56">
        <v>0</v>
      </c>
      <c r="F1404" s="53">
        <f>IF(E1404&gt;0,1,0)</f>
        <v>0</v>
      </c>
      <c r="G1404" s="53">
        <f>SUM(F1403:F1404)</f>
        <v>0</v>
      </c>
      <c r="H1404" s="53">
        <f>IF(G1404=1,IF(F1403=1,1,-1),G1404)</f>
        <v>0</v>
      </c>
      <c r="I1404" s="53" t="str">
        <f>VLOOKUP(H1404,codes,2,)</f>
        <v>dd</v>
      </c>
      <c r="J1404" s="53"/>
    </row>
    <row r="1405" spans="1:10" x14ac:dyDescent="0.25">
      <c r="A1405" s="93">
        <v>44645</v>
      </c>
      <c r="B1405" s="35">
        <f>C1405+(D1405-2009)*12</f>
        <v>159</v>
      </c>
      <c r="C1405" s="76">
        <v>3</v>
      </c>
      <c r="D1405" s="53">
        <v>2022</v>
      </c>
      <c r="E1405" s="56">
        <v>0</v>
      </c>
      <c r="F1405" s="53">
        <f>IF(E1405&gt;0,1,0)</f>
        <v>0</v>
      </c>
      <c r="G1405" s="53">
        <f>SUM(F1404:F1405)</f>
        <v>0</v>
      </c>
      <c r="H1405" s="53">
        <f>IF(G1405=1,IF(F1404=1,1,-1),G1405)</f>
        <v>0</v>
      </c>
      <c r="I1405" s="53" t="str">
        <f>VLOOKUP(H1405,codes,2,)</f>
        <v>dd</v>
      </c>
      <c r="J1405" s="53"/>
    </row>
    <row r="1406" spans="1:10" x14ac:dyDescent="0.25">
      <c r="A1406" s="93">
        <v>44646</v>
      </c>
      <c r="B1406" s="35">
        <f>C1406+(D1406-2009)*12</f>
        <v>159</v>
      </c>
      <c r="C1406" s="76">
        <v>3</v>
      </c>
      <c r="D1406" s="53">
        <v>2022</v>
      </c>
      <c r="E1406" s="56">
        <v>0</v>
      </c>
      <c r="F1406" s="53">
        <f>IF(E1406&gt;0,1,0)</f>
        <v>0</v>
      </c>
      <c r="G1406" s="53">
        <f>SUM(F1405:F1406)</f>
        <v>0</v>
      </c>
      <c r="H1406" s="53">
        <f>IF(G1406=1,IF(F1405=1,1,-1),G1406)</f>
        <v>0</v>
      </c>
      <c r="I1406" s="53" t="str">
        <f>VLOOKUP(H1406,codes,2,)</f>
        <v>dd</v>
      </c>
      <c r="J1406" s="53"/>
    </row>
    <row r="1407" spans="1:10" x14ac:dyDescent="0.25">
      <c r="A1407" s="93">
        <v>44647</v>
      </c>
      <c r="B1407" s="35">
        <f>C1407+(D1407-2009)*12</f>
        <v>159</v>
      </c>
      <c r="C1407" s="76">
        <v>3</v>
      </c>
      <c r="D1407" s="53">
        <v>2022</v>
      </c>
      <c r="E1407" s="56">
        <v>0</v>
      </c>
      <c r="F1407" s="53">
        <f>IF(E1407&gt;0,1,0)</f>
        <v>0</v>
      </c>
      <c r="G1407" s="53">
        <f>SUM(F1406:F1407)</f>
        <v>0</v>
      </c>
      <c r="H1407" s="53">
        <f>IF(G1407=1,IF(F1406=1,1,-1),G1407)</f>
        <v>0</v>
      </c>
      <c r="I1407" s="53" t="str">
        <f>VLOOKUP(H1407,codes,2,)</f>
        <v>dd</v>
      </c>
      <c r="J1407" s="53"/>
    </row>
    <row r="1408" spans="1:10" x14ac:dyDescent="0.25">
      <c r="A1408" s="93">
        <v>44648</v>
      </c>
      <c r="B1408" s="35">
        <f>C1408+(D1408-2009)*12</f>
        <v>159</v>
      </c>
      <c r="C1408" s="76">
        <v>3</v>
      </c>
      <c r="D1408" s="53">
        <v>2022</v>
      </c>
      <c r="E1408" s="56">
        <v>0</v>
      </c>
      <c r="F1408" s="53">
        <f>IF(E1408&gt;0,1,0)</f>
        <v>0</v>
      </c>
      <c r="G1408" s="53">
        <f>SUM(F1407:F1408)</f>
        <v>0</v>
      </c>
      <c r="H1408" s="53">
        <f>IF(G1408=1,IF(F1407=1,1,-1),G1408)</f>
        <v>0</v>
      </c>
      <c r="I1408" s="53" t="str">
        <f>VLOOKUP(H1408,codes,2,)</f>
        <v>dd</v>
      </c>
      <c r="J1408" s="53"/>
    </row>
    <row r="1409" spans="1:10" x14ac:dyDescent="0.25">
      <c r="A1409" s="93">
        <v>44649</v>
      </c>
      <c r="B1409" s="35">
        <f>C1409+(D1409-2009)*12</f>
        <v>159</v>
      </c>
      <c r="C1409" s="76">
        <v>3</v>
      </c>
      <c r="D1409" s="53">
        <v>2022</v>
      </c>
      <c r="E1409" s="56">
        <v>0.33333333333333331</v>
      </c>
      <c r="F1409" s="53">
        <f>IF(E1409&gt;0,1,0)</f>
        <v>1</v>
      </c>
      <c r="G1409" s="53">
        <f>SUM(F1408:F1409)</f>
        <v>1</v>
      </c>
      <c r="H1409" s="53">
        <f>IF(G1409=1,IF(F1408=1,1,-1),G1409)</f>
        <v>-1</v>
      </c>
      <c r="I1409" s="53" t="str">
        <f>VLOOKUP(H1409,codes,2,)</f>
        <v>dw</v>
      </c>
      <c r="J1409" s="53"/>
    </row>
    <row r="1410" spans="1:10" x14ac:dyDescent="0.25">
      <c r="A1410" s="93">
        <v>44650</v>
      </c>
      <c r="B1410" s="35">
        <f>C1410+(D1410-2009)*12</f>
        <v>159</v>
      </c>
      <c r="C1410" s="76">
        <v>3</v>
      </c>
      <c r="D1410" s="53">
        <v>2022</v>
      </c>
      <c r="E1410" s="56">
        <v>8.2666666666666657</v>
      </c>
      <c r="F1410" s="53">
        <f>IF(E1410&gt;0,1,0)</f>
        <v>1</v>
      </c>
      <c r="G1410" s="53">
        <f>SUM(F1409:F1410)</f>
        <v>2</v>
      </c>
      <c r="H1410" s="53">
        <f>IF(G1410=1,IF(F1409=1,1,-1),G1410)</f>
        <v>2</v>
      </c>
      <c r="I1410" s="53" t="str">
        <f>VLOOKUP(H1410,codes,2,)</f>
        <v>ww</v>
      </c>
      <c r="J1410" s="53"/>
    </row>
    <row r="1411" spans="1:10" x14ac:dyDescent="0.25">
      <c r="A1411" s="93">
        <v>44651</v>
      </c>
      <c r="B1411" s="35">
        <f>C1411+(D1411-2009)*12</f>
        <v>159</v>
      </c>
      <c r="C1411" s="76">
        <v>3</v>
      </c>
      <c r="D1411" s="53">
        <v>2022</v>
      </c>
      <c r="E1411" s="56">
        <v>2.9333333333333336</v>
      </c>
      <c r="F1411" s="53">
        <f>IF(E1411&gt;0,1,0)</f>
        <v>1</v>
      </c>
      <c r="G1411" s="53">
        <f>SUM(F1410:F1411)</f>
        <v>2</v>
      </c>
      <c r="H1411" s="53">
        <f>IF(G1411=1,IF(F1410=1,1,-1),G1411)</f>
        <v>2</v>
      </c>
      <c r="I1411" s="53" t="str">
        <f>VLOOKUP(H1411,codes,2,)</f>
        <v>ww</v>
      </c>
      <c r="J1411" s="53"/>
    </row>
    <row r="1412" spans="1:10" x14ac:dyDescent="0.25">
      <c r="A1412" s="93">
        <v>44986</v>
      </c>
      <c r="B1412" s="35">
        <f>C1412+(D1412-2009)*12</f>
        <v>171</v>
      </c>
      <c r="C1412" s="76">
        <v>3</v>
      </c>
      <c r="D1412" s="53">
        <v>2023</v>
      </c>
      <c r="E1412" s="56">
        <v>4.8</v>
      </c>
      <c r="F1412" s="53">
        <f>IF(E1412&gt;0,1,0)</f>
        <v>1</v>
      </c>
      <c r="G1412" s="53">
        <f>SUM(F1411:F1412)</f>
        <v>2</v>
      </c>
      <c r="H1412" s="53">
        <f>IF(G1412=1,IF(F1411=1,1,-1),G1412)</f>
        <v>2</v>
      </c>
      <c r="I1412" s="53" t="str">
        <f>VLOOKUP(H1412,codes,2,)</f>
        <v>ww</v>
      </c>
      <c r="J1412" s="53"/>
    </row>
    <row r="1413" spans="1:10" x14ac:dyDescent="0.25">
      <c r="A1413" s="93">
        <v>44987</v>
      </c>
      <c r="B1413" s="35">
        <f>C1413+(D1413-2009)*12</f>
        <v>171</v>
      </c>
      <c r="C1413" s="76">
        <v>3</v>
      </c>
      <c r="D1413" s="53">
        <v>2023</v>
      </c>
      <c r="E1413" s="56">
        <v>3.6</v>
      </c>
      <c r="F1413" s="53">
        <f>IF(E1413&gt;0,1,0)</f>
        <v>1</v>
      </c>
      <c r="G1413" s="53">
        <f>SUM(F1412:F1413)</f>
        <v>2</v>
      </c>
      <c r="H1413" s="53">
        <f>IF(G1413=1,IF(F1412=1,1,-1),G1413)</f>
        <v>2</v>
      </c>
      <c r="I1413" s="53" t="str">
        <f>VLOOKUP(H1413,codes,2,)</f>
        <v>ww</v>
      </c>
      <c r="J1413" s="53"/>
    </row>
    <row r="1414" spans="1:10" x14ac:dyDescent="0.25">
      <c r="A1414" s="93">
        <v>44988</v>
      </c>
      <c r="B1414" s="35">
        <f>C1414+(D1414-2009)*12</f>
        <v>171</v>
      </c>
      <c r="C1414" s="76">
        <v>3</v>
      </c>
      <c r="D1414" s="53">
        <v>2023</v>
      </c>
      <c r="E1414" s="56">
        <v>0.26666666666666666</v>
      </c>
      <c r="F1414" s="53">
        <f>IF(E1414&gt;0,1,0)</f>
        <v>1</v>
      </c>
      <c r="G1414" s="53">
        <f>SUM(F1413:F1414)</f>
        <v>2</v>
      </c>
      <c r="H1414" s="53">
        <f>IF(G1414=1,IF(F1413=1,1,-1),G1414)</f>
        <v>2</v>
      </c>
      <c r="I1414" s="53" t="str">
        <f>VLOOKUP(H1414,codes,2,)</f>
        <v>ww</v>
      </c>
      <c r="J1414" s="53"/>
    </row>
    <row r="1415" spans="1:10" x14ac:dyDescent="0.25">
      <c r="A1415" s="93">
        <v>44989</v>
      </c>
      <c r="B1415" s="35">
        <f>C1415+(D1415-2009)*12</f>
        <v>171</v>
      </c>
      <c r="C1415" s="76">
        <v>3</v>
      </c>
      <c r="D1415" s="53">
        <v>2023</v>
      </c>
      <c r="E1415" s="56">
        <v>0</v>
      </c>
      <c r="F1415" s="53">
        <f>IF(E1415&gt;0,1,0)</f>
        <v>0</v>
      </c>
      <c r="G1415" s="53">
        <f>SUM(F1414:F1415)</f>
        <v>1</v>
      </c>
      <c r="H1415" s="53">
        <f>IF(G1415=1,IF(F1414=1,1,-1),G1415)</f>
        <v>1</v>
      </c>
      <c r="I1415" s="53" t="str">
        <f>VLOOKUP(H1415,codes,2,)</f>
        <v>wd</v>
      </c>
      <c r="J1415" s="53"/>
    </row>
    <row r="1416" spans="1:10" x14ac:dyDescent="0.25">
      <c r="A1416" s="93">
        <v>44990</v>
      </c>
      <c r="B1416" s="35">
        <f>C1416+(D1416-2009)*12</f>
        <v>171</v>
      </c>
      <c r="C1416" s="76">
        <v>3</v>
      </c>
      <c r="D1416" s="53">
        <v>2023</v>
      </c>
      <c r="E1416" s="56">
        <v>0.46666666666666662</v>
      </c>
      <c r="F1416" s="53">
        <f>IF(E1416&gt;0,1,0)</f>
        <v>1</v>
      </c>
      <c r="G1416" s="53">
        <f>SUM(F1415:F1416)</f>
        <v>1</v>
      </c>
      <c r="H1416" s="53">
        <f>IF(G1416=1,IF(F1415=1,1,-1),G1416)</f>
        <v>-1</v>
      </c>
      <c r="I1416" s="53" t="str">
        <f>VLOOKUP(H1416,codes,2,)</f>
        <v>dw</v>
      </c>
      <c r="J1416" s="53"/>
    </row>
    <row r="1417" spans="1:10" x14ac:dyDescent="0.25">
      <c r="A1417" s="93">
        <v>44991</v>
      </c>
      <c r="B1417" s="35">
        <f>C1417+(D1417-2009)*12</f>
        <v>171</v>
      </c>
      <c r="C1417" s="76">
        <v>3</v>
      </c>
      <c r="D1417" s="53">
        <v>2023</v>
      </c>
      <c r="E1417" s="56">
        <v>1.1333333333333333</v>
      </c>
      <c r="F1417" s="53">
        <f>IF(E1417&gt;0,1,0)</f>
        <v>1</v>
      </c>
      <c r="G1417" s="53">
        <f>SUM(F1416:F1417)</f>
        <v>2</v>
      </c>
      <c r="H1417" s="53">
        <f>IF(G1417=1,IF(F1416=1,1,-1),G1417)</f>
        <v>2</v>
      </c>
      <c r="I1417" s="53" t="str">
        <f>VLOOKUP(H1417,codes,2,)</f>
        <v>ww</v>
      </c>
      <c r="J1417" s="53"/>
    </row>
    <row r="1418" spans="1:10" x14ac:dyDescent="0.25">
      <c r="A1418" s="93">
        <v>44992</v>
      </c>
      <c r="B1418" s="35">
        <f>C1418+(D1418-2009)*12</f>
        <v>171</v>
      </c>
      <c r="C1418" s="76">
        <v>3</v>
      </c>
      <c r="D1418" s="53">
        <v>2023</v>
      </c>
      <c r="E1418" s="56">
        <v>1.6333333333333335</v>
      </c>
      <c r="F1418" s="53">
        <f>IF(E1418&gt;0,1,0)</f>
        <v>1</v>
      </c>
      <c r="G1418" s="53">
        <f>SUM(F1417:F1418)</f>
        <v>2</v>
      </c>
      <c r="H1418" s="53">
        <f>IF(G1418=1,IF(F1417=1,1,-1),G1418)</f>
        <v>2</v>
      </c>
      <c r="I1418" s="53" t="str">
        <f>VLOOKUP(H1418,codes,2,)</f>
        <v>ww</v>
      </c>
      <c r="J1418" s="53"/>
    </row>
    <row r="1419" spans="1:10" x14ac:dyDescent="0.25">
      <c r="A1419" s="93">
        <v>44993</v>
      </c>
      <c r="B1419" s="35">
        <f>C1419+(D1419-2009)*12</f>
        <v>171</v>
      </c>
      <c r="C1419" s="76">
        <v>3</v>
      </c>
      <c r="D1419" s="53">
        <v>2023</v>
      </c>
      <c r="E1419" s="56">
        <v>0.20000000000000004</v>
      </c>
      <c r="F1419" s="53">
        <f>IF(E1419&gt;0,1,0)</f>
        <v>1</v>
      </c>
      <c r="G1419" s="53">
        <f>SUM(F1418:F1419)</f>
        <v>2</v>
      </c>
      <c r="H1419" s="53">
        <f>IF(G1419=1,IF(F1418=1,1,-1),G1419)</f>
        <v>2</v>
      </c>
      <c r="I1419" s="53" t="str">
        <f>VLOOKUP(H1419,codes,2,)</f>
        <v>ww</v>
      </c>
      <c r="J1419" s="53"/>
    </row>
    <row r="1420" spans="1:10" x14ac:dyDescent="0.25">
      <c r="A1420" s="93">
        <v>44994</v>
      </c>
      <c r="B1420" s="35">
        <f>C1420+(D1420-2009)*12</f>
        <v>171</v>
      </c>
      <c r="C1420" s="76">
        <v>3</v>
      </c>
      <c r="D1420" s="53">
        <v>2023</v>
      </c>
      <c r="E1420" s="56">
        <v>1.0333333333333334</v>
      </c>
      <c r="F1420" s="53">
        <f>IF(E1420&gt;0,1,0)</f>
        <v>1</v>
      </c>
      <c r="G1420" s="53">
        <f>SUM(F1419:F1420)</f>
        <v>2</v>
      </c>
      <c r="H1420" s="53">
        <f>IF(G1420=1,IF(F1419=1,1,-1),G1420)</f>
        <v>2</v>
      </c>
      <c r="I1420" s="53" t="str">
        <f>VLOOKUP(H1420,codes,2,)</f>
        <v>ww</v>
      </c>
      <c r="J1420" s="53"/>
    </row>
    <row r="1421" spans="1:10" x14ac:dyDescent="0.25">
      <c r="A1421" s="93">
        <v>44995</v>
      </c>
      <c r="B1421" s="35">
        <f>C1421+(D1421-2009)*12</f>
        <v>171</v>
      </c>
      <c r="C1421" s="76">
        <v>3</v>
      </c>
      <c r="D1421" s="53">
        <v>2023</v>
      </c>
      <c r="E1421" s="56">
        <v>3.2333333333333329</v>
      </c>
      <c r="F1421" s="53">
        <f>IF(E1421&gt;0,1,0)</f>
        <v>1</v>
      </c>
      <c r="G1421" s="53">
        <f>SUM(F1420:F1421)</f>
        <v>2</v>
      </c>
      <c r="H1421" s="53">
        <f>IF(G1421=1,IF(F1420=1,1,-1),G1421)</f>
        <v>2</v>
      </c>
      <c r="I1421" s="53" t="str">
        <f>VLOOKUP(H1421,codes,2,)</f>
        <v>ww</v>
      </c>
      <c r="J1421" s="53"/>
    </row>
    <row r="1422" spans="1:10" x14ac:dyDescent="0.25">
      <c r="A1422" s="93">
        <v>44996</v>
      </c>
      <c r="B1422" s="35">
        <f>C1422+(D1422-2009)*12</f>
        <v>171</v>
      </c>
      <c r="C1422" s="76">
        <v>3</v>
      </c>
      <c r="D1422" s="53">
        <v>2023</v>
      </c>
      <c r="E1422" s="56">
        <v>0.96666666666666667</v>
      </c>
      <c r="F1422" s="53">
        <f>IF(E1422&gt;0,1,0)</f>
        <v>1</v>
      </c>
      <c r="G1422" s="53">
        <f>SUM(F1421:F1422)</f>
        <v>2</v>
      </c>
      <c r="H1422" s="53">
        <f>IF(G1422=1,IF(F1421=1,1,-1),G1422)</f>
        <v>2</v>
      </c>
      <c r="I1422" s="53" t="str">
        <f>VLOOKUP(H1422,codes,2,)</f>
        <v>ww</v>
      </c>
      <c r="J1422" s="53"/>
    </row>
    <row r="1423" spans="1:10" x14ac:dyDescent="0.25">
      <c r="A1423" s="93">
        <v>44997</v>
      </c>
      <c r="B1423" s="35">
        <f>C1423+(D1423-2009)*12</f>
        <v>171</v>
      </c>
      <c r="C1423" s="76">
        <v>3</v>
      </c>
      <c r="D1423" s="53">
        <v>2023</v>
      </c>
      <c r="E1423" s="56">
        <v>1.2</v>
      </c>
      <c r="F1423" s="53">
        <f>IF(E1423&gt;0,1,0)</f>
        <v>1</v>
      </c>
      <c r="G1423" s="53">
        <f>SUM(F1422:F1423)</f>
        <v>2</v>
      </c>
      <c r="H1423" s="53">
        <f>IF(G1423=1,IF(F1422=1,1,-1),G1423)</f>
        <v>2</v>
      </c>
      <c r="I1423" s="53" t="str">
        <f>VLOOKUP(H1423,codes,2,)</f>
        <v>ww</v>
      </c>
      <c r="J1423" s="53"/>
    </row>
    <row r="1424" spans="1:10" x14ac:dyDescent="0.25">
      <c r="A1424" s="93">
        <v>44998</v>
      </c>
      <c r="B1424" s="35">
        <f>C1424+(D1424-2009)*12</f>
        <v>171</v>
      </c>
      <c r="C1424" s="76">
        <v>3</v>
      </c>
      <c r="D1424" s="53">
        <v>2023</v>
      </c>
      <c r="E1424" s="56">
        <v>2.2666666666666666</v>
      </c>
      <c r="F1424" s="53">
        <f>IF(E1424&gt;0,1,0)</f>
        <v>1</v>
      </c>
      <c r="G1424" s="53">
        <f>SUM(F1423:F1424)</f>
        <v>2</v>
      </c>
      <c r="H1424" s="53">
        <f>IF(G1424=1,IF(F1423=1,1,-1),G1424)</f>
        <v>2</v>
      </c>
      <c r="I1424" s="53" t="str">
        <f>VLOOKUP(H1424,codes,2,)</f>
        <v>ww</v>
      </c>
      <c r="J1424" s="53"/>
    </row>
    <row r="1425" spans="1:10" x14ac:dyDescent="0.25">
      <c r="A1425" s="93">
        <v>44999</v>
      </c>
      <c r="B1425" s="35">
        <f>C1425+(D1425-2009)*12</f>
        <v>171</v>
      </c>
      <c r="C1425" s="76">
        <v>3</v>
      </c>
      <c r="D1425" s="53">
        <v>2023</v>
      </c>
      <c r="E1425" s="56">
        <v>9.6666666666666661</v>
      </c>
      <c r="F1425" s="53">
        <f>IF(E1425&gt;0,1,0)</f>
        <v>1</v>
      </c>
      <c r="G1425" s="53">
        <f>SUM(F1424:F1425)</f>
        <v>2</v>
      </c>
      <c r="H1425" s="53">
        <f>IF(G1425=1,IF(F1424=1,1,-1),G1425)</f>
        <v>2</v>
      </c>
      <c r="I1425" s="53" t="str">
        <f>VLOOKUP(H1425,codes,2,)</f>
        <v>ww</v>
      </c>
      <c r="J1425" s="53"/>
    </row>
    <row r="1426" spans="1:10" x14ac:dyDescent="0.25">
      <c r="A1426" s="93">
        <v>45000</v>
      </c>
      <c r="B1426" s="35">
        <f>C1426+(D1426-2009)*12</f>
        <v>171</v>
      </c>
      <c r="C1426" s="76">
        <v>3</v>
      </c>
      <c r="D1426" s="53">
        <v>2023</v>
      </c>
      <c r="E1426" s="56">
        <v>1.8666666666666669</v>
      </c>
      <c r="F1426" s="53">
        <f>IF(E1426&gt;0,1,0)</f>
        <v>1</v>
      </c>
      <c r="G1426" s="53">
        <f>SUM(F1425:F1426)</f>
        <v>2</v>
      </c>
      <c r="H1426" s="53">
        <f>IF(G1426=1,IF(F1425=1,1,-1),G1426)</f>
        <v>2</v>
      </c>
      <c r="I1426" s="53" t="str">
        <f>VLOOKUP(H1426,codes,2,)</f>
        <v>ww</v>
      </c>
      <c r="J1426" s="53"/>
    </row>
    <row r="1427" spans="1:10" x14ac:dyDescent="0.25">
      <c r="A1427" s="93">
        <v>45001</v>
      </c>
      <c r="B1427" s="35">
        <f>C1427+(D1427-2009)*12</f>
        <v>171</v>
      </c>
      <c r="C1427" s="76">
        <v>3</v>
      </c>
      <c r="D1427" s="53">
        <v>2023</v>
      </c>
      <c r="E1427" s="56">
        <v>6.8000000000000007</v>
      </c>
      <c r="F1427" s="53">
        <f>IF(E1427&gt;0,1,0)</f>
        <v>1</v>
      </c>
      <c r="G1427" s="53">
        <f>SUM(F1426:F1427)</f>
        <v>2</v>
      </c>
      <c r="H1427" s="53">
        <f>IF(G1427=1,IF(F1426=1,1,-1),G1427)</f>
        <v>2</v>
      </c>
      <c r="I1427" s="53" t="str">
        <f>VLOOKUP(H1427,codes,2,)</f>
        <v>ww</v>
      </c>
      <c r="J1427" s="53"/>
    </row>
    <row r="1428" spans="1:10" x14ac:dyDescent="0.25">
      <c r="A1428" s="93">
        <v>45002</v>
      </c>
      <c r="B1428" s="35">
        <f>C1428+(D1428-2009)*12</f>
        <v>171</v>
      </c>
      <c r="C1428" s="76">
        <v>3</v>
      </c>
      <c r="D1428" s="53">
        <v>2023</v>
      </c>
      <c r="E1428" s="56">
        <v>0.19999999999999998</v>
      </c>
      <c r="F1428" s="53">
        <f>IF(E1428&gt;0,1,0)</f>
        <v>1</v>
      </c>
      <c r="G1428" s="53">
        <f>SUM(F1427:F1428)</f>
        <v>2</v>
      </c>
      <c r="H1428" s="53">
        <f>IF(G1428=1,IF(F1427=1,1,-1),G1428)</f>
        <v>2</v>
      </c>
      <c r="I1428" s="53" t="str">
        <f>VLOOKUP(H1428,codes,2,)</f>
        <v>ww</v>
      </c>
      <c r="J1428" s="53"/>
    </row>
    <row r="1429" spans="1:10" x14ac:dyDescent="0.25">
      <c r="A1429" s="93">
        <v>45003</v>
      </c>
      <c r="B1429" s="35">
        <f>C1429+(D1429-2009)*12</f>
        <v>171</v>
      </c>
      <c r="C1429" s="76">
        <v>3</v>
      </c>
      <c r="D1429" s="53">
        <v>2023</v>
      </c>
      <c r="E1429" s="56">
        <v>1.2</v>
      </c>
      <c r="F1429" s="53">
        <f>IF(E1429&gt;0,1,0)</f>
        <v>1</v>
      </c>
      <c r="G1429" s="53">
        <f>SUM(F1428:F1429)</f>
        <v>2</v>
      </c>
      <c r="H1429" s="53">
        <f>IF(G1429=1,IF(F1428=1,1,-1),G1429)</f>
        <v>2</v>
      </c>
      <c r="I1429" s="53" t="str">
        <f>VLOOKUP(H1429,codes,2,)</f>
        <v>ww</v>
      </c>
      <c r="J1429" s="53"/>
    </row>
    <row r="1430" spans="1:10" x14ac:dyDescent="0.25">
      <c r="A1430" s="93">
        <v>45004</v>
      </c>
      <c r="B1430" s="35">
        <f>C1430+(D1430-2009)*12</f>
        <v>171</v>
      </c>
      <c r="C1430" s="76">
        <v>3</v>
      </c>
      <c r="D1430" s="53">
        <v>2023</v>
      </c>
      <c r="E1430" s="56">
        <v>5.2</v>
      </c>
      <c r="F1430" s="53">
        <f>IF(E1430&gt;0,1,0)</f>
        <v>1</v>
      </c>
      <c r="G1430" s="53">
        <f>SUM(F1429:F1430)</f>
        <v>2</v>
      </c>
      <c r="H1430" s="53">
        <f>IF(G1430=1,IF(F1429=1,1,-1),G1430)</f>
        <v>2</v>
      </c>
      <c r="I1430" s="53" t="str">
        <f>VLOOKUP(H1430,codes,2,)</f>
        <v>ww</v>
      </c>
      <c r="J1430" s="53"/>
    </row>
    <row r="1431" spans="1:10" x14ac:dyDescent="0.25">
      <c r="A1431" s="93">
        <v>45005</v>
      </c>
      <c r="B1431" s="35">
        <f>C1431+(D1431-2009)*12</f>
        <v>171</v>
      </c>
      <c r="C1431" s="76">
        <v>3</v>
      </c>
      <c r="D1431" s="53">
        <v>2023</v>
      </c>
      <c r="E1431" s="56">
        <v>1.0666666666666667</v>
      </c>
      <c r="F1431" s="53">
        <f>IF(E1431&gt;0,1,0)</f>
        <v>1</v>
      </c>
      <c r="G1431" s="53">
        <f>SUM(F1430:F1431)</f>
        <v>2</v>
      </c>
      <c r="H1431" s="53">
        <f>IF(G1431=1,IF(F1430=1,1,-1),G1431)</f>
        <v>2</v>
      </c>
      <c r="I1431" s="53" t="str">
        <f>VLOOKUP(H1431,codes,2,)</f>
        <v>ww</v>
      </c>
      <c r="J1431" s="53"/>
    </row>
    <row r="1432" spans="1:10" x14ac:dyDescent="0.25">
      <c r="A1432" s="93">
        <v>45006</v>
      </c>
      <c r="B1432" s="35">
        <f>C1432+(D1432-2009)*12</f>
        <v>171</v>
      </c>
      <c r="C1432" s="76">
        <v>3</v>
      </c>
      <c r="D1432" s="53">
        <v>2023</v>
      </c>
      <c r="E1432" s="56">
        <v>3.3333333333333335</v>
      </c>
      <c r="F1432" s="53">
        <f>IF(E1432&gt;0,1,0)</f>
        <v>1</v>
      </c>
      <c r="G1432" s="53">
        <f>SUM(F1431:F1432)</f>
        <v>2</v>
      </c>
      <c r="H1432" s="53">
        <f>IF(G1432=1,IF(F1431=1,1,-1),G1432)</f>
        <v>2</v>
      </c>
      <c r="I1432" s="53" t="str">
        <f>VLOOKUP(H1432,codes,2,)</f>
        <v>ww</v>
      </c>
      <c r="J1432" s="53"/>
    </row>
    <row r="1433" spans="1:10" x14ac:dyDescent="0.25">
      <c r="A1433" s="93">
        <v>45007</v>
      </c>
      <c r="B1433" s="35">
        <f>C1433+(D1433-2009)*12</f>
        <v>171</v>
      </c>
      <c r="C1433" s="76">
        <v>3</v>
      </c>
      <c r="D1433" s="53">
        <v>2023</v>
      </c>
      <c r="E1433" s="56">
        <v>0.6</v>
      </c>
      <c r="F1433" s="53">
        <f>IF(E1433&gt;0,1,0)</f>
        <v>1</v>
      </c>
      <c r="G1433" s="53">
        <f>SUM(F1432:F1433)</f>
        <v>2</v>
      </c>
      <c r="H1433" s="53">
        <f>IF(G1433=1,IF(F1432=1,1,-1),G1433)</f>
        <v>2</v>
      </c>
      <c r="I1433" s="53" t="str">
        <f>VLOOKUP(H1433,codes,2,)</f>
        <v>ww</v>
      </c>
      <c r="J1433" s="53"/>
    </row>
    <row r="1434" spans="1:10" x14ac:dyDescent="0.25">
      <c r="A1434" s="93">
        <v>45008</v>
      </c>
      <c r="B1434" s="35">
        <f>C1434+(D1434-2009)*12</f>
        <v>171</v>
      </c>
      <c r="C1434" s="76">
        <v>3</v>
      </c>
      <c r="D1434" s="53">
        <v>2023</v>
      </c>
      <c r="E1434" s="56">
        <v>1</v>
      </c>
      <c r="F1434" s="53">
        <f>IF(E1434&gt;0,1,0)</f>
        <v>1</v>
      </c>
      <c r="G1434" s="53">
        <f>SUM(F1433:F1434)</f>
        <v>2</v>
      </c>
      <c r="H1434" s="53">
        <f>IF(G1434=1,IF(F1433=1,1,-1),G1434)</f>
        <v>2</v>
      </c>
      <c r="I1434" s="53" t="str">
        <f>VLOOKUP(H1434,codes,2,)</f>
        <v>ww</v>
      </c>
      <c r="J1434" s="53"/>
    </row>
    <row r="1435" spans="1:10" x14ac:dyDescent="0.25">
      <c r="A1435" s="93">
        <v>45009</v>
      </c>
      <c r="B1435" s="35">
        <f>C1435+(D1435-2009)*12</f>
        <v>171</v>
      </c>
      <c r="C1435" s="76">
        <v>3</v>
      </c>
      <c r="D1435" s="53">
        <v>2023</v>
      </c>
      <c r="E1435" s="56">
        <v>6.6666666666666666E-2</v>
      </c>
      <c r="F1435" s="53">
        <f>IF(E1435&gt;0,1,0)</f>
        <v>1</v>
      </c>
      <c r="G1435" s="53">
        <f>SUM(F1434:F1435)</f>
        <v>2</v>
      </c>
      <c r="H1435" s="53">
        <f>IF(G1435=1,IF(F1434=1,1,-1),G1435)</f>
        <v>2</v>
      </c>
      <c r="I1435" s="53" t="str">
        <f>VLOOKUP(H1435,codes,2,)</f>
        <v>ww</v>
      </c>
      <c r="J1435" s="53"/>
    </row>
    <row r="1436" spans="1:10" x14ac:dyDescent="0.25">
      <c r="A1436" s="93">
        <v>45010</v>
      </c>
      <c r="B1436" s="35">
        <f>C1436+(D1436-2009)*12</f>
        <v>171</v>
      </c>
      <c r="C1436" s="76">
        <v>3</v>
      </c>
      <c r="D1436" s="53">
        <v>2023</v>
      </c>
      <c r="E1436" s="56">
        <v>0.8666666666666667</v>
      </c>
      <c r="F1436" s="53">
        <f>IF(E1436&gt;0,1,0)</f>
        <v>1</v>
      </c>
      <c r="G1436" s="53">
        <f>SUM(F1435:F1436)</f>
        <v>2</v>
      </c>
      <c r="H1436" s="53">
        <f>IF(G1436=1,IF(F1435=1,1,-1),G1436)</f>
        <v>2</v>
      </c>
      <c r="I1436" s="53" t="str">
        <f>VLOOKUP(H1436,codes,2,)</f>
        <v>ww</v>
      </c>
      <c r="J1436" s="53"/>
    </row>
    <row r="1437" spans="1:10" x14ac:dyDescent="0.25">
      <c r="A1437" s="93">
        <v>45011</v>
      </c>
      <c r="B1437" s="35">
        <f>C1437+(D1437-2009)*12</f>
        <v>171</v>
      </c>
      <c r="C1437" s="76">
        <v>3</v>
      </c>
      <c r="D1437" s="53">
        <v>2023</v>
      </c>
      <c r="E1437" s="56">
        <v>2</v>
      </c>
      <c r="F1437" s="53">
        <f>IF(E1437&gt;0,1,0)</f>
        <v>1</v>
      </c>
      <c r="G1437" s="53">
        <f>SUM(F1436:F1437)</f>
        <v>2</v>
      </c>
      <c r="H1437" s="53">
        <f>IF(G1437=1,IF(F1436=1,1,-1),G1437)</f>
        <v>2</v>
      </c>
      <c r="I1437" s="53" t="str">
        <f>VLOOKUP(H1437,codes,2,)</f>
        <v>ww</v>
      </c>
      <c r="J1437" s="53"/>
    </row>
    <row r="1438" spans="1:10" x14ac:dyDescent="0.25">
      <c r="A1438" s="93">
        <v>45012</v>
      </c>
      <c r="B1438" s="35">
        <f>C1438+(D1438-2009)*12</f>
        <v>171</v>
      </c>
      <c r="C1438" s="76">
        <v>3</v>
      </c>
      <c r="D1438" s="53">
        <v>2023</v>
      </c>
      <c r="E1438" s="56">
        <v>0.33333333333333331</v>
      </c>
      <c r="F1438" s="53">
        <f>IF(E1438&gt;0,1,0)</f>
        <v>1</v>
      </c>
      <c r="G1438" s="53">
        <f>SUM(F1437:F1438)</f>
        <v>2</v>
      </c>
      <c r="H1438" s="53">
        <f>IF(G1438=1,IF(F1437=1,1,-1),G1438)</f>
        <v>2</v>
      </c>
      <c r="I1438" s="53" t="str">
        <f>VLOOKUP(H1438,codes,2,)</f>
        <v>ww</v>
      </c>
      <c r="J1438" s="53"/>
    </row>
    <row r="1439" spans="1:10" x14ac:dyDescent="0.25">
      <c r="A1439" s="93">
        <v>45013</v>
      </c>
      <c r="B1439" s="35">
        <f>C1439+(D1439-2009)*12</f>
        <v>171</v>
      </c>
      <c r="C1439" s="76">
        <v>3</v>
      </c>
      <c r="D1439" s="53">
        <v>2023</v>
      </c>
      <c r="E1439" s="56">
        <v>6.6666666666666666E-2</v>
      </c>
      <c r="F1439" s="53">
        <f>IF(E1439&gt;0,1,0)</f>
        <v>1</v>
      </c>
      <c r="G1439" s="53">
        <f>SUM(F1438:F1439)</f>
        <v>2</v>
      </c>
      <c r="H1439" s="53">
        <f>IF(G1439=1,IF(F1438=1,1,-1),G1439)</f>
        <v>2</v>
      </c>
      <c r="I1439" s="53" t="str">
        <f>VLOOKUP(H1439,codes,2,)</f>
        <v>ww</v>
      </c>
      <c r="J1439" s="53"/>
    </row>
    <row r="1440" spans="1:10" x14ac:dyDescent="0.25">
      <c r="A1440" s="93">
        <v>45014</v>
      </c>
      <c r="B1440" s="35">
        <f>C1440+(D1440-2009)*12</f>
        <v>171</v>
      </c>
      <c r="C1440" s="76">
        <v>3</v>
      </c>
      <c r="D1440" s="53">
        <v>2023</v>
      </c>
      <c r="E1440" s="56">
        <v>1.7333333333333334</v>
      </c>
      <c r="F1440" s="53">
        <f>IF(E1440&gt;0,1,0)</f>
        <v>1</v>
      </c>
      <c r="G1440" s="53">
        <f>SUM(F1439:F1440)</f>
        <v>2</v>
      </c>
      <c r="H1440" s="53">
        <f>IF(G1440=1,IF(F1439=1,1,-1),G1440)</f>
        <v>2</v>
      </c>
      <c r="I1440" s="53" t="str">
        <f>VLOOKUP(H1440,codes,2,)</f>
        <v>ww</v>
      </c>
      <c r="J1440" s="53"/>
    </row>
    <row r="1441" spans="1:10" x14ac:dyDescent="0.25">
      <c r="A1441" s="93">
        <v>45015</v>
      </c>
      <c r="B1441" s="35">
        <f>C1441+(D1441-2009)*12</f>
        <v>171</v>
      </c>
      <c r="C1441" s="76">
        <v>3</v>
      </c>
      <c r="D1441" s="53">
        <v>2023</v>
      </c>
      <c r="E1441" s="56">
        <v>2.5333333333333332</v>
      </c>
      <c r="F1441" s="53">
        <f>IF(E1441&gt;0,1,0)</f>
        <v>1</v>
      </c>
      <c r="G1441" s="53">
        <f>SUM(F1440:F1441)</f>
        <v>2</v>
      </c>
      <c r="H1441" s="53">
        <f>IF(G1441=1,IF(F1440=1,1,-1),G1441)</f>
        <v>2</v>
      </c>
      <c r="I1441" s="53" t="str">
        <f>VLOOKUP(H1441,codes,2,)</f>
        <v>ww</v>
      </c>
      <c r="J1441" s="53"/>
    </row>
    <row r="1442" spans="1:10" x14ac:dyDescent="0.25">
      <c r="A1442" s="93">
        <v>45016</v>
      </c>
      <c r="B1442" s="35">
        <f>C1442+(D1442-2009)*12</f>
        <v>171</v>
      </c>
      <c r="C1442" s="76">
        <v>3</v>
      </c>
      <c r="D1442" s="53">
        <v>2023</v>
      </c>
      <c r="E1442" s="56">
        <v>0.80000000000000016</v>
      </c>
      <c r="F1442" s="53">
        <f>IF(E1442&gt;0,1,0)</f>
        <v>1</v>
      </c>
      <c r="G1442" s="53">
        <f>SUM(F1441:F1442)</f>
        <v>2</v>
      </c>
      <c r="H1442" s="53">
        <f>IF(G1442=1,IF(F1441=1,1,-1),G1442)</f>
        <v>2</v>
      </c>
      <c r="I1442" s="53" t="str">
        <f>VLOOKUP(H1442,codes,2,)</f>
        <v>ww</v>
      </c>
      <c r="J1442" s="53"/>
    </row>
    <row r="1443" spans="1:10" x14ac:dyDescent="0.25">
      <c r="A1443" s="93">
        <v>45352</v>
      </c>
      <c r="B1443" s="35">
        <f>C1443+(D1443-2009)*12</f>
        <v>183</v>
      </c>
      <c r="C1443" s="76">
        <v>3</v>
      </c>
      <c r="D1443" s="53">
        <v>2024</v>
      </c>
      <c r="E1443" s="56">
        <v>0</v>
      </c>
      <c r="F1443" s="53">
        <f>IF(E1443&gt;0,1,0)</f>
        <v>0</v>
      </c>
      <c r="G1443" s="53">
        <f>SUM(F1442:F1443)</f>
        <v>1</v>
      </c>
      <c r="H1443" s="53">
        <f>IF(G1443=1,IF(F1442=1,1,-1),G1443)</f>
        <v>1</v>
      </c>
      <c r="I1443" s="53" t="str">
        <f>VLOOKUP(H1443,codes,2,)</f>
        <v>wd</v>
      </c>
      <c r="J1443" s="53"/>
    </row>
    <row r="1444" spans="1:10" x14ac:dyDescent="0.25">
      <c r="A1444" s="93">
        <v>45353</v>
      </c>
      <c r="B1444" s="35">
        <f>C1444+(D1444-2009)*12</f>
        <v>183</v>
      </c>
      <c r="C1444" s="76">
        <v>3</v>
      </c>
      <c r="D1444" s="53">
        <v>2024</v>
      </c>
      <c r="E1444" s="56">
        <v>11.700000000000001</v>
      </c>
      <c r="F1444" s="53">
        <f>IF(E1444&gt;0,1,0)</f>
        <v>1</v>
      </c>
      <c r="G1444" s="53">
        <f>SUM(F1443:F1444)</f>
        <v>1</v>
      </c>
      <c r="H1444" s="53">
        <f>IF(G1444=1,IF(F1443=1,1,-1),G1444)</f>
        <v>-1</v>
      </c>
      <c r="I1444" s="53" t="str">
        <f>VLOOKUP(H1444,codes,2,)</f>
        <v>dw</v>
      </c>
      <c r="J1444" s="53"/>
    </row>
    <row r="1445" spans="1:10" x14ac:dyDescent="0.25">
      <c r="A1445" s="93">
        <v>45354</v>
      </c>
      <c r="B1445" s="35">
        <f>C1445+(D1445-2009)*12</f>
        <v>183</v>
      </c>
      <c r="C1445" s="76">
        <v>3</v>
      </c>
      <c r="D1445" s="53">
        <v>2024</v>
      </c>
      <c r="E1445" s="56">
        <v>5.5</v>
      </c>
      <c r="F1445" s="53">
        <f>IF(E1445&gt;0,1,0)</f>
        <v>1</v>
      </c>
      <c r="G1445" s="53">
        <f>SUM(F1444:F1445)</f>
        <v>2</v>
      </c>
      <c r="H1445" s="53">
        <f>IF(G1445=1,IF(F1444=1,1,-1),G1445)</f>
        <v>2</v>
      </c>
      <c r="I1445" s="53" t="str">
        <f>VLOOKUP(H1445,codes,2,)</f>
        <v>ww</v>
      </c>
      <c r="J1445" s="53"/>
    </row>
    <row r="1446" spans="1:10" x14ac:dyDescent="0.25">
      <c r="A1446" s="93">
        <v>45355</v>
      </c>
      <c r="B1446" s="35">
        <f>C1446+(D1446-2009)*12</f>
        <v>183</v>
      </c>
      <c r="C1446" s="76">
        <v>3</v>
      </c>
      <c r="D1446" s="53">
        <v>2024</v>
      </c>
      <c r="E1446" s="56">
        <v>0.10000000000000002</v>
      </c>
      <c r="F1446" s="53">
        <f>IF(E1446&gt;0,1,0)</f>
        <v>1</v>
      </c>
      <c r="G1446" s="53">
        <f>SUM(F1445:F1446)</f>
        <v>2</v>
      </c>
      <c r="H1446" s="53">
        <f>IF(G1446=1,IF(F1445=1,1,-1),G1446)</f>
        <v>2</v>
      </c>
      <c r="I1446" s="53" t="str">
        <f>VLOOKUP(H1446,codes,2,)</f>
        <v>ww</v>
      </c>
      <c r="J1446" s="53"/>
    </row>
    <row r="1447" spans="1:10" x14ac:dyDescent="0.25">
      <c r="A1447" s="93">
        <v>45356</v>
      </c>
      <c r="B1447" s="35">
        <f>C1447+(D1447-2009)*12</f>
        <v>183</v>
      </c>
      <c r="C1447" s="76">
        <v>3</v>
      </c>
      <c r="D1447" s="53">
        <v>2024</v>
      </c>
      <c r="E1447" s="56">
        <v>1.8</v>
      </c>
      <c r="F1447" s="53">
        <f>IF(E1447&gt;0,1,0)</f>
        <v>1</v>
      </c>
      <c r="G1447" s="53">
        <f>SUM(F1446:F1447)</f>
        <v>2</v>
      </c>
      <c r="H1447" s="53">
        <f>IF(G1447=1,IF(F1446=1,1,-1),G1447)</f>
        <v>2</v>
      </c>
      <c r="I1447" s="53" t="str">
        <f>VLOOKUP(H1447,codes,2,)</f>
        <v>ww</v>
      </c>
      <c r="J1447" s="53"/>
    </row>
    <row r="1448" spans="1:10" x14ac:dyDescent="0.25">
      <c r="A1448" s="93">
        <v>45357</v>
      </c>
      <c r="B1448" s="35">
        <f>C1448+(D1448-2009)*12</f>
        <v>183</v>
      </c>
      <c r="C1448" s="76">
        <v>3</v>
      </c>
      <c r="D1448" s="53">
        <v>2024</v>
      </c>
      <c r="E1448" s="56">
        <v>0.9</v>
      </c>
      <c r="F1448" s="53">
        <f>IF(E1448&gt;0,1,0)</f>
        <v>1</v>
      </c>
      <c r="G1448" s="53">
        <f>SUM(F1447:F1448)</f>
        <v>2</v>
      </c>
      <c r="H1448" s="53">
        <f>IF(G1448=1,IF(F1447=1,1,-1),G1448)</f>
        <v>2</v>
      </c>
      <c r="I1448" s="53" t="str">
        <f>VLOOKUP(H1448,codes,2,)</f>
        <v>ww</v>
      </c>
      <c r="J1448" s="53"/>
    </row>
    <row r="1449" spans="1:10" x14ac:dyDescent="0.25">
      <c r="A1449" s="93">
        <v>45358</v>
      </c>
      <c r="B1449" s="35">
        <f>C1449+(D1449-2009)*12</f>
        <v>183</v>
      </c>
      <c r="C1449" s="76">
        <v>3</v>
      </c>
      <c r="D1449" s="53">
        <v>2024</v>
      </c>
      <c r="E1449" s="56">
        <v>0.20000000000000004</v>
      </c>
      <c r="F1449" s="53">
        <f>IF(E1449&gt;0,1,0)</f>
        <v>1</v>
      </c>
      <c r="G1449" s="53">
        <f>SUM(F1448:F1449)</f>
        <v>2</v>
      </c>
      <c r="H1449" s="53">
        <f>IF(G1449=1,IF(F1448=1,1,-1),G1449)</f>
        <v>2</v>
      </c>
      <c r="I1449" s="53" t="str">
        <f>VLOOKUP(H1449,codes,2,)</f>
        <v>ww</v>
      </c>
      <c r="J1449" s="53"/>
    </row>
    <row r="1450" spans="1:10" x14ac:dyDescent="0.25">
      <c r="A1450" s="93">
        <v>45359</v>
      </c>
      <c r="B1450" s="35">
        <f>C1450+(D1450-2009)*12</f>
        <v>183</v>
      </c>
      <c r="C1450" s="76">
        <v>3</v>
      </c>
      <c r="D1450" s="53">
        <v>2024</v>
      </c>
      <c r="E1450" s="56">
        <v>0.40000000000000008</v>
      </c>
      <c r="F1450" s="53">
        <f>IF(E1450&gt;0,1,0)</f>
        <v>1</v>
      </c>
      <c r="G1450" s="53">
        <f>SUM(F1449:F1450)</f>
        <v>2</v>
      </c>
      <c r="H1450" s="53">
        <f>IF(G1450=1,IF(F1449=1,1,-1),G1450)</f>
        <v>2</v>
      </c>
      <c r="I1450" s="53" t="str">
        <f>VLOOKUP(H1450,codes,2,)</f>
        <v>ww</v>
      </c>
      <c r="J1450" s="53"/>
    </row>
    <row r="1451" spans="1:10" x14ac:dyDescent="0.25">
      <c r="A1451" s="93">
        <v>45360</v>
      </c>
      <c r="B1451" s="35">
        <f>C1451+(D1451-2009)*12</f>
        <v>183</v>
      </c>
      <c r="C1451" s="76">
        <v>3</v>
      </c>
      <c r="D1451" s="53">
        <v>2024</v>
      </c>
      <c r="E1451" s="56">
        <v>0</v>
      </c>
      <c r="F1451" s="53">
        <f>IF(E1451&gt;0,1,0)</f>
        <v>0</v>
      </c>
      <c r="G1451" s="53">
        <f>SUM(F1450:F1451)</f>
        <v>1</v>
      </c>
      <c r="H1451" s="53">
        <f>IF(G1451=1,IF(F1450=1,1,-1),G1451)</f>
        <v>1</v>
      </c>
      <c r="I1451" s="53" t="str">
        <f>VLOOKUP(H1451,codes,2,)</f>
        <v>wd</v>
      </c>
      <c r="J1451" s="53"/>
    </row>
    <row r="1452" spans="1:10" x14ac:dyDescent="0.25">
      <c r="A1452" s="93">
        <v>45361</v>
      </c>
      <c r="B1452" s="35">
        <f>C1452+(D1452-2009)*12</f>
        <v>183</v>
      </c>
      <c r="C1452" s="76">
        <v>3</v>
      </c>
      <c r="D1452" s="53">
        <v>2024</v>
      </c>
      <c r="E1452" s="56">
        <v>5.8</v>
      </c>
      <c r="F1452" s="53">
        <f>IF(E1452&gt;0,1,0)</f>
        <v>1</v>
      </c>
      <c r="G1452" s="53">
        <f>SUM(F1451:F1452)</f>
        <v>1</v>
      </c>
      <c r="H1452" s="53">
        <f>IF(G1452=1,IF(F1451=1,1,-1),G1452)</f>
        <v>-1</v>
      </c>
      <c r="I1452" s="53" t="str">
        <f>VLOOKUP(H1452,codes,2,)</f>
        <v>dw</v>
      </c>
      <c r="J1452" s="53"/>
    </row>
    <row r="1453" spans="1:10" x14ac:dyDescent="0.25">
      <c r="A1453" s="93">
        <v>45362</v>
      </c>
      <c r="B1453" s="35">
        <f>C1453+(D1453-2009)*12</f>
        <v>183</v>
      </c>
      <c r="C1453" s="76">
        <v>3</v>
      </c>
      <c r="D1453" s="53">
        <v>2024</v>
      </c>
      <c r="E1453" s="56">
        <v>7.9000000000000012</v>
      </c>
      <c r="F1453" s="53">
        <f>IF(E1453&gt;0,1,0)</f>
        <v>1</v>
      </c>
      <c r="G1453" s="53">
        <f>SUM(F1452:F1453)</f>
        <v>2</v>
      </c>
      <c r="H1453" s="53">
        <f>IF(G1453=1,IF(F1452=1,1,-1),G1453)</f>
        <v>2</v>
      </c>
      <c r="I1453" s="53" t="str">
        <f>VLOOKUP(H1453,codes,2,)</f>
        <v>ww</v>
      </c>
      <c r="J1453" s="53"/>
    </row>
    <row r="1454" spans="1:10" x14ac:dyDescent="0.25">
      <c r="A1454" s="93">
        <v>45363</v>
      </c>
      <c r="B1454" s="35">
        <f>C1454+(D1454-2009)*12</f>
        <v>183</v>
      </c>
      <c r="C1454" s="76">
        <v>3</v>
      </c>
      <c r="D1454" s="53">
        <v>2024</v>
      </c>
      <c r="E1454" s="56">
        <v>0.10000000000000002</v>
      </c>
      <c r="F1454" s="53">
        <f>IF(E1454&gt;0,1,0)</f>
        <v>1</v>
      </c>
      <c r="G1454" s="53">
        <f>SUM(F1453:F1454)</f>
        <v>2</v>
      </c>
      <c r="H1454" s="53">
        <f>IF(G1454=1,IF(F1453=1,1,-1),G1454)</f>
        <v>2</v>
      </c>
      <c r="I1454" s="53" t="str">
        <f>VLOOKUP(H1454,codes,2,)</f>
        <v>ww</v>
      </c>
      <c r="J1454" s="53"/>
    </row>
    <row r="1455" spans="1:10" x14ac:dyDescent="0.25">
      <c r="A1455" s="93">
        <v>45364</v>
      </c>
      <c r="B1455" s="35">
        <f>C1455+(D1455-2009)*12</f>
        <v>183</v>
      </c>
      <c r="C1455" s="76">
        <v>3</v>
      </c>
      <c r="D1455" s="53">
        <v>2024</v>
      </c>
      <c r="E1455" s="56">
        <v>0.20000000000000004</v>
      </c>
      <c r="F1455" s="53">
        <f>IF(E1455&gt;0,1,0)</f>
        <v>1</v>
      </c>
      <c r="G1455" s="53">
        <f>SUM(F1454:F1455)</f>
        <v>2</v>
      </c>
      <c r="H1455" s="53">
        <f>IF(G1455=1,IF(F1454=1,1,-1),G1455)</f>
        <v>2</v>
      </c>
      <c r="I1455" s="53" t="str">
        <f>VLOOKUP(H1455,codes,2,)</f>
        <v>ww</v>
      </c>
      <c r="J1455" s="53"/>
    </row>
    <row r="1456" spans="1:10" x14ac:dyDescent="0.25">
      <c r="A1456" s="93">
        <v>45365</v>
      </c>
      <c r="B1456" s="35">
        <f>C1456+(D1456-2009)*12</f>
        <v>183</v>
      </c>
      <c r="C1456" s="76">
        <v>3</v>
      </c>
      <c r="D1456" s="53">
        <v>2024</v>
      </c>
      <c r="E1456" s="56">
        <v>1.3</v>
      </c>
      <c r="F1456" s="53">
        <f>IF(E1456&gt;0,1,0)</f>
        <v>1</v>
      </c>
      <c r="G1456" s="53">
        <f>SUM(F1455:F1456)</f>
        <v>2</v>
      </c>
      <c r="H1456" s="53">
        <f>IF(G1456=1,IF(F1455=1,1,-1),G1456)</f>
        <v>2</v>
      </c>
      <c r="I1456" s="53" t="str">
        <f>VLOOKUP(H1456,codes,2,)</f>
        <v>ww</v>
      </c>
      <c r="J1456" s="53"/>
    </row>
    <row r="1457" spans="1:10" x14ac:dyDescent="0.25">
      <c r="A1457" s="93">
        <v>45366</v>
      </c>
      <c r="B1457" s="35">
        <f>C1457+(D1457-2009)*12</f>
        <v>183</v>
      </c>
      <c r="C1457" s="76">
        <v>3</v>
      </c>
      <c r="D1457" s="53">
        <v>2024</v>
      </c>
      <c r="E1457" s="56">
        <v>0.9</v>
      </c>
      <c r="F1457" s="53">
        <f>IF(E1457&gt;0,1,0)</f>
        <v>1</v>
      </c>
      <c r="G1457" s="53">
        <f>SUM(F1456:F1457)</f>
        <v>2</v>
      </c>
      <c r="H1457" s="53">
        <f>IF(G1457=1,IF(F1456=1,1,-1),G1457)</f>
        <v>2</v>
      </c>
      <c r="I1457" s="53" t="str">
        <f>VLOOKUP(H1457,codes,2,)</f>
        <v>ww</v>
      </c>
      <c r="J1457" s="53"/>
    </row>
    <row r="1458" spans="1:10" x14ac:dyDescent="0.25">
      <c r="A1458" s="93">
        <v>45367</v>
      </c>
      <c r="B1458" s="35">
        <f>C1458+(D1458-2009)*12</f>
        <v>183</v>
      </c>
      <c r="C1458" s="76">
        <v>3</v>
      </c>
      <c r="D1458" s="53">
        <v>2024</v>
      </c>
      <c r="E1458" s="56">
        <v>1.4000000000000001</v>
      </c>
      <c r="F1458" s="53">
        <f>IF(E1458&gt;0,1,0)</f>
        <v>1</v>
      </c>
      <c r="G1458" s="53">
        <f>SUM(F1457:F1458)</f>
        <v>2</v>
      </c>
      <c r="H1458" s="53">
        <f>IF(G1458=1,IF(F1457=1,1,-1),G1458)</f>
        <v>2</v>
      </c>
      <c r="I1458" s="53" t="str">
        <f>VLOOKUP(H1458,codes,2,)</f>
        <v>ww</v>
      </c>
      <c r="J1458" s="53"/>
    </row>
    <row r="1459" spans="1:10" x14ac:dyDescent="0.25">
      <c r="A1459" s="93">
        <v>45368</v>
      </c>
      <c r="B1459" s="35">
        <f>C1459+(D1459-2009)*12</f>
        <v>183</v>
      </c>
      <c r="C1459" s="76">
        <v>3</v>
      </c>
      <c r="D1459" s="53">
        <v>2024</v>
      </c>
      <c r="E1459" s="56">
        <v>5.2</v>
      </c>
      <c r="F1459" s="53">
        <f>IF(E1459&gt;0,1,0)</f>
        <v>1</v>
      </c>
      <c r="G1459" s="53">
        <f>SUM(F1458:F1459)</f>
        <v>2</v>
      </c>
      <c r="H1459" s="53">
        <f>IF(G1459=1,IF(F1458=1,1,-1),G1459)</f>
        <v>2</v>
      </c>
      <c r="I1459" s="53" t="str">
        <f>VLOOKUP(H1459,codes,2,)</f>
        <v>ww</v>
      </c>
      <c r="J1459" s="53"/>
    </row>
    <row r="1460" spans="1:10" x14ac:dyDescent="0.25">
      <c r="A1460" s="93">
        <v>45369</v>
      </c>
      <c r="B1460" s="35">
        <f>C1460+(D1460-2009)*12</f>
        <v>183</v>
      </c>
      <c r="C1460" s="76">
        <v>3</v>
      </c>
      <c r="D1460" s="53">
        <v>2024</v>
      </c>
      <c r="E1460" s="56">
        <v>0.20000000000000004</v>
      </c>
      <c r="F1460" s="53">
        <f>IF(E1460&gt;0,1,0)</f>
        <v>1</v>
      </c>
      <c r="G1460" s="53">
        <f>SUM(F1459:F1460)</f>
        <v>2</v>
      </c>
      <c r="H1460" s="53">
        <f>IF(G1460=1,IF(F1459=1,1,-1),G1460)</f>
        <v>2</v>
      </c>
      <c r="I1460" s="53" t="str">
        <f>VLOOKUP(H1460,codes,2,)</f>
        <v>ww</v>
      </c>
      <c r="J1460" s="53"/>
    </row>
    <row r="1461" spans="1:10" x14ac:dyDescent="0.25">
      <c r="A1461" s="93">
        <v>45370</v>
      </c>
      <c r="B1461" s="35">
        <f>C1461+(D1461-2009)*12</f>
        <v>183</v>
      </c>
      <c r="C1461" s="76">
        <v>3</v>
      </c>
      <c r="D1461" s="53">
        <v>2024</v>
      </c>
      <c r="E1461" s="56">
        <v>1.7</v>
      </c>
      <c r="F1461" s="53">
        <f>IF(E1461&gt;0,1,0)</f>
        <v>1</v>
      </c>
      <c r="G1461" s="53">
        <f>SUM(F1460:F1461)</f>
        <v>2</v>
      </c>
      <c r="H1461" s="53">
        <f>IF(G1461=1,IF(F1460=1,1,-1),G1461)</f>
        <v>2</v>
      </c>
      <c r="I1461" s="53" t="str">
        <f>VLOOKUP(H1461,codes,2,)</f>
        <v>ww</v>
      </c>
      <c r="J1461" s="53"/>
    </row>
    <row r="1462" spans="1:10" x14ac:dyDescent="0.25">
      <c r="A1462" s="93">
        <v>45371</v>
      </c>
      <c r="B1462" s="35">
        <f>C1462+(D1462-2009)*12</f>
        <v>183</v>
      </c>
      <c r="C1462" s="76">
        <v>3</v>
      </c>
      <c r="D1462" s="53">
        <v>2024</v>
      </c>
      <c r="E1462" s="56">
        <v>1.5</v>
      </c>
      <c r="F1462" s="53">
        <f>IF(E1462&gt;0,1,0)</f>
        <v>1</v>
      </c>
      <c r="G1462" s="53">
        <f>SUM(F1461:F1462)</f>
        <v>2</v>
      </c>
      <c r="H1462" s="53">
        <f>IF(G1462=1,IF(F1461=1,1,-1),G1462)</f>
        <v>2</v>
      </c>
      <c r="I1462" s="53" t="str">
        <f>VLOOKUP(H1462,codes,2,)</f>
        <v>ww</v>
      </c>
      <c r="J1462" s="53"/>
    </row>
    <row r="1463" spans="1:10" x14ac:dyDescent="0.25">
      <c r="A1463" s="93">
        <v>45372</v>
      </c>
      <c r="B1463" s="35">
        <f>C1463+(D1463-2009)*12</f>
        <v>183</v>
      </c>
      <c r="C1463" s="76">
        <v>3</v>
      </c>
      <c r="D1463" s="53">
        <v>2024</v>
      </c>
      <c r="E1463" s="56">
        <v>1.3</v>
      </c>
      <c r="F1463" s="53">
        <f>IF(E1463&gt;0,1,0)</f>
        <v>1</v>
      </c>
      <c r="G1463" s="53">
        <f>SUM(F1462:F1463)</f>
        <v>2</v>
      </c>
      <c r="H1463" s="53">
        <f>IF(G1463=1,IF(F1462=1,1,-1),G1463)</f>
        <v>2</v>
      </c>
      <c r="I1463" s="53" t="str">
        <f>VLOOKUP(H1463,codes,2,)</f>
        <v>ww</v>
      </c>
      <c r="J1463" s="53"/>
    </row>
    <row r="1464" spans="1:10" x14ac:dyDescent="0.25">
      <c r="A1464" s="93">
        <v>45373</v>
      </c>
      <c r="B1464" s="35">
        <f>C1464+(D1464-2009)*12</f>
        <v>183</v>
      </c>
      <c r="C1464" s="76">
        <v>3</v>
      </c>
      <c r="D1464" s="53">
        <v>2024</v>
      </c>
      <c r="E1464" s="56">
        <v>0.20000000000000004</v>
      </c>
      <c r="F1464" s="53">
        <f>IF(E1464&gt;0,1,0)</f>
        <v>1</v>
      </c>
      <c r="G1464" s="53">
        <f>SUM(F1463:F1464)</f>
        <v>2</v>
      </c>
      <c r="H1464" s="53">
        <f>IF(G1464=1,IF(F1463=1,1,-1),G1464)</f>
        <v>2</v>
      </c>
      <c r="I1464" s="53" t="str">
        <f>VLOOKUP(H1464,codes,2,)</f>
        <v>ww</v>
      </c>
      <c r="J1464" s="53"/>
    </row>
    <row r="1465" spans="1:10" x14ac:dyDescent="0.25">
      <c r="A1465" s="93">
        <v>45374</v>
      </c>
      <c r="B1465" s="35">
        <f>C1465+(D1465-2009)*12</f>
        <v>183</v>
      </c>
      <c r="C1465" s="76">
        <v>3</v>
      </c>
      <c r="D1465" s="53">
        <v>2024</v>
      </c>
      <c r="E1465" s="56">
        <v>0</v>
      </c>
      <c r="F1465" s="53">
        <f>IF(E1465&gt;0,1,0)</f>
        <v>0</v>
      </c>
      <c r="G1465" s="53">
        <f>SUM(F1464:F1465)</f>
        <v>1</v>
      </c>
      <c r="H1465" s="53">
        <f>IF(G1465=1,IF(F1464=1,1,-1),G1465)</f>
        <v>1</v>
      </c>
      <c r="I1465" s="53" t="str">
        <f>VLOOKUP(H1465,codes,2,)</f>
        <v>wd</v>
      </c>
      <c r="J1465" s="53"/>
    </row>
    <row r="1466" spans="1:10" x14ac:dyDescent="0.25">
      <c r="A1466" s="93">
        <v>45375</v>
      </c>
      <c r="B1466" s="35">
        <f>C1466+(D1466-2009)*12</f>
        <v>183</v>
      </c>
      <c r="C1466" s="76">
        <v>3</v>
      </c>
      <c r="D1466" s="53">
        <v>2024</v>
      </c>
      <c r="E1466" s="56">
        <v>0</v>
      </c>
      <c r="F1466" s="53">
        <f>IF(E1466&gt;0,1,0)</f>
        <v>0</v>
      </c>
      <c r="G1466" s="53">
        <f>SUM(F1465:F1466)</f>
        <v>0</v>
      </c>
      <c r="H1466" s="53">
        <f>IF(G1466=1,IF(F1465=1,1,-1),G1466)</f>
        <v>0</v>
      </c>
      <c r="I1466" s="53" t="str">
        <f>VLOOKUP(H1466,codes,2,)</f>
        <v>dd</v>
      </c>
      <c r="J1466" s="53"/>
    </row>
    <row r="1467" spans="1:10" x14ac:dyDescent="0.25">
      <c r="A1467" s="93">
        <v>45376</v>
      </c>
      <c r="B1467" s="35">
        <f>C1467+(D1467-2009)*12</f>
        <v>183</v>
      </c>
      <c r="C1467" s="76">
        <v>3</v>
      </c>
      <c r="D1467" s="53">
        <v>2024</v>
      </c>
      <c r="E1467" s="56">
        <v>0</v>
      </c>
      <c r="F1467" s="53">
        <f>IF(E1467&gt;0,1,0)</f>
        <v>0</v>
      </c>
      <c r="G1467" s="53">
        <f>SUM(F1466:F1467)</f>
        <v>0</v>
      </c>
      <c r="H1467" s="53">
        <f>IF(G1467=1,IF(F1466=1,1,-1),G1467)</f>
        <v>0</v>
      </c>
      <c r="I1467" s="53" t="str">
        <f>VLOOKUP(H1467,codes,2,)</f>
        <v>dd</v>
      </c>
      <c r="J1467" s="53"/>
    </row>
    <row r="1468" spans="1:10" x14ac:dyDescent="0.25">
      <c r="A1468" s="93">
        <v>45377</v>
      </c>
      <c r="B1468" s="35">
        <f>C1468+(D1468-2009)*12</f>
        <v>183</v>
      </c>
      <c r="C1468" s="76">
        <v>3</v>
      </c>
      <c r="D1468" s="53">
        <v>2024</v>
      </c>
      <c r="E1468" s="56">
        <v>7</v>
      </c>
      <c r="F1468" s="53">
        <f>IF(E1468&gt;0,1,0)</f>
        <v>1</v>
      </c>
      <c r="G1468" s="53">
        <f>SUM(F1467:F1468)</f>
        <v>1</v>
      </c>
      <c r="H1468" s="53">
        <f>IF(G1468=1,IF(F1467=1,1,-1),G1468)</f>
        <v>-1</v>
      </c>
      <c r="I1468" s="53" t="str">
        <f>VLOOKUP(H1468,codes,2,)</f>
        <v>dw</v>
      </c>
      <c r="J1468" s="53"/>
    </row>
    <row r="1469" spans="1:10" x14ac:dyDescent="0.25">
      <c r="A1469" s="93">
        <v>45378</v>
      </c>
      <c r="B1469" s="35">
        <f>C1469+(D1469-2009)*12</f>
        <v>183</v>
      </c>
      <c r="C1469" s="76">
        <v>3</v>
      </c>
      <c r="D1469" s="53">
        <v>2024</v>
      </c>
      <c r="E1469" s="56">
        <v>9.4</v>
      </c>
      <c r="F1469" s="53">
        <f>IF(E1469&gt;0,1,0)</f>
        <v>1</v>
      </c>
      <c r="G1469" s="53">
        <f>SUM(F1468:F1469)</f>
        <v>2</v>
      </c>
      <c r="H1469" s="53">
        <f>IF(G1469=1,IF(F1468=1,1,-1),G1469)</f>
        <v>2</v>
      </c>
      <c r="I1469" s="53" t="str">
        <f>VLOOKUP(H1469,codes,2,)</f>
        <v>ww</v>
      </c>
      <c r="J1469" s="53"/>
    </row>
    <row r="1470" spans="1:10" x14ac:dyDescent="0.25">
      <c r="A1470" s="93">
        <v>45379</v>
      </c>
      <c r="B1470" s="35">
        <f>C1470+(D1470-2009)*12</f>
        <v>183</v>
      </c>
      <c r="C1470" s="76">
        <v>3</v>
      </c>
      <c r="D1470" s="53">
        <v>2024</v>
      </c>
      <c r="E1470" s="56">
        <v>0</v>
      </c>
      <c r="F1470" s="53">
        <f>IF(E1470&gt;0,1,0)</f>
        <v>0</v>
      </c>
      <c r="G1470" s="53">
        <f>SUM(F1469:F1470)</f>
        <v>1</v>
      </c>
      <c r="H1470" s="53">
        <f>IF(G1470=1,IF(F1469=1,1,-1),G1470)</f>
        <v>1</v>
      </c>
      <c r="I1470" s="53" t="str">
        <f>VLOOKUP(H1470,codes,2,)</f>
        <v>wd</v>
      </c>
      <c r="J1470" s="53"/>
    </row>
    <row r="1471" spans="1:10" x14ac:dyDescent="0.25">
      <c r="A1471" s="93">
        <v>45380</v>
      </c>
      <c r="B1471" s="35">
        <f>C1471+(D1471-2009)*12</f>
        <v>183</v>
      </c>
      <c r="C1471" s="76">
        <v>3</v>
      </c>
      <c r="D1471" s="53">
        <v>2024</v>
      </c>
      <c r="E1471" s="56">
        <v>1.3</v>
      </c>
      <c r="F1471" s="53">
        <f>IF(E1471&gt;0,1,0)</f>
        <v>1</v>
      </c>
      <c r="G1471" s="53">
        <f>SUM(F1470:F1471)</f>
        <v>1</v>
      </c>
      <c r="H1471" s="53">
        <f>IF(G1471=1,IF(F1470=1,1,-1),G1471)</f>
        <v>-1</v>
      </c>
      <c r="I1471" s="53" t="str">
        <f>VLOOKUP(H1471,codes,2,)</f>
        <v>dw</v>
      </c>
      <c r="J1471" s="53"/>
    </row>
    <row r="1472" spans="1:10" x14ac:dyDescent="0.25">
      <c r="A1472" s="93">
        <v>45381</v>
      </c>
      <c r="B1472" s="35">
        <f>C1472+(D1472-2009)*12</f>
        <v>183</v>
      </c>
      <c r="C1472" s="76">
        <v>3</v>
      </c>
      <c r="D1472" s="53">
        <v>2024</v>
      </c>
      <c r="E1472" s="56">
        <v>2.2000000000000002</v>
      </c>
      <c r="F1472" s="53">
        <f>IF(E1472&gt;0,1,0)</f>
        <v>1</v>
      </c>
      <c r="G1472" s="53">
        <f>SUM(F1471:F1472)</f>
        <v>2</v>
      </c>
      <c r="H1472" s="53">
        <f>IF(G1472=1,IF(F1471=1,1,-1),G1472)</f>
        <v>2</v>
      </c>
      <c r="I1472" s="53" t="str">
        <f>VLOOKUP(H1472,codes,2,)</f>
        <v>ww</v>
      </c>
      <c r="J1472" s="53"/>
    </row>
    <row r="1473" spans="1:10" x14ac:dyDescent="0.25">
      <c r="A1473" s="93">
        <v>45382</v>
      </c>
      <c r="B1473" s="35">
        <f>C1473+(D1473-2009)*12</f>
        <v>183</v>
      </c>
      <c r="C1473" s="76">
        <v>3</v>
      </c>
      <c r="D1473" s="53">
        <v>2024</v>
      </c>
      <c r="E1473" s="56">
        <v>0</v>
      </c>
      <c r="F1473" s="53">
        <f>IF(E1473&gt;0,1,0)</f>
        <v>0</v>
      </c>
      <c r="G1473" s="53">
        <f>SUM(F1472:F1473)</f>
        <v>1</v>
      </c>
      <c r="H1473" s="53">
        <f>IF(G1473=1,IF(F1472=1,1,-1),G1473)</f>
        <v>1</v>
      </c>
      <c r="I1473" s="53" t="str">
        <f>VLOOKUP(H1473,codes,2,)</f>
        <v>wd</v>
      </c>
      <c r="J1473" s="53"/>
    </row>
    <row r="1474" spans="1:10" x14ac:dyDescent="0.25">
      <c r="A1474" s="93">
        <v>39845</v>
      </c>
      <c r="B1474" s="35">
        <f>C1474+(D1474-2009)*12</f>
        <v>2</v>
      </c>
      <c r="C1474" s="76">
        <v>2</v>
      </c>
      <c r="D1474" s="76">
        <v>2009</v>
      </c>
      <c r="E1474" s="56">
        <v>0.93333333333333324</v>
      </c>
      <c r="F1474" s="53">
        <f>IF(E1474&gt;0,1,0)</f>
        <v>1</v>
      </c>
      <c r="G1474" s="53">
        <f>SUM(F1473:F1474)</f>
        <v>1</v>
      </c>
      <c r="H1474" s="53">
        <f>IF(G1474=1,IF(F1473=1,1,-1),G1474)</f>
        <v>-1</v>
      </c>
      <c r="I1474" s="53" t="str">
        <f>VLOOKUP(H1474,codes,2,)</f>
        <v>dw</v>
      </c>
      <c r="J1474" s="53"/>
    </row>
    <row r="1475" spans="1:10" x14ac:dyDescent="0.25">
      <c r="A1475" s="93">
        <v>39846</v>
      </c>
      <c r="B1475" s="35">
        <f>C1475+(D1475-2009)*12</f>
        <v>2</v>
      </c>
      <c r="C1475" s="76">
        <v>2</v>
      </c>
      <c r="D1475" s="76">
        <v>2009</v>
      </c>
      <c r="E1475" s="56">
        <v>6.5333333333333341</v>
      </c>
      <c r="F1475" s="53">
        <f>IF(E1475&gt;0,1,0)</f>
        <v>1</v>
      </c>
      <c r="G1475" s="53">
        <f>SUM(F1474:F1475)</f>
        <v>2</v>
      </c>
      <c r="H1475" s="53">
        <f>IF(G1475=1,IF(F1474=1,1,-1),G1475)</f>
        <v>2</v>
      </c>
      <c r="I1475" s="53" t="str">
        <f>VLOOKUP(H1475,codes,2,)</f>
        <v>ww</v>
      </c>
      <c r="J1475" s="53"/>
    </row>
    <row r="1476" spans="1:10" x14ac:dyDescent="0.25">
      <c r="A1476" s="93">
        <v>39847</v>
      </c>
      <c r="B1476" s="35">
        <f>C1476+(D1476-2009)*12</f>
        <v>2</v>
      </c>
      <c r="C1476" s="76">
        <v>2</v>
      </c>
      <c r="D1476" s="76">
        <v>2009</v>
      </c>
      <c r="E1476" s="56">
        <v>12.866666666666669</v>
      </c>
      <c r="F1476" s="53">
        <f>IF(E1476&gt;0,1,0)</f>
        <v>1</v>
      </c>
      <c r="G1476" s="53">
        <f>SUM(F1475:F1476)</f>
        <v>2</v>
      </c>
      <c r="H1476" s="53">
        <f>IF(G1476=1,IF(F1475=1,1,-1),G1476)</f>
        <v>2</v>
      </c>
      <c r="I1476" s="53" t="str">
        <f>VLOOKUP(H1476,codes,2,)</f>
        <v>ww</v>
      </c>
      <c r="J1476" s="53"/>
    </row>
    <row r="1477" spans="1:10" x14ac:dyDescent="0.25">
      <c r="A1477" s="93">
        <v>39848</v>
      </c>
      <c r="B1477" s="35">
        <f>C1477+(D1477-2009)*12</f>
        <v>2</v>
      </c>
      <c r="C1477" s="76">
        <v>2</v>
      </c>
      <c r="D1477" s="76">
        <v>2009</v>
      </c>
      <c r="E1477" s="56">
        <v>0</v>
      </c>
      <c r="F1477" s="53">
        <f>IF(E1477&gt;0,1,0)</f>
        <v>0</v>
      </c>
      <c r="G1477" s="53">
        <f>SUM(F1476:F1477)</f>
        <v>1</v>
      </c>
      <c r="H1477" s="53">
        <f>IF(G1477=1,IF(F1476=1,1,-1),G1477)</f>
        <v>1</v>
      </c>
      <c r="I1477" s="53" t="str">
        <f>VLOOKUP(H1477,codes,2,)</f>
        <v>wd</v>
      </c>
      <c r="J1477" s="53"/>
    </row>
    <row r="1478" spans="1:10" x14ac:dyDescent="0.25">
      <c r="A1478" s="93">
        <v>39849</v>
      </c>
      <c r="B1478" s="35">
        <f>C1478+(D1478-2009)*12</f>
        <v>2</v>
      </c>
      <c r="C1478" s="76">
        <v>2</v>
      </c>
      <c r="D1478" s="76">
        <v>2009</v>
      </c>
      <c r="E1478" s="56">
        <v>0.13333333333333333</v>
      </c>
      <c r="F1478" s="53">
        <f>IF(E1478&gt;0,1,0)</f>
        <v>1</v>
      </c>
      <c r="G1478" s="53">
        <f>SUM(F1477:F1478)</f>
        <v>1</v>
      </c>
      <c r="H1478" s="53">
        <f>IF(G1478=1,IF(F1477=1,1,-1),G1478)</f>
        <v>-1</v>
      </c>
      <c r="I1478" s="53" t="str">
        <f>VLOOKUP(H1478,codes,2,)</f>
        <v>dw</v>
      </c>
      <c r="J1478" s="53"/>
    </row>
    <row r="1479" spans="1:10" x14ac:dyDescent="0.25">
      <c r="A1479" s="93">
        <v>39850</v>
      </c>
      <c r="B1479" s="35">
        <f>C1479+(D1479-2009)*12</f>
        <v>2</v>
      </c>
      <c r="C1479" s="76">
        <v>2</v>
      </c>
      <c r="D1479" s="76">
        <v>2009</v>
      </c>
      <c r="E1479" s="56">
        <v>0.26666666666666666</v>
      </c>
      <c r="F1479" s="53">
        <f>IF(E1479&gt;0,1,0)</f>
        <v>1</v>
      </c>
      <c r="G1479" s="53">
        <f>SUM(F1478:F1479)</f>
        <v>2</v>
      </c>
      <c r="H1479" s="53">
        <f>IF(G1479=1,IF(F1478=1,1,-1),G1479)</f>
        <v>2</v>
      </c>
      <c r="I1479" s="53" t="str">
        <f>VLOOKUP(H1479,codes,2,)</f>
        <v>ww</v>
      </c>
      <c r="J1479" s="53"/>
    </row>
    <row r="1480" spans="1:10" x14ac:dyDescent="0.25">
      <c r="A1480" s="93">
        <v>39851</v>
      </c>
      <c r="B1480" s="35">
        <f>C1480+(D1480-2009)*12</f>
        <v>2</v>
      </c>
      <c r="C1480" s="76">
        <v>2</v>
      </c>
      <c r="D1480" s="76">
        <v>2009</v>
      </c>
      <c r="E1480" s="56">
        <v>1.2</v>
      </c>
      <c r="F1480" s="53">
        <f>IF(E1480&gt;0,1,0)</f>
        <v>1</v>
      </c>
      <c r="G1480" s="53">
        <f>SUM(F1479:F1480)</f>
        <v>2</v>
      </c>
      <c r="H1480" s="53">
        <f>IF(G1480=1,IF(F1479=1,1,-1),G1480)</f>
        <v>2</v>
      </c>
      <c r="I1480" s="53" t="str">
        <f>VLOOKUP(H1480,codes,2,)</f>
        <v>ww</v>
      </c>
      <c r="J1480" s="53"/>
    </row>
    <row r="1481" spans="1:10" x14ac:dyDescent="0.25">
      <c r="A1481" s="93">
        <v>39852</v>
      </c>
      <c r="B1481" s="35">
        <f>C1481+(D1481-2009)*12</f>
        <v>2</v>
      </c>
      <c r="C1481" s="76">
        <v>2</v>
      </c>
      <c r="D1481" s="76">
        <v>2009</v>
      </c>
      <c r="E1481" s="56">
        <v>1.2</v>
      </c>
      <c r="F1481" s="53">
        <f>IF(E1481&gt;0,1,0)</f>
        <v>1</v>
      </c>
      <c r="G1481" s="53">
        <f>SUM(F1480:F1481)</f>
        <v>2</v>
      </c>
      <c r="H1481" s="53">
        <f>IF(G1481=1,IF(F1480=1,1,-1),G1481)</f>
        <v>2</v>
      </c>
      <c r="I1481" s="53" t="str">
        <f>VLOOKUP(H1481,codes,2,)</f>
        <v>ww</v>
      </c>
      <c r="J1481" s="53"/>
    </row>
    <row r="1482" spans="1:10" x14ac:dyDescent="0.25">
      <c r="A1482" s="93">
        <v>39853</v>
      </c>
      <c r="B1482" s="35">
        <f>C1482+(D1482-2009)*12</f>
        <v>2</v>
      </c>
      <c r="C1482" s="76">
        <v>2</v>
      </c>
      <c r="D1482" s="76">
        <v>2009</v>
      </c>
      <c r="E1482" s="56">
        <v>0.56666666666666665</v>
      </c>
      <c r="F1482" s="53">
        <f>IF(E1482&gt;0,1,0)</f>
        <v>1</v>
      </c>
      <c r="G1482" s="53">
        <f>SUM(F1481:F1482)</f>
        <v>2</v>
      </c>
      <c r="H1482" s="53">
        <f>IF(G1482=1,IF(F1481=1,1,-1),G1482)</f>
        <v>2</v>
      </c>
      <c r="I1482" s="53" t="str">
        <f>VLOOKUP(H1482,codes,2,)</f>
        <v>ww</v>
      </c>
      <c r="J1482" s="53"/>
    </row>
    <row r="1483" spans="1:10" x14ac:dyDescent="0.25">
      <c r="A1483" s="93">
        <v>39854</v>
      </c>
      <c r="B1483" s="35">
        <f>C1483+(D1483-2009)*12</f>
        <v>2</v>
      </c>
      <c r="C1483" s="76">
        <v>2</v>
      </c>
      <c r="D1483" s="76">
        <v>2009</v>
      </c>
      <c r="E1483" s="56">
        <v>0.6</v>
      </c>
      <c r="F1483" s="53">
        <f>IF(E1483&gt;0,1,0)</f>
        <v>1</v>
      </c>
      <c r="G1483" s="53">
        <f>SUM(F1482:F1483)</f>
        <v>2</v>
      </c>
      <c r="H1483" s="53">
        <f>IF(G1483=1,IF(F1482=1,1,-1),G1483)</f>
        <v>2</v>
      </c>
      <c r="I1483" s="53" t="str">
        <f>VLOOKUP(H1483,codes,2,)</f>
        <v>ww</v>
      </c>
      <c r="J1483" s="53"/>
    </row>
    <row r="1484" spans="1:10" x14ac:dyDescent="0.25">
      <c r="A1484" s="93">
        <v>39855</v>
      </c>
      <c r="B1484" s="35">
        <f>C1484+(D1484-2009)*12</f>
        <v>2</v>
      </c>
      <c r="C1484" s="76">
        <v>2</v>
      </c>
      <c r="D1484" s="76">
        <v>2009</v>
      </c>
      <c r="E1484" s="56">
        <v>0.53333333333333333</v>
      </c>
      <c r="F1484" s="53">
        <f>IF(E1484&gt;0,1,0)</f>
        <v>1</v>
      </c>
      <c r="G1484" s="53">
        <f>SUM(F1483:F1484)</f>
        <v>2</v>
      </c>
      <c r="H1484" s="53">
        <f>IF(G1484=1,IF(F1483=1,1,-1),G1484)</f>
        <v>2</v>
      </c>
      <c r="I1484" s="53" t="str">
        <f>VLOOKUP(H1484,codes,2,)</f>
        <v>ww</v>
      </c>
      <c r="J1484" s="53"/>
    </row>
    <row r="1485" spans="1:10" x14ac:dyDescent="0.25">
      <c r="A1485" s="93">
        <v>39856</v>
      </c>
      <c r="B1485" s="35">
        <f>C1485+(D1485-2009)*12</f>
        <v>2</v>
      </c>
      <c r="C1485" s="76">
        <v>2</v>
      </c>
      <c r="D1485" s="76">
        <v>2009</v>
      </c>
      <c r="E1485" s="56">
        <v>2.7333333333333329</v>
      </c>
      <c r="F1485" s="53">
        <f>IF(E1485&gt;0,1,0)</f>
        <v>1</v>
      </c>
      <c r="G1485" s="53">
        <f>SUM(F1484:F1485)</f>
        <v>2</v>
      </c>
      <c r="H1485" s="53">
        <f>IF(G1485=1,IF(F1484=1,1,-1),G1485)</f>
        <v>2</v>
      </c>
      <c r="I1485" s="53" t="str">
        <f>VLOOKUP(H1485,codes,2,)</f>
        <v>ww</v>
      </c>
      <c r="J1485" s="53"/>
    </row>
    <row r="1486" spans="1:10" x14ac:dyDescent="0.25">
      <c r="A1486" s="93">
        <v>39857</v>
      </c>
      <c r="B1486" s="35">
        <f>C1486+(D1486-2009)*12</f>
        <v>2</v>
      </c>
      <c r="C1486" s="76">
        <v>2</v>
      </c>
      <c r="D1486" s="76">
        <v>2009</v>
      </c>
      <c r="E1486" s="56">
        <v>7.2</v>
      </c>
      <c r="F1486" s="53">
        <f>IF(E1486&gt;0,1,0)</f>
        <v>1</v>
      </c>
      <c r="G1486" s="53">
        <f>SUM(F1485:F1486)</f>
        <v>2</v>
      </c>
      <c r="H1486" s="53">
        <f>IF(G1486=1,IF(F1485=1,1,-1),G1486)</f>
        <v>2</v>
      </c>
      <c r="I1486" s="53" t="str">
        <f>VLOOKUP(H1486,codes,2,)</f>
        <v>ww</v>
      </c>
      <c r="J1486" s="53"/>
    </row>
    <row r="1487" spans="1:10" x14ac:dyDescent="0.25">
      <c r="A1487" s="93">
        <v>39858</v>
      </c>
      <c r="B1487" s="35">
        <f>C1487+(D1487-2009)*12</f>
        <v>2</v>
      </c>
      <c r="C1487" s="76">
        <v>2</v>
      </c>
      <c r="D1487" s="76">
        <v>2009</v>
      </c>
      <c r="E1487" s="56">
        <v>0.16666666666666666</v>
      </c>
      <c r="F1487" s="53">
        <f>IF(E1487&gt;0,1,0)</f>
        <v>1</v>
      </c>
      <c r="G1487" s="53">
        <f>SUM(F1486:F1487)</f>
        <v>2</v>
      </c>
      <c r="H1487" s="53">
        <f>IF(G1487=1,IF(F1486=1,1,-1),G1487)</f>
        <v>2</v>
      </c>
      <c r="I1487" s="53" t="str">
        <f>VLOOKUP(H1487,codes,2,)</f>
        <v>ww</v>
      </c>
      <c r="J1487" s="53"/>
    </row>
    <row r="1488" spans="1:10" x14ac:dyDescent="0.25">
      <c r="A1488" s="93">
        <v>39859</v>
      </c>
      <c r="B1488" s="35">
        <f>C1488+(D1488-2009)*12</f>
        <v>2</v>
      </c>
      <c r="C1488" s="76">
        <v>2</v>
      </c>
      <c r="D1488" s="76">
        <v>2009</v>
      </c>
      <c r="E1488" s="56">
        <v>0</v>
      </c>
      <c r="F1488" s="53">
        <f>IF(E1488&gt;0,1,0)</f>
        <v>0</v>
      </c>
      <c r="G1488" s="53">
        <f>SUM(F1487:F1488)</f>
        <v>1</v>
      </c>
      <c r="H1488" s="53">
        <f>IF(G1488=1,IF(F1487=1,1,-1),G1488)</f>
        <v>1</v>
      </c>
      <c r="I1488" s="53" t="str">
        <f>VLOOKUP(H1488,codes,2,)</f>
        <v>wd</v>
      </c>
      <c r="J1488" s="53"/>
    </row>
    <row r="1489" spans="1:10" x14ac:dyDescent="0.25">
      <c r="A1489" s="93">
        <v>39860</v>
      </c>
      <c r="B1489" s="35">
        <f>C1489+(D1489-2009)*12</f>
        <v>2</v>
      </c>
      <c r="C1489" s="76">
        <v>2</v>
      </c>
      <c r="D1489" s="76">
        <v>2009</v>
      </c>
      <c r="E1489" s="56">
        <v>0.13333333333333333</v>
      </c>
      <c r="F1489" s="53">
        <f>IF(E1489&gt;0,1,0)</f>
        <v>1</v>
      </c>
      <c r="G1489" s="53">
        <f>SUM(F1488:F1489)</f>
        <v>1</v>
      </c>
      <c r="H1489" s="53">
        <f>IF(G1489=1,IF(F1488=1,1,-1),G1489)</f>
        <v>-1</v>
      </c>
      <c r="I1489" s="53" t="str">
        <f>VLOOKUP(H1489,codes,2,)</f>
        <v>dw</v>
      </c>
      <c r="J1489" s="53"/>
    </row>
    <row r="1490" spans="1:10" x14ac:dyDescent="0.25">
      <c r="A1490" s="93">
        <v>39861</v>
      </c>
      <c r="B1490" s="35">
        <f>C1490+(D1490-2009)*12</f>
        <v>2</v>
      </c>
      <c r="C1490" s="76">
        <v>2</v>
      </c>
      <c r="D1490" s="76">
        <v>2009</v>
      </c>
      <c r="E1490" s="56">
        <v>0.40000000000000008</v>
      </c>
      <c r="F1490" s="53">
        <f>IF(E1490&gt;0,1,0)</f>
        <v>1</v>
      </c>
      <c r="G1490" s="53">
        <f>SUM(F1489:F1490)</f>
        <v>2</v>
      </c>
      <c r="H1490" s="53">
        <f>IF(G1490=1,IF(F1489=1,1,-1),G1490)</f>
        <v>2</v>
      </c>
      <c r="I1490" s="53" t="str">
        <f>VLOOKUP(H1490,codes,2,)</f>
        <v>ww</v>
      </c>
      <c r="J1490" s="53"/>
    </row>
    <row r="1491" spans="1:10" x14ac:dyDescent="0.25">
      <c r="A1491" s="93">
        <v>39862</v>
      </c>
      <c r="B1491" s="35">
        <f>C1491+(D1491-2009)*12</f>
        <v>2</v>
      </c>
      <c r="C1491" s="76">
        <v>2</v>
      </c>
      <c r="D1491" s="76">
        <v>2009</v>
      </c>
      <c r="E1491" s="56">
        <v>0.33333333333333331</v>
      </c>
      <c r="F1491" s="53">
        <f>IF(E1491&gt;0,1,0)</f>
        <v>1</v>
      </c>
      <c r="G1491" s="53">
        <f>SUM(F1490:F1491)</f>
        <v>2</v>
      </c>
      <c r="H1491" s="53">
        <f>IF(G1491=1,IF(F1490=1,1,-1),G1491)</f>
        <v>2</v>
      </c>
      <c r="I1491" s="53" t="str">
        <f>VLOOKUP(H1491,codes,2,)</f>
        <v>ww</v>
      </c>
      <c r="J1491" s="53"/>
    </row>
    <row r="1492" spans="1:10" x14ac:dyDescent="0.25">
      <c r="A1492" s="93">
        <v>39863</v>
      </c>
      <c r="B1492" s="35">
        <f>C1492+(D1492-2009)*12</f>
        <v>2</v>
      </c>
      <c r="C1492" s="76">
        <v>2</v>
      </c>
      <c r="D1492" s="76">
        <v>2009</v>
      </c>
      <c r="E1492" s="56">
        <v>1.3999999999999997</v>
      </c>
      <c r="F1492" s="53">
        <f>IF(E1492&gt;0,1,0)</f>
        <v>1</v>
      </c>
      <c r="G1492" s="53">
        <f>SUM(F1491:F1492)</f>
        <v>2</v>
      </c>
      <c r="H1492" s="53">
        <f>IF(G1492=1,IF(F1491=1,1,-1),G1492)</f>
        <v>2</v>
      </c>
      <c r="I1492" s="53" t="str">
        <f>VLOOKUP(H1492,codes,2,)</f>
        <v>ww</v>
      </c>
      <c r="J1492" s="53"/>
    </row>
    <row r="1493" spans="1:10" x14ac:dyDescent="0.25">
      <c r="A1493" s="93">
        <v>39864</v>
      </c>
      <c r="B1493" s="35">
        <f>C1493+(D1493-2009)*12</f>
        <v>2</v>
      </c>
      <c r="C1493" s="76">
        <v>2</v>
      </c>
      <c r="D1493" s="76">
        <v>2009</v>
      </c>
      <c r="E1493" s="56">
        <v>0.66666666666666663</v>
      </c>
      <c r="F1493" s="53">
        <f>IF(E1493&gt;0,1,0)</f>
        <v>1</v>
      </c>
      <c r="G1493" s="53">
        <f>SUM(F1492:F1493)</f>
        <v>2</v>
      </c>
      <c r="H1493" s="53">
        <f>IF(G1493=1,IF(F1492=1,1,-1),G1493)</f>
        <v>2</v>
      </c>
      <c r="I1493" s="53" t="str">
        <f>VLOOKUP(H1493,codes,2,)</f>
        <v>ww</v>
      </c>
      <c r="J1493" s="53"/>
    </row>
    <row r="1494" spans="1:10" x14ac:dyDescent="0.25">
      <c r="A1494" s="93">
        <v>39865</v>
      </c>
      <c r="B1494" s="35">
        <f>C1494+(D1494-2009)*12</f>
        <v>2</v>
      </c>
      <c r="C1494" s="76">
        <v>2</v>
      </c>
      <c r="D1494" s="76">
        <v>2009</v>
      </c>
      <c r="E1494" s="56">
        <v>1.1666666666666667</v>
      </c>
      <c r="F1494" s="53">
        <f>IF(E1494&gt;0,1,0)</f>
        <v>1</v>
      </c>
      <c r="G1494" s="53">
        <f>SUM(F1493:F1494)</f>
        <v>2</v>
      </c>
      <c r="H1494" s="53">
        <f>IF(G1494=1,IF(F1493=1,1,-1),G1494)</f>
        <v>2</v>
      </c>
      <c r="I1494" s="53" t="str">
        <f>VLOOKUP(H1494,codes,2,)</f>
        <v>ww</v>
      </c>
      <c r="J1494" s="53"/>
    </row>
    <row r="1495" spans="1:10" x14ac:dyDescent="0.25">
      <c r="A1495" s="93">
        <v>39866</v>
      </c>
      <c r="B1495" s="35">
        <f>C1495+(D1495-2009)*12</f>
        <v>2</v>
      </c>
      <c r="C1495" s="76">
        <v>2</v>
      </c>
      <c r="D1495" s="76">
        <v>2009</v>
      </c>
      <c r="E1495" s="56">
        <v>0.33333333333333331</v>
      </c>
      <c r="F1495" s="53">
        <f>IF(E1495&gt;0,1,0)</f>
        <v>1</v>
      </c>
      <c r="G1495" s="53">
        <f>SUM(F1494:F1495)</f>
        <v>2</v>
      </c>
      <c r="H1495" s="53">
        <f>IF(G1495=1,IF(F1494=1,1,-1),G1495)</f>
        <v>2</v>
      </c>
      <c r="I1495" s="53" t="str">
        <f>VLOOKUP(H1495,codes,2,)</f>
        <v>ww</v>
      </c>
      <c r="J1495" s="53"/>
    </row>
    <row r="1496" spans="1:10" x14ac:dyDescent="0.25">
      <c r="A1496" s="93">
        <v>39867</v>
      </c>
      <c r="B1496" s="35">
        <f>C1496+(D1496-2009)*12</f>
        <v>2</v>
      </c>
      <c r="C1496" s="76">
        <v>2</v>
      </c>
      <c r="D1496" s="76">
        <v>2009</v>
      </c>
      <c r="E1496" s="56">
        <v>0.8666666666666667</v>
      </c>
      <c r="F1496" s="53">
        <f>IF(E1496&gt;0,1,0)</f>
        <v>1</v>
      </c>
      <c r="G1496" s="53">
        <f>SUM(F1495:F1496)</f>
        <v>2</v>
      </c>
      <c r="H1496" s="53">
        <f>IF(G1496=1,IF(F1495=1,1,-1),G1496)</f>
        <v>2</v>
      </c>
      <c r="I1496" s="53" t="str">
        <f>VLOOKUP(H1496,codes,2,)</f>
        <v>ww</v>
      </c>
      <c r="J1496" s="53"/>
    </row>
    <row r="1497" spans="1:10" x14ac:dyDescent="0.25">
      <c r="A1497" s="93">
        <v>39868</v>
      </c>
      <c r="B1497" s="35">
        <f>C1497+(D1497-2009)*12</f>
        <v>2</v>
      </c>
      <c r="C1497" s="76">
        <v>2</v>
      </c>
      <c r="D1497" s="76">
        <v>2009</v>
      </c>
      <c r="E1497" s="56">
        <v>0</v>
      </c>
      <c r="F1497" s="53">
        <f>IF(E1497&gt;0,1,0)</f>
        <v>0</v>
      </c>
      <c r="G1497" s="53">
        <f>SUM(F1496:F1497)</f>
        <v>1</v>
      </c>
      <c r="H1497" s="53">
        <f>IF(G1497=1,IF(F1496=1,1,-1),G1497)</f>
        <v>1</v>
      </c>
      <c r="I1497" s="53" t="str">
        <f>VLOOKUP(H1497,codes,2,)</f>
        <v>wd</v>
      </c>
      <c r="J1497" s="53"/>
    </row>
    <row r="1498" spans="1:10" x14ac:dyDescent="0.25">
      <c r="A1498" s="93">
        <v>39869</v>
      </c>
      <c r="B1498" s="35">
        <f>C1498+(D1498-2009)*12</f>
        <v>2</v>
      </c>
      <c r="C1498" s="76">
        <v>2</v>
      </c>
      <c r="D1498" s="76">
        <v>2009</v>
      </c>
      <c r="E1498" s="56">
        <v>0</v>
      </c>
      <c r="F1498" s="53">
        <f>IF(E1498&gt;0,1,0)</f>
        <v>0</v>
      </c>
      <c r="G1498" s="53">
        <f>SUM(F1497:F1498)</f>
        <v>0</v>
      </c>
      <c r="H1498" s="53">
        <f>IF(G1498=1,IF(F1497=1,1,-1),G1498)</f>
        <v>0</v>
      </c>
      <c r="I1498" s="53" t="str">
        <f>VLOOKUP(H1498,codes,2,)</f>
        <v>dd</v>
      </c>
      <c r="J1498" s="53"/>
    </row>
    <row r="1499" spans="1:10" x14ac:dyDescent="0.25">
      <c r="A1499" s="93">
        <v>39870</v>
      </c>
      <c r="B1499" s="35">
        <f>C1499+(D1499-2009)*12</f>
        <v>2</v>
      </c>
      <c r="C1499" s="76">
        <v>2</v>
      </c>
      <c r="D1499" s="76">
        <v>2009</v>
      </c>
      <c r="E1499" s="56">
        <v>0.13333333333333333</v>
      </c>
      <c r="F1499" s="53">
        <f>IF(E1499&gt;0,1,0)</f>
        <v>1</v>
      </c>
      <c r="G1499" s="53">
        <f>SUM(F1498:F1499)</f>
        <v>1</v>
      </c>
      <c r="H1499" s="53">
        <f>IF(G1499=1,IF(F1498=1,1,-1),G1499)</f>
        <v>-1</v>
      </c>
      <c r="I1499" s="53" t="str">
        <f>VLOOKUP(H1499,codes,2,)</f>
        <v>dw</v>
      </c>
      <c r="J1499" s="53"/>
    </row>
    <row r="1500" spans="1:10" x14ac:dyDescent="0.25">
      <c r="A1500" s="93">
        <v>39871</v>
      </c>
      <c r="B1500" s="35">
        <f>C1500+(D1500-2009)*12</f>
        <v>2</v>
      </c>
      <c r="C1500" s="76">
        <v>2</v>
      </c>
      <c r="D1500" s="76">
        <v>2009</v>
      </c>
      <c r="E1500" s="56">
        <v>0.20000000000000004</v>
      </c>
      <c r="F1500" s="53">
        <f>IF(E1500&gt;0,1,0)</f>
        <v>1</v>
      </c>
      <c r="G1500" s="53">
        <f>SUM(F1499:F1500)</f>
        <v>2</v>
      </c>
      <c r="H1500" s="53">
        <f>IF(G1500=1,IF(F1499=1,1,-1),G1500)</f>
        <v>2</v>
      </c>
      <c r="I1500" s="53" t="str">
        <f>VLOOKUP(H1500,codes,2,)</f>
        <v>ww</v>
      </c>
      <c r="J1500" s="53"/>
    </row>
    <row r="1501" spans="1:10" x14ac:dyDescent="0.25">
      <c r="A1501" s="93">
        <v>39872</v>
      </c>
      <c r="B1501" s="35">
        <f>C1501+(D1501-2009)*12</f>
        <v>2</v>
      </c>
      <c r="C1501" s="76">
        <v>2</v>
      </c>
      <c r="D1501" s="76">
        <v>2009</v>
      </c>
      <c r="E1501" s="56">
        <v>6.6666666666666666E-2</v>
      </c>
      <c r="F1501" s="53">
        <f>IF(E1501&gt;0,1,0)</f>
        <v>1</v>
      </c>
      <c r="G1501" s="53">
        <f>SUM(F1500:F1501)</f>
        <v>2</v>
      </c>
      <c r="H1501" s="53">
        <f>IF(G1501=1,IF(F1500=1,1,-1),G1501)</f>
        <v>2</v>
      </c>
      <c r="I1501" s="53" t="str">
        <f>VLOOKUP(H1501,codes,2,)</f>
        <v>ww</v>
      </c>
      <c r="J1501" s="53"/>
    </row>
    <row r="1502" spans="1:10" x14ac:dyDescent="0.25">
      <c r="A1502" s="93">
        <v>40210</v>
      </c>
      <c r="B1502" s="35">
        <f>C1502+(D1502-2009)*12</f>
        <v>14</v>
      </c>
      <c r="C1502" s="76">
        <v>2</v>
      </c>
      <c r="D1502" s="76">
        <v>2010</v>
      </c>
      <c r="E1502" s="56">
        <v>0.13333333333333333</v>
      </c>
      <c r="F1502" s="53">
        <f>IF(E1502&gt;0,1,0)</f>
        <v>1</v>
      </c>
      <c r="G1502" s="53">
        <f>SUM(F1501:F1502)</f>
        <v>2</v>
      </c>
      <c r="H1502" s="53">
        <f>IF(G1502=1,IF(F1501=1,1,-1),G1502)</f>
        <v>2</v>
      </c>
      <c r="I1502" s="53" t="str">
        <f>VLOOKUP(H1502,codes,2,)</f>
        <v>ww</v>
      </c>
      <c r="J1502" s="53"/>
    </row>
    <row r="1503" spans="1:10" x14ac:dyDescent="0.25">
      <c r="A1503" s="93">
        <v>40211</v>
      </c>
      <c r="B1503" s="35">
        <f>C1503+(D1503-2009)*12</f>
        <v>14</v>
      </c>
      <c r="C1503" s="76">
        <v>2</v>
      </c>
      <c r="D1503" s="76">
        <v>2010</v>
      </c>
      <c r="E1503" s="56">
        <v>5.2666666666666666</v>
      </c>
      <c r="F1503" s="53">
        <f>IF(E1503&gt;0,1,0)</f>
        <v>1</v>
      </c>
      <c r="G1503" s="53">
        <f>SUM(F1502:F1503)</f>
        <v>2</v>
      </c>
      <c r="H1503" s="53">
        <f>IF(G1503=1,IF(F1502=1,1,-1),G1503)</f>
        <v>2</v>
      </c>
      <c r="I1503" s="53" t="str">
        <f>VLOOKUP(H1503,codes,2,)</f>
        <v>ww</v>
      </c>
      <c r="J1503" s="53"/>
    </row>
    <row r="1504" spans="1:10" x14ac:dyDescent="0.25">
      <c r="A1504" s="93">
        <v>40212</v>
      </c>
      <c r="B1504" s="35">
        <f>C1504+(D1504-2009)*12</f>
        <v>14</v>
      </c>
      <c r="C1504" s="76">
        <v>2</v>
      </c>
      <c r="D1504" s="76">
        <v>2010</v>
      </c>
      <c r="E1504" s="56">
        <v>0.86666666666666659</v>
      </c>
      <c r="F1504" s="53">
        <f>IF(E1504&gt;0,1,0)</f>
        <v>1</v>
      </c>
      <c r="G1504" s="53">
        <f>SUM(F1503:F1504)</f>
        <v>2</v>
      </c>
      <c r="H1504" s="53">
        <f>IF(G1504=1,IF(F1503=1,1,-1),G1504)</f>
        <v>2</v>
      </c>
      <c r="I1504" s="53" t="str">
        <f>VLOOKUP(H1504,codes,2,)</f>
        <v>ww</v>
      </c>
      <c r="J1504" s="53"/>
    </row>
    <row r="1505" spans="1:10" x14ac:dyDescent="0.25">
      <c r="A1505" s="93">
        <v>40213</v>
      </c>
      <c r="B1505" s="35">
        <f>C1505+(D1505-2009)*12</f>
        <v>14</v>
      </c>
      <c r="C1505" s="76">
        <v>2</v>
      </c>
      <c r="D1505" s="76">
        <v>2010</v>
      </c>
      <c r="E1505" s="56">
        <v>6.6666666666666666E-2</v>
      </c>
      <c r="F1505" s="53">
        <f>IF(E1505&gt;0,1,0)</f>
        <v>1</v>
      </c>
      <c r="G1505" s="53">
        <f>SUM(F1504:F1505)</f>
        <v>2</v>
      </c>
      <c r="H1505" s="53">
        <f>IF(G1505=1,IF(F1504=1,1,-1),G1505)</f>
        <v>2</v>
      </c>
      <c r="I1505" s="53" t="str">
        <f>VLOOKUP(H1505,codes,2,)</f>
        <v>ww</v>
      </c>
      <c r="J1505" s="53"/>
    </row>
    <row r="1506" spans="1:10" x14ac:dyDescent="0.25">
      <c r="A1506" s="93">
        <v>40214</v>
      </c>
      <c r="B1506" s="35">
        <f>C1506+(D1506-2009)*12</f>
        <v>14</v>
      </c>
      <c r="C1506" s="76">
        <v>2</v>
      </c>
      <c r="D1506" s="76">
        <v>2010</v>
      </c>
      <c r="E1506" s="56">
        <v>0.66666666666666663</v>
      </c>
      <c r="F1506" s="53">
        <f>IF(E1506&gt;0,1,0)</f>
        <v>1</v>
      </c>
      <c r="G1506" s="53">
        <f>SUM(F1505:F1506)</f>
        <v>2</v>
      </c>
      <c r="H1506" s="53">
        <f>IF(G1506=1,IF(F1505=1,1,-1),G1506)</f>
        <v>2</v>
      </c>
      <c r="I1506" s="53" t="str">
        <f>VLOOKUP(H1506,codes,2,)</f>
        <v>ww</v>
      </c>
      <c r="J1506" s="53"/>
    </row>
    <row r="1507" spans="1:10" x14ac:dyDescent="0.25">
      <c r="A1507" s="93">
        <v>40215</v>
      </c>
      <c r="B1507" s="35">
        <f>C1507+(D1507-2009)*12</f>
        <v>14</v>
      </c>
      <c r="C1507" s="76">
        <v>2</v>
      </c>
      <c r="D1507" s="76">
        <v>2010</v>
      </c>
      <c r="E1507" s="56">
        <v>7.0666666666666664</v>
      </c>
      <c r="F1507" s="53">
        <f>IF(E1507&gt;0,1,0)</f>
        <v>1</v>
      </c>
      <c r="G1507" s="53">
        <f>SUM(F1506:F1507)</f>
        <v>2</v>
      </c>
      <c r="H1507" s="53">
        <f>IF(G1507=1,IF(F1506=1,1,-1),G1507)</f>
        <v>2</v>
      </c>
      <c r="I1507" s="53" t="str">
        <f>VLOOKUP(H1507,codes,2,)</f>
        <v>ww</v>
      </c>
      <c r="J1507" s="53"/>
    </row>
    <row r="1508" spans="1:10" x14ac:dyDescent="0.25">
      <c r="A1508" s="93">
        <v>40216</v>
      </c>
      <c r="B1508" s="35">
        <f>C1508+(D1508-2009)*12</f>
        <v>14</v>
      </c>
      <c r="C1508" s="76">
        <v>2</v>
      </c>
      <c r="D1508" s="76">
        <v>2010</v>
      </c>
      <c r="E1508" s="56">
        <v>0.93333333333333324</v>
      </c>
      <c r="F1508" s="53">
        <f>IF(E1508&gt;0,1,0)</f>
        <v>1</v>
      </c>
      <c r="G1508" s="53">
        <f>SUM(F1507:F1508)</f>
        <v>2</v>
      </c>
      <c r="H1508" s="53">
        <f>IF(G1508=1,IF(F1507=1,1,-1),G1508)</f>
        <v>2</v>
      </c>
      <c r="I1508" s="53" t="str">
        <f>VLOOKUP(H1508,codes,2,)</f>
        <v>ww</v>
      </c>
      <c r="J1508" s="53"/>
    </row>
    <row r="1509" spans="1:10" x14ac:dyDescent="0.25">
      <c r="A1509" s="93">
        <v>40217</v>
      </c>
      <c r="B1509" s="35">
        <f>C1509+(D1509-2009)*12</f>
        <v>14</v>
      </c>
      <c r="C1509" s="76">
        <v>2</v>
      </c>
      <c r="D1509" s="76">
        <v>2010</v>
      </c>
      <c r="E1509" s="56">
        <v>1.5333333333333332</v>
      </c>
      <c r="F1509" s="53">
        <f>IF(E1509&gt;0,1,0)</f>
        <v>1</v>
      </c>
      <c r="G1509" s="53">
        <f>SUM(F1508:F1509)</f>
        <v>2</v>
      </c>
      <c r="H1509" s="53">
        <f>IF(G1509=1,IF(F1508=1,1,-1),G1509)</f>
        <v>2</v>
      </c>
      <c r="I1509" s="53" t="str">
        <f>VLOOKUP(H1509,codes,2,)</f>
        <v>ww</v>
      </c>
      <c r="J1509" s="53"/>
    </row>
    <row r="1510" spans="1:10" x14ac:dyDescent="0.25">
      <c r="A1510" s="93">
        <v>40218</v>
      </c>
      <c r="B1510" s="35">
        <f>C1510+(D1510-2009)*12</f>
        <v>14</v>
      </c>
      <c r="C1510" s="76">
        <v>2</v>
      </c>
      <c r="D1510" s="76">
        <v>2010</v>
      </c>
      <c r="E1510" s="56">
        <v>3.3333333333333335</v>
      </c>
      <c r="F1510" s="53">
        <f>IF(E1510&gt;0,1,0)</f>
        <v>1</v>
      </c>
      <c r="G1510" s="53">
        <f>SUM(F1509:F1510)</f>
        <v>2</v>
      </c>
      <c r="H1510" s="53">
        <f>IF(G1510=1,IF(F1509=1,1,-1),G1510)</f>
        <v>2</v>
      </c>
      <c r="I1510" s="53" t="str">
        <f>VLOOKUP(H1510,codes,2,)</f>
        <v>ww</v>
      </c>
      <c r="J1510" s="53"/>
    </row>
    <row r="1511" spans="1:10" x14ac:dyDescent="0.25">
      <c r="A1511" s="93">
        <v>40219</v>
      </c>
      <c r="B1511" s="35">
        <f>C1511+(D1511-2009)*12</f>
        <v>14</v>
      </c>
      <c r="C1511" s="76">
        <v>2</v>
      </c>
      <c r="D1511" s="76">
        <v>2010</v>
      </c>
      <c r="E1511" s="56">
        <v>6.2666666666666657</v>
      </c>
      <c r="F1511" s="53">
        <f>IF(E1511&gt;0,1,0)</f>
        <v>1</v>
      </c>
      <c r="G1511" s="53">
        <f>SUM(F1510:F1511)</f>
        <v>2</v>
      </c>
      <c r="H1511" s="53">
        <f>IF(G1511=1,IF(F1510=1,1,-1),G1511)</f>
        <v>2</v>
      </c>
      <c r="I1511" s="53" t="str">
        <f>VLOOKUP(H1511,codes,2,)</f>
        <v>ww</v>
      </c>
      <c r="J1511" s="53"/>
    </row>
    <row r="1512" spans="1:10" x14ac:dyDescent="0.25">
      <c r="A1512" s="93">
        <v>40220</v>
      </c>
      <c r="B1512" s="35">
        <f>C1512+(D1512-2009)*12</f>
        <v>14</v>
      </c>
      <c r="C1512" s="76">
        <v>2</v>
      </c>
      <c r="D1512" s="76">
        <v>2010</v>
      </c>
      <c r="E1512" s="56">
        <v>0.73333333333333339</v>
      </c>
      <c r="F1512" s="53">
        <f>IF(E1512&gt;0,1,0)</f>
        <v>1</v>
      </c>
      <c r="G1512" s="53">
        <f>SUM(F1511:F1512)</f>
        <v>2</v>
      </c>
      <c r="H1512" s="53">
        <f>IF(G1512=1,IF(F1511=1,1,-1),G1512)</f>
        <v>2</v>
      </c>
      <c r="I1512" s="53" t="str">
        <f>VLOOKUP(H1512,codes,2,)</f>
        <v>ww</v>
      </c>
      <c r="J1512" s="53"/>
    </row>
    <row r="1513" spans="1:10" x14ac:dyDescent="0.25">
      <c r="A1513" s="93">
        <v>40221</v>
      </c>
      <c r="B1513" s="35">
        <f>C1513+(D1513-2009)*12</f>
        <v>14</v>
      </c>
      <c r="C1513" s="76">
        <v>2</v>
      </c>
      <c r="D1513" s="76">
        <v>2010</v>
      </c>
      <c r="E1513" s="56">
        <v>3.1999999999999997</v>
      </c>
      <c r="F1513" s="53">
        <f>IF(E1513&gt;0,1,0)</f>
        <v>1</v>
      </c>
      <c r="G1513" s="53">
        <f>SUM(F1512:F1513)</f>
        <v>2</v>
      </c>
      <c r="H1513" s="53">
        <f>IF(G1513=1,IF(F1512=1,1,-1),G1513)</f>
        <v>2</v>
      </c>
      <c r="I1513" s="53" t="str">
        <f>VLOOKUP(H1513,codes,2,)</f>
        <v>ww</v>
      </c>
      <c r="J1513" s="53"/>
    </row>
    <row r="1514" spans="1:10" x14ac:dyDescent="0.25">
      <c r="A1514" s="93">
        <v>40222</v>
      </c>
      <c r="B1514" s="35">
        <f>C1514+(D1514-2009)*12</f>
        <v>14</v>
      </c>
      <c r="C1514" s="76">
        <v>2</v>
      </c>
      <c r="D1514" s="76">
        <v>2010</v>
      </c>
      <c r="E1514" s="56">
        <v>1.6000000000000003</v>
      </c>
      <c r="F1514" s="53">
        <f>IF(E1514&gt;0,1,0)</f>
        <v>1</v>
      </c>
      <c r="G1514" s="53">
        <f>SUM(F1513:F1514)</f>
        <v>2</v>
      </c>
      <c r="H1514" s="53">
        <f>IF(G1514=1,IF(F1513=1,1,-1),G1514)</f>
        <v>2</v>
      </c>
      <c r="I1514" s="53" t="str">
        <f>VLOOKUP(H1514,codes,2,)</f>
        <v>ww</v>
      </c>
      <c r="J1514" s="53"/>
    </row>
    <row r="1515" spans="1:10" x14ac:dyDescent="0.25">
      <c r="A1515" s="93">
        <v>40223</v>
      </c>
      <c r="B1515" s="35">
        <f>C1515+(D1515-2009)*12</f>
        <v>14</v>
      </c>
      <c r="C1515" s="76">
        <v>2</v>
      </c>
      <c r="D1515" s="76">
        <v>2010</v>
      </c>
      <c r="E1515" s="56">
        <v>1</v>
      </c>
      <c r="F1515" s="53">
        <f>IF(E1515&gt;0,1,0)</f>
        <v>1</v>
      </c>
      <c r="G1515" s="53">
        <f>SUM(F1514:F1515)</f>
        <v>2</v>
      </c>
      <c r="H1515" s="53">
        <f>IF(G1515=1,IF(F1514=1,1,-1),G1515)</f>
        <v>2</v>
      </c>
      <c r="I1515" s="53" t="str">
        <f>VLOOKUP(H1515,codes,2,)</f>
        <v>ww</v>
      </c>
      <c r="J1515" s="53"/>
    </row>
    <row r="1516" spans="1:10" x14ac:dyDescent="0.25">
      <c r="A1516" s="93">
        <v>40224</v>
      </c>
      <c r="B1516" s="35">
        <f>C1516+(D1516-2009)*12</f>
        <v>14</v>
      </c>
      <c r="C1516" s="76">
        <v>2</v>
      </c>
      <c r="D1516" s="76">
        <v>2010</v>
      </c>
      <c r="E1516" s="56">
        <v>0.20000000000000004</v>
      </c>
      <c r="F1516" s="53">
        <f>IF(E1516&gt;0,1,0)</f>
        <v>1</v>
      </c>
      <c r="G1516" s="53">
        <f>SUM(F1515:F1516)</f>
        <v>2</v>
      </c>
      <c r="H1516" s="53">
        <f>IF(G1516=1,IF(F1515=1,1,-1),G1516)</f>
        <v>2</v>
      </c>
      <c r="I1516" s="53" t="str">
        <f>VLOOKUP(H1516,codes,2,)</f>
        <v>ww</v>
      </c>
      <c r="J1516" s="53"/>
    </row>
    <row r="1517" spans="1:10" x14ac:dyDescent="0.25">
      <c r="A1517" s="93">
        <v>40225</v>
      </c>
      <c r="B1517" s="35">
        <f>C1517+(D1517-2009)*12</f>
        <v>14</v>
      </c>
      <c r="C1517" s="76">
        <v>2</v>
      </c>
      <c r="D1517" s="76">
        <v>2010</v>
      </c>
      <c r="E1517" s="56">
        <v>3.3333333333333335</v>
      </c>
      <c r="F1517" s="53">
        <f>IF(E1517&gt;0,1,0)</f>
        <v>1</v>
      </c>
      <c r="G1517" s="53">
        <f>SUM(F1516:F1517)</f>
        <v>2</v>
      </c>
      <c r="H1517" s="53">
        <f>IF(G1517=1,IF(F1516=1,1,-1),G1517)</f>
        <v>2</v>
      </c>
      <c r="I1517" s="53" t="str">
        <f>VLOOKUP(H1517,codes,2,)</f>
        <v>ww</v>
      </c>
      <c r="J1517" s="53"/>
    </row>
    <row r="1518" spans="1:10" x14ac:dyDescent="0.25">
      <c r="A1518" s="93">
        <v>40226</v>
      </c>
      <c r="B1518" s="35">
        <f>C1518+(D1518-2009)*12</f>
        <v>14</v>
      </c>
      <c r="C1518" s="76">
        <v>2</v>
      </c>
      <c r="D1518" s="76">
        <v>2010</v>
      </c>
      <c r="E1518" s="56">
        <v>6.6666666666666666E-2</v>
      </c>
      <c r="F1518" s="53">
        <f>IF(E1518&gt;0,1,0)</f>
        <v>1</v>
      </c>
      <c r="G1518" s="53">
        <f>SUM(F1517:F1518)</f>
        <v>2</v>
      </c>
      <c r="H1518" s="53">
        <f>IF(G1518=1,IF(F1517=1,1,-1),G1518)</f>
        <v>2</v>
      </c>
      <c r="I1518" s="53" t="str">
        <f>VLOOKUP(H1518,codes,2,)</f>
        <v>ww</v>
      </c>
      <c r="J1518" s="53"/>
    </row>
    <row r="1519" spans="1:10" x14ac:dyDescent="0.25">
      <c r="A1519" s="93">
        <v>40227</v>
      </c>
      <c r="B1519" s="35">
        <f>C1519+(D1519-2009)*12</f>
        <v>14</v>
      </c>
      <c r="C1519" s="76">
        <v>2</v>
      </c>
      <c r="D1519" s="76">
        <v>2010</v>
      </c>
      <c r="E1519" s="56">
        <v>6.6666666666666666E-2</v>
      </c>
      <c r="F1519" s="53">
        <f>IF(E1519&gt;0,1,0)</f>
        <v>1</v>
      </c>
      <c r="G1519" s="53">
        <f>SUM(F1518:F1519)</f>
        <v>2</v>
      </c>
      <c r="H1519" s="53">
        <f>IF(G1519=1,IF(F1518=1,1,-1),G1519)</f>
        <v>2</v>
      </c>
      <c r="I1519" s="53" t="str">
        <f>VLOOKUP(H1519,codes,2,)</f>
        <v>ww</v>
      </c>
      <c r="J1519" s="53"/>
    </row>
    <row r="1520" spans="1:10" x14ac:dyDescent="0.25">
      <c r="A1520" s="93">
        <v>40228</v>
      </c>
      <c r="B1520" s="35">
        <f>C1520+(D1520-2009)*12</f>
        <v>14</v>
      </c>
      <c r="C1520" s="76">
        <v>2</v>
      </c>
      <c r="D1520" s="76">
        <v>2010</v>
      </c>
      <c r="E1520" s="56">
        <v>0.20000000000000004</v>
      </c>
      <c r="F1520" s="53">
        <f>IF(E1520&gt;0,1,0)</f>
        <v>1</v>
      </c>
      <c r="G1520" s="53">
        <f>SUM(F1519:F1520)</f>
        <v>2</v>
      </c>
      <c r="H1520" s="53">
        <f>IF(G1520=1,IF(F1519=1,1,-1),G1520)</f>
        <v>2</v>
      </c>
      <c r="I1520" s="53" t="str">
        <f>VLOOKUP(H1520,codes,2,)</f>
        <v>ww</v>
      </c>
      <c r="J1520" s="53"/>
    </row>
    <row r="1521" spans="1:10" x14ac:dyDescent="0.25">
      <c r="A1521" s="93">
        <v>40229</v>
      </c>
      <c r="B1521" s="35">
        <f>C1521+(D1521-2009)*12</f>
        <v>14</v>
      </c>
      <c r="C1521" s="76">
        <v>2</v>
      </c>
      <c r="D1521" s="76">
        <v>2010</v>
      </c>
      <c r="E1521" s="56">
        <v>0.73333333333333339</v>
      </c>
      <c r="F1521" s="53">
        <f>IF(E1521&gt;0,1,0)</f>
        <v>1</v>
      </c>
      <c r="G1521" s="53">
        <f>SUM(F1520:F1521)</f>
        <v>2</v>
      </c>
      <c r="H1521" s="53">
        <f>IF(G1521=1,IF(F1520=1,1,-1),G1521)</f>
        <v>2</v>
      </c>
      <c r="I1521" s="53" t="str">
        <f>VLOOKUP(H1521,codes,2,)</f>
        <v>ww</v>
      </c>
      <c r="J1521" s="53"/>
    </row>
    <row r="1522" spans="1:10" x14ac:dyDescent="0.25">
      <c r="A1522" s="93">
        <v>40230</v>
      </c>
      <c r="B1522" s="35">
        <f>C1522+(D1522-2009)*12</f>
        <v>14</v>
      </c>
      <c r="C1522" s="76">
        <v>2</v>
      </c>
      <c r="D1522" s="76">
        <v>2010</v>
      </c>
      <c r="E1522" s="56">
        <v>0.80000000000000016</v>
      </c>
      <c r="F1522" s="53">
        <f>IF(E1522&gt;0,1,0)</f>
        <v>1</v>
      </c>
      <c r="G1522" s="53">
        <f>SUM(F1521:F1522)</f>
        <v>2</v>
      </c>
      <c r="H1522" s="53">
        <f>IF(G1522=1,IF(F1521=1,1,-1),G1522)</f>
        <v>2</v>
      </c>
      <c r="I1522" s="53" t="str">
        <f>VLOOKUP(H1522,codes,2,)</f>
        <v>ww</v>
      </c>
      <c r="J1522" s="53"/>
    </row>
    <row r="1523" spans="1:10" x14ac:dyDescent="0.25">
      <c r="A1523" s="93">
        <v>40231</v>
      </c>
      <c r="B1523" s="35">
        <f>C1523+(D1523-2009)*12</f>
        <v>14</v>
      </c>
      <c r="C1523" s="76">
        <v>2</v>
      </c>
      <c r="D1523" s="76">
        <v>2010</v>
      </c>
      <c r="E1523" s="56">
        <v>0.53333333333333333</v>
      </c>
      <c r="F1523" s="53">
        <f>IF(E1523&gt;0,1,0)</f>
        <v>1</v>
      </c>
      <c r="G1523" s="53">
        <f>SUM(F1522:F1523)</f>
        <v>2</v>
      </c>
      <c r="H1523" s="53">
        <f>IF(G1523=1,IF(F1522=1,1,-1),G1523)</f>
        <v>2</v>
      </c>
      <c r="I1523" s="53" t="str">
        <f>VLOOKUP(H1523,codes,2,)</f>
        <v>ww</v>
      </c>
      <c r="J1523" s="53"/>
    </row>
    <row r="1524" spans="1:10" x14ac:dyDescent="0.25">
      <c r="A1524" s="93">
        <v>40232</v>
      </c>
      <c r="B1524" s="35">
        <f>C1524+(D1524-2009)*12</f>
        <v>14</v>
      </c>
      <c r="C1524" s="76">
        <v>2</v>
      </c>
      <c r="D1524" s="76">
        <v>2010</v>
      </c>
      <c r="E1524" s="56">
        <v>1.7333333333333334</v>
      </c>
      <c r="F1524" s="53">
        <f>IF(E1524&gt;0,1,0)</f>
        <v>1</v>
      </c>
      <c r="G1524" s="53">
        <f>SUM(F1523:F1524)</f>
        <v>2</v>
      </c>
      <c r="H1524" s="53">
        <f>IF(G1524=1,IF(F1523=1,1,-1),G1524)</f>
        <v>2</v>
      </c>
      <c r="I1524" s="53" t="str">
        <f>VLOOKUP(H1524,codes,2,)</f>
        <v>ww</v>
      </c>
      <c r="J1524" s="53"/>
    </row>
    <row r="1525" spans="1:10" x14ac:dyDescent="0.25">
      <c r="A1525" s="93">
        <v>40233</v>
      </c>
      <c r="B1525" s="35">
        <f>C1525+(D1525-2009)*12</f>
        <v>14</v>
      </c>
      <c r="C1525" s="76">
        <v>2</v>
      </c>
      <c r="D1525" s="76">
        <v>2010</v>
      </c>
      <c r="E1525" s="56">
        <v>4.7333333333333334</v>
      </c>
      <c r="F1525" s="53">
        <f>IF(E1525&gt;0,1,0)</f>
        <v>1</v>
      </c>
      <c r="G1525" s="53">
        <f>SUM(F1524:F1525)</f>
        <v>2</v>
      </c>
      <c r="H1525" s="53">
        <f>IF(G1525=1,IF(F1524=1,1,-1),G1525)</f>
        <v>2</v>
      </c>
      <c r="I1525" s="53" t="str">
        <f>VLOOKUP(H1525,codes,2,)</f>
        <v>ww</v>
      </c>
      <c r="J1525" s="53"/>
    </row>
    <row r="1526" spans="1:10" x14ac:dyDescent="0.25">
      <c r="A1526" s="93">
        <v>40234</v>
      </c>
      <c r="B1526" s="35">
        <f>C1526+(D1526-2009)*12</f>
        <v>14</v>
      </c>
      <c r="C1526" s="76">
        <v>2</v>
      </c>
      <c r="D1526" s="76">
        <v>2010</v>
      </c>
      <c r="E1526" s="56">
        <v>1.0666666666666667</v>
      </c>
      <c r="F1526" s="53">
        <f>IF(E1526&gt;0,1,0)</f>
        <v>1</v>
      </c>
      <c r="G1526" s="53">
        <f>SUM(F1525:F1526)</f>
        <v>2</v>
      </c>
      <c r="H1526" s="53">
        <f>IF(G1526=1,IF(F1525=1,1,-1),G1526)</f>
        <v>2</v>
      </c>
      <c r="I1526" s="53" t="str">
        <f>VLOOKUP(H1526,codes,2,)</f>
        <v>ww</v>
      </c>
      <c r="J1526" s="53"/>
    </row>
    <row r="1527" spans="1:10" x14ac:dyDescent="0.25">
      <c r="A1527" s="93">
        <v>40235</v>
      </c>
      <c r="B1527" s="35">
        <f>C1527+(D1527-2009)*12</f>
        <v>14</v>
      </c>
      <c r="C1527" s="76">
        <v>2</v>
      </c>
      <c r="D1527" s="76">
        <v>2010</v>
      </c>
      <c r="E1527" s="56">
        <v>3.6</v>
      </c>
      <c r="F1527" s="53">
        <f>IF(E1527&gt;0,1,0)</f>
        <v>1</v>
      </c>
      <c r="G1527" s="53">
        <f>SUM(F1526:F1527)</f>
        <v>2</v>
      </c>
      <c r="H1527" s="53">
        <f>IF(G1527=1,IF(F1526=1,1,-1),G1527)</f>
        <v>2</v>
      </c>
      <c r="I1527" s="53" t="str">
        <f>VLOOKUP(H1527,codes,2,)</f>
        <v>ww</v>
      </c>
      <c r="J1527" s="53"/>
    </row>
    <row r="1528" spans="1:10" x14ac:dyDescent="0.25">
      <c r="A1528" s="93">
        <v>40236</v>
      </c>
      <c r="B1528" s="35">
        <f>C1528+(D1528-2009)*12</f>
        <v>14</v>
      </c>
      <c r="C1528" s="76">
        <v>2</v>
      </c>
      <c r="D1528" s="76">
        <v>2010</v>
      </c>
      <c r="E1528" s="56">
        <v>26.3</v>
      </c>
      <c r="F1528" s="53">
        <f>IF(E1528&gt;0,1,0)</f>
        <v>1</v>
      </c>
      <c r="G1528" s="53">
        <f>SUM(F1527:F1528)</f>
        <v>2</v>
      </c>
      <c r="H1528" s="53">
        <f>IF(G1528=1,IF(F1527=1,1,-1),G1528)</f>
        <v>2</v>
      </c>
      <c r="I1528" s="53" t="str">
        <f>VLOOKUP(H1528,codes,2,)</f>
        <v>ww</v>
      </c>
      <c r="J1528" s="53"/>
    </row>
    <row r="1529" spans="1:10" x14ac:dyDescent="0.25">
      <c r="A1529" s="93">
        <v>40237</v>
      </c>
      <c r="B1529" s="35">
        <f>C1529+(D1529-2009)*12</f>
        <v>14</v>
      </c>
      <c r="C1529" s="76">
        <v>2</v>
      </c>
      <c r="D1529" s="76">
        <v>2010</v>
      </c>
      <c r="E1529" s="56">
        <v>1.1666666666666667</v>
      </c>
      <c r="F1529" s="53">
        <f>IF(E1529&gt;0,1,0)</f>
        <v>1</v>
      </c>
      <c r="G1529" s="53">
        <f>SUM(F1528:F1529)</f>
        <v>2</v>
      </c>
      <c r="H1529" s="53">
        <f>IF(G1529=1,IF(F1528=1,1,-1),G1529)</f>
        <v>2</v>
      </c>
      <c r="I1529" s="53" t="str">
        <f>VLOOKUP(H1529,codes,2,)</f>
        <v>ww</v>
      </c>
      <c r="J1529" s="53"/>
    </row>
    <row r="1530" spans="1:10" x14ac:dyDescent="0.25">
      <c r="A1530" s="93">
        <v>40238</v>
      </c>
      <c r="B1530" s="35">
        <f>C1530+(D1530-2009)*12</f>
        <v>14</v>
      </c>
      <c r="C1530" s="76">
        <v>2</v>
      </c>
      <c r="D1530" s="76">
        <v>2010</v>
      </c>
      <c r="E1530" s="56">
        <v>1.8</v>
      </c>
      <c r="F1530" s="53">
        <f>IF(E1530&gt;0,1,0)</f>
        <v>1</v>
      </c>
      <c r="G1530" s="53">
        <f>SUM(F1529:F1530)</f>
        <v>2</v>
      </c>
      <c r="H1530" s="53">
        <f>IF(G1530=1,IF(F1529=1,1,-1),G1530)</f>
        <v>2</v>
      </c>
      <c r="I1530" s="53" t="str">
        <f>VLOOKUP(H1530,codes,2,)</f>
        <v>ww</v>
      </c>
      <c r="J1530" s="53"/>
    </row>
    <row r="1531" spans="1:10" x14ac:dyDescent="0.25">
      <c r="A1531" s="93">
        <v>40576</v>
      </c>
      <c r="B1531" s="35">
        <f>C1531+(D1531-2009)*12</f>
        <v>26</v>
      </c>
      <c r="C1531" s="76">
        <v>2</v>
      </c>
      <c r="D1531" s="76">
        <v>2011</v>
      </c>
      <c r="E1531" s="56">
        <v>0</v>
      </c>
      <c r="F1531" s="53">
        <f>IF(E1531&gt;0,1,0)</f>
        <v>0</v>
      </c>
      <c r="G1531" s="53">
        <f>SUM(F1530:F1531)</f>
        <v>1</v>
      </c>
      <c r="H1531" s="53">
        <f>IF(G1531=1,IF(F1530=1,1,-1),G1531)</f>
        <v>1</v>
      </c>
      <c r="I1531" s="53" t="str">
        <f>VLOOKUP(H1531,codes,2,)</f>
        <v>wd</v>
      </c>
      <c r="J1531" s="53"/>
    </row>
    <row r="1532" spans="1:10" x14ac:dyDescent="0.25">
      <c r="A1532" s="93">
        <v>40577</v>
      </c>
      <c r="B1532" s="35">
        <f>C1532+(D1532-2009)*12</f>
        <v>26</v>
      </c>
      <c r="C1532" s="76">
        <v>2</v>
      </c>
      <c r="D1532" s="76">
        <v>2011</v>
      </c>
      <c r="E1532" s="56">
        <v>0.6</v>
      </c>
      <c r="F1532" s="53">
        <f>IF(E1532&gt;0,1,0)</f>
        <v>1</v>
      </c>
      <c r="G1532" s="53">
        <f>SUM(F1531:F1532)</f>
        <v>1</v>
      </c>
      <c r="H1532" s="53">
        <f>IF(G1532=1,IF(F1531=1,1,-1),G1532)</f>
        <v>-1</v>
      </c>
      <c r="I1532" s="53" t="str">
        <f>VLOOKUP(H1532,codes,2,)</f>
        <v>dw</v>
      </c>
      <c r="J1532" s="53"/>
    </row>
    <row r="1533" spans="1:10" x14ac:dyDescent="0.25">
      <c r="A1533" s="93">
        <v>40578</v>
      </c>
      <c r="B1533" s="35">
        <f>C1533+(D1533-2009)*12</f>
        <v>26</v>
      </c>
      <c r="C1533" s="76">
        <v>2</v>
      </c>
      <c r="D1533" s="76">
        <v>2011</v>
      </c>
      <c r="E1533" s="56">
        <v>4.666666666666667</v>
      </c>
      <c r="F1533" s="53">
        <f>IF(E1533&gt;0,1,0)</f>
        <v>1</v>
      </c>
      <c r="G1533" s="53">
        <f>SUM(F1532:F1533)</f>
        <v>2</v>
      </c>
      <c r="H1533" s="53">
        <f>IF(G1533=1,IF(F1532=1,1,-1),G1533)</f>
        <v>2</v>
      </c>
      <c r="I1533" s="53" t="str">
        <f>VLOOKUP(H1533,codes,2,)</f>
        <v>ww</v>
      </c>
      <c r="J1533" s="53"/>
    </row>
    <row r="1534" spans="1:10" x14ac:dyDescent="0.25">
      <c r="A1534" s="93">
        <v>40579</v>
      </c>
      <c r="B1534" s="35">
        <f>C1534+(D1534-2009)*12</f>
        <v>26</v>
      </c>
      <c r="C1534" s="76">
        <v>2</v>
      </c>
      <c r="D1534" s="76">
        <v>2011</v>
      </c>
      <c r="E1534" s="56">
        <v>3</v>
      </c>
      <c r="F1534" s="53">
        <f>IF(E1534&gt;0,1,0)</f>
        <v>1</v>
      </c>
      <c r="G1534" s="53">
        <f>SUM(F1533:F1534)</f>
        <v>2</v>
      </c>
      <c r="H1534" s="53">
        <f>IF(G1534=1,IF(F1533=1,1,-1),G1534)</f>
        <v>2</v>
      </c>
      <c r="I1534" s="53" t="str">
        <f>VLOOKUP(H1534,codes,2,)</f>
        <v>ww</v>
      </c>
      <c r="J1534" s="53"/>
    </row>
    <row r="1535" spans="1:10" x14ac:dyDescent="0.25">
      <c r="A1535" s="93">
        <v>40580</v>
      </c>
      <c r="B1535" s="35">
        <f>C1535+(D1535-2009)*12</f>
        <v>26</v>
      </c>
      <c r="C1535" s="76">
        <v>2</v>
      </c>
      <c r="D1535" s="76">
        <v>2011</v>
      </c>
      <c r="E1535" s="56">
        <v>2.7333333333333329</v>
      </c>
      <c r="F1535" s="53">
        <f>IF(E1535&gt;0,1,0)</f>
        <v>1</v>
      </c>
      <c r="G1535" s="53">
        <f>SUM(F1534:F1535)</f>
        <v>2</v>
      </c>
      <c r="H1535" s="53">
        <f>IF(G1535=1,IF(F1534=1,1,-1),G1535)</f>
        <v>2</v>
      </c>
      <c r="I1535" s="53" t="str">
        <f>VLOOKUP(H1535,codes,2,)</f>
        <v>ww</v>
      </c>
      <c r="J1535" s="53"/>
    </row>
    <row r="1536" spans="1:10" x14ac:dyDescent="0.25">
      <c r="A1536" s="93">
        <v>40581</v>
      </c>
      <c r="B1536" s="35">
        <f>C1536+(D1536-2009)*12</f>
        <v>26</v>
      </c>
      <c r="C1536" s="76">
        <v>2</v>
      </c>
      <c r="D1536" s="76">
        <v>2011</v>
      </c>
      <c r="E1536" s="56">
        <v>10.6</v>
      </c>
      <c r="F1536" s="53">
        <f>IF(E1536&gt;0,1,0)</f>
        <v>1</v>
      </c>
      <c r="G1536" s="53">
        <f>SUM(F1535:F1536)</f>
        <v>2</v>
      </c>
      <c r="H1536" s="53">
        <f>IF(G1536=1,IF(F1535=1,1,-1),G1536)</f>
        <v>2</v>
      </c>
      <c r="I1536" s="53" t="str">
        <f>VLOOKUP(H1536,codes,2,)</f>
        <v>ww</v>
      </c>
      <c r="J1536" s="53"/>
    </row>
    <row r="1537" spans="1:10" x14ac:dyDescent="0.25">
      <c r="A1537" s="93">
        <v>40582</v>
      </c>
      <c r="B1537" s="35">
        <f>C1537+(D1537-2009)*12</f>
        <v>26</v>
      </c>
      <c r="C1537" s="76">
        <v>2</v>
      </c>
      <c r="D1537" s="76">
        <v>2011</v>
      </c>
      <c r="E1537" s="56">
        <v>0.20000000000000004</v>
      </c>
      <c r="F1537" s="53">
        <f>IF(E1537&gt;0,1,0)</f>
        <v>1</v>
      </c>
      <c r="G1537" s="53">
        <f>SUM(F1536:F1537)</f>
        <v>2</v>
      </c>
      <c r="H1537" s="53">
        <f>IF(G1537=1,IF(F1536=1,1,-1),G1537)</f>
        <v>2</v>
      </c>
      <c r="I1537" s="53" t="str">
        <f>VLOOKUP(H1537,codes,2,)</f>
        <v>ww</v>
      </c>
      <c r="J1537" s="53"/>
    </row>
    <row r="1538" spans="1:10" x14ac:dyDescent="0.25">
      <c r="A1538" s="93">
        <v>40583</v>
      </c>
      <c r="B1538" s="35">
        <f>C1538+(D1538-2009)*12</f>
        <v>26</v>
      </c>
      <c r="C1538" s="76">
        <v>2</v>
      </c>
      <c r="D1538" s="76">
        <v>2011</v>
      </c>
      <c r="E1538" s="56">
        <v>4.6000000000000005</v>
      </c>
      <c r="F1538" s="53">
        <f>IF(E1538&gt;0,1,0)</f>
        <v>1</v>
      </c>
      <c r="G1538" s="53">
        <f>SUM(F1537:F1538)</f>
        <v>2</v>
      </c>
      <c r="H1538" s="53">
        <f>IF(G1538=1,IF(F1537=1,1,-1),G1538)</f>
        <v>2</v>
      </c>
      <c r="I1538" s="53" t="str">
        <f>VLOOKUP(H1538,codes,2,)</f>
        <v>ww</v>
      </c>
      <c r="J1538" s="53"/>
    </row>
    <row r="1539" spans="1:10" x14ac:dyDescent="0.25">
      <c r="A1539" s="93">
        <v>40584</v>
      </c>
      <c r="B1539" s="35">
        <f>C1539+(D1539-2009)*12</f>
        <v>26</v>
      </c>
      <c r="C1539" s="76">
        <v>2</v>
      </c>
      <c r="D1539" s="76">
        <v>2011</v>
      </c>
      <c r="E1539" s="56">
        <v>0</v>
      </c>
      <c r="F1539" s="53">
        <f>IF(E1539&gt;0,1,0)</f>
        <v>0</v>
      </c>
      <c r="G1539" s="53">
        <f>SUM(F1538:F1539)</f>
        <v>1</v>
      </c>
      <c r="H1539" s="53">
        <f>IF(G1539=1,IF(F1538=1,1,-1),G1539)</f>
        <v>1</v>
      </c>
      <c r="I1539" s="53" t="str">
        <f>VLOOKUP(H1539,codes,2,)</f>
        <v>wd</v>
      </c>
      <c r="J1539" s="53"/>
    </row>
    <row r="1540" spans="1:10" x14ac:dyDescent="0.25">
      <c r="A1540" s="93">
        <v>40585</v>
      </c>
      <c r="B1540" s="35">
        <f>C1540+(D1540-2009)*12</f>
        <v>26</v>
      </c>
      <c r="C1540" s="76">
        <v>2</v>
      </c>
      <c r="D1540" s="76">
        <v>2011</v>
      </c>
      <c r="E1540" s="56">
        <v>0.13333333333333333</v>
      </c>
      <c r="F1540" s="53">
        <f>IF(E1540&gt;0,1,0)</f>
        <v>1</v>
      </c>
      <c r="G1540" s="53">
        <f>SUM(F1539:F1540)</f>
        <v>1</v>
      </c>
      <c r="H1540" s="53">
        <f>IF(G1540=1,IF(F1539=1,1,-1),G1540)</f>
        <v>-1</v>
      </c>
      <c r="I1540" s="53" t="str">
        <f>VLOOKUP(H1540,codes,2,)</f>
        <v>dw</v>
      </c>
      <c r="J1540" s="53"/>
    </row>
    <row r="1541" spans="1:10" x14ac:dyDescent="0.25">
      <c r="A1541" s="93">
        <v>40586</v>
      </c>
      <c r="B1541" s="35">
        <f>C1541+(D1541-2009)*12</f>
        <v>26</v>
      </c>
      <c r="C1541" s="76">
        <v>2</v>
      </c>
      <c r="D1541" s="76">
        <v>2011</v>
      </c>
      <c r="E1541" s="56">
        <v>6.4666666666666659</v>
      </c>
      <c r="F1541" s="53">
        <f>IF(E1541&gt;0,1,0)</f>
        <v>1</v>
      </c>
      <c r="G1541" s="53">
        <f>SUM(F1540:F1541)</f>
        <v>2</v>
      </c>
      <c r="H1541" s="53">
        <f>IF(G1541=1,IF(F1540=1,1,-1),G1541)</f>
        <v>2</v>
      </c>
      <c r="I1541" s="53" t="str">
        <f>VLOOKUP(H1541,codes,2,)</f>
        <v>ww</v>
      </c>
      <c r="J1541" s="53"/>
    </row>
    <row r="1542" spans="1:10" x14ac:dyDescent="0.25">
      <c r="A1542" s="93">
        <v>40587</v>
      </c>
      <c r="B1542" s="35">
        <f>C1542+(D1542-2009)*12</f>
        <v>26</v>
      </c>
      <c r="C1542" s="76">
        <v>2</v>
      </c>
      <c r="D1542" s="76">
        <v>2011</v>
      </c>
      <c r="E1542" s="56">
        <v>0</v>
      </c>
      <c r="F1542" s="53">
        <f>IF(E1542&gt;0,1,0)</f>
        <v>0</v>
      </c>
      <c r="G1542" s="53">
        <f>SUM(F1541:F1542)</f>
        <v>1</v>
      </c>
      <c r="H1542" s="53">
        <f>IF(G1542=1,IF(F1541=1,1,-1),G1542)</f>
        <v>1</v>
      </c>
      <c r="I1542" s="53" t="str">
        <f>VLOOKUP(H1542,codes,2,)</f>
        <v>wd</v>
      </c>
      <c r="J1542" s="53"/>
    </row>
    <row r="1543" spans="1:10" x14ac:dyDescent="0.25">
      <c r="A1543" s="93">
        <v>40588</v>
      </c>
      <c r="B1543" s="35">
        <f>C1543+(D1543-2009)*12</f>
        <v>26</v>
      </c>
      <c r="C1543" s="76">
        <v>2</v>
      </c>
      <c r="D1543" s="76">
        <v>2011</v>
      </c>
      <c r="E1543" s="56">
        <v>4.5333333333333332</v>
      </c>
      <c r="F1543" s="53">
        <f>IF(E1543&gt;0,1,0)</f>
        <v>1</v>
      </c>
      <c r="G1543" s="53">
        <f>SUM(F1542:F1543)</f>
        <v>1</v>
      </c>
      <c r="H1543" s="53">
        <f>IF(G1543=1,IF(F1542=1,1,-1),G1543)</f>
        <v>-1</v>
      </c>
      <c r="I1543" s="53" t="str">
        <f>VLOOKUP(H1543,codes,2,)</f>
        <v>dw</v>
      </c>
      <c r="J1543" s="53"/>
    </row>
    <row r="1544" spans="1:10" x14ac:dyDescent="0.25">
      <c r="A1544" s="93">
        <v>40589</v>
      </c>
      <c r="B1544" s="35">
        <f>C1544+(D1544-2009)*12</f>
        <v>26</v>
      </c>
      <c r="C1544" s="76">
        <v>2</v>
      </c>
      <c r="D1544" s="76">
        <v>2011</v>
      </c>
      <c r="E1544" s="56">
        <v>0.20000000000000004</v>
      </c>
      <c r="F1544" s="53">
        <f>IF(E1544&gt;0,1,0)</f>
        <v>1</v>
      </c>
      <c r="G1544" s="53">
        <f>SUM(F1543:F1544)</f>
        <v>2</v>
      </c>
      <c r="H1544" s="53">
        <f>IF(G1544=1,IF(F1543=1,1,-1),G1544)</f>
        <v>2</v>
      </c>
      <c r="I1544" s="53" t="str">
        <f>VLOOKUP(H1544,codes,2,)</f>
        <v>ww</v>
      </c>
      <c r="J1544" s="53"/>
    </row>
    <row r="1545" spans="1:10" x14ac:dyDescent="0.25">
      <c r="A1545" s="93">
        <v>40590</v>
      </c>
      <c r="B1545" s="35">
        <f>C1545+(D1545-2009)*12</f>
        <v>26</v>
      </c>
      <c r="C1545" s="76">
        <v>2</v>
      </c>
      <c r="D1545" s="76">
        <v>2011</v>
      </c>
      <c r="E1545" s="56">
        <v>5.666666666666667</v>
      </c>
      <c r="F1545" s="53">
        <f>IF(E1545&gt;0,1,0)</f>
        <v>1</v>
      </c>
      <c r="G1545" s="53">
        <f>SUM(F1544:F1545)</f>
        <v>2</v>
      </c>
      <c r="H1545" s="53">
        <f>IF(G1545=1,IF(F1544=1,1,-1),G1545)</f>
        <v>2</v>
      </c>
      <c r="I1545" s="53" t="str">
        <f>VLOOKUP(H1545,codes,2,)</f>
        <v>ww</v>
      </c>
      <c r="J1545" s="53"/>
    </row>
    <row r="1546" spans="1:10" x14ac:dyDescent="0.25">
      <c r="A1546" s="93">
        <v>40591</v>
      </c>
      <c r="B1546" s="35">
        <f>C1546+(D1546-2009)*12</f>
        <v>26</v>
      </c>
      <c r="C1546" s="76">
        <v>2</v>
      </c>
      <c r="D1546" s="76">
        <v>2011</v>
      </c>
      <c r="E1546" s="56">
        <v>0</v>
      </c>
      <c r="F1546" s="53">
        <f>IF(E1546&gt;0,1,0)</f>
        <v>0</v>
      </c>
      <c r="G1546" s="53">
        <f>SUM(F1545:F1546)</f>
        <v>1</v>
      </c>
      <c r="H1546" s="53">
        <f>IF(G1546=1,IF(F1545=1,1,-1),G1546)</f>
        <v>1</v>
      </c>
      <c r="I1546" s="53" t="str">
        <f>VLOOKUP(H1546,codes,2,)</f>
        <v>wd</v>
      </c>
      <c r="J1546" s="53"/>
    </row>
    <row r="1547" spans="1:10" x14ac:dyDescent="0.25">
      <c r="A1547" s="93">
        <v>40592</v>
      </c>
      <c r="B1547" s="35">
        <f>C1547+(D1547-2009)*12</f>
        <v>26</v>
      </c>
      <c r="C1547" s="76">
        <v>2</v>
      </c>
      <c r="D1547" s="76">
        <v>2011</v>
      </c>
      <c r="E1547" s="56">
        <v>0</v>
      </c>
      <c r="F1547" s="53">
        <f>IF(E1547&gt;0,1,0)</f>
        <v>0</v>
      </c>
      <c r="G1547" s="53">
        <f>SUM(F1546:F1547)</f>
        <v>0</v>
      </c>
      <c r="H1547" s="53">
        <f>IF(G1547=1,IF(F1546=1,1,-1),G1547)</f>
        <v>0</v>
      </c>
      <c r="I1547" s="53" t="str">
        <f>VLOOKUP(H1547,codes,2,)</f>
        <v>dd</v>
      </c>
      <c r="J1547" s="53"/>
    </row>
    <row r="1548" spans="1:10" x14ac:dyDescent="0.25">
      <c r="A1548" s="93">
        <v>40593</v>
      </c>
      <c r="B1548" s="35">
        <f>C1548+(D1548-2009)*12</f>
        <v>26</v>
      </c>
      <c r="C1548" s="76">
        <v>2</v>
      </c>
      <c r="D1548" s="76">
        <v>2011</v>
      </c>
      <c r="E1548" s="56">
        <v>1.7333333333333334</v>
      </c>
      <c r="F1548" s="53">
        <f>IF(E1548&gt;0,1,0)</f>
        <v>1</v>
      </c>
      <c r="G1548" s="53">
        <f>SUM(F1547:F1548)</f>
        <v>1</v>
      </c>
      <c r="H1548" s="53">
        <f>IF(G1548=1,IF(F1547=1,1,-1),G1548)</f>
        <v>-1</v>
      </c>
      <c r="I1548" s="53" t="str">
        <f>VLOOKUP(H1548,codes,2,)</f>
        <v>dw</v>
      </c>
      <c r="J1548" s="53"/>
    </row>
    <row r="1549" spans="1:10" x14ac:dyDescent="0.25">
      <c r="A1549" s="93">
        <v>40594</v>
      </c>
      <c r="B1549" s="35">
        <f>C1549+(D1549-2009)*12</f>
        <v>26</v>
      </c>
      <c r="C1549" s="76">
        <v>2</v>
      </c>
      <c r="D1549" s="76">
        <v>2011</v>
      </c>
      <c r="E1549" s="56">
        <v>2.2666666666666666</v>
      </c>
      <c r="F1549" s="53">
        <f>IF(E1549&gt;0,1,0)</f>
        <v>1</v>
      </c>
      <c r="G1549" s="53">
        <f>SUM(F1548:F1549)</f>
        <v>2</v>
      </c>
      <c r="H1549" s="53">
        <f>IF(G1549=1,IF(F1548=1,1,-1),G1549)</f>
        <v>2</v>
      </c>
      <c r="I1549" s="53" t="str">
        <f>VLOOKUP(H1549,codes,2,)</f>
        <v>ww</v>
      </c>
      <c r="J1549" s="53"/>
    </row>
    <row r="1550" spans="1:10" x14ac:dyDescent="0.25">
      <c r="A1550" s="93">
        <v>40595</v>
      </c>
      <c r="B1550" s="35">
        <f>C1550+(D1550-2009)*12</f>
        <v>26</v>
      </c>
      <c r="C1550" s="76">
        <v>2</v>
      </c>
      <c r="D1550" s="76">
        <v>2011</v>
      </c>
      <c r="E1550" s="56">
        <v>0</v>
      </c>
      <c r="F1550" s="53">
        <f>IF(E1550&gt;0,1,0)</f>
        <v>0</v>
      </c>
      <c r="G1550" s="53">
        <f>SUM(F1549:F1550)</f>
        <v>1</v>
      </c>
      <c r="H1550" s="53">
        <f>IF(G1550=1,IF(F1549=1,1,-1),G1550)</f>
        <v>1</v>
      </c>
      <c r="I1550" s="53" t="str">
        <f>VLOOKUP(H1550,codes,2,)</f>
        <v>wd</v>
      </c>
      <c r="J1550" s="53"/>
    </row>
    <row r="1551" spans="1:10" x14ac:dyDescent="0.25">
      <c r="A1551" s="93">
        <v>40596</v>
      </c>
      <c r="B1551" s="35">
        <f>C1551+(D1551-2009)*12</f>
        <v>26</v>
      </c>
      <c r="C1551" s="76">
        <v>2</v>
      </c>
      <c r="D1551" s="76">
        <v>2011</v>
      </c>
      <c r="E1551" s="56">
        <v>0.79999999999999993</v>
      </c>
      <c r="F1551" s="53">
        <f>IF(E1551&gt;0,1,0)</f>
        <v>1</v>
      </c>
      <c r="G1551" s="53">
        <f>SUM(F1550:F1551)</f>
        <v>1</v>
      </c>
      <c r="H1551" s="53">
        <f>IF(G1551=1,IF(F1550=1,1,-1),G1551)</f>
        <v>-1</v>
      </c>
      <c r="I1551" s="53" t="str">
        <f>VLOOKUP(H1551,codes,2,)</f>
        <v>dw</v>
      </c>
      <c r="J1551" s="53"/>
    </row>
    <row r="1552" spans="1:10" x14ac:dyDescent="0.25">
      <c r="A1552" s="93">
        <v>40597</v>
      </c>
      <c r="B1552" s="35">
        <f>C1552+(D1552-2009)*12</f>
        <v>26</v>
      </c>
      <c r="C1552" s="76">
        <v>2</v>
      </c>
      <c r="D1552" s="76">
        <v>2011</v>
      </c>
      <c r="E1552" s="56">
        <v>4.5333333333333341</v>
      </c>
      <c r="F1552" s="53">
        <f>IF(E1552&gt;0,1,0)</f>
        <v>1</v>
      </c>
      <c r="G1552" s="53">
        <f>SUM(F1551:F1552)</f>
        <v>2</v>
      </c>
      <c r="H1552" s="53">
        <f>IF(G1552=1,IF(F1551=1,1,-1),G1552)</f>
        <v>2</v>
      </c>
      <c r="I1552" s="53" t="str">
        <f>VLOOKUP(H1552,codes,2,)</f>
        <v>ww</v>
      </c>
      <c r="J1552" s="53"/>
    </row>
    <row r="1553" spans="1:10" x14ac:dyDescent="0.25">
      <c r="A1553" s="93">
        <v>40598</v>
      </c>
      <c r="B1553" s="35">
        <f>C1553+(D1553-2009)*12</f>
        <v>26</v>
      </c>
      <c r="C1553" s="76">
        <v>2</v>
      </c>
      <c r="D1553" s="76">
        <v>2011</v>
      </c>
      <c r="E1553" s="56">
        <v>0.26666666666666666</v>
      </c>
      <c r="F1553" s="53">
        <f>IF(E1553&gt;0,1,0)</f>
        <v>1</v>
      </c>
      <c r="G1553" s="53">
        <f>SUM(F1552:F1553)</f>
        <v>2</v>
      </c>
      <c r="H1553" s="53">
        <f>IF(G1553=1,IF(F1552=1,1,-1),G1553)</f>
        <v>2</v>
      </c>
      <c r="I1553" s="53" t="str">
        <f>VLOOKUP(H1553,codes,2,)</f>
        <v>ww</v>
      </c>
      <c r="J1553" s="53"/>
    </row>
    <row r="1554" spans="1:10" x14ac:dyDescent="0.25">
      <c r="A1554" s="93">
        <v>40599</v>
      </c>
      <c r="B1554" s="35">
        <f>C1554+(D1554-2009)*12</f>
        <v>26</v>
      </c>
      <c r="C1554" s="76">
        <v>2</v>
      </c>
      <c r="D1554" s="76">
        <v>2011</v>
      </c>
      <c r="E1554" s="56">
        <v>0</v>
      </c>
      <c r="F1554" s="53">
        <f>IF(E1554&gt;0,1,0)</f>
        <v>0</v>
      </c>
      <c r="G1554" s="53">
        <f>SUM(F1553:F1554)</f>
        <v>1</v>
      </c>
      <c r="H1554" s="53">
        <f>IF(G1554=1,IF(F1553=1,1,-1),G1554)</f>
        <v>1</v>
      </c>
      <c r="I1554" s="53" t="str">
        <f>VLOOKUP(H1554,codes,2,)</f>
        <v>wd</v>
      </c>
      <c r="J1554" s="53"/>
    </row>
    <row r="1555" spans="1:10" x14ac:dyDescent="0.25">
      <c r="A1555" s="93">
        <v>40600</v>
      </c>
      <c r="B1555" s="35">
        <f>C1555+(D1555-2009)*12</f>
        <v>26</v>
      </c>
      <c r="C1555" s="76">
        <v>2</v>
      </c>
      <c r="D1555" s="76">
        <v>2011</v>
      </c>
      <c r="E1555" s="56">
        <v>1.5333333333333332</v>
      </c>
      <c r="F1555" s="53">
        <f>IF(E1555&gt;0,1,0)</f>
        <v>1</v>
      </c>
      <c r="G1555" s="53">
        <f>SUM(F1554:F1555)</f>
        <v>1</v>
      </c>
      <c r="H1555" s="53">
        <f>IF(G1555=1,IF(F1554=1,1,-1),G1555)</f>
        <v>-1</v>
      </c>
      <c r="I1555" s="53" t="str">
        <f>VLOOKUP(H1555,codes,2,)</f>
        <v>dw</v>
      </c>
      <c r="J1555" s="53"/>
    </row>
    <row r="1556" spans="1:10" x14ac:dyDescent="0.25">
      <c r="A1556" s="93">
        <v>40601</v>
      </c>
      <c r="B1556" s="35">
        <f>C1556+(D1556-2009)*12</f>
        <v>26</v>
      </c>
      <c r="C1556" s="76">
        <v>2</v>
      </c>
      <c r="D1556" s="76">
        <v>2011</v>
      </c>
      <c r="E1556" s="56">
        <v>1.3333333333333333</v>
      </c>
      <c r="F1556" s="53">
        <f>IF(E1556&gt;0,1,0)</f>
        <v>1</v>
      </c>
      <c r="G1556" s="53">
        <f>SUM(F1555:F1556)</f>
        <v>2</v>
      </c>
      <c r="H1556" s="53">
        <f>IF(G1556=1,IF(F1555=1,1,-1),G1556)</f>
        <v>2</v>
      </c>
      <c r="I1556" s="53" t="str">
        <f>VLOOKUP(H1556,codes,2,)</f>
        <v>ww</v>
      </c>
      <c r="J1556" s="53"/>
    </row>
    <row r="1557" spans="1:10" x14ac:dyDescent="0.25">
      <c r="A1557" s="93">
        <v>40602</v>
      </c>
      <c r="B1557" s="35">
        <f>C1557+(D1557-2009)*12</f>
        <v>26</v>
      </c>
      <c r="C1557" s="76">
        <v>2</v>
      </c>
      <c r="D1557" s="76">
        <v>2011</v>
      </c>
      <c r="E1557" s="56">
        <v>0.33333333333333331</v>
      </c>
      <c r="F1557" s="53">
        <f>IF(E1557&gt;0,1,0)</f>
        <v>1</v>
      </c>
      <c r="G1557" s="53">
        <f>SUM(F1556:F1557)</f>
        <v>2</v>
      </c>
      <c r="H1557" s="53">
        <f>IF(G1557=1,IF(F1556=1,1,-1),G1557)</f>
        <v>2</v>
      </c>
      <c r="I1557" s="53" t="str">
        <f>VLOOKUP(H1557,codes,2,)</f>
        <v>ww</v>
      </c>
      <c r="J1557" s="53"/>
    </row>
    <row r="1558" spans="1:10" x14ac:dyDescent="0.25">
      <c r="A1558" s="93">
        <v>40603</v>
      </c>
      <c r="B1558" s="35">
        <f>C1558+(D1558-2009)*12</f>
        <v>26</v>
      </c>
      <c r="C1558" s="76">
        <v>2</v>
      </c>
      <c r="D1558" s="76">
        <v>2011</v>
      </c>
      <c r="E1558" s="56">
        <v>6.6666666666666666E-2</v>
      </c>
      <c r="F1558" s="53">
        <f>IF(E1558&gt;0,1,0)</f>
        <v>1</v>
      </c>
      <c r="G1558" s="53">
        <f>SUM(F1557:F1558)</f>
        <v>2</v>
      </c>
      <c r="H1558" s="53">
        <f>IF(G1558=1,IF(F1557=1,1,-1),G1558)</f>
        <v>2</v>
      </c>
      <c r="I1558" s="53" t="str">
        <f>VLOOKUP(H1558,codes,2,)</f>
        <v>ww</v>
      </c>
      <c r="J1558" s="53"/>
    </row>
    <row r="1559" spans="1:10" x14ac:dyDescent="0.25">
      <c r="A1559" s="93">
        <v>40941</v>
      </c>
      <c r="B1559" s="35">
        <f>C1559+(D1559-2009)*12</f>
        <v>38</v>
      </c>
      <c r="C1559" s="76">
        <v>2</v>
      </c>
      <c r="D1559" s="76">
        <v>2012</v>
      </c>
      <c r="E1559" s="56">
        <v>0</v>
      </c>
      <c r="F1559" s="53">
        <f>IF(E1559&gt;0,1,0)</f>
        <v>0</v>
      </c>
      <c r="G1559" s="53">
        <f>SUM(F1558:F1559)</f>
        <v>1</v>
      </c>
      <c r="H1559" s="53">
        <f>IF(G1559=1,IF(F1558=1,1,-1),G1559)</f>
        <v>1</v>
      </c>
      <c r="I1559" s="53" t="str">
        <f>VLOOKUP(H1559,codes,2,)</f>
        <v>wd</v>
      </c>
      <c r="J1559" s="53"/>
    </row>
    <row r="1560" spans="1:10" x14ac:dyDescent="0.25">
      <c r="A1560" s="93">
        <v>40942</v>
      </c>
      <c r="B1560" s="35">
        <f>C1560+(D1560-2009)*12</f>
        <v>38</v>
      </c>
      <c r="C1560" s="76">
        <v>2</v>
      </c>
      <c r="D1560" s="76">
        <v>2012</v>
      </c>
      <c r="E1560" s="56">
        <v>0</v>
      </c>
      <c r="F1560" s="53">
        <f>IF(E1560&gt;0,1,0)</f>
        <v>0</v>
      </c>
      <c r="G1560" s="53">
        <f>SUM(F1559:F1560)</f>
        <v>0</v>
      </c>
      <c r="H1560" s="53">
        <f>IF(G1560=1,IF(F1559=1,1,-1),G1560)</f>
        <v>0</v>
      </c>
      <c r="I1560" s="53" t="str">
        <f>VLOOKUP(H1560,codes,2,)</f>
        <v>dd</v>
      </c>
      <c r="J1560" s="53"/>
    </row>
    <row r="1561" spans="1:10" x14ac:dyDescent="0.25">
      <c r="A1561" s="93">
        <v>40943</v>
      </c>
      <c r="B1561" s="35">
        <f>C1561+(D1561-2009)*12</f>
        <v>38</v>
      </c>
      <c r="C1561" s="76">
        <v>2</v>
      </c>
      <c r="D1561" s="76">
        <v>2012</v>
      </c>
      <c r="E1561" s="56">
        <v>0</v>
      </c>
      <c r="F1561" s="53">
        <f>IF(E1561&gt;0,1,0)</f>
        <v>0</v>
      </c>
      <c r="G1561" s="53">
        <f>SUM(F1560:F1561)</f>
        <v>0</v>
      </c>
      <c r="H1561" s="53">
        <f>IF(G1561=1,IF(F1560=1,1,-1),G1561)</f>
        <v>0</v>
      </c>
      <c r="I1561" s="53" t="str">
        <f>VLOOKUP(H1561,codes,2,)</f>
        <v>dd</v>
      </c>
      <c r="J1561" s="53"/>
    </row>
    <row r="1562" spans="1:10" x14ac:dyDescent="0.25">
      <c r="A1562" s="93">
        <v>40944</v>
      </c>
      <c r="B1562" s="35">
        <f>C1562+(D1562-2009)*12</f>
        <v>38</v>
      </c>
      <c r="C1562" s="76">
        <v>2</v>
      </c>
      <c r="D1562" s="76">
        <v>2012</v>
      </c>
      <c r="E1562" s="56">
        <v>3.2666666666666671</v>
      </c>
      <c r="F1562" s="53">
        <f>IF(E1562&gt;0,1,0)</f>
        <v>1</v>
      </c>
      <c r="G1562" s="53">
        <f>SUM(F1561:F1562)</f>
        <v>1</v>
      </c>
      <c r="H1562" s="53">
        <f>IF(G1562=1,IF(F1561=1,1,-1),G1562)</f>
        <v>-1</v>
      </c>
      <c r="I1562" s="53" t="str">
        <f>VLOOKUP(H1562,codes,2,)</f>
        <v>dw</v>
      </c>
      <c r="J1562" s="53"/>
    </row>
    <row r="1563" spans="1:10" x14ac:dyDescent="0.25">
      <c r="A1563" s="93">
        <v>40945</v>
      </c>
      <c r="B1563" s="35">
        <f>C1563+(D1563-2009)*12</f>
        <v>38</v>
      </c>
      <c r="C1563" s="76">
        <v>2</v>
      </c>
      <c r="D1563" s="76">
        <v>2012</v>
      </c>
      <c r="E1563" s="56">
        <v>0.93333333333333324</v>
      </c>
      <c r="F1563" s="53">
        <f>IF(E1563&gt;0,1,0)</f>
        <v>1</v>
      </c>
      <c r="G1563" s="53">
        <f>SUM(F1562:F1563)</f>
        <v>2</v>
      </c>
      <c r="H1563" s="53">
        <f>IF(G1563=1,IF(F1562=1,1,-1),G1563)</f>
        <v>2</v>
      </c>
      <c r="I1563" s="53" t="str">
        <f>VLOOKUP(H1563,codes,2,)</f>
        <v>ww</v>
      </c>
      <c r="J1563" s="53"/>
    </row>
    <row r="1564" spans="1:10" x14ac:dyDescent="0.25">
      <c r="A1564" s="93">
        <v>40946</v>
      </c>
      <c r="B1564" s="35">
        <f>C1564+(D1564-2009)*12</f>
        <v>38</v>
      </c>
      <c r="C1564" s="76">
        <v>2</v>
      </c>
      <c r="D1564" s="76">
        <v>2012</v>
      </c>
      <c r="E1564" s="56">
        <v>0.26666666666666666</v>
      </c>
      <c r="F1564" s="53">
        <f>IF(E1564&gt;0,1,0)</f>
        <v>1</v>
      </c>
      <c r="G1564" s="53">
        <f>SUM(F1563:F1564)</f>
        <v>2</v>
      </c>
      <c r="H1564" s="53">
        <f>IF(G1564=1,IF(F1563=1,1,-1),G1564)</f>
        <v>2</v>
      </c>
      <c r="I1564" s="53" t="str">
        <f>VLOOKUP(H1564,codes,2,)</f>
        <v>ww</v>
      </c>
      <c r="J1564" s="53"/>
    </row>
    <row r="1565" spans="1:10" x14ac:dyDescent="0.25">
      <c r="A1565" s="93">
        <v>40947</v>
      </c>
      <c r="B1565" s="35">
        <f>C1565+(D1565-2009)*12</f>
        <v>38</v>
      </c>
      <c r="C1565" s="76">
        <v>2</v>
      </c>
      <c r="D1565" s="76">
        <v>2012</v>
      </c>
      <c r="E1565" s="56">
        <v>0.13333333333333333</v>
      </c>
      <c r="F1565" s="53">
        <f>IF(E1565&gt;0,1,0)</f>
        <v>1</v>
      </c>
      <c r="G1565" s="53">
        <f>SUM(F1564:F1565)</f>
        <v>2</v>
      </c>
      <c r="H1565" s="53">
        <f>IF(G1565=1,IF(F1564=1,1,-1),G1565)</f>
        <v>2</v>
      </c>
      <c r="I1565" s="53" t="str">
        <f>VLOOKUP(H1565,codes,2,)</f>
        <v>ww</v>
      </c>
      <c r="J1565" s="53"/>
    </row>
    <row r="1566" spans="1:10" x14ac:dyDescent="0.25">
      <c r="A1566" s="93">
        <v>40948</v>
      </c>
      <c r="B1566" s="35">
        <f>C1566+(D1566-2009)*12</f>
        <v>38</v>
      </c>
      <c r="C1566" s="76">
        <v>2</v>
      </c>
      <c r="D1566" s="76">
        <v>2012</v>
      </c>
      <c r="E1566" s="56">
        <v>6.6666666666666666E-2</v>
      </c>
      <c r="F1566" s="53">
        <f>IF(E1566&gt;0,1,0)</f>
        <v>1</v>
      </c>
      <c r="G1566" s="53">
        <f>SUM(F1565:F1566)</f>
        <v>2</v>
      </c>
      <c r="H1566" s="53">
        <f>IF(G1566=1,IF(F1565=1,1,-1),G1566)</f>
        <v>2</v>
      </c>
      <c r="I1566" s="53" t="str">
        <f>VLOOKUP(H1566,codes,2,)</f>
        <v>ww</v>
      </c>
      <c r="J1566" s="53"/>
    </row>
    <row r="1567" spans="1:10" x14ac:dyDescent="0.25">
      <c r="A1567" s="93">
        <v>40949</v>
      </c>
      <c r="B1567" s="35">
        <f>C1567+(D1567-2009)*12</f>
        <v>38</v>
      </c>
      <c r="C1567" s="76">
        <v>2</v>
      </c>
      <c r="D1567" s="76">
        <v>2012</v>
      </c>
      <c r="E1567" s="56">
        <v>4.2666666666666666</v>
      </c>
      <c r="F1567" s="53">
        <f>IF(E1567&gt;0,1,0)</f>
        <v>1</v>
      </c>
      <c r="G1567" s="53">
        <f>SUM(F1566:F1567)</f>
        <v>2</v>
      </c>
      <c r="H1567" s="53">
        <f>IF(G1567=1,IF(F1566=1,1,-1),G1567)</f>
        <v>2</v>
      </c>
      <c r="I1567" s="53" t="str">
        <f>VLOOKUP(H1567,codes,2,)</f>
        <v>ww</v>
      </c>
      <c r="J1567" s="53"/>
    </row>
    <row r="1568" spans="1:10" x14ac:dyDescent="0.25">
      <c r="A1568" s="93">
        <v>40950</v>
      </c>
      <c r="B1568" s="35">
        <f>C1568+(D1568-2009)*12</f>
        <v>38</v>
      </c>
      <c r="C1568" s="76">
        <v>2</v>
      </c>
      <c r="D1568" s="76">
        <v>2012</v>
      </c>
      <c r="E1568" s="56">
        <v>0</v>
      </c>
      <c r="F1568" s="53">
        <f>IF(E1568&gt;0,1,0)</f>
        <v>0</v>
      </c>
      <c r="G1568" s="53">
        <f>SUM(F1567:F1568)</f>
        <v>1</v>
      </c>
      <c r="H1568" s="53">
        <f>IF(G1568=1,IF(F1567=1,1,-1),G1568)</f>
        <v>1</v>
      </c>
      <c r="I1568" s="53" t="str">
        <f>VLOOKUP(H1568,codes,2,)</f>
        <v>wd</v>
      </c>
      <c r="J1568" s="53"/>
    </row>
    <row r="1569" spans="1:10" x14ac:dyDescent="0.25">
      <c r="A1569" s="93">
        <v>40951</v>
      </c>
      <c r="B1569" s="35">
        <f>C1569+(D1569-2009)*12</f>
        <v>38</v>
      </c>
      <c r="C1569" s="76">
        <v>2</v>
      </c>
      <c r="D1569" s="76">
        <v>2012</v>
      </c>
      <c r="E1569" s="56">
        <v>6.6666666666666666E-2</v>
      </c>
      <c r="F1569" s="53">
        <f>IF(E1569&gt;0,1,0)</f>
        <v>1</v>
      </c>
      <c r="G1569" s="53">
        <f>SUM(F1568:F1569)</f>
        <v>1</v>
      </c>
      <c r="H1569" s="53">
        <f>IF(G1569=1,IF(F1568=1,1,-1),G1569)</f>
        <v>-1</v>
      </c>
      <c r="I1569" s="53" t="str">
        <f>VLOOKUP(H1569,codes,2,)</f>
        <v>dw</v>
      </c>
      <c r="J1569" s="53"/>
    </row>
    <row r="1570" spans="1:10" x14ac:dyDescent="0.25">
      <c r="A1570" s="93">
        <v>40952</v>
      </c>
      <c r="B1570" s="35">
        <f>C1570+(D1570-2009)*12</f>
        <v>38</v>
      </c>
      <c r="C1570" s="76">
        <v>2</v>
      </c>
      <c r="D1570" s="76">
        <v>2012</v>
      </c>
      <c r="E1570" s="56">
        <v>0</v>
      </c>
      <c r="F1570" s="53">
        <f>IF(E1570&gt;0,1,0)</f>
        <v>0</v>
      </c>
      <c r="G1570" s="53">
        <f>SUM(F1569:F1570)</f>
        <v>1</v>
      </c>
      <c r="H1570" s="53">
        <f>IF(G1570=1,IF(F1569=1,1,-1),G1570)</f>
        <v>1</v>
      </c>
      <c r="I1570" s="53" t="str">
        <f>VLOOKUP(H1570,codes,2,)</f>
        <v>wd</v>
      </c>
      <c r="J1570" s="53"/>
    </row>
    <row r="1571" spans="1:10" x14ac:dyDescent="0.25">
      <c r="A1571" s="93">
        <v>40953</v>
      </c>
      <c r="B1571" s="35">
        <f>C1571+(D1571-2009)*12</f>
        <v>38</v>
      </c>
      <c r="C1571" s="76">
        <v>2</v>
      </c>
      <c r="D1571" s="76">
        <v>2012</v>
      </c>
      <c r="E1571" s="56">
        <v>0.20000000000000004</v>
      </c>
      <c r="F1571" s="53">
        <f>IF(E1571&gt;0,1,0)</f>
        <v>1</v>
      </c>
      <c r="G1571" s="53">
        <f>SUM(F1570:F1571)</f>
        <v>1</v>
      </c>
      <c r="H1571" s="53">
        <f>IF(G1571=1,IF(F1570=1,1,-1),G1571)</f>
        <v>-1</v>
      </c>
      <c r="I1571" s="53" t="str">
        <f>VLOOKUP(H1571,codes,2,)</f>
        <v>dw</v>
      </c>
      <c r="J1571" s="53"/>
    </row>
    <row r="1572" spans="1:10" x14ac:dyDescent="0.25">
      <c r="A1572" s="93">
        <v>40954</v>
      </c>
      <c r="B1572" s="35">
        <f>C1572+(D1572-2009)*12</f>
        <v>38</v>
      </c>
      <c r="C1572" s="76">
        <v>2</v>
      </c>
      <c r="D1572" s="76">
        <v>2012</v>
      </c>
      <c r="E1572" s="56">
        <v>0</v>
      </c>
      <c r="F1572" s="53">
        <f>IF(E1572&gt;0,1,0)</f>
        <v>0</v>
      </c>
      <c r="G1572" s="53">
        <f>SUM(F1571:F1572)</f>
        <v>1</v>
      </c>
      <c r="H1572" s="53">
        <f>IF(G1572=1,IF(F1571=1,1,-1),G1572)</f>
        <v>1</v>
      </c>
      <c r="I1572" s="53" t="str">
        <f>VLOOKUP(H1572,codes,2,)</f>
        <v>wd</v>
      </c>
      <c r="J1572" s="53"/>
    </row>
    <row r="1573" spans="1:10" x14ac:dyDescent="0.25">
      <c r="A1573" s="93">
        <v>40955</v>
      </c>
      <c r="B1573" s="35">
        <f>C1573+(D1573-2009)*12</f>
        <v>38</v>
      </c>
      <c r="C1573" s="76">
        <v>2</v>
      </c>
      <c r="D1573" s="76">
        <v>2012</v>
      </c>
      <c r="E1573" s="56">
        <v>0</v>
      </c>
      <c r="F1573" s="53">
        <f>IF(E1573&gt;0,1,0)</f>
        <v>0</v>
      </c>
      <c r="G1573" s="53">
        <f>SUM(F1572:F1573)</f>
        <v>0</v>
      </c>
      <c r="H1573" s="53">
        <f>IF(G1573=1,IF(F1572=1,1,-1),G1573)</f>
        <v>0</v>
      </c>
      <c r="I1573" s="53" t="str">
        <f>VLOOKUP(H1573,codes,2,)</f>
        <v>dd</v>
      </c>
      <c r="J1573" s="53"/>
    </row>
    <row r="1574" spans="1:10" x14ac:dyDescent="0.25">
      <c r="A1574" s="93">
        <v>40956</v>
      </c>
      <c r="B1574" s="35">
        <f>C1574+(D1574-2009)*12</f>
        <v>38</v>
      </c>
      <c r="C1574" s="76">
        <v>2</v>
      </c>
      <c r="D1574" s="76">
        <v>2012</v>
      </c>
      <c r="E1574" s="56">
        <v>6.6666666666666666E-2</v>
      </c>
      <c r="F1574" s="53">
        <f>IF(E1574&gt;0,1,0)</f>
        <v>1</v>
      </c>
      <c r="G1574" s="53">
        <f>SUM(F1573:F1574)</f>
        <v>1</v>
      </c>
      <c r="H1574" s="53">
        <f>IF(G1574=1,IF(F1573=1,1,-1),G1574)</f>
        <v>-1</v>
      </c>
      <c r="I1574" s="53" t="str">
        <f>VLOOKUP(H1574,codes,2,)</f>
        <v>dw</v>
      </c>
      <c r="J1574" s="53"/>
    </row>
    <row r="1575" spans="1:10" x14ac:dyDescent="0.25">
      <c r="A1575" s="93">
        <v>40957</v>
      </c>
      <c r="B1575" s="35">
        <f>C1575+(D1575-2009)*12</f>
        <v>38</v>
      </c>
      <c r="C1575" s="76">
        <v>2</v>
      </c>
      <c r="D1575" s="76">
        <v>2012</v>
      </c>
      <c r="E1575" s="56">
        <v>0.26666666666666666</v>
      </c>
      <c r="F1575" s="53">
        <f>IF(E1575&gt;0,1,0)</f>
        <v>1</v>
      </c>
      <c r="G1575" s="53">
        <f>SUM(F1574:F1575)</f>
        <v>2</v>
      </c>
      <c r="H1575" s="53">
        <f>IF(G1575=1,IF(F1574=1,1,-1),G1575)</f>
        <v>2</v>
      </c>
      <c r="I1575" s="53" t="str">
        <f>VLOOKUP(H1575,codes,2,)</f>
        <v>ww</v>
      </c>
      <c r="J1575" s="53"/>
    </row>
    <row r="1576" spans="1:10" x14ac:dyDescent="0.25">
      <c r="A1576" s="93">
        <v>40958</v>
      </c>
      <c r="B1576" s="35">
        <f>C1576+(D1576-2009)*12</f>
        <v>38</v>
      </c>
      <c r="C1576" s="76">
        <v>2</v>
      </c>
      <c r="D1576" s="76">
        <v>2012</v>
      </c>
      <c r="E1576" s="56">
        <v>0.13333333333333333</v>
      </c>
      <c r="F1576" s="53">
        <f>IF(E1576&gt;0,1,0)</f>
        <v>1</v>
      </c>
      <c r="G1576" s="53">
        <f>SUM(F1575:F1576)</f>
        <v>2</v>
      </c>
      <c r="H1576" s="53">
        <f>IF(G1576=1,IF(F1575=1,1,-1),G1576)</f>
        <v>2</v>
      </c>
      <c r="I1576" s="53" t="str">
        <f>VLOOKUP(H1576,codes,2,)</f>
        <v>ww</v>
      </c>
      <c r="J1576" s="53"/>
    </row>
    <row r="1577" spans="1:10" x14ac:dyDescent="0.25">
      <c r="A1577" s="93">
        <v>40959</v>
      </c>
      <c r="B1577" s="35">
        <f>C1577+(D1577-2009)*12</f>
        <v>38</v>
      </c>
      <c r="C1577" s="76">
        <v>2</v>
      </c>
      <c r="D1577" s="76">
        <v>2012</v>
      </c>
      <c r="E1577" s="56">
        <v>0</v>
      </c>
      <c r="F1577" s="53">
        <f>IF(E1577&gt;0,1,0)</f>
        <v>0</v>
      </c>
      <c r="G1577" s="53">
        <f>SUM(F1576:F1577)</f>
        <v>1</v>
      </c>
      <c r="H1577" s="53">
        <f>IF(G1577=1,IF(F1576=1,1,-1),G1577)</f>
        <v>1</v>
      </c>
      <c r="I1577" s="53" t="str">
        <f>VLOOKUP(H1577,codes,2,)</f>
        <v>wd</v>
      </c>
      <c r="J1577" s="53"/>
    </row>
    <row r="1578" spans="1:10" x14ac:dyDescent="0.25">
      <c r="A1578" s="93">
        <v>40960</v>
      </c>
      <c r="B1578" s="35">
        <f>C1578+(D1578-2009)*12</f>
        <v>38</v>
      </c>
      <c r="C1578" s="76">
        <v>2</v>
      </c>
      <c r="D1578" s="76">
        <v>2012</v>
      </c>
      <c r="E1578" s="56">
        <v>0</v>
      </c>
      <c r="F1578" s="53">
        <f>IF(E1578&gt;0,1,0)</f>
        <v>0</v>
      </c>
      <c r="G1578" s="53">
        <f>SUM(F1577:F1578)</f>
        <v>0</v>
      </c>
      <c r="H1578" s="53">
        <f>IF(G1578=1,IF(F1577=1,1,-1),G1578)</f>
        <v>0</v>
      </c>
      <c r="I1578" s="53" t="str">
        <f>VLOOKUP(H1578,codes,2,)</f>
        <v>dd</v>
      </c>
      <c r="J1578" s="53"/>
    </row>
    <row r="1579" spans="1:10" x14ac:dyDescent="0.25">
      <c r="A1579" s="93">
        <v>40961</v>
      </c>
      <c r="B1579" s="35">
        <f>C1579+(D1579-2009)*12</f>
        <v>38</v>
      </c>
      <c r="C1579" s="76">
        <v>2</v>
      </c>
      <c r="D1579" s="76">
        <v>2012</v>
      </c>
      <c r="E1579" s="56">
        <v>0.20000000000000004</v>
      </c>
      <c r="F1579" s="53">
        <f>IF(E1579&gt;0,1,0)</f>
        <v>1</v>
      </c>
      <c r="G1579" s="53">
        <f>SUM(F1578:F1579)</f>
        <v>1</v>
      </c>
      <c r="H1579" s="53">
        <f>IF(G1579=1,IF(F1578=1,1,-1),G1579)</f>
        <v>-1</v>
      </c>
      <c r="I1579" s="53" t="str">
        <f>VLOOKUP(H1579,codes,2,)</f>
        <v>dw</v>
      </c>
      <c r="J1579" s="53"/>
    </row>
    <row r="1580" spans="1:10" x14ac:dyDescent="0.25">
      <c r="A1580" s="93">
        <v>40962</v>
      </c>
      <c r="B1580" s="35">
        <f>C1580+(D1580-2009)*12</f>
        <v>38</v>
      </c>
      <c r="C1580" s="76">
        <v>2</v>
      </c>
      <c r="D1580" s="76">
        <v>2012</v>
      </c>
      <c r="E1580" s="56">
        <v>6.6666666666666666E-2</v>
      </c>
      <c r="F1580" s="53">
        <f>IF(E1580&gt;0,1,0)</f>
        <v>1</v>
      </c>
      <c r="G1580" s="53">
        <f>SUM(F1579:F1580)</f>
        <v>2</v>
      </c>
      <c r="H1580" s="53">
        <f>IF(G1580=1,IF(F1579=1,1,-1),G1580)</f>
        <v>2</v>
      </c>
      <c r="I1580" s="53" t="str">
        <f>VLOOKUP(H1580,codes,2,)</f>
        <v>ww</v>
      </c>
      <c r="J1580" s="53"/>
    </row>
    <row r="1581" spans="1:10" x14ac:dyDescent="0.25">
      <c r="A1581" s="93">
        <v>40963</v>
      </c>
      <c r="B1581" s="35">
        <f>C1581+(D1581-2009)*12</f>
        <v>38</v>
      </c>
      <c r="C1581" s="76">
        <v>2</v>
      </c>
      <c r="D1581" s="76">
        <v>2012</v>
      </c>
      <c r="E1581" s="56">
        <v>0.13333333333333333</v>
      </c>
      <c r="F1581" s="53">
        <f>IF(E1581&gt;0,1,0)</f>
        <v>1</v>
      </c>
      <c r="G1581" s="53">
        <f>SUM(F1580:F1581)</f>
        <v>2</v>
      </c>
      <c r="H1581" s="53">
        <f>IF(G1581=1,IF(F1580=1,1,-1),G1581)</f>
        <v>2</v>
      </c>
      <c r="I1581" s="53" t="str">
        <f>VLOOKUP(H1581,codes,2,)</f>
        <v>ww</v>
      </c>
      <c r="J1581" s="53"/>
    </row>
    <row r="1582" spans="1:10" x14ac:dyDescent="0.25">
      <c r="A1582" s="93">
        <v>40964</v>
      </c>
      <c r="B1582" s="35">
        <f>C1582+(D1582-2009)*12</f>
        <v>38</v>
      </c>
      <c r="C1582" s="76">
        <v>2</v>
      </c>
      <c r="D1582" s="76">
        <v>2012</v>
      </c>
      <c r="E1582" s="56">
        <v>0</v>
      </c>
      <c r="F1582" s="53">
        <f>IF(E1582&gt;0,1,0)</f>
        <v>0</v>
      </c>
      <c r="G1582" s="53">
        <f>SUM(F1581:F1582)</f>
        <v>1</v>
      </c>
      <c r="H1582" s="53">
        <f>IF(G1582=1,IF(F1581=1,1,-1),G1582)</f>
        <v>1</v>
      </c>
      <c r="I1582" s="53" t="str">
        <f>VLOOKUP(H1582,codes,2,)</f>
        <v>wd</v>
      </c>
      <c r="J1582" s="53"/>
    </row>
    <row r="1583" spans="1:10" x14ac:dyDescent="0.25">
      <c r="A1583" s="93">
        <v>40965</v>
      </c>
      <c r="B1583" s="35">
        <f>C1583+(D1583-2009)*12</f>
        <v>38</v>
      </c>
      <c r="C1583" s="76">
        <v>2</v>
      </c>
      <c r="D1583" s="76">
        <v>2012</v>
      </c>
      <c r="E1583" s="56">
        <v>0</v>
      </c>
      <c r="F1583" s="53">
        <f>IF(E1583&gt;0,1,0)</f>
        <v>0</v>
      </c>
      <c r="G1583" s="53">
        <f>SUM(F1582:F1583)</f>
        <v>0</v>
      </c>
      <c r="H1583" s="53">
        <f>IF(G1583=1,IF(F1582=1,1,-1),G1583)</f>
        <v>0</v>
      </c>
      <c r="I1583" s="53" t="str">
        <f>VLOOKUP(H1583,codes,2,)</f>
        <v>dd</v>
      </c>
      <c r="J1583" s="53"/>
    </row>
    <row r="1584" spans="1:10" x14ac:dyDescent="0.25">
      <c r="A1584" s="93">
        <v>40966</v>
      </c>
      <c r="B1584" s="35">
        <f>C1584+(D1584-2009)*12</f>
        <v>38</v>
      </c>
      <c r="C1584" s="76">
        <v>2</v>
      </c>
      <c r="D1584" s="76">
        <v>2012</v>
      </c>
      <c r="E1584" s="56">
        <v>0.13333333333333333</v>
      </c>
      <c r="F1584" s="53">
        <f>IF(E1584&gt;0,1,0)</f>
        <v>1</v>
      </c>
      <c r="G1584" s="53">
        <f>SUM(F1583:F1584)</f>
        <v>1</v>
      </c>
      <c r="H1584" s="53">
        <f>IF(G1584=1,IF(F1583=1,1,-1),G1584)</f>
        <v>-1</v>
      </c>
      <c r="I1584" s="53" t="str">
        <f>VLOOKUP(H1584,codes,2,)</f>
        <v>dw</v>
      </c>
      <c r="J1584" s="53"/>
    </row>
    <row r="1585" spans="1:10" x14ac:dyDescent="0.25">
      <c r="A1585" s="93">
        <v>40967</v>
      </c>
      <c r="B1585" s="35">
        <f>C1585+(D1585-2009)*12</f>
        <v>38</v>
      </c>
      <c r="C1585" s="76">
        <v>2</v>
      </c>
      <c r="D1585" s="76">
        <v>2012</v>
      </c>
      <c r="E1585" s="56">
        <v>0.93333333333333324</v>
      </c>
      <c r="F1585" s="53">
        <f>IF(E1585&gt;0,1,0)</f>
        <v>1</v>
      </c>
      <c r="G1585" s="53">
        <f>SUM(F1584:F1585)</f>
        <v>2</v>
      </c>
      <c r="H1585" s="53">
        <f>IF(G1585=1,IF(F1584=1,1,-1),G1585)</f>
        <v>2</v>
      </c>
      <c r="I1585" s="53" t="str">
        <f>VLOOKUP(H1585,codes,2,)</f>
        <v>ww</v>
      </c>
      <c r="J1585" s="53"/>
    </row>
    <row r="1586" spans="1:10" x14ac:dyDescent="0.25">
      <c r="A1586" s="93">
        <v>40969</v>
      </c>
      <c r="B1586" s="35">
        <f>C1586+(D1586-2009)*12</f>
        <v>38</v>
      </c>
      <c r="C1586" s="76">
        <v>2</v>
      </c>
      <c r="D1586" s="76">
        <v>2012</v>
      </c>
      <c r="E1586" s="56">
        <v>0</v>
      </c>
      <c r="F1586" s="53">
        <f>IF(E1586&gt;0,1,0)</f>
        <v>0</v>
      </c>
      <c r="G1586" s="53">
        <f>SUM(F1585:F1586)</f>
        <v>1</v>
      </c>
      <c r="H1586" s="53">
        <f>IF(G1586=1,IF(F1585=1,1,-1),G1586)</f>
        <v>1</v>
      </c>
      <c r="I1586" s="53" t="str">
        <f>VLOOKUP(H1586,codes,2,)</f>
        <v>wd</v>
      </c>
      <c r="J1586" s="53"/>
    </row>
    <row r="1587" spans="1:10" x14ac:dyDescent="0.25">
      <c r="A1587" s="93">
        <v>41307</v>
      </c>
      <c r="B1587" s="35">
        <f>C1587+(D1587-2009)*12</f>
        <v>50</v>
      </c>
      <c r="C1587" s="76">
        <v>2</v>
      </c>
      <c r="D1587" s="76">
        <v>2013</v>
      </c>
      <c r="E1587" s="56">
        <v>2.1999999999999997</v>
      </c>
      <c r="F1587" s="53">
        <f>IF(E1587&gt;0,1,0)</f>
        <v>1</v>
      </c>
      <c r="G1587" s="53">
        <f>SUM(F1586:F1587)</f>
        <v>1</v>
      </c>
      <c r="H1587" s="53">
        <f>IF(G1587=1,IF(F1586=1,1,-1),G1587)</f>
        <v>-1</v>
      </c>
      <c r="I1587" s="53" t="str">
        <f>VLOOKUP(H1587,codes,2,)</f>
        <v>dw</v>
      </c>
      <c r="J1587" s="53"/>
    </row>
    <row r="1588" spans="1:10" x14ac:dyDescent="0.25">
      <c r="A1588" s="93">
        <v>41308</v>
      </c>
      <c r="B1588" s="35">
        <f>C1588+(D1588-2009)*12</f>
        <v>50</v>
      </c>
      <c r="C1588" s="76">
        <v>2</v>
      </c>
      <c r="D1588" s="76">
        <v>2013</v>
      </c>
      <c r="E1588" s="56">
        <v>0.6</v>
      </c>
      <c r="F1588" s="53">
        <f>IF(E1588&gt;0,1,0)</f>
        <v>1</v>
      </c>
      <c r="G1588" s="53">
        <f>SUM(F1587:F1588)</f>
        <v>2</v>
      </c>
      <c r="H1588" s="53">
        <f>IF(G1588=1,IF(F1587=1,1,-1),G1588)</f>
        <v>2</v>
      </c>
      <c r="I1588" s="53" t="str">
        <f>VLOOKUP(H1588,codes,2,)</f>
        <v>ww</v>
      </c>
      <c r="J1588" s="53"/>
    </row>
    <row r="1589" spans="1:10" x14ac:dyDescent="0.25">
      <c r="A1589" s="93">
        <v>41309</v>
      </c>
      <c r="B1589" s="35">
        <f>C1589+(D1589-2009)*12</f>
        <v>50</v>
      </c>
      <c r="C1589" s="76">
        <v>2</v>
      </c>
      <c r="D1589" s="76">
        <v>2013</v>
      </c>
      <c r="E1589" s="56">
        <v>0.33333333333333331</v>
      </c>
      <c r="F1589" s="53">
        <f>IF(E1589&gt;0,1,0)</f>
        <v>1</v>
      </c>
      <c r="G1589" s="53">
        <f>SUM(F1588:F1589)</f>
        <v>2</v>
      </c>
      <c r="H1589" s="53">
        <f>IF(G1589=1,IF(F1588=1,1,-1),G1589)</f>
        <v>2</v>
      </c>
      <c r="I1589" s="53" t="str">
        <f>VLOOKUP(H1589,codes,2,)</f>
        <v>ww</v>
      </c>
      <c r="J1589" s="53"/>
    </row>
    <row r="1590" spans="1:10" x14ac:dyDescent="0.25">
      <c r="A1590" s="93">
        <v>41310</v>
      </c>
      <c r="B1590" s="35">
        <f>C1590+(D1590-2009)*12</f>
        <v>50</v>
      </c>
      <c r="C1590" s="76">
        <v>2</v>
      </c>
      <c r="D1590" s="76">
        <v>2013</v>
      </c>
      <c r="E1590" s="56">
        <v>3</v>
      </c>
      <c r="F1590" s="53">
        <f>IF(E1590&gt;0,1,0)</f>
        <v>1</v>
      </c>
      <c r="G1590" s="53">
        <f>SUM(F1589:F1590)</f>
        <v>2</v>
      </c>
      <c r="H1590" s="53">
        <f>IF(G1590=1,IF(F1589=1,1,-1),G1590)</f>
        <v>2</v>
      </c>
      <c r="I1590" s="53" t="str">
        <f>VLOOKUP(H1590,codes,2,)</f>
        <v>ww</v>
      </c>
      <c r="J1590" s="53"/>
    </row>
    <row r="1591" spans="1:10" x14ac:dyDescent="0.25">
      <c r="A1591" s="93">
        <v>41311</v>
      </c>
      <c r="B1591" s="35">
        <f>C1591+(D1591-2009)*12</f>
        <v>50</v>
      </c>
      <c r="C1591" s="76">
        <v>2</v>
      </c>
      <c r="D1591" s="76">
        <v>2013</v>
      </c>
      <c r="E1591" s="56">
        <v>5.8666666666666671</v>
      </c>
      <c r="F1591" s="53">
        <f>IF(E1591&gt;0,1,0)</f>
        <v>1</v>
      </c>
      <c r="G1591" s="53">
        <f>SUM(F1590:F1591)</f>
        <v>2</v>
      </c>
      <c r="H1591" s="53">
        <f>IF(G1591=1,IF(F1590=1,1,-1),G1591)</f>
        <v>2</v>
      </c>
      <c r="I1591" s="53" t="str">
        <f>VLOOKUP(H1591,codes,2,)</f>
        <v>ww</v>
      </c>
      <c r="J1591" s="53"/>
    </row>
    <row r="1592" spans="1:10" x14ac:dyDescent="0.25">
      <c r="A1592" s="93">
        <v>41312</v>
      </c>
      <c r="B1592" s="35">
        <f>C1592+(D1592-2009)*12</f>
        <v>50</v>
      </c>
      <c r="C1592" s="76">
        <v>2</v>
      </c>
      <c r="D1592" s="76">
        <v>2013</v>
      </c>
      <c r="E1592" s="56">
        <v>0.20000000000000004</v>
      </c>
      <c r="F1592" s="53">
        <f>IF(E1592&gt;0,1,0)</f>
        <v>1</v>
      </c>
      <c r="G1592" s="53">
        <f>SUM(F1591:F1592)</f>
        <v>2</v>
      </c>
      <c r="H1592" s="53">
        <f>IF(G1592=1,IF(F1591=1,1,-1),G1592)</f>
        <v>2</v>
      </c>
      <c r="I1592" s="53" t="str">
        <f>VLOOKUP(H1592,codes,2,)</f>
        <v>ww</v>
      </c>
      <c r="J1592" s="53"/>
    </row>
    <row r="1593" spans="1:10" x14ac:dyDescent="0.25">
      <c r="A1593" s="93">
        <v>41313</v>
      </c>
      <c r="B1593" s="35">
        <f>C1593+(D1593-2009)*12</f>
        <v>50</v>
      </c>
      <c r="C1593" s="76">
        <v>2</v>
      </c>
      <c r="D1593" s="76">
        <v>2013</v>
      </c>
      <c r="E1593" s="56">
        <v>0.8666666666666667</v>
      </c>
      <c r="F1593" s="53">
        <f>IF(E1593&gt;0,1,0)</f>
        <v>1</v>
      </c>
      <c r="G1593" s="53">
        <f>SUM(F1592:F1593)</f>
        <v>2</v>
      </c>
      <c r="H1593" s="53">
        <f>IF(G1593=1,IF(F1592=1,1,-1),G1593)</f>
        <v>2</v>
      </c>
      <c r="I1593" s="53" t="str">
        <f>VLOOKUP(H1593,codes,2,)</f>
        <v>ww</v>
      </c>
      <c r="J1593" s="53"/>
    </row>
    <row r="1594" spans="1:10" x14ac:dyDescent="0.25">
      <c r="A1594" s="93">
        <v>41314</v>
      </c>
      <c r="B1594" s="35">
        <f>C1594+(D1594-2009)*12</f>
        <v>50</v>
      </c>
      <c r="C1594" s="76">
        <v>2</v>
      </c>
      <c r="D1594" s="76">
        <v>2013</v>
      </c>
      <c r="E1594" s="56">
        <v>0</v>
      </c>
      <c r="F1594" s="53">
        <f>IF(E1594&gt;0,1,0)</f>
        <v>0</v>
      </c>
      <c r="G1594" s="53">
        <f>SUM(F1593:F1594)</f>
        <v>1</v>
      </c>
      <c r="H1594" s="53">
        <f>IF(G1594=1,IF(F1593=1,1,-1),G1594)</f>
        <v>1</v>
      </c>
      <c r="I1594" s="53" t="str">
        <f>VLOOKUP(H1594,codes,2,)</f>
        <v>wd</v>
      </c>
      <c r="J1594" s="53"/>
    </row>
    <row r="1595" spans="1:10" x14ac:dyDescent="0.25">
      <c r="A1595" s="93">
        <v>41315</v>
      </c>
      <c r="B1595" s="35">
        <f>C1595+(D1595-2009)*12</f>
        <v>50</v>
      </c>
      <c r="C1595" s="76">
        <v>2</v>
      </c>
      <c r="D1595" s="76">
        <v>2013</v>
      </c>
      <c r="E1595" s="56">
        <v>0</v>
      </c>
      <c r="F1595" s="53">
        <f>IF(E1595&gt;0,1,0)</f>
        <v>0</v>
      </c>
      <c r="G1595" s="53">
        <f>SUM(F1594:F1595)</f>
        <v>0</v>
      </c>
      <c r="H1595" s="53">
        <f>IF(G1595=1,IF(F1594=1,1,-1),G1595)</f>
        <v>0</v>
      </c>
      <c r="I1595" s="53" t="str">
        <f>VLOOKUP(H1595,codes,2,)</f>
        <v>dd</v>
      </c>
      <c r="J1595" s="53"/>
    </row>
    <row r="1596" spans="1:10" x14ac:dyDescent="0.25">
      <c r="A1596" s="93">
        <v>41316</v>
      </c>
      <c r="B1596" s="35">
        <f>C1596+(D1596-2009)*12</f>
        <v>50</v>
      </c>
      <c r="C1596" s="76">
        <v>2</v>
      </c>
      <c r="D1596" s="76">
        <v>2013</v>
      </c>
      <c r="E1596" s="56">
        <v>1.2</v>
      </c>
      <c r="F1596" s="53">
        <f>IF(E1596&gt;0,1,0)</f>
        <v>1</v>
      </c>
      <c r="G1596" s="53">
        <f>SUM(F1595:F1596)</f>
        <v>1</v>
      </c>
      <c r="H1596" s="53">
        <f>IF(G1596=1,IF(F1595=1,1,-1),G1596)</f>
        <v>-1</v>
      </c>
      <c r="I1596" s="53" t="str">
        <f>VLOOKUP(H1596,codes,2,)</f>
        <v>dw</v>
      </c>
      <c r="J1596" s="53"/>
    </row>
    <row r="1597" spans="1:10" x14ac:dyDescent="0.25">
      <c r="A1597" s="93">
        <v>41317</v>
      </c>
      <c r="B1597" s="35">
        <f>C1597+(D1597-2009)*12</f>
        <v>50</v>
      </c>
      <c r="C1597" s="76">
        <v>2</v>
      </c>
      <c r="D1597" s="76">
        <v>2013</v>
      </c>
      <c r="E1597" s="56">
        <v>0</v>
      </c>
      <c r="F1597" s="53">
        <f>IF(E1597&gt;0,1,0)</f>
        <v>0</v>
      </c>
      <c r="G1597" s="53">
        <f>SUM(F1596:F1597)</f>
        <v>1</v>
      </c>
      <c r="H1597" s="53">
        <f>IF(G1597=1,IF(F1596=1,1,-1),G1597)</f>
        <v>1</v>
      </c>
      <c r="I1597" s="53" t="str">
        <f>VLOOKUP(H1597,codes,2,)</f>
        <v>wd</v>
      </c>
      <c r="J1597" s="53"/>
    </row>
    <row r="1598" spans="1:10" x14ac:dyDescent="0.25">
      <c r="A1598" s="93">
        <v>41318</v>
      </c>
      <c r="B1598" s="35">
        <f>C1598+(D1598-2009)*12</f>
        <v>50</v>
      </c>
      <c r="C1598" s="76">
        <v>2</v>
      </c>
      <c r="D1598" s="76">
        <v>2013</v>
      </c>
      <c r="E1598" s="56">
        <v>6.6666666666666666E-2</v>
      </c>
      <c r="F1598" s="53">
        <f>IF(E1598&gt;0,1,0)</f>
        <v>1</v>
      </c>
      <c r="G1598" s="53">
        <f>SUM(F1597:F1598)</f>
        <v>1</v>
      </c>
      <c r="H1598" s="53">
        <f>IF(G1598=1,IF(F1597=1,1,-1),G1598)</f>
        <v>-1</v>
      </c>
      <c r="I1598" s="53" t="str">
        <f>VLOOKUP(H1598,codes,2,)</f>
        <v>dw</v>
      </c>
      <c r="J1598" s="53"/>
    </row>
    <row r="1599" spans="1:10" x14ac:dyDescent="0.25">
      <c r="A1599" s="93">
        <v>41319</v>
      </c>
      <c r="B1599" s="35">
        <f>C1599+(D1599-2009)*12</f>
        <v>50</v>
      </c>
      <c r="C1599" s="76">
        <v>2</v>
      </c>
      <c r="D1599" s="76">
        <v>2013</v>
      </c>
      <c r="E1599" s="56">
        <v>5.1333333333333337</v>
      </c>
      <c r="F1599" s="53">
        <f>IF(E1599&gt;0,1,0)</f>
        <v>1</v>
      </c>
      <c r="G1599" s="53">
        <f>SUM(F1598:F1599)</f>
        <v>2</v>
      </c>
      <c r="H1599" s="53">
        <f>IF(G1599=1,IF(F1598=1,1,-1),G1599)</f>
        <v>2</v>
      </c>
      <c r="I1599" s="53" t="str">
        <f>VLOOKUP(H1599,codes,2,)</f>
        <v>ww</v>
      </c>
      <c r="J1599" s="53"/>
    </row>
    <row r="1600" spans="1:10" x14ac:dyDescent="0.25">
      <c r="A1600" s="93">
        <v>41320</v>
      </c>
      <c r="B1600" s="35">
        <f>C1600+(D1600-2009)*12</f>
        <v>50</v>
      </c>
      <c r="C1600" s="76">
        <v>2</v>
      </c>
      <c r="D1600" s="76">
        <v>2013</v>
      </c>
      <c r="E1600" s="56">
        <v>0</v>
      </c>
      <c r="F1600" s="53">
        <f>IF(E1600&gt;0,1,0)</f>
        <v>0</v>
      </c>
      <c r="G1600" s="53">
        <f>SUM(F1599:F1600)</f>
        <v>1</v>
      </c>
      <c r="H1600" s="53">
        <f>IF(G1600=1,IF(F1599=1,1,-1),G1600)</f>
        <v>1</v>
      </c>
      <c r="I1600" s="53" t="str">
        <f>VLOOKUP(H1600,codes,2,)</f>
        <v>wd</v>
      </c>
      <c r="J1600" s="53"/>
    </row>
    <row r="1601" spans="1:10" x14ac:dyDescent="0.25">
      <c r="A1601" s="93">
        <v>41321</v>
      </c>
      <c r="B1601" s="35">
        <f>C1601+(D1601-2009)*12</f>
        <v>50</v>
      </c>
      <c r="C1601" s="76">
        <v>2</v>
      </c>
      <c r="D1601" s="76">
        <v>2013</v>
      </c>
      <c r="E1601" s="56">
        <v>0</v>
      </c>
      <c r="F1601" s="53">
        <f>IF(E1601&gt;0,1,0)</f>
        <v>0</v>
      </c>
      <c r="G1601" s="53">
        <f>SUM(F1600:F1601)</f>
        <v>0</v>
      </c>
      <c r="H1601" s="53">
        <f>IF(G1601=1,IF(F1600=1,1,-1),G1601)</f>
        <v>0</v>
      </c>
      <c r="I1601" s="53" t="str">
        <f>VLOOKUP(H1601,codes,2,)</f>
        <v>dd</v>
      </c>
      <c r="J1601" s="53"/>
    </row>
    <row r="1602" spans="1:10" x14ac:dyDescent="0.25">
      <c r="A1602" s="93">
        <v>41322</v>
      </c>
      <c r="B1602" s="35">
        <f>C1602+(D1602-2009)*12</f>
        <v>50</v>
      </c>
      <c r="C1602" s="76">
        <v>2</v>
      </c>
      <c r="D1602" s="76">
        <v>2013</v>
      </c>
      <c r="E1602" s="56">
        <v>0</v>
      </c>
      <c r="F1602" s="53">
        <f>IF(E1602&gt;0,1,0)</f>
        <v>0</v>
      </c>
      <c r="G1602" s="53">
        <f>SUM(F1601:F1602)</f>
        <v>0</v>
      </c>
      <c r="H1602" s="53">
        <f>IF(G1602=1,IF(F1601=1,1,-1),G1602)</f>
        <v>0</v>
      </c>
      <c r="I1602" s="53" t="str">
        <f>VLOOKUP(H1602,codes,2,)</f>
        <v>dd</v>
      </c>
      <c r="J1602" s="53"/>
    </row>
    <row r="1603" spans="1:10" x14ac:dyDescent="0.25">
      <c r="A1603" s="93">
        <v>41323</v>
      </c>
      <c r="B1603" s="35">
        <f>C1603+(D1603-2009)*12</f>
        <v>50</v>
      </c>
      <c r="C1603" s="76">
        <v>2</v>
      </c>
      <c r="D1603" s="76">
        <v>2013</v>
      </c>
      <c r="E1603" s="56">
        <v>0</v>
      </c>
      <c r="F1603" s="53">
        <f>IF(E1603&gt;0,1,0)</f>
        <v>0</v>
      </c>
      <c r="G1603" s="53">
        <f>SUM(F1602:F1603)</f>
        <v>0</v>
      </c>
      <c r="H1603" s="53">
        <f>IF(G1603=1,IF(F1602=1,1,-1),G1603)</f>
        <v>0</v>
      </c>
      <c r="I1603" s="53" t="str">
        <f>VLOOKUP(H1603,codes,2,)</f>
        <v>dd</v>
      </c>
      <c r="J1603" s="53"/>
    </row>
    <row r="1604" spans="1:10" x14ac:dyDescent="0.25">
      <c r="A1604" s="93">
        <v>41324</v>
      </c>
      <c r="B1604" s="35">
        <f>C1604+(D1604-2009)*12</f>
        <v>50</v>
      </c>
      <c r="C1604" s="76">
        <v>2</v>
      </c>
      <c r="D1604" s="76">
        <v>2013</v>
      </c>
      <c r="E1604" s="56">
        <v>6.6666666666666666E-2</v>
      </c>
      <c r="F1604" s="53">
        <f>IF(E1604&gt;0,1,0)</f>
        <v>1</v>
      </c>
      <c r="G1604" s="53">
        <f>SUM(F1603:F1604)</f>
        <v>1</v>
      </c>
      <c r="H1604" s="53">
        <f>IF(G1604=1,IF(F1603=1,1,-1),G1604)</f>
        <v>-1</v>
      </c>
      <c r="I1604" s="53" t="str">
        <f>VLOOKUP(H1604,codes,2,)</f>
        <v>dw</v>
      </c>
      <c r="J1604" s="53"/>
    </row>
    <row r="1605" spans="1:10" x14ac:dyDescent="0.25">
      <c r="A1605" s="93">
        <v>41325</v>
      </c>
      <c r="B1605" s="35">
        <f>C1605+(D1605-2009)*12</f>
        <v>50</v>
      </c>
      <c r="C1605" s="76">
        <v>2</v>
      </c>
      <c r="D1605" s="76">
        <v>2013</v>
      </c>
      <c r="E1605" s="56">
        <v>0.8666666666666667</v>
      </c>
      <c r="F1605" s="53">
        <f>IF(E1605&gt;0,1,0)</f>
        <v>1</v>
      </c>
      <c r="G1605" s="53">
        <f>SUM(F1604:F1605)</f>
        <v>2</v>
      </c>
      <c r="H1605" s="53">
        <f>IF(G1605=1,IF(F1604=1,1,-1),G1605)</f>
        <v>2</v>
      </c>
      <c r="I1605" s="53" t="str">
        <f>VLOOKUP(H1605,codes,2,)</f>
        <v>ww</v>
      </c>
      <c r="J1605" s="53"/>
    </row>
    <row r="1606" spans="1:10" x14ac:dyDescent="0.25">
      <c r="A1606" s="93">
        <v>41326</v>
      </c>
      <c r="B1606" s="35">
        <f>C1606+(D1606-2009)*12</f>
        <v>50</v>
      </c>
      <c r="C1606" s="76">
        <v>2</v>
      </c>
      <c r="D1606" s="76">
        <v>2013</v>
      </c>
      <c r="E1606" s="56">
        <v>0</v>
      </c>
      <c r="F1606" s="53">
        <f>IF(E1606&gt;0,1,0)</f>
        <v>0</v>
      </c>
      <c r="G1606" s="53">
        <f>SUM(F1605:F1606)</f>
        <v>1</v>
      </c>
      <c r="H1606" s="53">
        <f>IF(G1606=1,IF(F1605=1,1,-1),G1606)</f>
        <v>1</v>
      </c>
      <c r="I1606" s="53" t="str">
        <f>VLOOKUP(H1606,codes,2,)</f>
        <v>wd</v>
      </c>
      <c r="J1606" s="53"/>
    </row>
    <row r="1607" spans="1:10" x14ac:dyDescent="0.25">
      <c r="A1607" s="93">
        <v>41327</v>
      </c>
      <c r="B1607" s="35">
        <f>C1607+(D1607-2009)*12</f>
        <v>50</v>
      </c>
      <c r="C1607" s="76">
        <v>2</v>
      </c>
      <c r="D1607" s="76">
        <v>2013</v>
      </c>
      <c r="E1607" s="56">
        <v>0</v>
      </c>
      <c r="F1607" s="53">
        <f>IF(E1607&gt;0,1,0)</f>
        <v>0</v>
      </c>
      <c r="G1607" s="53">
        <f>SUM(F1606:F1607)</f>
        <v>0</v>
      </c>
      <c r="H1607" s="53">
        <f>IF(G1607=1,IF(F1606=1,1,-1),G1607)</f>
        <v>0</v>
      </c>
      <c r="I1607" s="53" t="str">
        <f>VLOOKUP(H1607,codes,2,)</f>
        <v>dd</v>
      </c>
      <c r="J1607" s="53"/>
    </row>
    <row r="1608" spans="1:10" x14ac:dyDescent="0.25">
      <c r="A1608" s="93">
        <v>41328</v>
      </c>
      <c r="B1608" s="35">
        <f>C1608+(D1608-2009)*12</f>
        <v>50</v>
      </c>
      <c r="C1608" s="76">
        <v>2</v>
      </c>
      <c r="D1608" s="76">
        <v>2013</v>
      </c>
      <c r="E1608" s="56">
        <v>1.8666666666666669</v>
      </c>
      <c r="F1608" s="53">
        <f>IF(E1608&gt;0,1,0)</f>
        <v>1</v>
      </c>
      <c r="G1608" s="53">
        <f>SUM(F1607:F1608)</f>
        <v>1</v>
      </c>
      <c r="H1608" s="53">
        <f>IF(G1608=1,IF(F1607=1,1,-1),G1608)</f>
        <v>-1</v>
      </c>
      <c r="I1608" s="53" t="str">
        <f>VLOOKUP(H1608,codes,2,)</f>
        <v>dw</v>
      </c>
      <c r="J1608" s="53"/>
    </row>
    <row r="1609" spans="1:10" x14ac:dyDescent="0.25">
      <c r="A1609" s="93">
        <v>41329</v>
      </c>
      <c r="B1609" s="35">
        <f>C1609+(D1609-2009)*12</f>
        <v>50</v>
      </c>
      <c r="C1609" s="76">
        <v>2</v>
      </c>
      <c r="D1609" s="76">
        <v>2013</v>
      </c>
      <c r="E1609" s="56">
        <v>7.0666666666666673</v>
      </c>
      <c r="F1609" s="53">
        <f>IF(E1609&gt;0,1,0)</f>
        <v>1</v>
      </c>
      <c r="G1609" s="53">
        <f>SUM(F1608:F1609)</f>
        <v>2</v>
      </c>
      <c r="H1609" s="53">
        <f>IF(G1609=1,IF(F1608=1,1,-1),G1609)</f>
        <v>2</v>
      </c>
      <c r="I1609" s="53" t="str">
        <f>VLOOKUP(H1609,codes,2,)</f>
        <v>ww</v>
      </c>
      <c r="J1609" s="53"/>
    </row>
    <row r="1610" spans="1:10" x14ac:dyDescent="0.25">
      <c r="A1610" s="93">
        <v>41330</v>
      </c>
      <c r="B1610" s="35">
        <f>C1610+(D1610-2009)*12</f>
        <v>50</v>
      </c>
      <c r="C1610" s="76">
        <v>2</v>
      </c>
      <c r="D1610" s="76">
        <v>2013</v>
      </c>
      <c r="E1610" s="56">
        <v>2.7333333333333329</v>
      </c>
      <c r="F1610" s="53">
        <f>IF(E1610&gt;0,1,0)</f>
        <v>1</v>
      </c>
      <c r="G1610" s="53">
        <f>SUM(F1609:F1610)</f>
        <v>2</v>
      </c>
      <c r="H1610" s="53">
        <f>IF(G1610=1,IF(F1609=1,1,-1),G1610)</f>
        <v>2</v>
      </c>
      <c r="I1610" s="53" t="str">
        <f>VLOOKUP(H1610,codes,2,)</f>
        <v>ww</v>
      </c>
      <c r="J1610" s="53"/>
    </row>
    <row r="1611" spans="1:10" x14ac:dyDescent="0.25">
      <c r="A1611" s="93">
        <v>41331</v>
      </c>
      <c r="B1611" s="35">
        <f>C1611+(D1611-2009)*12</f>
        <v>50</v>
      </c>
      <c r="C1611" s="76">
        <v>2</v>
      </c>
      <c r="D1611" s="76">
        <v>2013</v>
      </c>
      <c r="E1611" s="56">
        <v>0</v>
      </c>
      <c r="F1611" s="53">
        <f>IF(E1611&gt;0,1,0)</f>
        <v>0</v>
      </c>
      <c r="G1611" s="53">
        <f>SUM(F1610:F1611)</f>
        <v>1</v>
      </c>
      <c r="H1611" s="53">
        <f>IF(G1611=1,IF(F1610=1,1,-1),G1611)</f>
        <v>1</v>
      </c>
      <c r="I1611" s="53" t="str">
        <f>VLOOKUP(H1611,codes,2,)</f>
        <v>wd</v>
      </c>
      <c r="J1611" s="53"/>
    </row>
    <row r="1612" spans="1:10" x14ac:dyDescent="0.25">
      <c r="A1612" s="93">
        <v>41332</v>
      </c>
      <c r="B1612" s="35">
        <f>C1612+(D1612-2009)*12</f>
        <v>50</v>
      </c>
      <c r="C1612" s="76">
        <v>2</v>
      </c>
      <c r="D1612" s="76">
        <v>2013</v>
      </c>
      <c r="E1612" s="56">
        <v>0.13333333333333333</v>
      </c>
      <c r="F1612" s="53">
        <f>IF(E1612&gt;0,1,0)</f>
        <v>1</v>
      </c>
      <c r="G1612" s="53">
        <f>SUM(F1611:F1612)</f>
        <v>1</v>
      </c>
      <c r="H1612" s="53">
        <f>IF(G1612=1,IF(F1611=1,1,-1),G1612)</f>
        <v>-1</v>
      </c>
      <c r="I1612" s="53" t="str">
        <f>VLOOKUP(H1612,codes,2,)</f>
        <v>dw</v>
      </c>
      <c r="J1612" s="53"/>
    </row>
    <row r="1613" spans="1:10" x14ac:dyDescent="0.25">
      <c r="A1613" s="93">
        <v>41333</v>
      </c>
      <c r="B1613" s="35">
        <f>C1613+(D1613-2009)*12</f>
        <v>50</v>
      </c>
      <c r="C1613" s="76">
        <v>2</v>
      </c>
      <c r="D1613" s="76">
        <v>2013</v>
      </c>
      <c r="E1613" s="56">
        <v>6.6666666666666666E-2</v>
      </c>
      <c r="F1613" s="53">
        <f>IF(E1613&gt;0,1,0)</f>
        <v>1</v>
      </c>
      <c r="G1613" s="53">
        <f>SUM(F1612:F1613)</f>
        <v>2</v>
      </c>
      <c r="H1613" s="53">
        <f>IF(G1613=1,IF(F1612=1,1,-1),G1613)</f>
        <v>2</v>
      </c>
      <c r="I1613" s="53" t="str">
        <f>VLOOKUP(H1613,codes,2,)</f>
        <v>ww</v>
      </c>
      <c r="J1613" s="53"/>
    </row>
    <row r="1614" spans="1:10" x14ac:dyDescent="0.25">
      <c r="A1614" s="93">
        <v>41334</v>
      </c>
      <c r="B1614" s="35">
        <f>C1614+(D1614-2009)*12</f>
        <v>50</v>
      </c>
      <c r="C1614" s="76">
        <v>2</v>
      </c>
      <c r="D1614" s="76">
        <v>2013</v>
      </c>
      <c r="E1614" s="56">
        <v>0</v>
      </c>
      <c r="F1614" s="53">
        <f>IF(E1614&gt;0,1,0)</f>
        <v>0</v>
      </c>
      <c r="G1614" s="53">
        <f>SUM(F1613:F1614)</f>
        <v>1</v>
      </c>
      <c r="H1614" s="53">
        <f>IF(G1614=1,IF(F1613=1,1,-1),G1614)</f>
        <v>1</v>
      </c>
      <c r="I1614" s="53" t="str">
        <f>VLOOKUP(H1614,codes,2,)</f>
        <v>wd</v>
      </c>
      <c r="J1614" s="53"/>
    </row>
    <row r="1615" spans="1:10" x14ac:dyDescent="0.25">
      <c r="A1615" s="93">
        <v>41672</v>
      </c>
      <c r="B1615" s="35">
        <f>C1615+(D1615-2009)*12</f>
        <v>62</v>
      </c>
      <c r="C1615" s="76">
        <v>2</v>
      </c>
      <c r="D1615" s="76">
        <v>2014</v>
      </c>
      <c r="E1615" s="56">
        <v>1.7333333333333334</v>
      </c>
      <c r="F1615" s="53">
        <f>IF(E1615&gt;0,1,0)</f>
        <v>1</v>
      </c>
      <c r="G1615" s="53">
        <f>SUM(F1614:F1615)</f>
        <v>1</v>
      </c>
      <c r="H1615" s="53">
        <f>IF(G1615=1,IF(F1614=1,1,-1),G1615)</f>
        <v>-1</v>
      </c>
      <c r="I1615" s="53" t="str">
        <f>VLOOKUP(H1615,codes,2,)</f>
        <v>dw</v>
      </c>
      <c r="J1615" s="53"/>
    </row>
    <row r="1616" spans="1:10" x14ac:dyDescent="0.25">
      <c r="A1616" s="93">
        <v>41673</v>
      </c>
      <c r="B1616" s="35">
        <f>C1616+(D1616-2009)*12</f>
        <v>62</v>
      </c>
      <c r="C1616" s="76">
        <v>2</v>
      </c>
      <c r="D1616" s="76">
        <v>2014</v>
      </c>
      <c r="E1616" s="56">
        <v>0</v>
      </c>
      <c r="F1616" s="53">
        <f>IF(E1616&gt;0,1,0)</f>
        <v>0</v>
      </c>
      <c r="G1616" s="53">
        <f>SUM(F1615:F1616)</f>
        <v>1</v>
      </c>
      <c r="H1616" s="53">
        <f>IF(G1616=1,IF(F1615=1,1,-1),G1616)</f>
        <v>1</v>
      </c>
      <c r="I1616" s="53" t="str">
        <f>VLOOKUP(H1616,codes,2,)</f>
        <v>wd</v>
      </c>
      <c r="J1616" s="53"/>
    </row>
    <row r="1617" spans="1:10" x14ac:dyDescent="0.25">
      <c r="A1617" s="93">
        <v>41674</v>
      </c>
      <c r="B1617" s="35">
        <f>C1617+(D1617-2009)*12</f>
        <v>62</v>
      </c>
      <c r="C1617" s="76">
        <v>2</v>
      </c>
      <c r="D1617" s="76">
        <v>2014</v>
      </c>
      <c r="E1617" s="56">
        <v>0.66666666666666663</v>
      </c>
      <c r="F1617" s="53">
        <f>IF(E1617&gt;0,1,0)</f>
        <v>1</v>
      </c>
      <c r="G1617" s="53">
        <f>SUM(F1616:F1617)</f>
        <v>1</v>
      </c>
      <c r="H1617" s="53">
        <f>IF(G1617=1,IF(F1616=1,1,-1),G1617)</f>
        <v>-1</v>
      </c>
      <c r="I1617" s="53" t="str">
        <f>VLOOKUP(H1617,codes,2,)</f>
        <v>dw</v>
      </c>
      <c r="J1617" s="53"/>
    </row>
    <row r="1618" spans="1:10" x14ac:dyDescent="0.25">
      <c r="A1618" s="93">
        <v>41675</v>
      </c>
      <c r="B1618" s="35">
        <f>C1618+(D1618-2009)*12</f>
        <v>62</v>
      </c>
      <c r="C1618" s="76">
        <v>2</v>
      </c>
      <c r="D1618" s="76">
        <v>2014</v>
      </c>
      <c r="E1618" s="56">
        <v>3.4666666666666663</v>
      </c>
      <c r="F1618" s="53">
        <f>IF(E1618&gt;0,1,0)</f>
        <v>1</v>
      </c>
      <c r="G1618" s="53">
        <f>SUM(F1617:F1618)</f>
        <v>2</v>
      </c>
      <c r="H1618" s="53">
        <f>IF(G1618=1,IF(F1617=1,1,-1),G1618)</f>
        <v>2</v>
      </c>
      <c r="I1618" s="53" t="str">
        <f>VLOOKUP(H1618,codes,2,)</f>
        <v>ww</v>
      </c>
      <c r="J1618" s="53"/>
    </row>
    <row r="1619" spans="1:10" x14ac:dyDescent="0.25">
      <c r="A1619" s="93">
        <v>41676</v>
      </c>
      <c r="B1619" s="35">
        <f>C1619+(D1619-2009)*12</f>
        <v>62</v>
      </c>
      <c r="C1619" s="76">
        <v>2</v>
      </c>
      <c r="D1619" s="76">
        <v>2014</v>
      </c>
      <c r="E1619" s="56">
        <v>3.7333333333333329</v>
      </c>
      <c r="F1619" s="53">
        <f>IF(E1619&gt;0,1,0)</f>
        <v>1</v>
      </c>
      <c r="G1619" s="53">
        <f>SUM(F1618:F1619)</f>
        <v>2</v>
      </c>
      <c r="H1619" s="53">
        <f>IF(G1619=1,IF(F1618=1,1,-1),G1619)</f>
        <v>2</v>
      </c>
      <c r="I1619" s="53" t="str">
        <f>VLOOKUP(H1619,codes,2,)</f>
        <v>ww</v>
      </c>
      <c r="J1619" s="53"/>
    </row>
    <row r="1620" spans="1:10" x14ac:dyDescent="0.25">
      <c r="A1620" s="93">
        <v>41677</v>
      </c>
      <c r="B1620" s="35">
        <f>C1620+(D1620-2009)*12</f>
        <v>62</v>
      </c>
      <c r="C1620" s="76">
        <v>2</v>
      </c>
      <c r="D1620" s="76">
        <v>2014</v>
      </c>
      <c r="E1620" s="56">
        <v>1.8</v>
      </c>
      <c r="F1620" s="53">
        <f>IF(E1620&gt;0,1,0)</f>
        <v>1</v>
      </c>
      <c r="G1620" s="53">
        <f>SUM(F1619:F1620)</f>
        <v>2</v>
      </c>
      <c r="H1620" s="53">
        <f>IF(G1620=1,IF(F1619=1,1,-1),G1620)</f>
        <v>2</v>
      </c>
      <c r="I1620" s="53" t="str">
        <f>VLOOKUP(H1620,codes,2,)</f>
        <v>ww</v>
      </c>
      <c r="J1620" s="53"/>
    </row>
    <row r="1621" spans="1:10" x14ac:dyDescent="0.25">
      <c r="A1621" s="93">
        <v>41678</v>
      </c>
      <c r="B1621" s="35">
        <f>C1621+(D1621-2009)*12</f>
        <v>62</v>
      </c>
      <c r="C1621" s="76">
        <v>2</v>
      </c>
      <c r="D1621" s="76">
        <v>2014</v>
      </c>
      <c r="E1621" s="56">
        <v>1.6666666666666667</v>
      </c>
      <c r="F1621" s="53">
        <f>IF(E1621&gt;0,1,0)</f>
        <v>1</v>
      </c>
      <c r="G1621" s="53">
        <f>SUM(F1620:F1621)</f>
        <v>2</v>
      </c>
      <c r="H1621" s="53">
        <f>IF(G1621=1,IF(F1620=1,1,-1),G1621)</f>
        <v>2</v>
      </c>
      <c r="I1621" s="53" t="str">
        <f>VLOOKUP(H1621,codes,2,)</f>
        <v>ww</v>
      </c>
      <c r="J1621" s="53"/>
    </row>
    <row r="1622" spans="1:10" x14ac:dyDescent="0.25">
      <c r="A1622" s="93">
        <v>41679</v>
      </c>
      <c r="B1622" s="35">
        <f>C1622+(D1622-2009)*12</f>
        <v>62</v>
      </c>
      <c r="C1622" s="76">
        <v>2</v>
      </c>
      <c r="D1622" s="76">
        <v>2014</v>
      </c>
      <c r="E1622" s="56">
        <v>3.2666666666666671</v>
      </c>
      <c r="F1622" s="53">
        <f>IF(E1622&gt;0,1,0)</f>
        <v>1</v>
      </c>
      <c r="G1622" s="53">
        <f>SUM(F1621:F1622)</f>
        <v>2</v>
      </c>
      <c r="H1622" s="53">
        <f>IF(G1622=1,IF(F1621=1,1,-1),G1622)</f>
        <v>2</v>
      </c>
      <c r="I1622" s="53" t="str">
        <f>VLOOKUP(H1622,codes,2,)</f>
        <v>ww</v>
      </c>
      <c r="J1622" s="53"/>
    </row>
    <row r="1623" spans="1:10" x14ac:dyDescent="0.25">
      <c r="A1623" s="93">
        <v>41680</v>
      </c>
      <c r="B1623" s="35">
        <f>C1623+(D1623-2009)*12</f>
        <v>62</v>
      </c>
      <c r="C1623" s="76">
        <v>2</v>
      </c>
      <c r="D1623" s="76">
        <v>2014</v>
      </c>
      <c r="E1623" s="56">
        <v>6.6666666666666666E-2</v>
      </c>
      <c r="F1623" s="53">
        <f>IF(E1623&gt;0,1,0)</f>
        <v>1</v>
      </c>
      <c r="G1623" s="53">
        <f>SUM(F1622:F1623)</f>
        <v>2</v>
      </c>
      <c r="H1623" s="53">
        <f>IF(G1623=1,IF(F1622=1,1,-1),G1623)</f>
        <v>2</v>
      </c>
      <c r="I1623" s="53" t="str">
        <f>VLOOKUP(H1623,codes,2,)</f>
        <v>ww</v>
      </c>
      <c r="J1623" s="53"/>
    </row>
    <row r="1624" spans="1:10" x14ac:dyDescent="0.25">
      <c r="A1624" s="93">
        <v>41681</v>
      </c>
      <c r="B1624" s="35">
        <f>C1624+(D1624-2009)*12</f>
        <v>62</v>
      </c>
      <c r="C1624" s="76">
        <v>2</v>
      </c>
      <c r="D1624" s="76">
        <v>2014</v>
      </c>
      <c r="E1624" s="56">
        <v>0.8666666666666667</v>
      </c>
      <c r="F1624" s="53">
        <f>IF(E1624&gt;0,1,0)</f>
        <v>1</v>
      </c>
      <c r="G1624" s="53">
        <f>SUM(F1623:F1624)</f>
        <v>2</v>
      </c>
      <c r="H1624" s="53">
        <f>IF(G1624=1,IF(F1623=1,1,-1),G1624)</f>
        <v>2</v>
      </c>
      <c r="I1624" s="53" t="str">
        <f>VLOOKUP(H1624,codes,2,)</f>
        <v>ww</v>
      </c>
      <c r="J1624" s="53"/>
    </row>
    <row r="1625" spans="1:10" x14ac:dyDescent="0.25">
      <c r="A1625" s="93">
        <v>41682</v>
      </c>
      <c r="B1625" s="35">
        <f>C1625+(D1625-2009)*12</f>
        <v>62</v>
      </c>
      <c r="C1625" s="76">
        <v>2</v>
      </c>
      <c r="D1625" s="76">
        <v>2014</v>
      </c>
      <c r="E1625" s="56">
        <v>0.40000000000000008</v>
      </c>
      <c r="F1625" s="53">
        <f>IF(E1625&gt;0,1,0)</f>
        <v>1</v>
      </c>
      <c r="G1625" s="53">
        <f>SUM(F1624:F1625)</f>
        <v>2</v>
      </c>
      <c r="H1625" s="53">
        <f>IF(G1625=1,IF(F1624=1,1,-1),G1625)</f>
        <v>2</v>
      </c>
      <c r="I1625" s="53" t="str">
        <f>VLOOKUP(H1625,codes,2,)</f>
        <v>ww</v>
      </c>
      <c r="J1625" s="53"/>
    </row>
    <row r="1626" spans="1:10" x14ac:dyDescent="0.25">
      <c r="A1626" s="93">
        <v>41683</v>
      </c>
      <c r="B1626" s="35">
        <f>C1626+(D1626-2009)*12</f>
        <v>62</v>
      </c>
      <c r="C1626" s="76">
        <v>2</v>
      </c>
      <c r="D1626" s="76">
        <v>2014</v>
      </c>
      <c r="E1626" s="56">
        <v>6.1333333333333329</v>
      </c>
      <c r="F1626" s="53">
        <f>IF(E1626&gt;0,1,0)</f>
        <v>1</v>
      </c>
      <c r="G1626" s="53">
        <f>SUM(F1625:F1626)</f>
        <v>2</v>
      </c>
      <c r="H1626" s="53">
        <f>IF(G1626=1,IF(F1625=1,1,-1),G1626)</f>
        <v>2</v>
      </c>
      <c r="I1626" s="53" t="str">
        <f>VLOOKUP(H1626,codes,2,)</f>
        <v>ww</v>
      </c>
      <c r="J1626" s="53"/>
    </row>
    <row r="1627" spans="1:10" x14ac:dyDescent="0.25">
      <c r="A1627" s="93">
        <v>41684</v>
      </c>
      <c r="B1627" s="35">
        <f>C1627+(D1627-2009)*12</f>
        <v>62</v>
      </c>
      <c r="C1627" s="76">
        <v>2</v>
      </c>
      <c r="D1627" s="76">
        <v>2014</v>
      </c>
      <c r="E1627" s="56">
        <v>0</v>
      </c>
      <c r="F1627" s="53">
        <f>IF(E1627&gt;0,1,0)</f>
        <v>0</v>
      </c>
      <c r="G1627" s="53">
        <f>SUM(F1626:F1627)</f>
        <v>1</v>
      </c>
      <c r="H1627" s="53">
        <f>IF(G1627=1,IF(F1626=1,1,-1),G1627)</f>
        <v>1</v>
      </c>
      <c r="I1627" s="53" t="str">
        <f>VLOOKUP(H1627,codes,2,)</f>
        <v>wd</v>
      </c>
      <c r="J1627" s="53"/>
    </row>
    <row r="1628" spans="1:10" x14ac:dyDescent="0.25">
      <c r="A1628" s="93">
        <v>41685</v>
      </c>
      <c r="B1628" s="35">
        <f>C1628+(D1628-2009)*12</f>
        <v>62</v>
      </c>
      <c r="C1628" s="76">
        <v>2</v>
      </c>
      <c r="D1628" s="76">
        <v>2014</v>
      </c>
      <c r="E1628" s="56">
        <v>13.133333333333335</v>
      </c>
      <c r="F1628" s="53">
        <f>IF(E1628&gt;0,1,0)</f>
        <v>1</v>
      </c>
      <c r="G1628" s="53">
        <f>SUM(F1627:F1628)</f>
        <v>1</v>
      </c>
      <c r="H1628" s="53">
        <f>IF(G1628=1,IF(F1627=1,1,-1),G1628)</f>
        <v>-1</v>
      </c>
      <c r="I1628" s="53" t="str">
        <f>VLOOKUP(H1628,codes,2,)</f>
        <v>dw</v>
      </c>
      <c r="J1628" s="53"/>
    </row>
    <row r="1629" spans="1:10" x14ac:dyDescent="0.25">
      <c r="A1629" s="93">
        <v>41686</v>
      </c>
      <c r="B1629" s="35">
        <f>C1629+(D1629-2009)*12</f>
        <v>62</v>
      </c>
      <c r="C1629" s="76">
        <v>2</v>
      </c>
      <c r="D1629" s="76">
        <v>2014</v>
      </c>
      <c r="E1629" s="56">
        <v>5</v>
      </c>
      <c r="F1629" s="53">
        <f>IF(E1629&gt;0,1,0)</f>
        <v>1</v>
      </c>
      <c r="G1629" s="53">
        <f>SUM(F1628:F1629)</f>
        <v>2</v>
      </c>
      <c r="H1629" s="53">
        <f>IF(G1629=1,IF(F1628=1,1,-1),G1629)</f>
        <v>2</v>
      </c>
      <c r="I1629" s="53" t="str">
        <f>VLOOKUP(H1629,codes,2,)</f>
        <v>ww</v>
      </c>
      <c r="J1629" s="53"/>
    </row>
    <row r="1630" spans="1:10" x14ac:dyDescent="0.25">
      <c r="A1630" s="93">
        <v>41687</v>
      </c>
      <c r="B1630" s="35">
        <f>C1630+(D1630-2009)*12</f>
        <v>62</v>
      </c>
      <c r="C1630" s="76">
        <v>2</v>
      </c>
      <c r="D1630" s="76">
        <v>2014</v>
      </c>
      <c r="E1630" s="56">
        <v>0</v>
      </c>
      <c r="F1630" s="53">
        <f>IF(E1630&gt;0,1,0)</f>
        <v>0</v>
      </c>
      <c r="G1630" s="53">
        <f>SUM(F1629:F1630)</f>
        <v>1</v>
      </c>
      <c r="H1630" s="53">
        <f>IF(G1630=1,IF(F1629=1,1,-1),G1630)</f>
        <v>1</v>
      </c>
      <c r="I1630" s="53" t="str">
        <f>VLOOKUP(H1630,codes,2,)</f>
        <v>wd</v>
      </c>
      <c r="J1630" s="53"/>
    </row>
    <row r="1631" spans="1:10" x14ac:dyDescent="0.25">
      <c r="A1631" s="93">
        <v>41688</v>
      </c>
      <c r="B1631" s="35">
        <f>C1631+(D1631-2009)*12</f>
        <v>62</v>
      </c>
      <c r="C1631" s="76">
        <v>2</v>
      </c>
      <c r="D1631" s="76">
        <v>2014</v>
      </c>
      <c r="E1631" s="56">
        <v>0.33333333333333331</v>
      </c>
      <c r="F1631" s="53">
        <f>IF(E1631&gt;0,1,0)</f>
        <v>1</v>
      </c>
      <c r="G1631" s="53">
        <f>SUM(F1630:F1631)</f>
        <v>1</v>
      </c>
      <c r="H1631" s="53">
        <f>IF(G1631=1,IF(F1630=1,1,-1),G1631)</f>
        <v>-1</v>
      </c>
      <c r="I1631" s="53" t="str">
        <f>VLOOKUP(H1631,codes,2,)</f>
        <v>dw</v>
      </c>
      <c r="J1631" s="53"/>
    </row>
    <row r="1632" spans="1:10" x14ac:dyDescent="0.25">
      <c r="A1632" s="93">
        <v>41689</v>
      </c>
      <c r="B1632" s="35">
        <f>C1632+(D1632-2009)*12</f>
        <v>62</v>
      </c>
      <c r="C1632" s="76">
        <v>2</v>
      </c>
      <c r="D1632" s="76">
        <v>2014</v>
      </c>
      <c r="E1632" s="56">
        <v>1.8</v>
      </c>
      <c r="F1632" s="53">
        <f>IF(E1632&gt;0,1,0)</f>
        <v>1</v>
      </c>
      <c r="G1632" s="53">
        <f>SUM(F1631:F1632)</f>
        <v>2</v>
      </c>
      <c r="H1632" s="53">
        <f>IF(G1632=1,IF(F1631=1,1,-1),G1632)</f>
        <v>2</v>
      </c>
      <c r="I1632" s="53" t="str">
        <f>VLOOKUP(H1632,codes,2,)</f>
        <v>ww</v>
      </c>
      <c r="J1632" s="53"/>
    </row>
    <row r="1633" spans="1:10" x14ac:dyDescent="0.25">
      <c r="A1633" s="93">
        <v>41690</v>
      </c>
      <c r="B1633" s="35">
        <f>C1633+(D1633-2009)*12</f>
        <v>62</v>
      </c>
      <c r="C1633" s="76">
        <v>2</v>
      </c>
      <c r="D1633" s="76">
        <v>2014</v>
      </c>
      <c r="E1633" s="56">
        <v>2.1999999999999997</v>
      </c>
      <c r="F1633" s="53">
        <f>IF(E1633&gt;0,1,0)</f>
        <v>1</v>
      </c>
      <c r="G1633" s="53">
        <f>SUM(F1632:F1633)</f>
        <v>2</v>
      </c>
      <c r="H1633" s="53">
        <f>IF(G1633=1,IF(F1632=1,1,-1),G1633)</f>
        <v>2</v>
      </c>
      <c r="I1633" s="53" t="str">
        <f>VLOOKUP(H1633,codes,2,)</f>
        <v>ww</v>
      </c>
      <c r="J1633" s="53"/>
    </row>
    <row r="1634" spans="1:10" x14ac:dyDescent="0.25">
      <c r="A1634" s="93">
        <v>41691</v>
      </c>
      <c r="B1634" s="35">
        <f>C1634+(D1634-2009)*12</f>
        <v>62</v>
      </c>
      <c r="C1634" s="76">
        <v>2</v>
      </c>
      <c r="D1634" s="76">
        <v>2014</v>
      </c>
      <c r="E1634" s="56">
        <v>0</v>
      </c>
      <c r="F1634" s="53">
        <f>IF(E1634&gt;0,1,0)</f>
        <v>0</v>
      </c>
      <c r="G1634" s="53">
        <f>SUM(F1633:F1634)</f>
        <v>1</v>
      </c>
      <c r="H1634" s="53">
        <f>IF(G1634=1,IF(F1633=1,1,-1),G1634)</f>
        <v>1</v>
      </c>
      <c r="I1634" s="53" t="str">
        <f>VLOOKUP(H1634,codes,2,)</f>
        <v>wd</v>
      </c>
      <c r="J1634" s="53"/>
    </row>
    <row r="1635" spans="1:10" x14ac:dyDescent="0.25">
      <c r="A1635" s="93">
        <v>41692</v>
      </c>
      <c r="B1635" s="35">
        <f>C1635+(D1635-2009)*12</f>
        <v>62</v>
      </c>
      <c r="C1635" s="76">
        <v>2</v>
      </c>
      <c r="D1635" s="76">
        <v>2014</v>
      </c>
      <c r="E1635" s="56">
        <v>6.6666666666666666E-2</v>
      </c>
      <c r="F1635" s="53">
        <f>IF(E1635&gt;0,1,0)</f>
        <v>1</v>
      </c>
      <c r="G1635" s="53">
        <f>SUM(F1634:F1635)</f>
        <v>1</v>
      </c>
      <c r="H1635" s="53">
        <f>IF(G1635=1,IF(F1634=1,1,-1),G1635)</f>
        <v>-1</v>
      </c>
      <c r="I1635" s="53" t="str">
        <f>VLOOKUP(H1635,codes,2,)</f>
        <v>dw</v>
      </c>
      <c r="J1635" s="53"/>
    </row>
    <row r="1636" spans="1:10" x14ac:dyDescent="0.25">
      <c r="A1636" s="93">
        <v>41693</v>
      </c>
      <c r="B1636" s="35">
        <f>C1636+(D1636-2009)*12</f>
        <v>62</v>
      </c>
      <c r="C1636" s="76">
        <v>2</v>
      </c>
      <c r="D1636" s="76">
        <v>2014</v>
      </c>
      <c r="E1636" s="56">
        <v>0</v>
      </c>
      <c r="F1636" s="53">
        <f>IF(E1636&gt;0,1,0)</f>
        <v>0</v>
      </c>
      <c r="G1636" s="53">
        <f>SUM(F1635:F1636)</f>
        <v>1</v>
      </c>
      <c r="H1636" s="53">
        <f>IF(G1636=1,IF(F1635=1,1,-1),G1636)</f>
        <v>1</v>
      </c>
      <c r="I1636" s="53" t="str">
        <f>VLOOKUP(H1636,codes,2,)</f>
        <v>wd</v>
      </c>
      <c r="J1636" s="53"/>
    </row>
    <row r="1637" spans="1:10" x14ac:dyDescent="0.25">
      <c r="A1637" s="93">
        <v>41694</v>
      </c>
      <c r="B1637" s="35">
        <f>C1637+(D1637-2009)*12</f>
        <v>62</v>
      </c>
      <c r="C1637" s="76">
        <v>2</v>
      </c>
      <c r="D1637" s="76">
        <v>2014</v>
      </c>
      <c r="E1637" s="56">
        <v>0</v>
      </c>
      <c r="F1637" s="53">
        <f>IF(E1637&gt;0,1,0)</f>
        <v>0</v>
      </c>
      <c r="G1637" s="53">
        <f>SUM(F1636:F1637)</f>
        <v>0</v>
      </c>
      <c r="H1637" s="53">
        <f>IF(G1637=1,IF(F1636=1,1,-1),G1637)</f>
        <v>0</v>
      </c>
      <c r="I1637" s="53" t="str">
        <f>VLOOKUP(H1637,codes,2,)</f>
        <v>dd</v>
      </c>
      <c r="J1637" s="53"/>
    </row>
    <row r="1638" spans="1:10" x14ac:dyDescent="0.25">
      <c r="A1638" s="93">
        <v>41695</v>
      </c>
      <c r="B1638" s="35">
        <f>C1638+(D1638-2009)*12</f>
        <v>62</v>
      </c>
      <c r="C1638" s="76">
        <v>2</v>
      </c>
      <c r="D1638" s="76">
        <v>2014</v>
      </c>
      <c r="E1638" s="56">
        <v>6.6666666666666666E-2</v>
      </c>
      <c r="F1638" s="53">
        <f>IF(E1638&gt;0,1,0)</f>
        <v>1</v>
      </c>
      <c r="G1638" s="53">
        <f>SUM(F1637:F1638)</f>
        <v>1</v>
      </c>
      <c r="H1638" s="53">
        <f>IF(G1638=1,IF(F1637=1,1,-1),G1638)</f>
        <v>-1</v>
      </c>
      <c r="I1638" s="53" t="str">
        <f>VLOOKUP(H1638,codes,2,)</f>
        <v>dw</v>
      </c>
      <c r="J1638" s="53"/>
    </row>
    <row r="1639" spans="1:10" x14ac:dyDescent="0.25">
      <c r="A1639" s="93">
        <v>41696</v>
      </c>
      <c r="B1639" s="35">
        <f>C1639+(D1639-2009)*12</f>
        <v>62</v>
      </c>
      <c r="C1639" s="76">
        <v>2</v>
      </c>
      <c r="D1639" s="76">
        <v>2014</v>
      </c>
      <c r="E1639" s="56">
        <v>0</v>
      </c>
      <c r="F1639" s="53">
        <f>IF(E1639&gt;0,1,0)</f>
        <v>0</v>
      </c>
      <c r="G1639" s="53">
        <f>SUM(F1638:F1639)</f>
        <v>1</v>
      </c>
      <c r="H1639" s="53">
        <f>IF(G1639=1,IF(F1638=1,1,-1),G1639)</f>
        <v>1</v>
      </c>
      <c r="I1639" s="53" t="str">
        <f>VLOOKUP(H1639,codes,2,)</f>
        <v>wd</v>
      </c>
      <c r="J1639" s="53"/>
    </row>
    <row r="1640" spans="1:10" x14ac:dyDescent="0.25">
      <c r="A1640" s="93">
        <v>41697</v>
      </c>
      <c r="B1640" s="35">
        <f>C1640+(D1640-2009)*12</f>
        <v>62</v>
      </c>
      <c r="C1640" s="76">
        <v>2</v>
      </c>
      <c r="D1640" s="76">
        <v>2014</v>
      </c>
      <c r="E1640" s="56">
        <v>1.2</v>
      </c>
      <c r="F1640" s="53">
        <f>IF(E1640&gt;0,1,0)</f>
        <v>1</v>
      </c>
      <c r="G1640" s="53">
        <f>SUM(F1639:F1640)</f>
        <v>1</v>
      </c>
      <c r="H1640" s="53">
        <f>IF(G1640=1,IF(F1639=1,1,-1),G1640)</f>
        <v>-1</v>
      </c>
      <c r="I1640" s="53" t="str">
        <f>VLOOKUP(H1640,codes,2,)</f>
        <v>dw</v>
      </c>
      <c r="J1640" s="53"/>
    </row>
    <row r="1641" spans="1:10" x14ac:dyDescent="0.25">
      <c r="A1641" s="93">
        <v>41698</v>
      </c>
      <c r="B1641" s="35">
        <f>C1641+(D1641-2009)*12</f>
        <v>62</v>
      </c>
      <c r="C1641" s="76">
        <v>2</v>
      </c>
      <c r="D1641" s="76">
        <v>2014</v>
      </c>
      <c r="E1641" s="56">
        <v>6.6666666666666666E-2</v>
      </c>
      <c r="F1641" s="53">
        <f>IF(E1641&gt;0,1,0)</f>
        <v>1</v>
      </c>
      <c r="G1641" s="53">
        <f>SUM(F1640:F1641)</f>
        <v>2</v>
      </c>
      <c r="H1641" s="53">
        <f>IF(G1641=1,IF(F1640=1,1,-1),G1641)</f>
        <v>2</v>
      </c>
      <c r="I1641" s="53" t="str">
        <f>VLOOKUP(H1641,codes,2,)</f>
        <v>ww</v>
      </c>
      <c r="J1641" s="53"/>
    </row>
    <row r="1642" spans="1:10" x14ac:dyDescent="0.25">
      <c r="A1642" s="93">
        <v>41699</v>
      </c>
      <c r="B1642" s="35">
        <f>C1642+(D1642-2009)*12</f>
        <v>62</v>
      </c>
      <c r="C1642" s="76">
        <v>2</v>
      </c>
      <c r="D1642" s="76">
        <v>2014</v>
      </c>
      <c r="E1642" s="56">
        <v>0</v>
      </c>
      <c r="F1642" s="53">
        <f>IF(E1642&gt;0,1,0)</f>
        <v>0</v>
      </c>
      <c r="G1642" s="53">
        <f>SUM(F1641:F1642)</f>
        <v>1</v>
      </c>
      <c r="H1642" s="53">
        <f>IF(G1642=1,IF(F1641=1,1,-1),G1642)</f>
        <v>1</v>
      </c>
      <c r="I1642" s="53" t="str">
        <f>VLOOKUP(H1642,codes,2,)</f>
        <v>wd</v>
      </c>
      <c r="J1642" s="53"/>
    </row>
    <row r="1643" spans="1:10" x14ac:dyDescent="0.25">
      <c r="A1643" s="93">
        <v>41700</v>
      </c>
      <c r="B1643" s="35">
        <f>C1643+(D1643-2009)*12</f>
        <v>62</v>
      </c>
      <c r="C1643" s="76">
        <v>2</v>
      </c>
      <c r="D1643" s="76">
        <v>2014</v>
      </c>
      <c r="E1643" s="56">
        <v>1.1333333333333331</v>
      </c>
      <c r="F1643" s="53">
        <f>IF(E1643&gt;0,1,0)</f>
        <v>1</v>
      </c>
      <c r="G1643" s="53">
        <f>SUM(F1642:F1643)</f>
        <v>1</v>
      </c>
      <c r="H1643" s="53">
        <f>IF(G1643=1,IF(F1642=1,1,-1),G1643)</f>
        <v>-1</v>
      </c>
      <c r="I1643" s="53" t="str">
        <f>VLOOKUP(H1643,codes,2,)</f>
        <v>dw</v>
      </c>
      <c r="J1643" s="53"/>
    </row>
    <row r="1644" spans="1:10" x14ac:dyDescent="0.25">
      <c r="A1644" s="93">
        <v>42038</v>
      </c>
      <c r="B1644" s="35">
        <f>C1644+(D1644-2009)*12</f>
        <v>74</v>
      </c>
      <c r="C1644" s="76">
        <v>2</v>
      </c>
      <c r="D1644" s="76">
        <v>2015</v>
      </c>
      <c r="E1644" s="56">
        <v>6.6666666666666666E-2</v>
      </c>
      <c r="F1644" s="53">
        <f>IF(E1644&gt;0,1,0)</f>
        <v>1</v>
      </c>
      <c r="G1644" s="53">
        <f>SUM(F1643:F1644)</f>
        <v>2</v>
      </c>
      <c r="H1644" s="53">
        <f>IF(G1644=1,IF(F1643=1,1,-1),G1644)</f>
        <v>2</v>
      </c>
      <c r="I1644" s="53" t="str">
        <f>VLOOKUP(H1644,codes,2,)</f>
        <v>ww</v>
      </c>
      <c r="J1644" s="53"/>
    </row>
    <row r="1645" spans="1:10" x14ac:dyDescent="0.25">
      <c r="A1645" s="93">
        <v>42039</v>
      </c>
      <c r="B1645" s="35">
        <f>C1645+(D1645-2009)*12</f>
        <v>74</v>
      </c>
      <c r="C1645" s="76">
        <v>2</v>
      </c>
      <c r="D1645" s="76">
        <v>2015</v>
      </c>
      <c r="E1645" s="56">
        <v>0.93333333333333324</v>
      </c>
      <c r="F1645" s="53">
        <f>IF(E1645&gt;0,1,0)</f>
        <v>1</v>
      </c>
      <c r="G1645" s="53">
        <f>SUM(F1644:F1645)</f>
        <v>2</v>
      </c>
      <c r="H1645" s="53">
        <f>IF(G1645=1,IF(F1644=1,1,-1),G1645)</f>
        <v>2</v>
      </c>
      <c r="I1645" s="53" t="str">
        <f>VLOOKUP(H1645,codes,2,)</f>
        <v>ww</v>
      </c>
      <c r="J1645" s="53"/>
    </row>
    <row r="1646" spans="1:10" x14ac:dyDescent="0.25">
      <c r="A1646" s="93">
        <v>42040</v>
      </c>
      <c r="B1646" s="35">
        <f>C1646+(D1646-2009)*12</f>
        <v>74</v>
      </c>
      <c r="C1646" s="76">
        <v>2</v>
      </c>
      <c r="D1646" s="76">
        <v>2015</v>
      </c>
      <c r="E1646" s="56">
        <v>0.73333333333333328</v>
      </c>
      <c r="F1646" s="53">
        <f>IF(E1646&gt;0,1,0)</f>
        <v>1</v>
      </c>
      <c r="G1646" s="53">
        <f>SUM(F1645:F1646)</f>
        <v>2</v>
      </c>
      <c r="H1646" s="53">
        <f>IF(G1646=1,IF(F1645=1,1,-1),G1646)</f>
        <v>2</v>
      </c>
      <c r="I1646" s="53" t="str">
        <f>VLOOKUP(H1646,codes,2,)</f>
        <v>ww</v>
      </c>
      <c r="J1646" s="53"/>
    </row>
    <row r="1647" spans="1:10" x14ac:dyDescent="0.25">
      <c r="A1647" s="93">
        <v>42041</v>
      </c>
      <c r="B1647" s="35">
        <f>C1647+(D1647-2009)*12</f>
        <v>74</v>
      </c>
      <c r="C1647" s="76">
        <v>2</v>
      </c>
      <c r="D1647" s="76">
        <v>2015</v>
      </c>
      <c r="E1647" s="56">
        <v>2</v>
      </c>
      <c r="F1647" s="53">
        <f>IF(E1647&gt;0,1,0)</f>
        <v>1</v>
      </c>
      <c r="G1647" s="53">
        <f>SUM(F1646:F1647)</f>
        <v>2</v>
      </c>
      <c r="H1647" s="53">
        <f>IF(G1647=1,IF(F1646=1,1,-1),G1647)</f>
        <v>2</v>
      </c>
      <c r="I1647" s="53" t="str">
        <f>VLOOKUP(H1647,codes,2,)</f>
        <v>ww</v>
      </c>
      <c r="J1647" s="53"/>
    </row>
    <row r="1648" spans="1:10" x14ac:dyDescent="0.25">
      <c r="A1648" s="93">
        <v>42042</v>
      </c>
      <c r="B1648" s="35">
        <f>C1648+(D1648-2009)*12</f>
        <v>74</v>
      </c>
      <c r="C1648" s="76">
        <v>2</v>
      </c>
      <c r="D1648" s="76">
        <v>2015</v>
      </c>
      <c r="E1648" s="56">
        <v>6.6666666666666666E-2</v>
      </c>
      <c r="F1648" s="53">
        <f>IF(E1648&gt;0,1,0)</f>
        <v>1</v>
      </c>
      <c r="G1648" s="53">
        <f>SUM(F1647:F1648)</f>
        <v>2</v>
      </c>
      <c r="H1648" s="53">
        <f>IF(G1648=1,IF(F1647=1,1,-1),G1648)</f>
        <v>2</v>
      </c>
      <c r="I1648" s="53" t="str">
        <f>VLOOKUP(H1648,codes,2,)</f>
        <v>ww</v>
      </c>
      <c r="J1648" s="53"/>
    </row>
    <row r="1649" spans="1:10" x14ac:dyDescent="0.25">
      <c r="A1649" s="93">
        <v>42043</v>
      </c>
      <c r="B1649" s="35">
        <f>C1649+(D1649-2009)*12</f>
        <v>74</v>
      </c>
      <c r="C1649" s="76">
        <v>2</v>
      </c>
      <c r="D1649" s="76">
        <v>2015</v>
      </c>
      <c r="E1649" s="56">
        <v>6.6666666666666666E-2</v>
      </c>
      <c r="F1649" s="53">
        <f>IF(E1649&gt;0,1,0)</f>
        <v>1</v>
      </c>
      <c r="G1649" s="53">
        <f>SUM(F1648:F1649)</f>
        <v>2</v>
      </c>
      <c r="H1649" s="53">
        <f>IF(G1649=1,IF(F1648=1,1,-1),G1649)</f>
        <v>2</v>
      </c>
      <c r="I1649" s="53" t="str">
        <f>VLOOKUP(H1649,codes,2,)</f>
        <v>ww</v>
      </c>
      <c r="J1649" s="53"/>
    </row>
    <row r="1650" spans="1:10" x14ac:dyDescent="0.25">
      <c r="A1650" s="93">
        <v>42044</v>
      </c>
      <c r="B1650" s="35">
        <f>C1650+(D1650-2009)*12</f>
        <v>74</v>
      </c>
      <c r="C1650" s="76">
        <v>2</v>
      </c>
      <c r="D1650" s="76">
        <v>2015</v>
      </c>
      <c r="E1650" s="56">
        <v>6.6666666666666666E-2</v>
      </c>
      <c r="F1650" s="53">
        <f>IF(E1650&gt;0,1,0)</f>
        <v>1</v>
      </c>
      <c r="G1650" s="53">
        <f>SUM(F1649:F1650)</f>
        <v>2</v>
      </c>
      <c r="H1650" s="53">
        <f>IF(G1650=1,IF(F1649=1,1,-1),G1650)</f>
        <v>2</v>
      </c>
      <c r="I1650" s="53" t="str">
        <f>VLOOKUP(H1650,codes,2,)</f>
        <v>ww</v>
      </c>
      <c r="J1650" s="53"/>
    </row>
    <row r="1651" spans="1:10" x14ac:dyDescent="0.25">
      <c r="A1651" s="93">
        <v>42045</v>
      </c>
      <c r="B1651" s="35">
        <f>C1651+(D1651-2009)*12</f>
        <v>74</v>
      </c>
      <c r="C1651" s="76">
        <v>2</v>
      </c>
      <c r="D1651" s="76">
        <v>2015</v>
      </c>
      <c r="E1651" s="56">
        <v>0</v>
      </c>
      <c r="F1651" s="53">
        <f>IF(E1651&gt;0,1,0)</f>
        <v>0</v>
      </c>
      <c r="G1651" s="53">
        <f>SUM(F1650:F1651)</f>
        <v>1</v>
      </c>
      <c r="H1651" s="53">
        <f>IF(G1651=1,IF(F1650=1,1,-1),G1651)</f>
        <v>1</v>
      </c>
      <c r="I1651" s="53" t="str">
        <f>VLOOKUP(H1651,codes,2,)</f>
        <v>wd</v>
      </c>
      <c r="J1651" s="53"/>
    </row>
    <row r="1652" spans="1:10" x14ac:dyDescent="0.25">
      <c r="A1652" s="93">
        <v>42046</v>
      </c>
      <c r="B1652" s="35">
        <f>C1652+(D1652-2009)*12</f>
        <v>74</v>
      </c>
      <c r="C1652" s="76">
        <v>2</v>
      </c>
      <c r="D1652" s="76">
        <v>2015</v>
      </c>
      <c r="E1652" s="56">
        <v>0</v>
      </c>
      <c r="F1652" s="53">
        <f>IF(E1652&gt;0,1,0)</f>
        <v>0</v>
      </c>
      <c r="G1652" s="53">
        <f>SUM(F1651:F1652)</f>
        <v>0</v>
      </c>
      <c r="H1652" s="53">
        <f>IF(G1652=1,IF(F1651=1,1,-1),G1652)</f>
        <v>0</v>
      </c>
      <c r="I1652" s="53" t="str">
        <f>VLOOKUP(H1652,codes,2,)</f>
        <v>dd</v>
      </c>
      <c r="J1652" s="53"/>
    </row>
    <row r="1653" spans="1:10" x14ac:dyDescent="0.25">
      <c r="A1653" s="93">
        <v>42047</v>
      </c>
      <c r="B1653" s="35">
        <f>C1653+(D1653-2009)*12</f>
        <v>74</v>
      </c>
      <c r="C1653" s="76">
        <v>2</v>
      </c>
      <c r="D1653" s="76">
        <v>2015</v>
      </c>
      <c r="E1653" s="56">
        <v>0</v>
      </c>
      <c r="F1653" s="53">
        <f>IF(E1653&gt;0,1,0)</f>
        <v>0</v>
      </c>
      <c r="G1653" s="53">
        <f>SUM(F1652:F1653)</f>
        <v>0</v>
      </c>
      <c r="H1653" s="53">
        <f>IF(G1653=1,IF(F1652=1,1,-1),G1653)</f>
        <v>0</v>
      </c>
      <c r="I1653" s="53" t="str">
        <f>VLOOKUP(H1653,codes,2,)</f>
        <v>dd</v>
      </c>
      <c r="J1653" s="53"/>
    </row>
    <row r="1654" spans="1:10" x14ac:dyDescent="0.25">
      <c r="A1654" s="93">
        <v>42048</v>
      </c>
      <c r="B1654" s="35">
        <f>C1654+(D1654-2009)*12</f>
        <v>74</v>
      </c>
      <c r="C1654" s="76">
        <v>2</v>
      </c>
      <c r="D1654" s="76">
        <v>2015</v>
      </c>
      <c r="E1654" s="56">
        <v>0</v>
      </c>
      <c r="F1654" s="53">
        <f>IF(E1654&gt;0,1,0)</f>
        <v>0</v>
      </c>
      <c r="G1654" s="53">
        <f>SUM(F1653:F1654)</f>
        <v>0</v>
      </c>
      <c r="H1654" s="53">
        <f>IF(G1654=1,IF(F1653=1,1,-1),G1654)</f>
        <v>0</v>
      </c>
      <c r="I1654" s="53" t="str">
        <f>VLOOKUP(H1654,codes,2,)</f>
        <v>dd</v>
      </c>
      <c r="J1654" s="53"/>
    </row>
    <row r="1655" spans="1:10" x14ac:dyDescent="0.25">
      <c r="A1655" s="93">
        <v>42049</v>
      </c>
      <c r="B1655" s="35">
        <f>C1655+(D1655-2009)*12</f>
        <v>74</v>
      </c>
      <c r="C1655" s="76">
        <v>2</v>
      </c>
      <c r="D1655" s="76">
        <v>2015</v>
      </c>
      <c r="E1655" s="56">
        <v>6.6666666666666666E-2</v>
      </c>
      <c r="F1655" s="53">
        <f>IF(E1655&gt;0,1,0)</f>
        <v>1</v>
      </c>
      <c r="G1655" s="53">
        <f>SUM(F1654:F1655)</f>
        <v>1</v>
      </c>
      <c r="H1655" s="53">
        <f>IF(G1655=1,IF(F1654=1,1,-1),G1655)</f>
        <v>-1</v>
      </c>
      <c r="I1655" s="53" t="str">
        <f>VLOOKUP(H1655,codes,2,)</f>
        <v>dw</v>
      </c>
      <c r="J1655" s="53"/>
    </row>
    <row r="1656" spans="1:10" x14ac:dyDescent="0.25">
      <c r="A1656" s="93">
        <v>42050</v>
      </c>
      <c r="B1656" s="35">
        <f>C1656+(D1656-2009)*12</f>
        <v>74</v>
      </c>
      <c r="C1656" s="76">
        <v>2</v>
      </c>
      <c r="D1656" s="76">
        <v>2015</v>
      </c>
      <c r="E1656" s="56">
        <v>6.6666666666666666E-2</v>
      </c>
      <c r="F1656" s="53">
        <f>IF(E1656&gt;0,1,0)</f>
        <v>1</v>
      </c>
      <c r="G1656" s="53">
        <f>SUM(F1655:F1656)</f>
        <v>2</v>
      </c>
      <c r="H1656" s="53">
        <f>IF(G1656=1,IF(F1655=1,1,-1),G1656)</f>
        <v>2</v>
      </c>
      <c r="I1656" s="53" t="str">
        <f>VLOOKUP(H1656,codes,2,)</f>
        <v>ww</v>
      </c>
      <c r="J1656" s="53"/>
    </row>
    <row r="1657" spans="1:10" x14ac:dyDescent="0.25">
      <c r="A1657" s="93">
        <v>42051</v>
      </c>
      <c r="B1657" s="35">
        <f>C1657+(D1657-2009)*12</f>
        <v>74</v>
      </c>
      <c r="C1657" s="76">
        <v>2</v>
      </c>
      <c r="D1657" s="76">
        <v>2015</v>
      </c>
      <c r="E1657" s="56">
        <v>1.2</v>
      </c>
      <c r="F1657" s="53">
        <f>IF(E1657&gt;0,1,0)</f>
        <v>1</v>
      </c>
      <c r="G1657" s="53">
        <f>SUM(F1656:F1657)</f>
        <v>2</v>
      </c>
      <c r="H1657" s="53">
        <f>IF(G1657=1,IF(F1656=1,1,-1),G1657)</f>
        <v>2</v>
      </c>
      <c r="I1657" s="53" t="str">
        <f>VLOOKUP(H1657,codes,2,)</f>
        <v>ww</v>
      </c>
      <c r="J1657" s="53"/>
    </row>
    <row r="1658" spans="1:10" x14ac:dyDescent="0.25">
      <c r="A1658" s="93">
        <v>42052</v>
      </c>
      <c r="B1658" s="35">
        <f>C1658+(D1658-2009)*12</f>
        <v>74</v>
      </c>
      <c r="C1658" s="76">
        <v>2</v>
      </c>
      <c r="D1658" s="76">
        <v>2015</v>
      </c>
      <c r="E1658" s="56">
        <v>6.6666666666666666E-2</v>
      </c>
      <c r="F1658" s="53">
        <f>IF(E1658&gt;0,1,0)</f>
        <v>1</v>
      </c>
      <c r="G1658" s="53">
        <f>SUM(F1657:F1658)</f>
        <v>2</v>
      </c>
      <c r="H1658" s="53">
        <f>IF(G1658=1,IF(F1657=1,1,-1),G1658)</f>
        <v>2</v>
      </c>
      <c r="I1658" s="53" t="str">
        <f>VLOOKUP(H1658,codes,2,)</f>
        <v>ww</v>
      </c>
      <c r="J1658" s="53"/>
    </row>
    <row r="1659" spans="1:10" x14ac:dyDescent="0.25">
      <c r="A1659" s="93">
        <v>42053</v>
      </c>
      <c r="B1659" s="35">
        <f>C1659+(D1659-2009)*12</f>
        <v>74</v>
      </c>
      <c r="C1659" s="76">
        <v>2</v>
      </c>
      <c r="D1659" s="76">
        <v>2015</v>
      </c>
      <c r="E1659" s="56">
        <v>6.6666666666666666E-2</v>
      </c>
      <c r="F1659" s="53">
        <f>IF(E1659&gt;0,1,0)</f>
        <v>1</v>
      </c>
      <c r="G1659" s="53">
        <f>SUM(F1658:F1659)</f>
        <v>2</v>
      </c>
      <c r="H1659" s="53">
        <f>IF(G1659=1,IF(F1658=1,1,-1),G1659)</f>
        <v>2</v>
      </c>
      <c r="I1659" s="53" t="str">
        <f>VLOOKUP(H1659,codes,2,)</f>
        <v>ww</v>
      </c>
      <c r="J1659" s="53"/>
    </row>
    <row r="1660" spans="1:10" x14ac:dyDescent="0.25">
      <c r="A1660" s="93">
        <v>42054</v>
      </c>
      <c r="B1660" s="35">
        <f>C1660+(D1660-2009)*12</f>
        <v>74</v>
      </c>
      <c r="C1660" s="76">
        <v>2</v>
      </c>
      <c r="D1660" s="76">
        <v>2015</v>
      </c>
      <c r="E1660" s="56">
        <v>0</v>
      </c>
      <c r="F1660" s="53">
        <f>IF(E1660&gt;0,1,0)</f>
        <v>0</v>
      </c>
      <c r="G1660" s="53">
        <f>SUM(F1659:F1660)</f>
        <v>1</v>
      </c>
      <c r="H1660" s="53">
        <f>IF(G1660=1,IF(F1659=1,1,-1),G1660)</f>
        <v>1</v>
      </c>
      <c r="I1660" s="53" t="str">
        <f>VLOOKUP(H1660,codes,2,)</f>
        <v>wd</v>
      </c>
      <c r="J1660" s="53"/>
    </row>
    <row r="1661" spans="1:10" x14ac:dyDescent="0.25">
      <c r="A1661" s="93">
        <v>42055</v>
      </c>
      <c r="B1661" s="35">
        <f>C1661+(D1661-2009)*12</f>
        <v>74</v>
      </c>
      <c r="C1661" s="76">
        <v>2</v>
      </c>
      <c r="D1661" s="76">
        <v>2015</v>
      </c>
      <c r="E1661" s="56">
        <v>0</v>
      </c>
      <c r="F1661" s="53">
        <f>IF(E1661&gt;0,1,0)</f>
        <v>0</v>
      </c>
      <c r="G1661" s="53">
        <f>SUM(F1660:F1661)</f>
        <v>0</v>
      </c>
      <c r="H1661" s="53">
        <f>IF(G1661=1,IF(F1660=1,1,-1),G1661)</f>
        <v>0</v>
      </c>
      <c r="I1661" s="53" t="str">
        <f>VLOOKUP(H1661,codes,2,)</f>
        <v>dd</v>
      </c>
      <c r="J1661" s="53"/>
    </row>
    <row r="1662" spans="1:10" x14ac:dyDescent="0.25">
      <c r="A1662" s="93">
        <v>42056</v>
      </c>
      <c r="B1662" s="35">
        <f>C1662+(D1662-2009)*12</f>
        <v>74</v>
      </c>
      <c r="C1662" s="76">
        <v>2</v>
      </c>
      <c r="D1662" s="76">
        <v>2015</v>
      </c>
      <c r="E1662" s="56">
        <v>0</v>
      </c>
      <c r="F1662" s="53">
        <f>IF(E1662&gt;0,1,0)</f>
        <v>0</v>
      </c>
      <c r="G1662" s="53">
        <f>SUM(F1661:F1662)</f>
        <v>0</v>
      </c>
      <c r="H1662" s="53">
        <f>IF(G1662=1,IF(F1661=1,1,-1),G1662)</f>
        <v>0</v>
      </c>
      <c r="I1662" s="53" t="str">
        <f>VLOOKUP(H1662,codes,2,)</f>
        <v>dd</v>
      </c>
      <c r="J1662" s="53"/>
    </row>
    <row r="1663" spans="1:10" x14ac:dyDescent="0.25">
      <c r="A1663" s="93">
        <v>42057</v>
      </c>
      <c r="B1663" s="35">
        <f>C1663+(D1663-2009)*12</f>
        <v>74</v>
      </c>
      <c r="C1663" s="76">
        <v>2</v>
      </c>
      <c r="D1663" s="76">
        <v>2015</v>
      </c>
      <c r="E1663" s="56">
        <v>0.33333333333333331</v>
      </c>
      <c r="F1663" s="53">
        <f>IF(E1663&gt;0,1,0)</f>
        <v>1</v>
      </c>
      <c r="G1663" s="53">
        <f>SUM(F1662:F1663)</f>
        <v>1</v>
      </c>
      <c r="H1663" s="53">
        <f>IF(G1663=1,IF(F1662=1,1,-1),G1663)</f>
        <v>-1</v>
      </c>
      <c r="I1663" s="53" t="str">
        <f>VLOOKUP(H1663,codes,2,)</f>
        <v>dw</v>
      </c>
      <c r="J1663" s="53"/>
    </row>
    <row r="1664" spans="1:10" x14ac:dyDescent="0.25">
      <c r="A1664" s="93">
        <v>42058</v>
      </c>
      <c r="B1664" s="35">
        <f>C1664+(D1664-2009)*12</f>
        <v>74</v>
      </c>
      <c r="C1664" s="76">
        <v>2</v>
      </c>
      <c r="D1664" s="76">
        <v>2015</v>
      </c>
      <c r="E1664" s="56">
        <v>2.8666666666666667</v>
      </c>
      <c r="F1664" s="53">
        <f>IF(E1664&gt;0,1,0)</f>
        <v>1</v>
      </c>
      <c r="G1664" s="53">
        <f>SUM(F1663:F1664)</f>
        <v>2</v>
      </c>
      <c r="H1664" s="53">
        <f>IF(G1664=1,IF(F1663=1,1,-1),G1664)</f>
        <v>2</v>
      </c>
      <c r="I1664" s="53" t="str">
        <f>VLOOKUP(H1664,codes,2,)</f>
        <v>ww</v>
      </c>
      <c r="J1664" s="53"/>
    </row>
    <row r="1665" spans="1:10" x14ac:dyDescent="0.25">
      <c r="A1665" s="93">
        <v>42059</v>
      </c>
      <c r="B1665" s="35">
        <f>C1665+(D1665-2009)*12</f>
        <v>74</v>
      </c>
      <c r="C1665" s="76">
        <v>2</v>
      </c>
      <c r="D1665" s="76">
        <v>2015</v>
      </c>
      <c r="E1665" s="56">
        <v>0.26666666666666666</v>
      </c>
      <c r="F1665" s="53">
        <f>IF(E1665&gt;0,1,0)</f>
        <v>1</v>
      </c>
      <c r="G1665" s="53">
        <f>SUM(F1664:F1665)</f>
        <v>2</v>
      </c>
      <c r="H1665" s="53">
        <f>IF(G1665=1,IF(F1664=1,1,-1),G1665)</f>
        <v>2</v>
      </c>
      <c r="I1665" s="53" t="str">
        <f>VLOOKUP(H1665,codes,2,)</f>
        <v>ww</v>
      </c>
      <c r="J1665" s="53"/>
    </row>
    <row r="1666" spans="1:10" x14ac:dyDescent="0.25">
      <c r="A1666" s="93">
        <v>42060</v>
      </c>
      <c r="B1666" s="35">
        <f>C1666+(D1666-2009)*12</f>
        <v>74</v>
      </c>
      <c r="C1666" s="76">
        <v>2</v>
      </c>
      <c r="D1666" s="76">
        <v>2015</v>
      </c>
      <c r="E1666" s="56">
        <v>0.6</v>
      </c>
      <c r="F1666" s="53">
        <f>IF(E1666&gt;0,1,0)</f>
        <v>1</v>
      </c>
      <c r="G1666" s="53">
        <f>SUM(F1665:F1666)</f>
        <v>2</v>
      </c>
      <c r="H1666" s="53">
        <f>IF(G1666=1,IF(F1665=1,1,-1),G1666)</f>
        <v>2</v>
      </c>
      <c r="I1666" s="53" t="str">
        <f>VLOOKUP(H1666,codes,2,)</f>
        <v>ww</v>
      </c>
      <c r="J1666" s="53"/>
    </row>
    <row r="1667" spans="1:10" x14ac:dyDescent="0.25">
      <c r="A1667" s="93">
        <v>42061</v>
      </c>
      <c r="B1667" s="35">
        <f>C1667+(D1667-2009)*12</f>
        <v>74</v>
      </c>
      <c r="C1667" s="76">
        <v>2</v>
      </c>
      <c r="D1667" s="76">
        <v>2015</v>
      </c>
      <c r="E1667" s="56">
        <v>1.9333333333333336</v>
      </c>
      <c r="F1667" s="53">
        <f>IF(E1667&gt;0,1,0)</f>
        <v>1</v>
      </c>
      <c r="G1667" s="53">
        <f>SUM(F1666:F1667)</f>
        <v>2</v>
      </c>
      <c r="H1667" s="53">
        <f>IF(G1667=1,IF(F1666=1,1,-1),G1667)</f>
        <v>2</v>
      </c>
      <c r="I1667" s="53" t="str">
        <f>VLOOKUP(H1667,codes,2,)</f>
        <v>ww</v>
      </c>
      <c r="J1667" s="53"/>
    </row>
    <row r="1668" spans="1:10" x14ac:dyDescent="0.25">
      <c r="A1668" s="93">
        <v>42062</v>
      </c>
      <c r="B1668" s="35">
        <f>C1668+(D1668-2009)*12</f>
        <v>74</v>
      </c>
      <c r="C1668" s="76">
        <v>2</v>
      </c>
      <c r="D1668" s="76">
        <v>2015</v>
      </c>
      <c r="E1668" s="56">
        <v>0.46666666666666662</v>
      </c>
      <c r="F1668" s="53">
        <f>IF(E1668&gt;0,1,0)</f>
        <v>1</v>
      </c>
      <c r="G1668" s="53">
        <f>SUM(F1667:F1668)</f>
        <v>2</v>
      </c>
      <c r="H1668" s="53">
        <f>IF(G1668=1,IF(F1667=1,1,-1),G1668)</f>
        <v>2</v>
      </c>
      <c r="I1668" s="53" t="str">
        <f>VLOOKUP(H1668,codes,2,)</f>
        <v>ww</v>
      </c>
      <c r="J1668" s="53"/>
    </row>
    <row r="1669" spans="1:10" x14ac:dyDescent="0.25">
      <c r="A1669" s="93">
        <v>42063</v>
      </c>
      <c r="B1669" s="35">
        <f>C1669+(D1669-2009)*12</f>
        <v>74</v>
      </c>
      <c r="C1669" s="76">
        <v>2</v>
      </c>
      <c r="D1669" s="76">
        <v>2015</v>
      </c>
      <c r="E1669" s="56">
        <v>6.6666666666666666E-2</v>
      </c>
      <c r="F1669" s="53">
        <f>IF(E1669&gt;0,1,0)</f>
        <v>1</v>
      </c>
      <c r="G1669" s="53">
        <f>SUM(F1668:F1669)</f>
        <v>2</v>
      </c>
      <c r="H1669" s="53">
        <f>IF(G1669=1,IF(F1668=1,1,-1),G1669)</f>
        <v>2</v>
      </c>
      <c r="I1669" s="53" t="str">
        <f>VLOOKUP(H1669,codes,2,)</f>
        <v>ww</v>
      </c>
      <c r="J1669" s="53"/>
    </row>
    <row r="1670" spans="1:10" x14ac:dyDescent="0.25">
      <c r="A1670" s="93">
        <v>42064</v>
      </c>
      <c r="B1670" s="35">
        <f>C1670+(D1670-2009)*12</f>
        <v>74</v>
      </c>
      <c r="C1670" s="76">
        <v>2</v>
      </c>
      <c r="D1670" s="76">
        <v>2015</v>
      </c>
      <c r="E1670" s="56">
        <v>0.40000000000000008</v>
      </c>
      <c r="F1670" s="53">
        <f>IF(E1670&gt;0,1,0)</f>
        <v>1</v>
      </c>
      <c r="G1670" s="53">
        <f>SUM(F1669:F1670)</f>
        <v>2</v>
      </c>
      <c r="H1670" s="53">
        <f>IF(G1670=1,IF(F1669=1,1,-1),G1670)</f>
        <v>2</v>
      </c>
      <c r="I1670" s="53" t="str">
        <f>VLOOKUP(H1670,codes,2,)</f>
        <v>ww</v>
      </c>
      <c r="J1670" s="53"/>
    </row>
    <row r="1671" spans="1:10" x14ac:dyDescent="0.25">
      <c r="A1671" s="93">
        <v>42065</v>
      </c>
      <c r="B1671" s="35">
        <f>C1671+(D1671-2009)*12</f>
        <v>74</v>
      </c>
      <c r="C1671" s="76">
        <v>2</v>
      </c>
      <c r="D1671" s="76">
        <v>2015</v>
      </c>
      <c r="E1671" s="56">
        <v>0</v>
      </c>
      <c r="F1671" s="53">
        <f>IF(E1671&gt;0,1,0)</f>
        <v>0</v>
      </c>
      <c r="G1671" s="53">
        <f>SUM(F1670:F1671)</f>
        <v>1</v>
      </c>
      <c r="H1671" s="53">
        <f>IF(G1671=1,IF(F1670=1,1,-1),G1671)</f>
        <v>1</v>
      </c>
      <c r="I1671" s="53" t="str">
        <f>VLOOKUP(H1671,codes,2,)</f>
        <v>wd</v>
      </c>
      <c r="J1671" s="53"/>
    </row>
    <row r="1672" spans="1:10" x14ac:dyDescent="0.25">
      <c r="A1672" s="93">
        <v>42403</v>
      </c>
      <c r="B1672" s="35">
        <f>C1672+(D1672-2009)*12</f>
        <v>86</v>
      </c>
      <c r="C1672" s="76">
        <v>2</v>
      </c>
      <c r="D1672" s="76">
        <v>2016</v>
      </c>
      <c r="E1672" s="56">
        <v>0</v>
      </c>
      <c r="F1672" s="53">
        <f>IF(E1672&gt;0,1,0)</f>
        <v>0</v>
      </c>
      <c r="G1672" s="53">
        <f>SUM(F1671:F1672)</f>
        <v>0</v>
      </c>
      <c r="H1672" s="53">
        <f>IF(G1672=1,IF(F1671=1,1,-1),G1672)</f>
        <v>0</v>
      </c>
      <c r="I1672" s="53" t="str">
        <f>VLOOKUP(H1672,codes,2,)</f>
        <v>dd</v>
      </c>
      <c r="J1672" s="53"/>
    </row>
    <row r="1673" spans="1:10" x14ac:dyDescent="0.25">
      <c r="A1673" s="93">
        <v>42404</v>
      </c>
      <c r="B1673" s="35">
        <f>C1673+(D1673-2009)*12</f>
        <v>86</v>
      </c>
      <c r="C1673" s="76">
        <v>2</v>
      </c>
      <c r="D1673" s="76">
        <v>2016</v>
      </c>
      <c r="E1673" s="56">
        <v>2.2666666666666666</v>
      </c>
      <c r="F1673" s="53">
        <f>IF(E1673&gt;0,1,0)</f>
        <v>1</v>
      </c>
      <c r="G1673" s="53">
        <f>SUM(F1672:F1673)</f>
        <v>1</v>
      </c>
      <c r="H1673" s="53">
        <f>IF(G1673=1,IF(F1672=1,1,-1),G1673)</f>
        <v>-1</v>
      </c>
      <c r="I1673" s="53" t="str">
        <f>VLOOKUP(H1673,codes,2,)</f>
        <v>dw</v>
      </c>
      <c r="J1673" s="53"/>
    </row>
    <row r="1674" spans="1:10" x14ac:dyDescent="0.25">
      <c r="A1674" s="93">
        <v>42405</v>
      </c>
      <c r="B1674" s="35">
        <f>C1674+(D1674-2009)*12</f>
        <v>86</v>
      </c>
      <c r="C1674" s="76">
        <v>2</v>
      </c>
      <c r="D1674" s="76">
        <v>2016</v>
      </c>
      <c r="E1674" s="56">
        <v>0</v>
      </c>
      <c r="F1674" s="53">
        <f>IF(E1674&gt;0,1,0)</f>
        <v>0</v>
      </c>
      <c r="G1674" s="53">
        <f>SUM(F1673:F1674)</f>
        <v>1</v>
      </c>
      <c r="H1674" s="53">
        <f>IF(G1674=1,IF(F1673=1,1,-1),G1674)</f>
        <v>1</v>
      </c>
      <c r="I1674" s="53" t="str">
        <f>VLOOKUP(H1674,codes,2,)</f>
        <v>wd</v>
      </c>
      <c r="J1674" s="53"/>
    </row>
    <row r="1675" spans="1:10" x14ac:dyDescent="0.25">
      <c r="A1675" s="93">
        <v>42406</v>
      </c>
      <c r="B1675" s="35">
        <f>C1675+(D1675-2009)*12</f>
        <v>86</v>
      </c>
      <c r="C1675" s="76">
        <v>2</v>
      </c>
      <c r="D1675" s="76">
        <v>2016</v>
      </c>
      <c r="E1675" s="56">
        <v>0.26666666666666666</v>
      </c>
      <c r="F1675" s="53">
        <f>IF(E1675&gt;0,1,0)</f>
        <v>1</v>
      </c>
      <c r="G1675" s="53">
        <f>SUM(F1674:F1675)</f>
        <v>1</v>
      </c>
      <c r="H1675" s="53">
        <f>IF(G1675=1,IF(F1674=1,1,-1),G1675)</f>
        <v>-1</v>
      </c>
      <c r="I1675" s="53" t="str">
        <f>VLOOKUP(H1675,codes,2,)</f>
        <v>dw</v>
      </c>
      <c r="J1675" s="53"/>
    </row>
    <row r="1676" spans="1:10" x14ac:dyDescent="0.25">
      <c r="A1676" s="93">
        <v>42407</v>
      </c>
      <c r="B1676" s="35">
        <f>C1676+(D1676-2009)*12</f>
        <v>86</v>
      </c>
      <c r="C1676" s="76">
        <v>2</v>
      </c>
      <c r="D1676" s="76">
        <v>2016</v>
      </c>
      <c r="E1676" s="56">
        <v>1.9333333333333333</v>
      </c>
      <c r="F1676" s="53">
        <f>IF(E1676&gt;0,1,0)</f>
        <v>1</v>
      </c>
      <c r="G1676" s="53">
        <f>SUM(F1675:F1676)</f>
        <v>2</v>
      </c>
      <c r="H1676" s="53">
        <f>IF(G1676=1,IF(F1675=1,1,-1),G1676)</f>
        <v>2</v>
      </c>
      <c r="I1676" s="53" t="str">
        <f>VLOOKUP(H1676,codes,2,)</f>
        <v>ww</v>
      </c>
      <c r="J1676" s="53"/>
    </row>
    <row r="1677" spans="1:10" x14ac:dyDescent="0.25">
      <c r="A1677" s="93">
        <v>42408</v>
      </c>
      <c r="B1677" s="35">
        <f>C1677+(D1677-2009)*12</f>
        <v>86</v>
      </c>
      <c r="C1677" s="76">
        <v>2</v>
      </c>
      <c r="D1677" s="76">
        <v>2016</v>
      </c>
      <c r="E1677" s="56">
        <v>6.6666666666666666E-2</v>
      </c>
      <c r="F1677" s="53">
        <f>IF(E1677&gt;0,1,0)</f>
        <v>1</v>
      </c>
      <c r="G1677" s="53">
        <f>SUM(F1676:F1677)</f>
        <v>2</v>
      </c>
      <c r="H1677" s="53">
        <f>IF(G1677=1,IF(F1676=1,1,-1),G1677)</f>
        <v>2</v>
      </c>
      <c r="I1677" s="53" t="str">
        <f>VLOOKUP(H1677,codes,2,)</f>
        <v>ww</v>
      </c>
      <c r="J1677" s="53"/>
    </row>
    <row r="1678" spans="1:10" x14ac:dyDescent="0.25">
      <c r="A1678" s="93">
        <v>42409</v>
      </c>
      <c r="B1678" s="35">
        <f>C1678+(D1678-2009)*12</f>
        <v>86</v>
      </c>
      <c r="C1678" s="76">
        <v>2</v>
      </c>
      <c r="D1678" s="76">
        <v>2016</v>
      </c>
      <c r="E1678" s="56">
        <v>0.20000000000000004</v>
      </c>
      <c r="F1678" s="53">
        <f>IF(E1678&gt;0,1,0)</f>
        <v>1</v>
      </c>
      <c r="G1678" s="53">
        <f>SUM(F1677:F1678)</f>
        <v>2</v>
      </c>
      <c r="H1678" s="53">
        <f>IF(G1678=1,IF(F1677=1,1,-1),G1678)</f>
        <v>2</v>
      </c>
      <c r="I1678" s="53" t="str">
        <f>VLOOKUP(H1678,codes,2,)</f>
        <v>ww</v>
      </c>
      <c r="J1678" s="53"/>
    </row>
    <row r="1679" spans="1:10" x14ac:dyDescent="0.25">
      <c r="A1679" s="93">
        <v>42410</v>
      </c>
      <c r="B1679" s="35">
        <f>C1679+(D1679-2009)*12</f>
        <v>86</v>
      </c>
      <c r="C1679" s="76">
        <v>2</v>
      </c>
      <c r="D1679" s="76">
        <v>2016</v>
      </c>
      <c r="E1679" s="56">
        <v>6.6666666666666666E-2</v>
      </c>
      <c r="F1679" s="53">
        <f>IF(E1679&gt;0,1,0)</f>
        <v>1</v>
      </c>
      <c r="G1679" s="53">
        <f>SUM(F1678:F1679)</f>
        <v>2</v>
      </c>
      <c r="H1679" s="53">
        <f>IF(G1679=1,IF(F1678=1,1,-1),G1679)</f>
        <v>2</v>
      </c>
      <c r="I1679" s="53" t="str">
        <f>VLOOKUP(H1679,codes,2,)</f>
        <v>ww</v>
      </c>
      <c r="J1679" s="53"/>
    </row>
    <row r="1680" spans="1:10" x14ac:dyDescent="0.25">
      <c r="A1680" s="93">
        <v>42411</v>
      </c>
      <c r="B1680" s="35">
        <f>C1680+(D1680-2009)*12</f>
        <v>86</v>
      </c>
      <c r="C1680" s="76">
        <v>2</v>
      </c>
      <c r="D1680" s="76">
        <v>2016</v>
      </c>
      <c r="E1680" s="56">
        <v>0</v>
      </c>
      <c r="F1680" s="53">
        <f>IF(E1680&gt;0,1,0)</f>
        <v>0</v>
      </c>
      <c r="G1680" s="53">
        <f>SUM(F1679:F1680)</f>
        <v>1</v>
      </c>
      <c r="H1680" s="53">
        <f>IF(G1680=1,IF(F1679=1,1,-1),G1680)</f>
        <v>1</v>
      </c>
      <c r="I1680" s="53" t="str">
        <f>VLOOKUP(H1680,codes,2,)</f>
        <v>wd</v>
      </c>
      <c r="J1680" s="53"/>
    </row>
    <row r="1681" spans="1:10" x14ac:dyDescent="0.25">
      <c r="A1681" s="93">
        <v>42412</v>
      </c>
      <c r="B1681" s="35">
        <f>C1681+(D1681-2009)*12</f>
        <v>86</v>
      </c>
      <c r="C1681" s="76">
        <v>2</v>
      </c>
      <c r="D1681" s="76">
        <v>2016</v>
      </c>
      <c r="E1681" s="56">
        <v>0</v>
      </c>
      <c r="F1681" s="53">
        <f>IF(E1681&gt;0,1,0)</f>
        <v>0</v>
      </c>
      <c r="G1681" s="53">
        <f>SUM(F1680:F1681)</f>
        <v>0</v>
      </c>
      <c r="H1681" s="53">
        <f>IF(G1681=1,IF(F1680=1,1,-1),G1681)</f>
        <v>0</v>
      </c>
      <c r="I1681" s="53" t="str">
        <f>VLOOKUP(H1681,codes,2,)</f>
        <v>dd</v>
      </c>
      <c r="J1681" s="53"/>
    </row>
    <row r="1682" spans="1:10" x14ac:dyDescent="0.25">
      <c r="A1682" s="93">
        <v>42413</v>
      </c>
      <c r="B1682" s="35">
        <f>C1682+(D1682-2009)*12</f>
        <v>86</v>
      </c>
      <c r="C1682" s="76">
        <v>2</v>
      </c>
      <c r="D1682" s="76">
        <v>2016</v>
      </c>
      <c r="E1682" s="56">
        <v>3.4</v>
      </c>
      <c r="F1682" s="53">
        <f>IF(E1682&gt;0,1,0)</f>
        <v>1</v>
      </c>
      <c r="G1682" s="53">
        <f>SUM(F1681:F1682)</f>
        <v>1</v>
      </c>
      <c r="H1682" s="53">
        <f>IF(G1682=1,IF(F1681=1,1,-1),G1682)</f>
        <v>-1</v>
      </c>
      <c r="I1682" s="53" t="str">
        <f>VLOOKUP(H1682,codes,2,)</f>
        <v>dw</v>
      </c>
      <c r="J1682" s="53"/>
    </row>
    <row r="1683" spans="1:10" x14ac:dyDescent="0.25">
      <c r="A1683" s="93">
        <v>42414</v>
      </c>
      <c r="B1683" s="35">
        <f>C1683+(D1683-2009)*12</f>
        <v>86</v>
      </c>
      <c r="C1683" s="76">
        <v>2</v>
      </c>
      <c r="D1683" s="76">
        <v>2016</v>
      </c>
      <c r="E1683" s="56">
        <v>7.5333333333333341</v>
      </c>
      <c r="F1683" s="53">
        <f>IF(E1683&gt;0,1,0)</f>
        <v>1</v>
      </c>
      <c r="G1683" s="53">
        <f>SUM(F1682:F1683)</f>
        <v>2</v>
      </c>
      <c r="H1683" s="53">
        <f>IF(G1683=1,IF(F1682=1,1,-1),G1683)</f>
        <v>2</v>
      </c>
      <c r="I1683" s="53" t="str">
        <f>VLOOKUP(H1683,codes,2,)</f>
        <v>ww</v>
      </c>
      <c r="J1683" s="53"/>
    </row>
    <row r="1684" spans="1:10" x14ac:dyDescent="0.25">
      <c r="A1684" s="93">
        <v>42415</v>
      </c>
      <c r="B1684" s="35">
        <f>C1684+(D1684-2009)*12</f>
        <v>86</v>
      </c>
      <c r="C1684" s="76">
        <v>2</v>
      </c>
      <c r="D1684" s="76">
        <v>2016</v>
      </c>
      <c r="E1684" s="56">
        <v>2.1333333333333333</v>
      </c>
      <c r="F1684" s="53">
        <f>IF(E1684&gt;0,1,0)</f>
        <v>1</v>
      </c>
      <c r="G1684" s="53">
        <f>SUM(F1683:F1684)</f>
        <v>2</v>
      </c>
      <c r="H1684" s="53">
        <f>IF(G1684=1,IF(F1683=1,1,-1),G1684)</f>
        <v>2</v>
      </c>
      <c r="I1684" s="53" t="str">
        <f>VLOOKUP(H1684,codes,2,)</f>
        <v>ww</v>
      </c>
      <c r="J1684" s="53"/>
    </row>
    <row r="1685" spans="1:10" x14ac:dyDescent="0.25">
      <c r="A1685" s="93">
        <v>42416</v>
      </c>
      <c r="B1685" s="35">
        <f>C1685+(D1685-2009)*12</f>
        <v>86</v>
      </c>
      <c r="C1685" s="76">
        <v>2</v>
      </c>
      <c r="D1685" s="76">
        <v>2016</v>
      </c>
      <c r="E1685" s="56">
        <v>1.6666666666666667</v>
      </c>
      <c r="F1685" s="53">
        <f>IF(E1685&gt;0,1,0)</f>
        <v>1</v>
      </c>
      <c r="G1685" s="53">
        <f>SUM(F1684:F1685)</f>
        <v>2</v>
      </c>
      <c r="H1685" s="53">
        <f>IF(G1685=1,IF(F1684=1,1,-1),G1685)</f>
        <v>2</v>
      </c>
      <c r="I1685" s="53" t="str">
        <f>VLOOKUP(H1685,codes,2,)</f>
        <v>ww</v>
      </c>
      <c r="J1685" s="53"/>
    </row>
    <row r="1686" spans="1:10" x14ac:dyDescent="0.25">
      <c r="A1686" s="93">
        <v>42417</v>
      </c>
      <c r="B1686" s="35">
        <f>C1686+(D1686-2009)*12</f>
        <v>86</v>
      </c>
      <c r="C1686" s="76">
        <v>2</v>
      </c>
      <c r="D1686" s="76">
        <v>2016</v>
      </c>
      <c r="E1686" s="56">
        <v>1.8666666666666665</v>
      </c>
      <c r="F1686" s="53">
        <f>IF(E1686&gt;0,1,0)</f>
        <v>1</v>
      </c>
      <c r="G1686" s="53">
        <f>SUM(F1685:F1686)</f>
        <v>2</v>
      </c>
      <c r="H1686" s="53">
        <f>IF(G1686=1,IF(F1685=1,1,-1),G1686)</f>
        <v>2</v>
      </c>
      <c r="I1686" s="53" t="str">
        <f>VLOOKUP(H1686,codes,2,)</f>
        <v>ww</v>
      </c>
      <c r="J1686" s="53"/>
    </row>
    <row r="1687" spans="1:10" x14ac:dyDescent="0.25">
      <c r="A1687" s="93">
        <v>42418</v>
      </c>
      <c r="B1687" s="35">
        <f>C1687+(D1687-2009)*12</f>
        <v>86</v>
      </c>
      <c r="C1687" s="76">
        <v>2</v>
      </c>
      <c r="D1687" s="76">
        <v>2016</v>
      </c>
      <c r="E1687" s="56">
        <v>1.4000000000000001</v>
      </c>
      <c r="F1687" s="53">
        <f>IF(E1687&gt;0,1,0)</f>
        <v>1</v>
      </c>
      <c r="G1687" s="53">
        <f>SUM(F1686:F1687)</f>
        <v>2</v>
      </c>
      <c r="H1687" s="53">
        <f>IF(G1687=1,IF(F1686=1,1,-1),G1687)</f>
        <v>2</v>
      </c>
      <c r="I1687" s="53" t="str">
        <f>VLOOKUP(H1687,codes,2,)</f>
        <v>ww</v>
      </c>
      <c r="J1687" s="53"/>
    </row>
    <row r="1688" spans="1:10" x14ac:dyDescent="0.25">
      <c r="A1688" s="93">
        <v>42419</v>
      </c>
      <c r="B1688" s="35">
        <f>C1688+(D1688-2009)*12</f>
        <v>86</v>
      </c>
      <c r="C1688" s="76">
        <v>2</v>
      </c>
      <c r="D1688" s="76">
        <v>2016</v>
      </c>
      <c r="E1688" s="56">
        <v>0</v>
      </c>
      <c r="F1688" s="53">
        <f>IF(E1688&gt;0,1,0)</f>
        <v>0</v>
      </c>
      <c r="G1688" s="53">
        <f>SUM(F1687:F1688)</f>
        <v>1</v>
      </c>
      <c r="H1688" s="53">
        <f>IF(G1688=1,IF(F1687=1,1,-1),G1688)</f>
        <v>1</v>
      </c>
      <c r="I1688" s="53" t="str">
        <f>VLOOKUP(H1688,codes,2,)</f>
        <v>wd</v>
      </c>
      <c r="J1688" s="53"/>
    </row>
    <row r="1689" spans="1:10" x14ac:dyDescent="0.25">
      <c r="A1689" s="93">
        <v>42420</v>
      </c>
      <c r="B1689" s="35">
        <f>C1689+(D1689-2009)*12</f>
        <v>86</v>
      </c>
      <c r="C1689" s="76">
        <v>2</v>
      </c>
      <c r="D1689" s="76">
        <v>2016</v>
      </c>
      <c r="E1689" s="56">
        <v>0.13333333333333333</v>
      </c>
      <c r="F1689" s="53">
        <f>IF(E1689&gt;0,1,0)</f>
        <v>1</v>
      </c>
      <c r="G1689" s="53">
        <f>SUM(F1688:F1689)</f>
        <v>1</v>
      </c>
      <c r="H1689" s="53">
        <f>IF(G1689=1,IF(F1688=1,1,-1),G1689)</f>
        <v>-1</v>
      </c>
      <c r="I1689" s="53" t="str">
        <f>VLOOKUP(H1689,codes,2,)</f>
        <v>dw</v>
      </c>
      <c r="J1689" s="53"/>
    </row>
    <row r="1690" spans="1:10" x14ac:dyDescent="0.25">
      <c r="A1690" s="93">
        <v>42421</v>
      </c>
      <c r="B1690" s="35">
        <f>C1690+(D1690-2009)*12</f>
        <v>86</v>
      </c>
      <c r="C1690" s="76">
        <v>2</v>
      </c>
      <c r="D1690" s="76">
        <v>2016</v>
      </c>
      <c r="E1690" s="56">
        <v>0.20000000000000004</v>
      </c>
      <c r="F1690" s="53">
        <f>IF(E1690&gt;0,1,0)</f>
        <v>1</v>
      </c>
      <c r="G1690" s="53">
        <f>SUM(F1689:F1690)</f>
        <v>2</v>
      </c>
      <c r="H1690" s="53">
        <f>IF(G1690=1,IF(F1689=1,1,-1),G1690)</f>
        <v>2</v>
      </c>
      <c r="I1690" s="53" t="str">
        <f>VLOOKUP(H1690,codes,2,)</f>
        <v>ww</v>
      </c>
      <c r="J1690" s="53"/>
    </row>
    <row r="1691" spans="1:10" x14ac:dyDescent="0.25">
      <c r="A1691" s="93">
        <v>42422</v>
      </c>
      <c r="B1691" s="35">
        <f>C1691+(D1691-2009)*12</f>
        <v>86</v>
      </c>
      <c r="C1691" s="76">
        <v>2</v>
      </c>
      <c r="D1691" s="76">
        <v>2016</v>
      </c>
      <c r="E1691" s="56">
        <v>6.6666666666666666E-2</v>
      </c>
      <c r="F1691" s="53">
        <f>IF(E1691&gt;0,1,0)</f>
        <v>1</v>
      </c>
      <c r="G1691" s="53">
        <f>SUM(F1690:F1691)</f>
        <v>2</v>
      </c>
      <c r="H1691" s="53">
        <f>IF(G1691=1,IF(F1690=1,1,-1),G1691)</f>
        <v>2</v>
      </c>
      <c r="I1691" s="53" t="str">
        <f>VLOOKUP(H1691,codes,2,)</f>
        <v>ww</v>
      </c>
      <c r="J1691" s="53"/>
    </row>
    <row r="1692" spans="1:10" x14ac:dyDescent="0.25">
      <c r="A1692" s="93">
        <v>42423</v>
      </c>
      <c r="B1692" s="35">
        <f>C1692+(D1692-2009)*12</f>
        <v>86</v>
      </c>
      <c r="C1692" s="76">
        <v>2</v>
      </c>
      <c r="D1692" s="76">
        <v>2016</v>
      </c>
      <c r="E1692" s="56">
        <v>0</v>
      </c>
      <c r="F1692" s="53">
        <f>IF(E1692&gt;0,1,0)</f>
        <v>0</v>
      </c>
      <c r="G1692" s="53">
        <f>SUM(F1691:F1692)</f>
        <v>1</v>
      </c>
      <c r="H1692" s="53">
        <f>IF(G1692=1,IF(F1691=1,1,-1),G1692)</f>
        <v>1</v>
      </c>
      <c r="I1692" s="53" t="str">
        <f>VLOOKUP(H1692,codes,2,)</f>
        <v>wd</v>
      </c>
      <c r="J1692" s="53"/>
    </row>
    <row r="1693" spans="1:10" x14ac:dyDescent="0.25">
      <c r="A1693" s="93">
        <v>42424</v>
      </c>
      <c r="B1693" s="35">
        <f>C1693+(D1693-2009)*12</f>
        <v>86</v>
      </c>
      <c r="C1693" s="76">
        <v>2</v>
      </c>
      <c r="D1693" s="76">
        <v>2016</v>
      </c>
      <c r="E1693" s="56">
        <v>0</v>
      </c>
      <c r="F1693" s="53">
        <f>IF(E1693&gt;0,1,0)</f>
        <v>0</v>
      </c>
      <c r="G1693" s="53">
        <f>SUM(F1692:F1693)</f>
        <v>0</v>
      </c>
      <c r="H1693" s="53">
        <f>IF(G1693=1,IF(F1692=1,1,-1),G1693)</f>
        <v>0</v>
      </c>
      <c r="I1693" s="53" t="str">
        <f>VLOOKUP(H1693,codes,2,)</f>
        <v>dd</v>
      </c>
      <c r="J1693" s="53"/>
    </row>
    <row r="1694" spans="1:10" x14ac:dyDescent="0.25">
      <c r="A1694" s="93">
        <v>42425</v>
      </c>
      <c r="B1694" s="35">
        <f>C1694+(D1694-2009)*12</f>
        <v>86</v>
      </c>
      <c r="C1694" s="76">
        <v>2</v>
      </c>
      <c r="D1694" s="76">
        <v>2016</v>
      </c>
      <c r="E1694" s="56">
        <v>0</v>
      </c>
      <c r="F1694" s="53">
        <f>IF(E1694&gt;0,1,0)</f>
        <v>0</v>
      </c>
      <c r="G1694" s="53">
        <f>SUM(F1693:F1694)</f>
        <v>0</v>
      </c>
      <c r="H1694" s="53">
        <f>IF(G1694=1,IF(F1693=1,1,-1),G1694)</f>
        <v>0</v>
      </c>
      <c r="I1694" s="53" t="str">
        <f>VLOOKUP(H1694,codes,2,)</f>
        <v>dd</v>
      </c>
      <c r="J1694" s="53"/>
    </row>
    <row r="1695" spans="1:10" x14ac:dyDescent="0.25">
      <c r="A1695" s="93">
        <v>42426</v>
      </c>
      <c r="B1695" s="35">
        <f>C1695+(D1695-2009)*12</f>
        <v>86</v>
      </c>
      <c r="C1695" s="76">
        <v>2</v>
      </c>
      <c r="D1695" s="76">
        <v>2016</v>
      </c>
      <c r="E1695" s="56">
        <v>0</v>
      </c>
      <c r="F1695" s="53">
        <f>IF(E1695&gt;0,1,0)</f>
        <v>0</v>
      </c>
      <c r="G1695" s="53">
        <f>SUM(F1694:F1695)</f>
        <v>0</v>
      </c>
      <c r="H1695" s="53">
        <f>IF(G1695=1,IF(F1694=1,1,-1),G1695)</f>
        <v>0</v>
      </c>
      <c r="I1695" s="53" t="str">
        <f>VLOOKUP(H1695,codes,2,)</f>
        <v>dd</v>
      </c>
      <c r="J1695" s="53"/>
    </row>
    <row r="1696" spans="1:10" x14ac:dyDescent="0.25">
      <c r="A1696" s="93">
        <v>42427</v>
      </c>
      <c r="B1696" s="35">
        <f>C1696+(D1696-2009)*12</f>
        <v>86</v>
      </c>
      <c r="C1696" s="76">
        <v>2</v>
      </c>
      <c r="D1696" s="76">
        <v>2016</v>
      </c>
      <c r="E1696" s="56">
        <v>0</v>
      </c>
      <c r="F1696" s="53">
        <f>IF(E1696&gt;0,1,0)</f>
        <v>0</v>
      </c>
      <c r="G1696" s="53">
        <f>SUM(F1695:F1696)</f>
        <v>0</v>
      </c>
      <c r="H1696" s="53">
        <f>IF(G1696=1,IF(F1695=1,1,-1),G1696)</f>
        <v>0</v>
      </c>
      <c r="I1696" s="53" t="str">
        <f>VLOOKUP(H1696,codes,2,)</f>
        <v>dd</v>
      </c>
      <c r="J1696" s="53"/>
    </row>
    <row r="1697" spans="1:10" x14ac:dyDescent="0.25">
      <c r="A1697" s="93">
        <v>42428</v>
      </c>
      <c r="B1697" s="35">
        <f>C1697+(D1697-2009)*12</f>
        <v>86</v>
      </c>
      <c r="C1697" s="76">
        <v>2</v>
      </c>
      <c r="D1697" s="76">
        <v>2016</v>
      </c>
      <c r="E1697" s="56">
        <v>0.13333333333333333</v>
      </c>
      <c r="F1697" s="53">
        <f>IF(E1697&gt;0,1,0)</f>
        <v>1</v>
      </c>
      <c r="G1697" s="53">
        <f>SUM(F1696:F1697)</f>
        <v>1</v>
      </c>
      <c r="H1697" s="53">
        <f>IF(G1697=1,IF(F1696=1,1,-1),G1697)</f>
        <v>-1</v>
      </c>
      <c r="I1697" s="53" t="str">
        <f>VLOOKUP(H1697,codes,2,)</f>
        <v>dw</v>
      </c>
      <c r="J1697" s="53"/>
    </row>
    <row r="1698" spans="1:10" x14ac:dyDescent="0.25">
      <c r="A1698" s="93">
        <v>42430</v>
      </c>
      <c r="B1698" s="35">
        <f>C1698+(D1698-2009)*12</f>
        <v>86</v>
      </c>
      <c r="C1698" s="76">
        <v>2</v>
      </c>
      <c r="D1698" s="76">
        <v>2016</v>
      </c>
      <c r="E1698" s="56">
        <v>4.1333333333333337</v>
      </c>
      <c r="F1698" s="53">
        <f>IF(E1698&gt;0,1,0)</f>
        <v>1</v>
      </c>
      <c r="G1698" s="53">
        <f>SUM(F1697:F1698)</f>
        <v>2</v>
      </c>
      <c r="H1698" s="53">
        <f>IF(G1698=1,IF(F1697=1,1,-1),G1698)</f>
        <v>2</v>
      </c>
      <c r="I1698" s="53" t="str">
        <f>VLOOKUP(H1698,codes,2,)</f>
        <v>ww</v>
      </c>
      <c r="J1698" s="53"/>
    </row>
    <row r="1699" spans="1:10" x14ac:dyDescent="0.25">
      <c r="A1699" s="93">
        <v>42431</v>
      </c>
      <c r="B1699" s="35">
        <f>C1699+(D1699-2009)*12</f>
        <v>86</v>
      </c>
      <c r="C1699" s="76">
        <v>2</v>
      </c>
      <c r="D1699" s="76">
        <v>2016</v>
      </c>
      <c r="E1699" s="56">
        <v>0.39999999999999997</v>
      </c>
      <c r="F1699" s="53">
        <f>IF(E1699&gt;0,1,0)</f>
        <v>1</v>
      </c>
      <c r="G1699" s="53">
        <f>SUM(F1698:F1699)</f>
        <v>2</v>
      </c>
      <c r="H1699" s="53">
        <f>IF(G1699=1,IF(F1698=1,1,-1),G1699)</f>
        <v>2</v>
      </c>
      <c r="I1699" s="53" t="str">
        <f>VLOOKUP(H1699,codes,2,)</f>
        <v>ww</v>
      </c>
      <c r="J1699" s="53"/>
    </row>
    <row r="1700" spans="1:10" x14ac:dyDescent="0.25">
      <c r="A1700" s="93">
        <v>42769</v>
      </c>
      <c r="B1700" s="35">
        <f>C1700+(D1700-2009)*12</f>
        <v>98</v>
      </c>
      <c r="C1700" s="76">
        <v>2</v>
      </c>
      <c r="D1700" s="76">
        <v>2017</v>
      </c>
      <c r="E1700" s="56">
        <v>0</v>
      </c>
      <c r="F1700" s="53">
        <f>IF(E1700&gt;0,1,0)</f>
        <v>0</v>
      </c>
      <c r="G1700" s="53">
        <f>SUM(F1699:F1700)</f>
        <v>1</v>
      </c>
      <c r="H1700" s="53">
        <f>IF(G1700=1,IF(F1699=1,1,-1),G1700)</f>
        <v>1</v>
      </c>
      <c r="I1700" s="53" t="str">
        <f>VLOOKUP(H1700,codes,2,)</f>
        <v>wd</v>
      </c>
      <c r="J1700" s="53"/>
    </row>
    <row r="1701" spans="1:10" x14ac:dyDescent="0.25">
      <c r="A1701" s="93">
        <v>42770</v>
      </c>
      <c r="B1701" s="35">
        <f>C1701+(D1701-2009)*12</f>
        <v>98</v>
      </c>
      <c r="C1701" s="76">
        <v>2</v>
      </c>
      <c r="D1701" s="76">
        <v>2017</v>
      </c>
      <c r="E1701" s="56">
        <v>5.4666666666666659</v>
      </c>
      <c r="F1701" s="53">
        <f>IF(E1701&gt;0,1,0)</f>
        <v>1</v>
      </c>
      <c r="G1701" s="53">
        <f>SUM(F1700:F1701)</f>
        <v>1</v>
      </c>
      <c r="H1701" s="53">
        <f>IF(G1701=1,IF(F1700=1,1,-1),G1701)</f>
        <v>-1</v>
      </c>
      <c r="I1701" s="53" t="str">
        <f>VLOOKUP(H1701,codes,2,)</f>
        <v>dw</v>
      </c>
      <c r="J1701" s="53"/>
    </row>
    <row r="1702" spans="1:10" x14ac:dyDescent="0.25">
      <c r="A1702" s="93">
        <v>42771</v>
      </c>
      <c r="B1702" s="35">
        <f>C1702+(D1702-2009)*12</f>
        <v>98</v>
      </c>
      <c r="C1702" s="76">
        <v>2</v>
      </c>
      <c r="D1702" s="76">
        <v>2017</v>
      </c>
      <c r="E1702" s="56">
        <v>0.13333333333333333</v>
      </c>
      <c r="F1702" s="53">
        <f>IF(E1702&gt;0,1,0)</f>
        <v>1</v>
      </c>
      <c r="G1702" s="53">
        <f>SUM(F1701:F1702)</f>
        <v>2</v>
      </c>
      <c r="H1702" s="53">
        <f>IF(G1702=1,IF(F1701=1,1,-1),G1702)</f>
        <v>2</v>
      </c>
      <c r="I1702" s="53" t="str">
        <f>VLOOKUP(H1702,codes,2,)</f>
        <v>ww</v>
      </c>
      <c r="J1702" s="53"/>
    </row>
    <row r="1703" spans="1:10" x14ac:dyDescent="0.25">
      <c r="A1703" s="93">
        <v>42772</v>
      </c>
      <c r="B1703" s="35">
        <f>C1703+(D1703-2009)*12</f>
        <v>98</v>
      </c>
      <c r="C1703" s="76">
        <v>2</v>
      </c>
      <c r="D1703" s="76">
        <v>2017</v>
      </c>
      <c r="E1703" s="56">
        <v>0</v>
      </c>
      <c r="F1703" s="53">
        <f>IF(E1703&gt;0,1,0)</f>
        <v>0</v>
      </c>
      <c r="G1703" s="53">
        <f>SUM(F1702:F1703)</f>
        <v>1</v>
      </c>
      <c r="H1703" s="53">
        <f>IF(G1703=1,IF(F1702=1,1,-1),G1703)</f>
        <v>1</v>
      </c>
      <c r="I1703" s="53" t="str">
        <f>VLOOKUP(H1703,codes,2,)</f>
        <v>wd</v>
      </c>
      <c r="J1703" s="53"/>
    </row>
    <row r="1704" spans="1:10" x14ac:dyDescent="0.25">
      <c r="A1704" s="93">
        <v>42773</v>
      </c>
      <c r="B1704" s="35">
        <f>C1704+(D1704-2009)*12</f>
        <v>98</v>
      </c>
      <c r="C1704" s="76">
        <v>2</v>
      </c>
      <c r="D1704" s="76">
        <v>2017</v>
      </c>
      <c r="E1704" s="56">
        <v>5.2666666666666666</v>
      </c>
      <c r="F1704" s="53">
        <f>IF(E1704&gt;0,1,0)</f>
        <v>1</v>
      </c>
      <c r="G1704" s="53">
        <f>SUM(F1703:F1704)</f>
        <v>1</v>
      </c>
      <c r="H1704" s="53">
        <f>IF(G1704=1,IF(F1703=1,1,-1),G1704)</f>
        <v>-1</v>
      </c>
      <c r="I1704" s="53" t="str">
        <f>VLOOKUP(H1704,codes,2,)</f>
        <v>dw</v>
      </c>
      <c r="J1704" s="53"/>
    </row>
    <row r="1705" spans="1:10" x14ac:dyDescent="0.25">
      <c r="A1705" s="93">
        <v>42774</v>
      </c>
      <c r="B1705" s="35">
        <f>C1705+(D1705-2009)*12</f>
        <v>98</v>
      </c>
      <c r="C1705" s="76">
        <v>2</v>
      </c>
      <c r="D1705" s="76">
        <v>2017</v>
      </c>
      <c r="E1705" s="56">
        <v>1.5333333333333334</v>
      </c>
      <c r="F1705" s="53">
        <f>IF(E1705&gt;0,1,0)</f>
        <v>1</v>
      </c>
      <c r="G1705" s="53">
        <f>SUM(F1704:F1705)</f>
        <v>2</v>
      </c>
      <c r="H1705" s="53">
        <f>IF(G1705=1,IF(F1704=1,1,-1),G1705)</f>
        <v>2</v>
      </c>
      <c r="I1705" s="53" t="str">
        <f>VLOOKUP(H1705,codes,2,)</f>
        <v>ww</v>
      </c>
      <c r="J1705" s="53"/>
    </row>
    <row r="1706" spans="1:10" x14ac:dyDescent="0.25">
      <c r="A1706" s="93">
        <v>42775</v>
      </c>
      <c r="B1706" s="35">
        <f>C1706+(D1706-2009)*12</f>
        <v>98</v>
      </c>
      <c r="C1706" s="76">
        <v>2</v>
      </c>
      <c r="D1706" s="76">
        <v>2017</v>
      </c>
      <c r="E1706" s="56">
        <v>1.6000000000000003</v>
      </c>
      <c r="F1706" s="53">
        <f>IF(E1706&gt;0,1,0)</f>
        <v>1</v>
      </c>
      <c r="G1706" s="53">
        <f>SUM(F1705:F1706)</f>
        <v>2</v>
      </c>
      <c r="H1706" s="53">
        <f>IF(G1706=1,IF(F1705=1,1,-1),G1706)</f>
        <v>2</v>
      </c>
      <c r="I1706" s="53" t="str">
        <f>VLOOKUP(H1706,codes,2,)</f>
        <v>ww</v>
      </c>
      <c r="J1706" s="53"/>
    </row>
    <row r="1707" spans="1:10" x14ac:dyDescent="0.25">
      <c r="A1707" s="93">
        <v>42776</v>
      </c>
      <c r="B1707" s="35">
        <f>C1707+(D1707-2009)*12</f>
        <v>98</v>
      </c>
      <c r="C1707" s="76">
        <v>2</v>
      </c>
      <c r="D1707" s="76">
        <v>2017</v>
      </c>
      <c r="E1707" s="56">
        <v>0.80000000000000016</v>
      </c>
      <c r="F1707" s="53">
        <f>IF(E1707&gt;0,1,0)</f>
        <v>1</v>
      </c>
      <c r="G1707" s="53">
        <f>SUM(F1706:F1707)</f>
        <v>2</v>
      </c>
      <c r="H1707" s="53">
        <f>IF(G1707=1,IF(F1706=1,1,-1),G1707)</f>
        <v>2</v>
      </c>
      <c r="I1707" s="53" t="str">
        <f>VLOOKUP(H1707,codes,2,)</f>
        <v>ww</v>
      </c>
      <c r="J1707" s="53"/>
    </row>
    <row r="1708" spans="1:10" x14ac:dyDescent="0.25">
      <c r="A1708" s="93">
        <v>42777</v>
      </c>
      <c r="B1708" s="35">
        <f>C1708+(D1708-2009)*12</f>
        <v>98</v>
      </c>
      <c r="C1708" s="76">
        <v>2</v>
      </c>
      <c r="D1708" s="76">
        <v>2017</v>
      </c>
      <c r="E1708" s="56">
        <v>3.8000000000000003</v>
      </c>
      <c r="F1708" s="53">
        <f>IF(E1708&gt;0,1,0)</f>
        <v>1</v>
      </c>
      <c r="G1708" s="53">
        <f>SUM(F1707:F1708)</f>
        <v>2</v>
      </c>
      <c r="H1708" s="53">
        <f>IF(G1708=1,IF(F1707=1,1,-1),G1708)</f>
        <v>2</v>
      </c>
      <c r="I1708" s="53" t="str">
        <f>VLOOKUP(H1708,codes,2,)</f>
        <v>ww</v>
      </c>
      <c r="J1708" s="53"/>
    </row>
    <row r="1709" spans="1:10" x14ac:dyDescent="0.25">
      <c r="A1709" s="93">
        <v>42778</v>
      </c>
      <c r="B1709" s="35">
        <f>C1709+(D1709-2009)*12</f>
        <v>98</v>
      </c>
      <c r="C1709" s="76">
        <v>2</v>
      </c>
      <c r="D1709" s="76">
        <v>2017</v>
      </c>
      <c r="E1709" s="56">
        <v>5.9333333333333327</v>
      </c>
      <c r="F1709" s="53">
        <f>IF(E1709&gt;0,1,0)</f>
        <v>1</v>
      </c>
      <c r="G1709" s="53">
        <f>SUM(F1708:F1709)</f>
        <v>2</v>
      </c>
      <c r="H1709" s="53">
        <f>IF(G1709=1,IF(F1708=1,1,-1),G1709)</f>
        <v>2</v>
      </c>
      <c r="I1709" s="53" t="str">
        <f>VLOOKUP(H1709,codes,2,)</f>
        <v>ww</v>
      </c>
      <c r="J1709" s="53"/>
    </row>
    <row r="1710" spans="1:10" x14ac:dyDescent="0.25">
      <c r="A1710" s="93">
        <v>42779</v>
      </c>
      <c r="B1710" s="35">
        <f>C1710+(D1710-2009)*12</f>
        <v>98</v>
      </c>
      <c r="C1710" s="76">
        <v>2</v>
      </c>
      <c r="D1710" s="76">
        <v>2017</v>
      </c>
      <c r="E1710" s="56">
        <v>1.4666666666666668</v>
      </c>
      <c r="F1710" s="53">
        <f>IF(E1710&gt;0,1,0)</f>
        <v>1</v>
      </c>
      <c r="G1710" s="53">
        <f>SUM(F1709:F1710)</f>
        <v>2</v>
      </c>
      <c r="H1710" s="53">
        <f>IF(G1710=1,IF(F1709=1,1,-1),G1710)</f>
        <v>2</v>
      </c>
      <c r="I1710" s="53" t="str">
        <f>VLOOKUP(H1710,codes,2,)</f>
        <v>ww</v>
      </c>
      <c r="J1710" s="53"/>
    </row>
    <row r="1711" spans="1:10" x14ac:dyDescent="0.25">
      <c r="A1711" s="93">
        <v>42780</v>
      </c>
      <c r="B1711" s="35">
        <f>C1711+(D1711-2009)*12</f>
        <v>98</v>
      </c>
      <c r="C1711" s="76">
        <v>2</v>
      </c>
      <c r="D1711" s="76">
        <v>2017</v>
      </c>
      <c r="E1711" s="56">
        <v>0</v>
      </c>
      <c r="F1711" s="53">
        <f>IF(E1711&gt;0,1,0)</f>
        <v>0</v>
      </c>
      <c r="G1711" s="53">
        <f>SUM(F1710:F1711)</f>
        <v>1</v>
      </c>
      <c r="H1711" s="53">
        <f>IF(G1711=1,IF(F1710=1,1,-1),G1711)</f>
        <v>1</v>
      </c>
      <c r="I1711" s="53" t="str">
        <f>VLOOKUP(H1711,codes,2,)</f>
        <v>wd</v>
      </c>
      <c r="J1711" s="53"/>
    </row>
    <row r="1712" spans="1:10" x14ac:dyDescent="0.25">
      <c r="A1712" s="93">
        <v>42781</v>
      </c>
      <c r="B1712" s="35">
        <f>C1712+(D1712-2009)*12</f>
        <v>98</v>
      </c>
      <c r="C1712" s="76">
        <v>2</v>
      </c>
      <c r="D1712" s="76">
        <v>2017</v>
      </c>
      <c r="E1712" s="56">
        <v>0</v>
      </c>
      <c r="F1712" s="53">
        <f>IF(E1712&gt;0,1,0)</f>
        <v>0</v>
      </c>
      <c r="G1712" s="53">
        <f>SUM(F1711:F1712)</f>
        <v>0</v>
      </c>
      <c r="H1712" s="53">
        <f>IF(G1712=1,IF(F1711=1,1,-1),G1712)</f>
        <v>0</v>
      </c>
      <c r="I1712" s="53" t="str">
        <f>VLOOKUP(H1712,codes,2,)</f>
        <v>dd</v>
      </c>
      <c r="J1712" s="53"/>
    </row>
    <row r="1713" spans="1:10" x14ac:dyDescent="0.25">
      <c r="A1713" s="93">
        <v>42782</v>
      </c>
      <c r="B1713" s="35">
        <f>C1713+(D1713-2009)*12</f>
        <v>98</v>
      </c>
      <c r="C1713" s="76">
        <v>2</v>
      </c>
      <c r="D1713" s="76">
        <v>2017</v>
      </c>
      <c r="E1713" s="56">
        <v>0</v>
      </c>
      <c r="F1713" s="53">
        <f>IF(E1713&gt;0,1,0)</f>
        <v>0</v>
      </c>
      <c r="G1713" s="53">
        <f>SUM(F1712:F1713)</f>
        <v>0</v>
      </c>
      <c r="H1713" s="53">
        <f>IF(G1713=1,IF(F1712=1,1,-1),G1713)</f>
        <v>0</v>
      </c>
      <c r="I1713" s="53" t="str">
        <f>VLOOKUP(H1713,codes,2,)</f>
        <v>dd</v>
      </c>
      <c r="J1713" s="53"/>
    </row>
    <row r="1714" spans="1:10" x14ac:dyDescent="0.25">
      <c r="A1714" s="93">
        <v>42783</v>
      </c>
      <c r="B1714" s="35">
        <f>C1714+(D1714-2009)*12</f>
        <v>98</v>
      </c>
      <c r="C1714" s="76">
        <v>2</v>
      </c>
      <c r="D1714" s="76">
        <v>2017</v>
      </c>
      <c r="E1714" s="56">
        <v>0</v>
      </c>
      <c r="F1714" s="53">
        <f>IF(E1714&gt;0,1,0)</f>
        <v>0</v>
      </c>
      <c r="G1714" s="53">
        <f>SUM(F1713:F1714)</f>
        <v>0</v>
      </c>
      <c r="H1714" s="53">
        <f>IF(G1714=1,IF(F1713=1,1,-1),G1714)</f>
        <v>0</v>
      </c>
      <c r="I1714" s="53" t="str">
        <f>VLOOKUP(H1714,codes,2,)</f>
        <v>dd</v>
      </c>
      <c r="J1714" s="53"/>
    </row>
    <row r="1715" spans="1:10" x14ac:dyDescent="0.25">
      <c r="A1715" s="93">
        <v>42784</v>
      </c>
      <c r="B1715" s="35">
        <f>C1715+(D1715-2009)*12</f>
        <v>98</v>
      </c>
      <c r="C1715" s="76">
        <v>2</v>
      </c>
      <c r="D1715" s="76">
        <v>2017</v>
      </c>
      <c r="E1715" s="56">
        <v>0</v>
      </c>
      <c r="F1715" s="53">
        <f>IF(E1715&gt;0,1,0)</f>
        <v>0</v>
      </c>
      <c r="G1715" s="53">
        <f>SUM(F1714:F1715)</f>
        <v>0</v>
      </c>
      <c r="H1715" s="53">
        <f>IF(G1715=1,IF(F1714=1,1,-1),G1715)</f>
        <v>0</v>
      </c>
      <c r="I1715" s="53" t="str">
        <f>VLOOKUP(H1715,codes,2,)</f>
        <v>dd</v>
      </c>
      <c r="J1715" s="53"/>
    </row>
    <row r="1716" spans="1:10" x14ac:dyDescent="0.25">
      <c r="A1716" s="93">
        <v>42785</v>
      </c>
      <c r="B1716" s="35">
        <f>C1716+(D1716-2009)*12</f>
        <v>98</v>
      </c>
      <c r="C1716" s="76">
        <v>2</v>
      </c>
      <c r="D1716" s="76">
        <v>2017</v>
      </c>
      <c r="E1716" s="56">
        <v>0</v>
      </c>
      <c r="F1716" s="53">
        <f>IF(E1716&gt;0,1,0)</f>
        <v>0</v>
      </c>
      <c r="G1716" s="53">
        <f>SUM(F1715:F1716)</f>
        <v>0</v>
      </c>
      <c r="H1716" s="53">
        <f>IF(G1716=1,IF(F1715=1,1,-1),G1716)</f>
        <v>0</v>
      </c>
      <c r="I1716" s="53" t="str">
        <f>VLOOKUP(H1716,codes,2,)</f>
        <v>dd</v>
      </c>
      <c r="J1716" s="53"/>
    </row>
    <row r="1717" spans="1:10" x14ac:dyDescent="0.25">
      <c r="A1717" s="93">
        <v>42786</v>
      </c>
      <c r="B1717" s="35">
        <f>C1717+(D1717-2009)*12</f>
        <v>98</v>
      </c>
      <c r="C1717" s="76">
        <v>2</v>
      </c>
      <c r="D1717" s="76">
        <v>2017</v>
      </c>
      <c r="E1717" s="56">
        <v>0</v>
      </c>
      <c r="F1717" s="53">
        <f>IF(E1717&gt;0,1,0)</f>
        <v>0</v>
      </c>
      <c r="G1717" s="53">
        <f>SUM(F1716:F1717)</f>
        <v>0</v>
      </c>
      <c r="H1717" s="53">
        <f>IF(G1717=1,IF(F1716=1,1,-1),G1717)</f>
        <v>0</v>
      </c>
      <c r="I1717" s="53" t="str">
        <f>VLOOKUP(H1717,codes,2,)</f>
        <v>dd</v>
      </c>
      <c r="J1717" s="53"/>
    </row>
    <row r="1718" spans="1:10" x14ac:dyDescent="0.25">
      <c r="A1718" s="93">
        <v>42787</v>
      </c>
      <c r="B1718" s="35">
        <f>C1718+(D1718-2009)*12</f>
        <v>98</v>
      </c>
      <c r="C1718" s="76">
        <v>2</v>
      </c>
      <c r="D1718" s="76">
        <v>2017</v>
      </c>
      <c r="E1718" s="56">
        <v>0</v>
      </c>
      <c r="F1718" s="53">
        <f>IF(E1718&gt;0,1,0)</f>
        <v>0</v>
      </c>
      <c r="G1718" s="53">
        <f>SUM(F1717:F1718)</f>
        <v>0</v>
      </c>
      <c r="H1718" s="53">
        <f>IF(G1718=1,IF(F1717=1,1,-1),G1718)</f>
        <v>0</v>
      </c>
      <c r="I1718" s="53" t="str">
        <f>VLOOKUP(H1718,codes,2,)</f>
        <v>dd</v>
      </c>
      <c r="J1718" s="53"/>
    </row>
    <row r="1719" spans="1:10" x14ac:dyDescent="0.25">
      <c r="A1719" s="93">
        <v>42788</v>
      </c>
      <c r="B1719" s="35">
        <f>C1719+(D1719-2009)*12</f>
        <v>98</v>
      </c>
      <c r="C1719" s="76">
        <v>2</v>
      </c>
      <c r="D1719" s="76">
        <v>2017</v>
      </c>
      <c r="E1719" s="56">
        <v>0.20000000000000004</v>
      </c>
      <c r="F1719" s="53">
        <f>IF(E1719&gt;0,1,0)</f>
        <v>1</v>
      </c>
      <c r="G1719" s="53">
        <f>SUM(F1718:F1719)</f>
        <v>1</v>
      </c>
      <c r="H1719" s="53">
        <f>IF(G1719=1,IF(F1718=1,1,-1),G1719)</f>
        <v>-1</v>
      </c>
      <c r="I1719" s="53" t="str">
        <f>VLOOKUP(H1719,codes,2,)</f>
        <v>dw</v>
      </c>
      <c r="J1719" s="53"/>
    </row>
    <row r="1720" spans="1:10" x14ac:dyDescent="0.25">
      <c r="A1720" s="93">
        <v>42789</v>
      </c>
      <c r="B1720" s="35">
        <f>C1720+(D1720-2009)*12</f>
        <v>98</v>
      </c>
      <c r="C1720" s="76">
        <v>2</v>
      </c>
      <c r="D1720" s="76">
        <v>2017</v>
      </c>
      <c r="E1720" s="56">
        <v>7.8666666666666671</v>
      </c>
      <c r="F1720" s="53">
        <f>IF(E1720&gt;0,1,0)</f>
        <v>1</v>
      </c>
      <c r="G1720" s="53">
        <f>SUM(F1719:F1720)</f>
        <v>2</v>
      </c>
      <c r="H1720" s="53">
        <f>IF(G1720=1,IF(F1719=1,1,-1),G1720)</f>
        <v>2</v>
      </c>
      <c r="I1720" s="53" t="str">
        <f>VLOOKUP(H1720,codes,2,)</f>
        <v>ww</v>
      </c>
      <c r="J1720" s="53"/>
    </row>
    <row r="1721" spans="1:10" x14ac:dyDescent="0.25">
      <c r="A1721" s="93">
        <v>42790</v>
      </c>
      <c r="B1721" s="35">
        <f>C1721+(D1721-2009)*12</f>
        <v>98</v>
      </c>
      <c r="C1721" s="76">
        <v>2</v>
      </c>
      <c r="D1721" s="76">
        <v>2017</v>
      </c>
      <c r="E1721" s="56">
        <v>5.5333333333333341</v>
      </c>
      <c r="F1721" s="53">
        <f>IF(E1721&gt;0,1,0)</f>
        <v>1</v>
      </c>
      <c r="G1721" s="53">
        <f>SUM(F1720:F1721)</f>
        <v>2</v>
      </c>
      <c r="H1721" s="53">
        <f>IF(G1721=1,IF(F1720=1,1,-1),G1721)</f>
        <v>2</v>
      </c>
      <c r="I1721" s="53" t="str">
        <f>VLOOKUP(H1721,codes,2,)</f>
        <v>ww</v>
      </c>
      <c r="J1721" s="53"/>
    </row>
    <row r="1722" spans="1:10" x14ac:dyDescent="0.25">
      <c r="A1722" s="93">
        <v>42791</v>
      </c>
      <c r="B1722" s="35">
        <f>C1722+(D1722-2009)*12</f>
        <v>98</v>
      </c>
      <c r="C1722" s="76">
        <v>2</v>
      </c>
      <c r="D1722" s="76">
        <v>2017</v>
      </c>
      <c r="E1722" s="56">
        <v>1.2</v>
      </c>
      <c r="F1722" s="53">
        <f>IF(E1722&gt;0,1,0)</f>
        <v>1</v>
      </c>
      <c r="G1722" s="53">
        <f>SUM(F1721:F1722)</f>
        <v>2</v>
      </c>
      <c r="H1722" s="53">
        <f>IF(G1722=1,IF(F1721=1,1,-1),G1722)</f>
        <v>2</v>
      </c>
      <c r="I1722" s="53" t="str">
        <f>VLOOKUP(H1722,codes,2,)</f>
        <v>ww</v>
      </c>
      <c r="J1722" s="53"/>
    </row>
    <row r="1723" spans="1:10" x14ac:dyDescent="0.25">
      <c r="A1723" s="93">
        <v>42792</v>
      </c>
      <c r="B1723" s="35">
        <f>C1723+(D1723-2009)*12</f>
        <v>98</v>
      </c>
      <c r="C1723" s="76">
        <v>2</v>
      </c>
      <c r="D1723" s="76">
        <v>2017</v>
      </c>
      <c r="E1723" s="56">
        <v>0.20000000000000004</v>
      </c>
      <c r="F1723" s="53">
        <f>IF(E1723&gt;0,1,0)</f>
        <v>1</v>
      </c>
      <c r="G1723" s="53">
        <f>SUM(F1722:F1723)</f>
        <v>2</v>
      </c>
      <c r="H1723" s="53">
        <f>IF(G1723=1,IF(F1722=1,1,-1),G1723)</f>
        <v>2</v>
      </c>
      <c r="I1723" s="53" t="str">
        <f>VLOOKUP(H1723,codes,2,)</f>
        <v>ww</v>
      </c>
      <c r="J1723" s="53"/>
    </row>
    <row r="1724" spans="1:10" x14ac:dyDescent="0.25">
      <c r="A1724" s="93">
        <v>42793</v>
      </c>
      <c r="B1724" s="35">
        <f>C1724+(D1724-2009)*12</f>
        <v>98</v>
      </c>
      <c r="C1724" s="76">
        <v>2</v>
      </c>
      <c r="D1724" s="76">
        <v>2017</v>
      </c>
      <c r="E1724" s="56">
        <v>0.26666666666666666</v>
      </c>
      <c r="F1724" s="53">
        <f>IF(E1724&gt;0,1,0)</f>
        <v>1</v>
      </c>
      <c r="G1724" s="53">
        <f>SUM(F1723:F1724)</f>
        <v>2</v>
      </c>
      <c r="H1724" s="53">
        <f>IF(G1724=1,IF(F1723=1,1,-1),G1724)</f>
        <v>2</v>
      </c>
      <c r="I1724" s="53" t="str">
        <f>VLOOKUP(H1724,codes,2,)</f>
        <v>ww</v>
      </c>
      <c r="J1724" s="53"/>
    </row>
    <row r="1725" spans="1:10" x14ac:dyDescent="0.25">
      <c r="A1725" s="93">
        <v>42794</v>
      </c>
      <c r="B1725" s="35">
        <f>C1725+(D1725-2009)*12</f>
        <v>98</v>
      </c>
      <c r="C1725" s="76">
        <v>2</v>
      </c>
      <c r="D1725" s="76">
        <v>2017</v>
      </c>
      <c r="E1725" s="56">
        <v>6.4000000000000012</v>
      </c>
      <c r="F1725" s="53">
        <f>IF(E1725&gt;0,1,0)</f>
        <v>1</v>
      </c>
      <c r="G1725" s="53">
        <f>SUM(F1724:F1725)</f>
        <v>2</v>
      </c>
      <c r="H1725" s="53">
        <f>IF(G1725=1,IF(F1724=1,1,-1),G1725)</f>
        <v>2</v>
      </c>
      <c r="I1725" s="53" t="str">
        <f>VLOOKUP(H1725,codes,2,)</f>
        <v>ww</v>
      </c>
      <c r="J1725" s="53"/>
    </row>
    <row r="1726" spans="1:10" x14ac:dyDescent="0.25">
      <c r="A1726" s="93">
        <v>42795</v>
      </c>
      <c r="B1726" s="35">
        <f>C1726+(D1726-2009)*12</f>
        <v>98</v>
      </c>
      <c r="C1726" s="76">
        <v>2</v>
      </c>
      <c r="D1726" s="76">
        <v>2017</v>
      </c>
      <c r="E1726" s="56">
        <v>0</v>
      </c>
      <c r="F1726" s="53">
        <f>IF(E1726&gt;0,1,0)</f>
        <v>0</v>
      </c>
      <c r="G1726" s="53">
        <f>SUM(F1725:F1726)</f>
        <v>1</v>
      </c>
      <c r="H1726" s="53">
        <f>IF(G1726=1,IF(F1725=1,1,-1),G1726)</f>
        <v>1</v>
      </c>
      <c r="I1726" s="53" t="str">
        <f>VLOOKUP(H1726,codes,2,)</f>
        <v>wd</v>
      </c>
      <c r="J1726" s="53"/>
    </row>
    <row r="1727" spans="1:10" x14ac:dyDescent="0.25">
      <c r="A1727" s="93">
        <v>42796</v>
      </c>
      <c r="B1727" s="35">
        <f>C1727+(D1727-2009)*12</f>
        <v>98</v>
      </c>
      <c r="C1727" s="76">
        <v>2</v>
      </c>
      <c r="D1727" s="76">
        <v>2017</v>
      </c>
      <c r="E1727" s="56">
        <v>0</v>
      </c>
      <c r="F1727" s="53">
        <f>IF(E1727&gt;0,1,0)</f>
        <v>0</v>
      </c>
      <c r="G1727" s="53">
        <f>SUM(F1726:F1727)</f>
        <v>0</v>
      </c>
      <c r="H1727" s="53">
        <f>IF(G1727=1,IF(F1726=1,1,-1),G1727)</f>
        <v>0</v>
      </c>
      <c r="I1727" s="53" t="str">
        <f>VLOOKUP(H1727,codes,2,)</f>
        <v>dd</v>
      </c>
      <c r="J1727" s="53"/>
    </row>
    <row r="1728" spans="1:10" x14ac:dyDescent="0.25">
      <c r="A1728" s="93">
        <v>43134</v>
      </c>
      <c r="B1728" s="35">
        <f>C1728+(D1728-2009)*12</f>
        <v>110</v>
      </c>
      <c r="C1728" s="76">
        <v>2</v>
      </c>
      <c r="D1728" s="76">
        <v>2018</v>
      </c>
      <c r="E1728" s="56">
        <v>0.33333333333333331</v>
      </c>
      <c r="F1728" s="53">
        <f>IF(E1728&gt;0,1,0)</f>
        <v>1</v>
      </c>
      <c r="G1728" s="53">
        <f>SUM(F1727:F1728)</f>
        <v>1</v>
      </c>
      <c r="H1728" s="53">
        <f>IF(G1728=1,IF(F1727=1,1,-1),G1728)</f>
        <v>-1</v>
      </c>
      <c r="I1728" s="53" t="str">
        <f>VLOOKUP(H1728,codes,2,)</f>
        <v>dw</v>
      </c>
      <c r="J1728" s="53"/>
    </row>
    <row r="1729" spans="1:10" x14ac:dyDescent="0.25">
      <c r="A1729" s="93">
        <v>43135</v>
      </c>
      <c r="B1729" s="35">
        <f>C1729+(D1729-2009)*12</f>
        <v>110</v>
      </c>
      <c r="C1729" s="76">
        <v>2</v>
      </c>
      <c r="D1729" s="76">
        <v>2018</v>
      </c>
      <c r="E1729" s="56">
        <v>4.7333333333333334</v>
      </c>
      <c r="F1729" s="53">
        <f>IF(E1729&gt;0,1,0)</f>
        <v>1</v>
      </c>
      <c r="G1729" s="53">
        <f>SUM(F1728:F1729)</f>
        <v>2</v>
      </c>
      <c r="H1729" s="53">
        <f>IF(G1729=1,IF(F1728=1,1,-1),G1729)</f>
        <v>2</v>
      </c>
      <c r="I1729" s="53" t="str">
        <f>VLOOKUP(H1729,codes,2,)</f>
        <v>ww</v>
      </c>
      <c r="J1729" s="53"/>
    </row>
    <row r="1730" spans="1:10" x14ac:dyDescent="0.25">
      <c r="A1730" s="93">
        <v>43136</v>
      </c>
      <c r="B1730" s="35">
        <f>C1730+(D1730-2009)*12</f>
        <v>110</v>
      </c>
      <c r="C1730" s="76">
        <v>2</v>
      </c>
      <c r="D1730" s="76">
        <v>2018</v>
      </c>
      <c r="E1730" s="56">
        <v>0.33333333333333331</v>
      </c>
      <c r="F1730" s="53">
        <f>IF(E1730&gt;0,1,0)</f>
        <v>1</v>
      </c>
      <c r="G1730" s="53">
        <f>SUM(F1729:F1730)</f>
        <v>2</v>
      </c>
      <c r="H1730" s="53">
        <f>IF(G1730=1,IF(F1729=1,1,-1),G1730)</f>
        <v>2</v>
      </c>
      <c r="I1730" s="53" t="str">
        <f>VLOOKUP(H1730,codes,2,)</f>
        <v>ww</v>
      </c>
      <c r="J1730" s="53"/>
    </row>
    <row r="1731" spans="1:10" x14ac:dyDescent="0.25">
      <c r="A1731" s="93">
        <v>43137</v>
      </c>
      <c r="B1731" s="35">
        <f>C1731+(D1731-2009)*12</f>
        <v>110</v>
      </c>
      <c r="C1731" s="76">
        <v>2</v>
      </c>
      <c r="D1731" s="76">
        <v>2018</v>
      </c>
      <c r="E1731" s="56">
        <v>0.33333333333333331</v>
      </c>
      <c r="F1731" s="53">
        <f>IF(E1731&gt;0,1,0)</f>
        <v>1</v>
      </c>
      <c r="G1731" s="53">
        <f>SUM(F1730:F1731)</f>
        <v>2</v>
      </c>
      <c r="H1731" s="53">
        <f>IF(G1731=1,IF(F1730=1,1,-1),G1731)</f>
        <v>2</v>
      </c>
      <c r="I1731" s="53" t="str">
        <f>VLOOKUP(H1731,codes,2,)</f>
        <v>ww</v>
      </c>
      <c r="J1731" s="53"/>
    </row>
    <row r="1732" spans="1:10" x14ac:dyDescent="0.25">
      <c r="A1732" s="93">
        <v>43138</v>
      </c>
      <c r="B1732" s="35">
        <f>C1732+(D1732-2009)*12</f>
        <v>110</v>
      </c>
      <c r="C1732" s="76">
        <v>2</v>
      </c>
      <c r="D1732" s="76">
        <v>2018</v>
      </c>
      <c r="E1732" s="56">
        <v>2.0666666666666669</v>
      </c>
      <c r="F1732" s="53">
        <f>IF(E1732&gt;0,1,0)</f>
        <v>1</v>
      </c>
      <c r="G1732" s="53">
        <f>SUM(F1731:F1732)</f>
        <v>2</v>
      </c>
      <c r="H1732" s="53">
        <f>IF(G1732=1,IF(F1731=1,1,-1),G1732)</f>
        <v>2</v>
      </c>
      <c r="I1732" s="53" t="str">
        <f>VLOOKUP(H1732,codes,2,)</f>
        <v>ww</v>
      </c>
      <c r="J1732" s="53"/>
    </row>
    <row r="1733" spans="1:10" x14ac:dyDescent="0.25">
      <c r="A1733" s="93">
        <v>43139</v>
      </c>
      <c r="B1733" s="35">
        <f>C1733+(D1733-2009)*12</f>
        <v>110</v>
      </c>
      <c r="C1733" s="76">
        <v>2</v>
      </c>
      <c r="D1733" s="76">
        <v>2018</v>
      </c>
      <c r="E1733" s="56">
        <v>0</v>
      </c>
      <c r="F1733" s="53">
        <f>IF(E1733&gt;0,1,0)</f>
        <v>0</v>
      </c>
      <c r="G1733" s="53">
        <f>SUM(F1732:F1733)</f>
        <v>1</v>
      </c>
      <c r="H1733" s="53">
        <f>IF(G1733=1,IF(F1732=1,1,-1),G1733)</f>
        <v>1</v>
      </c>
      <c r="I1733" s="53" t="str">
        <f>VLOOKUP(H1733,codes,2,)</f>
        <v>wd</v>
      </c>
      <c r="J1733" s="53"/>
    </row>
    <row r="1734" spans="1:10" x14ac:dyDescent="0.25">
      <c r="A1734" s="93">
        <v>43140</v>
      </c>
      <c r="B1734" s="35">
        <f>C1734+(D1734-2009)*12</f>
        <v>110</v>
      </c>
      <c r="C1734" s="76">
        <v>2</v>
      </c>
      <c r="D1734" s="76">
        <v>2018</v>
      </c>
      <c r="E1734" s="56">
        <v>3.2000000000000006</v>
      </c>
      <c r="F1734" s="53">
        <f>IF(E1734&gt;0,1,0)</f>
        <v>1</v>
      </c>
      <c r="G1734" s="53">
        <f>SUM(F1733:F1734)</f>
        <v>1</v>
      </c>
      <c r="H1734" s="53">
        <f>IF(G1734=1,IF(F1733=1,1,-1),G1734)</f>
        <v>-1</v>
      </c>
      <c r="I1734" s="53" t="str">
        <f>VLOOKUP(H1734,codes,2,)</f>
        <v>dw</v>
      </c>
      <c r="J1734" s="53"/>
    </row>
    <row r="1735" spans="1:10" x14ac:dyDescent="0.25">
      <c r="A1735" s="93">
        <v>43141</v>
      </c>
      <c r="B1735" s="35">
        <f>C1735+(D1735-2009)*12</f>
        <v>110</v>
      </c>
      <c r="C1735" s="76">
        <v>2</v>
      </c>
      <c r="D1735" s="76">
        <v>2018</v>
      </c>
      <c r="E1735" s="56">
        <v>1</v>
      </c>
      <c r="F1735" s="53">
        <f>IF(E1735&gt;0,1,0)</f>
        <v>1</v>
      </c>
      <c r="G1735" s="53">
        <f>SUM(F1734:F1735)</f>
        <v>2</v>
      </c>
      <c r="H1735" s="53">
        <f>IF(G1735=1,IF(F1734=1,1,-1),G1735)</f>
        <v>2</v>
      </c>
      <c r="I1735" s="53" t="str">
        <f>VLOOKUP(H1735,codes,2,)</f>
        <v>ww</v>
      </c>
      <c r="J1735" s="53"/>
    </row>
    <row r="1736" spans="1:10" x14ac:dyDescent="0.25">
      <c r="A1736" s="93">
        <v>43142</v>
      </c>
      <c r="B1736" s="35">
        <f>C1736+(D1736-2009)*12</f>
        <v>110</v>
      </c>
      <c r="C1736" s="76">
        <v>2</v>
      </c>
      <c r="D1736" s="76">
        <v>2018</v>
      </c>
      <c r="E1736" s="56">
        <v>9.4</v>
      </c>
      <c r="F1736" s="53">
        <f>IF(E1736&gt;0,1,0)</f>
        <v>1</v>
      </c>
      <c r="G1736" s="53">
        <f>SUM(F1735:F1736)</f>
        <v>2</v>
      </c>
      <c r="H1736" s="53">
        <f>IF(G1736=1,IF(F1735=1,1,-1),G1736)</f>
        <v>2</v>
      </c>
      <c r="I1736" s="53" t="str">
        <f>VLOOKUP(H1736,codes,2,)</f>
        <v>ww</v>
      </c>
      <c r="J1736" s="53"/>
    </row>
    <row r="1737" spans="1:10" x14ac:dyDescent="0.25">
      <c r="A1737" s="93">
        <v>43143</v>
      </c>
      <c r="B1737" s="35">
        <f>C1737+(D1737-2009)*12</f>
        <v>110</v>
      </c>
      <c r="C1737" s="76">
        <v>2</v>
      </c>
      <c r="D1737" s="76">
        <v>2018</v>
      </c>
      <c r="E1737" s="56">
        <v>0.13333333333333333</v>
      </c>
      <c r="F1737" s="53">
        <f>IF(E1737&gt;0,1,0)</f>
        <v>1</v>
      </c>
      <c r="G1737" s="53">
        <f>SUM(F1736:F1737)</f>
        <v>2</v>
      </c>
      <c r="H1737" s="53">
        <f>IF(G1737=1,IF(F1736=1,1,-1),G1737)</f>
        <v>2</v>
      </c>
      <c r="I1737" s="53" t="str">
        <f>VLOOKUP(H1737,codes,2,)</f>
        <v>ww</v>
      </c>
      <c r="J1737" s="53"/>
    </row>
    <row r="1738" spans="1:10" x14ac:dyDescent="0.25">
      <c r="A1738" s="93">
        <v>43144</v>
      </c>
      <c r="B1738" s="35">
        <f>C1738+(D1738-2009)*12</f>
        <v>110</v>
      </c>
      <c r="C1738" s="76">
        <v>2</v>
      </c>
      <c r="D1738" s="76">
        <v>2018</v>
      </c>
      <c r="E1738" s="56">
        <v>0.33333333333333331</v>
      </c>
      <c r="F1738" s="53">
        <f>IF(E1738&gt;0,1,0)</f>
        <v>1</v>
      </c>
      <c r="G1738" s="53">
        <f>SUM(F1737:F1738)</f>
        <v>2</v>
      </c>
      <c r="H1738" s="53">
        <f>IF(G1738=1,IF(F1737=1,1,-1),G1738)</f>
        <v>2</v>
      </c>
      <c r="I1738" s="53" t="str">
        <f>VLOOKUP(H1738,codes,2,)</f>
        <v>ww</v>
      </c>
      <c r="J1738" s="53"/>
    </row>
    <row r="1739" spans="1:10" x14ac:dyDescent="0.25">
      <c r="A1739" s="93">
        <v>43145</v>
      </c>
      <c r="B1739" s="35">
        <f>C1739+(D1739-2009)*12</f>
        <v>110</v>
      </c>
      <c r="C1739" s="76">
        <v>2</v>
      </c>
      <c r="D1739" s="76">
        <v>2018</v>
      </c>
      <c r="E1739" s="56">
        <v>2.0666666666666669</v>
      </c>
      <c r="F1739" s="53">
        <f>IF(E1739&gt;0,1,0)</f>
        <v>1</v>
      </c>
      <c r="G1739" s="53">
        <f>SUM(F1738:F1739)</f>
        <v>2</v>
      </c>
      <c r="H1739" s="53">
        <f>IF(G1739=1,IF(F1738=1,1,-1),G1739)</f>
        <v>2</v>
      </c>
      <c r="I1739" s="53" t="str">
        <f>VLOOKUP(H1739,codes,2,)</f>
        <v>ww</v>
      </c>
      <c r="J1739" s="53"/>
    </row>
    <row r="1740" spans="1:10" x14ac:dyDescent="0.25">
      <c r="A1740" s="93">
        <v>43146</v>
      </c>
      <c r="B1740" s="35">
        <f>C1740+(D1740-2009)*12</f>
        <v>110</v>
      </c>
      <c r="C1740" s="76">
        <v>2</v>
      </c>
      <c r="D1740" s="76">
        <v>2018</v>
      </c>
      <c r="E1740" s="56">
        <v>0.46666666666666662</v>
      </c>
      <c r="F1740" s="53">
        <f>IF(E1740&gt;0,1,0)</f>
        <v>1</v>
      </c>
      <c r="G1740" s="53">
        <f>SUM(F1739:F1740)</f>
        <v>2</v>
      </c>
      <c r="H1740" s="53">
        <f>IF(G1740=1,IF(F1739=1,1,-1),G1740)</f>
        <v>2</v>
      </c>
      <c r="I1740" s="53" t="str">
        <f>VLOOKUP(H1740,codes,2,)</f>
        <v>ww</v>
      </c>
      <c r="J1740" s="53"/>
    </row>
    <row r="1741" spans="1:10" x14ac:dyDescent="0.25">
      <c r="A1741" s="93">
        <v>43147</v>
      </c>
      <c r="B1741" s="35">
        <f>C1741+(D1741-2009)*12</f>
        <v>110</v>
      </c>
      <c r="C1741" s="76">
        <v>2</v>
      </c>
      <c r="D1741" s="76">
        <v>2018</v>
      </c>
      <c r="E1741" s="56">
        <v>0</v>
      </c>
      <c r="F1741" s="53">
        <f>IF(E1741&gt;0,1,0)</f>
        <v>0</v>
      </c>
      <c r="G1741" s="53">
        <f>SUM(F1740:F1741)</f>
        <v>1</v>
      </c>
      <c r="H1741" s="53">
        <f>IF(G1741=1,IF(F1740=1,1,-1),G1741)</f>
        <v>1</v>
      </c>
      <c r="I1741" s="53" t="str">
        <f>VLOOKUP(H1741,codes,2,)</f>
        <v>wd</v>
      </c>
      <c r="J1741" s="53"/>
    </row>
    <row r="1742" spans="1:10" x14ac:dyDescent="0.25">
      <c r="A1742" s="93">
        <v>43148</v>
      </c>
      <c r="B1742" s="35">
        <f>C1742+(D1742-2009)*12</f>
        <v>110</v>
      </c>
      <c r="C1742" s="76">
        <v>2</v>
      </c>
      <c r="D1742" s="76">
        <v>2018</v>
      </c>
      <c r="E1742" s="56">
        <v>0.26666666666666666</v>
      </c>
      <c r="F1742" s="53">
        <f>IF(E1742&gt;0,1,0)</f>
        <v>1</v>
      </c>
      <c r="G1742" s="53">
        <f>SUM(F1741:F1742)</f>
        <v>1</v>
      </c>
      <c r="H1742" s="53">
        <f>IF(G1742=1,IF(F1741=1,1,-1),G1742)</f>
        <v>-1</v>
      </c>
      <c r="I1742" s="53" t="str">
        <f>VLOOKUP(H1742,codes,2,)</f>
        <v>dw</v>
      </c>
      <c r="J1742" s="53"/>
    </row>
    <row r="1743" spans="1:10" x14ac:dyDescent="0.25">
      <c r="A1743" s="93">
        <v>43149</v>
      </c>
      <c r="B1743" s="35">
        <f>C1743+(D1743-2009)*12</f>
        <v>110</v>
      </c>
      <c r="C1743" s="76">
        <v>2</v>
      </c>
      <c r="D1743" s="76">
        <v>2018</v>
      </c>
      <c r="E1743" s="56">
        <v>0</v>
      </c>
      <c r="F1743" s="53">
        <f>IF(E1743&gt;0,1,0)</f>
        <v>0</v>
      </c>
      <c r="G1743" s="53">
        <f>SUM(F1742:F1743)</f>
        <v>1</v>
      </c>
      <c r="H1743" s="53">
        <f>IF(G1743=1,IF(F1742=1,1,-1),G1743)</f>
        <v>1</v>
      </c>
      <c r="I1743" s="53" t="str">
        <f>VLOOKUP(H1743,codes,2,)</f>
        <v>wd</v>
      </c>
      <c r="J1743" s="53"/>
    </row>
    <row r="1744" spans="1:10" x14ac:dyDescent="0.25">
      <c r="A1744" s="93">
        <v>43150</v>
      </c>
      <c r="B1744" s="35">
        <f>C1744+(D1744-2009)*12</f>
        <v>110</v>
      </c>
      <c r="C1744" s="76">
        <v>2</v>
      </c>
      <c r="D1744" s="76">
        <v>2018</v>
      </c>
      <c r="E1744" s="56">
        <v>6.666666666666667</v>
      </c>
      <c r="F1744" s="53">
        <f>IF(E1744&gt;0,1,0)</f>
        <v>1</v>
      </c>
      <c r="G1744" s="53">
        <f>SUM(F1743:F1744)</f>
        <v>1</v>
      </c>
      <c r="H1744" s="53">
        <f>IF(G1744=1,IF(F1743=1,1,-1),G1744)</f>
        <v>-1</v>
      </c>
      <c r="I1744" s="53" t="str">
        <f>VLOOKUP(H1744,codes,2,)</f>
        <v>dw</v>
      </c>
      <c r="J1744" s="53"/>
    </row>
    <row r="1745" spans="1:10" x14ac:dyDescent="0.25">
      <c r="A1745" s="93">
        <v>43151</v>
      </c>
      <c r="B1745" s="35">
        <f>C1745+(D1745-2009)*12</f>
        <v>110</v>
      </c>
      <c r="C1745" s="76">
        <v>2</v>
      </c>
      <c r="D1745" s="76">
        <v>2018</v>
      </c>
      <c r="E1745" s="56">
        <v>3.2666666666666671</v>
      </c>
      <c r="F1745" s="53">
        <f>IF(E1745&gt;0,1,0)</f>
        <v>1</v>
      </c>
      <c r="G1745" s="53">
        <f>SUM(F1744:F1745)</f>
        <v>2</v>
      </c>
      <c r="H1745" s="53">
        <f>IF(G1745=1,IF(F1744=1,1,-1),G1745)</f>
        <v>2</v>
      </c>
      <c r="I1745" s="53" t="str">
        <f>VLOOKUP(H1745,codes,2,)</f>
        <v>ww</v>
      </c>
      <c r="J1745" s="53"/>
    </row>
    <row r="1746" spans="1:10" x14ac:dyDescent="0.25">
      <c r="A1746" s="93">
        <v>43152</v>
      </c>
      <c r="B1746" s="35">
        <f>C1746+(D1746-2009)*12</f>
        <v>110</v>
      </c>
      <c r="C1746" s="76">
        <v>2</v>
      </c>
      <c r="D1746" s="76">
        <v>2018</v>
      </c>
      <c r="E1746" s="56">
        <v>6.6666666666666666E-2</v>
      </c>
      <c r="F1746" s="53">
        <f>IF(E1746&gt;0,1,0)</f>
        <v>1</v>
      </c>
      <c r="G1746" s="53">
        <f>SUM(F1745:F1746)</f>
        <v>2</v>
      </c>
      <c r="H1746" s="53">
        <f>IF(G1746=1,IF(F1745=1,1,-1),G1746)</f>
        <v>2</v>
      </c>
      <c r="I1746" s="53" t="str">
        <f>VLOOKUP(H1746,codes,2,)</f>
        <v>ww</v>
      </c>
      <c r="J1746" s="53"/>
    </row>
    <row r="1747" spans="1:10" x14ac:dyDescent="0.25">
      <c r="A1747" s="93">
        <v>43153</v>
      </c>
      <c r="B1747" s="35">
        <f>C1747+(D1747-2009)*12</f>
        <v>110</v>
      </c>
      <c r="C1747" s="76">
        <v>2</v>
      </c>
      <c r="D1747" s="76">
        <v>2018</v>
      </c>
      <c r="E1747" s="56">
        <v>0.20000000000000004</v>
      </c>
      <c r="F1747" s="53">
        <f>IF(E1747&gt;0,1,0)</f>
        <v>1</v>
      </c>
      <c r="G1747" s="53">
        <f>SUM(F1746:F1747)</f>
        <v>2</v>
      </c>
      <c r="H1747" s="53">
        <f>IF(G1747=1,IF(F1746=1,1,-1),G1747)</f>
        <v>2</v>
      </c>
      <c r="I1747" s="53" t="str">
        <f>VLOOKUP(H1747,codes,2,)</f>
        <v>ww</v>
      </c>
      <c r="J1747" s="53"/>
    </row>
    <row r="1748" spans="1:10" x14ac:dyDescent="0.25">
      <c r="A1748" s="93">
        <v>43154</v>
      </c>
      <c r="B1748" s="35">
        <f>C1748+(D1748-2009)*12</f>
        <v>110</v>
      </c>
      <c r="C1748" s="76">
        <v>2</v>
      </c>
      <c r="D1748" s="76">
        <v>2018</v>
      </c>
      <c r="E1748" s="56">
        <v>0.13333333333333333</v>
      </c>
      <c r="F1748" s="53">
        <f>IF(E1748&gt;0,1,0)</f>
        <v>1</v>
      </c>
      <c r="G1748" s="53">
        <f>SUM(F1747:F1748)</f>
        <v>2</v>
      </c>
      <c r="H1748" s="53">
        <f>IF(G1748=1,IF(F1747=1,1,-1),G1748)</f>
        <v>2</v>
      </c>
      <c r="I1748" s="53" t="str">
        <f>VLOOKUP(H1748,codes,2,)</f>
        <v>ww</v>
      </c>
      <c r="J1748" s="53"/>
    </row>
    <row r="1749" spans="1:10" x14ac:dyDescent="0.25">
      <c r="A1749" s="93">
        <v>43155</v>
      </c>
      <c r="B1749" s="35">
        <f>C1749+(D1749-2009)*12</f>
        <v>110</v>
      </c>
      <c r="C1749" s="76">
        <v>2</v>
      </c>
      <c r="D1749" s="76">
        <v>2018</v>
      </c>
      <c r="E1749" s="56">
        <v>6.6666666666666666E-2</v>
      </c>
      <c r="F1749" s="53">
        <f>IF(E1749&gt;0,1,0)</f>
        <v>1</v>
      </c>
      <c r="G1749" s="53">
        <f>SUM(F1748:F1749)</f>
        <v>2</v>
      </c>
      <c r="H1749" s="53">
        <f>IF(G1749=1,IF(F1748=1,1,-1),G1749)</f>
        <v>2</v>
      </c>
      <c r="I1749" s="53" t="str">
        <f>VLOOKUP(H1749,codes,2,)</f>
        <v>ww</v>
      </c>
      <c r="J1749" s="53"/>
    </row>
    <row r="1750" spans="1:10" x14ac:dyDescent="0.25">
      <c r="A1750" s="93">
        <v>43156</v>
      </c>
      <c r="B1750" s="35">
        <f>C1750+(D1750-2009)*12</f>
        <v>110</v>
      </c>
      <c r="C1750" s="76">
        <v>2</v>
      </c>
      <c r="D1750" s="76">
        <v>2018</v>
      </c>
      <c r="E1750" s="56">
        <v>0</v>
      </c>
      <c r="F1750" s="53">
        <f>IF(E1750&gt;0,1,0)</f>
        <v>0</v>
      </c>
      <c r="G1750" s="53">
        <f>SUM(F1749:F1750)</f>
        <v>1</v>
      </c>
      <c r="H1750" s="53">
        <f>IF(G1750=1,IF(F1749=1,1,-1),G1750)</f>
        <v>1</v>
      </c>
      <c r="I1750" s="53" t="str">
        <f>VLOOKUP(H1750,codes,2,)</f>
        <v>wd</v>
      </c>
      <c r="J1750" s="53"/>
    </row>
    <row r="1751" spans="1:10" x14ac:dyDescent="0.25">
      <c r="A1751" s="93">
        <v>43157</v>
      </c>
      <c r="B1751" s="35">
        <f>C1751+(D1751-2009)*12</f>
        <v>110</v>
      </c>
      <c r="C1751" s="76">
        <v>2</v>
      </c>
      <c r="D1751" s="76">
        <v>2018</v>
      </c>
      <c r="E1751" s="56">
        <v>0</v>
      </c>
      <c r="F1751" s="53">
        <f>IF(E1751&gt;0,1,0)</f>
        <v>0</v>
      </c>
      <c r="G1751" s="53">
        <f>SUM(F1750:F1751)</f>
        <v>0</v>
      </c>
      <c r="H1751" s="53">
        <f>IF(G1751=1,IF(F1750=1,1,-1),G1751)</f>
        <v>0</v>
      </c>
      <c r="I1751" s="53" t="str">
        <f>VLOOKUP(H1751,codes,2,)</f>
        <v>dd</v>
      </c>
      <c r="J1751" s="53"/>
    </row>
    <row r="1752" spans="1:10" x14ac:dyDescent="0.25">
      <c r="A1752" s="93">
        <v>43158</v>
      </c>
      <c r="B1752" s="35">
        <f>C1752+(D1752-2009)*12</f>
        <v>110</v>
      </c>
      <c r="C1752" s="76">
        <v>2</v>
      </c>
      <c r="D1752" s="76">
        <v>2018</v>
      </c>
      <c r="E1752" s="56">
        <v>4.8</v>
      </c>
      <c r="F1752" s="53">
        <f>IF(E1752&gt;0,1,0)</f>
        <v>1</v>
      </c>
      <c r="G1752" s="53">
        <f>SUM(F1751:F1752)</f>
        <v>1</v>
      </c>
      <c r="H1752" s="53">
        <f>IF(G1752=1,IF(F1751=1,1,-1),G1752)</f>
        <v>-1</v>
      </c>
      <c r="I1752" s="53" t="str">
        <f>VLOOKUP(H1752,codes,2,)</f>
        <v>dw</v>
      </c>
      <c r="J1752" s="53"/>
    </row>
    <row r="1753" spans="1:10" x14ac:dyDescent="0.25">
      <c r="A1753" s="93">
        <v>43159</v>
      </c>
      <c r="B1753" s="35">
        <f>C1753+(D1753-2009)*12</f>
        <v>110</v>
      </c>
      <c r="C1753" s="76">
        <v>2</v>
      </c>
      <c r="D1753" s="76">
        <v>2018</v>
      </c>
      <c r="E1753" s="56">
        <v>5.3999999999999995</v>
      </c>
      <c r="F1753" s="53">
        <f>IF(E1753&gt;0,1,0)</f>
        <v>1</v>
      </c>
      <c r="G1753" s="53">
        <f>SUM(F1752:F1753)</f>
        <v>2</v>
      </c>
      <c r="H1753" s="53">
        <f>IF(G1753=1,IF(F1752=1,1,-1),G1753)</f>
        <v>2</v>
      </c>
      <c r="I1753" s="53" t="str">
        <f>VLOOKUP(H1753,codes,2,)</f>
        <v>ww</v>
      </c>
      <c r="J1753" s="53"/>
    </row>
    <row r="1754" spans="1:10" x14ac:dyDescent="0.25">
      <c r="A1754" s="93">
        <v>43160</v>
      </c>
      <c r="B1754" s="35">
        <f>C1754+(D1754-2009)*12</f>
        <v>110</v>
      </c>
      <c r="C1754" s="76">
        <v>2</v>
      </c>
      <c r="D1754" s="76">
        <v>2018</v>
      </c>
      <c r="E1754" s="56">
        <v>6</v>
      </c>
      <c r="F1754" s="53">
        <f>IF(E1754&gt;0,1,0)</f>
        <v>1</v>
      </c>
      <c r="G1754" s="53">
        <f>SUM(F1753:F1754)</f>
        <v>2</v>
      </c>
      <c r="H1754" s="53">
        <f>IF(G1754=1,IF(F1753=1,1,-1),G1754)</f>
        <v>2</v>
      </c>
      <c r="I1754" s="53" t="str">
        <f>VLOOKUP(H1754,codes,2,)</f>
        <v>ww</v>
      </c>
      <c r="J1754" s="53"/>
    </row>
    <row r="1755" spans="1:10" x14ac:dyDescent="0.25">
      <c r="A1755" s="93">
        <v>43161</v>
      </c>
      <c r="B1755" s="35">
        <f>C1755+(D1755-2009)*12</f>
        <v>110</v>
      </c>
      <c r="C1755" s="76">
        <v>2</v>
      </c>
      <c r="D1755" s="76">
        <v>2018</v>
      </c>
      <c r="E1755" s="56">
        <v>1.5999999999999999</v>
      </c>
      <c r="F1755" s="53">
        <f>IF(E1755&gt;0,1,0)</f>
        <v>1</v>
      </c>
      <c r="G1755" s="53">
        <f>SUM(F1754:F1755)</f>
        <v>2</v>
      </c>
      <c r="H1755" s="53">
        <f>IF(G1755=1,IF(F1754=1,1,-1),G1755)</f>
        <v>2</v>
      </c>
      <c r="I1755" s="53" t="str">
        <f>VLOOKUP(H1755,codes,2,)</f>
        <v>ww</v>
      </c>
      <c r="J1755" s="53"/>
    </row>
    <row r="1756" spans="1:10" x14ac:dyDescent="0.25">
      <c r="A1756" s="93">
        <v>43162</v>
      </c>
      <c r="B1756" s="35">
        <f>C1756+(D1756-2009)*12</f>
        <v>110</v>
      </c>
      <c r="C1756" s="76">
        <v>2</v>
      </c>
      <c r="D1756" s="76">
        <v>2018</v>
      </c>
      <c r="E1756" s="56">
        <v>0.46666666666666662</v>
      </c>
      <c r="F1756" s="53">
        <f>IF(E1756&gt;0,1,0)</f>
        <v>1</v>
      </c>
      <c r="G1756" s="53">
        <f>SUM(F1755:F1756)</f>
        <v>2</v>
      </c>
      <c r="H1756" s="53">
        <f>IF(G1756=1,IF(F1755=1,1,-1),G1756)</f>
        <v>2</v>
      </c>
      <c r="I1756" s="53" t="str">
        <f>VLOOKUP(H1756,codes,2,)</f>
        <v>ww</v>
      </c>
      <c r="J1756" s="53"/>
    </row>
    <row r="1757" spans="1:10" x14ac:dyDescent="0.25">
      <c r="A1757" s="93">
        <v>43497</v>
      </c>
      <c r="B1757" s="35">
        <f>C1757+(D1757-2009)*12</f>
        <v>122</v>
      </c>
      <c r="C1757" s="76">
        <v>2</v>
      </c>
      <c r="D1757" s="76">
        <v>2019</v>
      </c>
      <c r="E1757" s="56">
        <v>8.5500000000000007</v>
      </c>
      <c r="F1757" s="53">
        <f>IF(E1757&gt;0,1,0)</f>
        <v>1</v>
      </c>
      <c r="G1757" s="53">
        <f>SUM(F1756:F1757)</f>
        <v>2</v>
      </c>
      <c r="H1757" s="53">
        <f>IF(G1757=1,IF(F1756=1,1,-1),G1757)</f>
        <v>2</v>
      </c>
      <c r="I1757" s="53" t="str">
        <f>VLOOKUP(H1757,codes,2,)</f>
        <v>ww</v>
      </c>
      <c r="J1757" s="53"/>
    </row>
    <row r="1758" spans="1:10" x14ac:dyDescent="0.25">
      <c r="A1758" s="93">
        <v>43498</v>
      </c>
      <c r="B1758" s="35">
        <f>C1758+(D1758-2009)*12</f>
        <v>122</v>
      </c>
      <c r="C1758" s="76">
        <v>2</v>
      </c>
      <c r="D1758" s="76">
        <v>2019</v>
      </c>
      <c r="E1758" s="56">
        <v>3.6</v>
      </c>
      <c r="F1758" s="53">
        <f>IF(E1758&gt;0,1,0)</f>
        <v>1</v>
      </c>
      <c r="G1758" s="53">
        <f>SUM(F1757:F1758)</f>
        <v>2</v>
      </c>
      <c r="H1758" s="53">
        <f>IF(G1758=1,IF(F1757=1,1,-1),G1758)</f>
        <v>2</v>
      </c>
      <c r="I1758" s="53" t="str">
        <f>VLOOKUP(H1758,codes,2,)</f>
        <v>ww</v>
      </c>
      <c r="J1758" s="53"/>
    </row>
    <row r="1759" spans="1:10" x14ac:dyDescent="0.25">
      <c r="A1759" s="93">
        <v>43499</v>
      </c>
      <c r="B1759" s="35">
        <f>C1759+(D1759-2009)*12</f>
        <v>122</v>
      </c>
      <c r="C1759" s="76">
        <v>2</v>
      </c>
      <c r="D1759" s="76">
        <v>2019</v>
      </c>
      <c r="E1759" s="56">
        <v>2.2666666666666666</v>
      </c>
      <c r="F1759" s="53">
        <f>IF(E1759&gt;0,1,0)</f>
        <v>1</v>
      </c>
      <c r="G1759" s="53">
        <f>SUM(F1758:F1759)</f>
        <v>2</v>
      </c>
      <c r="H1759" s="53">
        <f>IF(G1759=1,IF(F1758=1,1,-1),G1759)</f>
        <v>2</v>
      </c>
      <c r="I1759" s="53" t="str">
        <f>VLOOKUP(H1759,codes,2,)</f>
        <v>ww</v>
      </c>
      <c r="J1759" s="53"/>
    </row>
    <row r="1760" spans="1:10" x14ac:dyDescent="0.25">
      <c r="A1760" s="93">
        <v>43500</v>
      </c>
      <c r="B1760" s="35">
        <f>C1760+(D1760-2009)*12</f>
        <v>122</v>
      </c>
      <c r="C1760" s="76">
        <v>2</v>
      </c>
      <c r="D1760" s="76">
        <v>2019</v>
      </c>
      <c r="E1760" s="56">
        <v>0.46666666666666662</v>
      </c>
      <c r="F1760" s="53">
        <f>IF(E1760&gt;0,1,0)</f>
        <v>1</v>
      </c>
      <c r="G1760" s="53">
        <f>SUM(F1759:F1760)</f>
        <v>2</v>
      </c>
      <c r="H1760" s="53">
        <f>IF(G1760=1,IF(F1759=1,1,-1),G1760)</f>
        <v>2</v>
      </c>
      <c r="I1760" s="53" t="str">
        <f>VLOOKUP(H1760,codes,2,)</f>
        <v>ww</v>
      </c>
      <c r="J1760" s="53"/>
    </row>
    <row r="1761" spans="1:10" x14ac:dyDescent="0.25">
      <c r="A1761" s="93">
        <v>43501</v>
      </c>
      <c r="B1761" s="35">
        <f>C1761+(D1761-2009)*12</f>
        <v>122</v>
      </c>
      <c r="C1761" s="76">
        <v>2</v>
      </c>
      <c r="D1761" s="76">
        <v>2019</v>
      </c>
      <c r="E1761" s="56">
        <v>0.73333333333333339</v>
      </c>
      <c r="F1761" s="53">
        <f>IF(E1761&gt;0,1,0)</f>
        <v>1</v>
      </c>
      <c r="G1761" s="53">
        <f>SUM(F1760:F1761)</f>
        <v>2</v>
      </c>
      <c r="H1761" s="53">
        <f>IF(G1761=1,IF(F1760=1,1,-1),G1761)</f>
        <v>2</v>
      </c>
      <c r="I1761" s="53" t="str">
        <f>VLOOKUP(H1761,codes,2,)</f>
        <v>ww</v>
      </c>
      <c r="J1761" s="53"/>
    </row>
    <row r="1762" spans="1:10" x14ac:dyDescent="0.25">
      <c r="A1762" s="93">
        <v>43502</v>
      </c>
      <c r="B1762" s="35">
        <f>C1762+(D1762-2009)*12</f>
        <v>122</v>
      </c>
      <c r="C1762" s="76">
        <v>2</v>
      </c>
      <c r="D1762" s="76">
        <v>2019</v>
      </c>
      <c r="E1762" s="56">
        <v>1.5999999999999999</v>
      </c>
      <c r="F1762" s="53">
        <f>IF(E1762&gt;0,1,0)</f>
        <v>1</v>
      </c>
      <c r="G1762" s="53">
        <f>SUM(F1761:F1762)</f>
        <v>2</v>
      </c>
      <c r="H1762" s="53">
        <f>IF(G1762=1,IF(F1761=1,1,-1),G1762)</f>
        <v>2</v>
      </c>
      <c r="I1762" s="53" t="str">
        <f>VLOOKUP(H1762,codes,2,)</f>
        <v>ww</v>
      </c>
      <c r="J1762" s="53"/>
    </row>
    <row r="1763" spans="1:10" x14ac:dyDescent="0.25">
      <c r="A1763" s="93">
        <v>43503</v>
      </c>
      <c r="B1763" s="35">
        <f>C1763+(D1763-2009)*12</f>
        <v>122</v>
      </c>
      <c r="C1763" s="76">
        <v>2</v>
      </c>
      <c r="D1763" s="76">
        <v>2019</v>
      </c>
      <c r="E1763" s="56">
        <v>5.333333333333333</v>
      </c>
      <c r="F1763" s="53">
        <f>IF(E1763&gt;0,1,0)</f>
        <v>1</v>
      </c>
      <c r="G1763" s="53">
        <f>SUM(F1762:F1763)</f>
        <v>2</v>
      </c>
      <c r="H1763" s="53">
        <f>IF(G1763=1,IF(F1762=1,1,-1),G1763)</f>
        <v>2</v>
      </c>
      <c r="I1763" s="53" t="str">
        <f>VLOOKUP(H1763,codes,2,)</f>
        <v>ww</v>
      </c>
      <c r="J1763" s="53"/>
    </row>
    <row r="1764" spans="1:10" x14ac:dyDescent="0.25">
      <c r="A1764" s="93">
        <v>43504</v>
      </c>
      <c r="B1764" s="35">
        <f>C1764+(D1764-2009)*12</f>
        <v>122</v>
      </c>
      <c r="C1764" s="76">
        <v>2</v>
      </c>
      <c r="D1764" s="76">
        <v>2019</v>
      </c>
      <c r="E1764" s="56">
        <v>2</v>
      </c>
      <c r="F1764" s="53">
        <f>IF(E1764&gt;0,1,0)</f>
        <v>1</v>
      </c>
      <c r="G1764" s="53">
        <f>SUM(F1763:F1764)</f>
        <v>2</v>
      </c>
      <c r="H1764" s="53">
        <f>IF(G1764=1,IF(F1763=1,1,-1),G1764)</f>
        <v>2</v>
      </c>
      <c r="I1764" s="53" t="str">
        <f>VLOOKUP(H1764,codes,2,)</f>
        <v>ww</v>
      </c>
      <c r="J1764" s="53"/>
    </row>
    <row r="1765" spans="1:10" x14ac:dyDescent="0.25">
      <c r="A1765" s="93">
        <v>43505</v>
      </c>
      <c r="B1765" s="35">
        <f>C1765+(D1765-2009)*12</f>
        <v>122</v>
      </c>
      <c r="C1765" s="76">
        <v>2</v>
      </c>
      <c r="D1765" s="76">
        <v>2019</v>
      </c>
      <c r="E1765" s="56">
        <v>2.1333333333333333</v>
      </c>
      <c r="F1765" s="53">
        <f>IF(E1765&gt;0,1,0)</f>
        <v>1</v>
      </c>
      <c r="G1765" s="53">
        <f>SUM(F1764:F1765)</f>
        <v>2</v>
      </c>
      <c r="H1765" s="53">
        <f>IF(G1765=1,IF(F1764=1,1,-1),G1765)</f>
        <v>2</v>
      </c>
      <c r="I1765" s="53" t="str">
        <f>VLOOKUP(H1765,codes,2,)</f>
        <v>ww</v>
      </c>
      <c r="J1765" s="53"/>
    </row>
    <row r="1766" spans="1:10" x14ac:dyDescent="0.25">
      <c r="A1766" s="93">
        <v>43506</v>
      </c>
      <c r="B1766" s="35">
        <f>C1766+(D1766-2009)*12</f>
        <v>122</v>
      </c>
      <c r="C1766" s="76">
        <v>2</v>
      </c>
      <c r="D1766" s="76">
        <v>2019</v>
      </c>
      <c r="E1766" s="56">
        <v>1.1333333333333335</v>
      </c>
      <c r="F1766" s="53">
        <f>IF(E1766&gt;0,1,0)</f>
        <v>1</v>
      </c>
      <c r="G1766" s="53">
        <f>SUM(F1765:F1766)</f>
        <v>2</v>
      </c>
      <c r="H1766" s="53">
        <f>IF(G1766=1,IF(F1765=1,1,-1),G1766)</f>
        <v>2</v>
      </c>
      <c r="I1766" s="53" t="str">
        <f>VLOOKUP(H1766,codes,2,)</f>
        <v>ww</v>
      </c>
      <c r="J1766" s="53"/>
    </row>
    <row r="1767" spans="1:10" x14ac:dyDescent="0.25">
      <c r="A1767" s="93">
        <v>43507</v>
      </c>
      <c r="B1767" s="35">
        <f>C1767+(D1767-2009)*12</f>
        <v>122</v>
      </c>
      <c r="C1767" s="76">
        <v>2</v>
      </c>
      <c r="D1767" s="76">
        <v>2019</v>
      </c>
      <c r="E1767" s="56">
        <v>0.19999999999999998</v>
      </c>
      <c r="F1767" s="53">
        <f>IF(E1767&gt;0,1,0)</f>
        <v>1</v>
      </c>
      <c r="G1767" s="53">
        <f>SUM(F1766:F1767)</f>
        <v>2</v>
      </c>
      <c r="H1767" s="53">
        <f>IF(G1767=1,IF(F1766=1,1,-1),G1767)</f>
        <v>2</v>
      </c>
      <c r="I1767" s="53" t="str">
        <f>VLOOKUP(H1767,codes,2,)</f>
        <v>ww</v>
      </c>
      <c r="J1767" s="53"/>
    </row>
    <row r="1768" spans="1:10" x14ac:dyDescent="0.25">
      <c r="A1768" s="93">
        <v>43508</v>
      </c>
      <c r="B1768" s="35">
        <f>C1768+(D1768-2009)*12</f>
        <v>122</v>
      </c>
      <c r="C1768" s="76">
        <v>2</v>
      </c>
      <c r="D1768" s="76">
        <v>2019</v>
      </c>
      <c r="E1768" s="56">
        <v>6.6666666666666666E-2</v>
      </c>
      <c r="F1768" s="53">
        <f>IF(E1768&gt;0,1,0)</f>
        <v>1</v>
      </c>
      <c r="G1768" s="53">
        <f>SUM(F1767:F1768)</f>
        <v>2</v>
      </c>
      <c r="H1768" s="53">
        <f>IF(G1768=1,IF(F1767=1,1,-1),G1768)</f>
        <v>2</v>
      </c>
      <c r="I1768" s="53" t="str">
        <f>VLOOKUP(H1768,codes,2,)</f>
        <v>ww</v>
      </c>
      <c r="J1768" s="53"/>
    </row>
    <row r="1769" spans="1:10" x14ac:dyDescent="0.25">
      <c r="A1769" s="93">
        <v>43509</v>
      </c>
      <c r="B1769" s="35">
        <f>C1769+(D1769-2009)*12</f>
        <v>122</v>
      </c>
      <c r="C1769" s="76">
        <v>2</v>
      </c>
      <c r="D1769" s="76">
        <v>2019</v>
      </c>
      <c r="E1769" s="56">
        <v>0</v>
      </c>
      <c r="F1769" s="53">
        <f>IF(E1769&gt;0,1,0)</f>
        <v>0</v>
      </c>
      <c r="G1769" s="53">
        <f>SUM(F1768:F1769)</f>
        <v>1</v>
      </c>
      <c r="H1769" s="53">
        <f>IF(G1769=1,IF(F1768=1,1,-1),G1769)</f>
        <v>1</v>
      </c>
      <c r="I1769" s="53" t="str">
        <f>VLOOKUP(H1769,codes,2,)</f>
        <v>wd</v>
      </c>
      <c r="J1769" s="53"/>
    </row>
    <row r="1770" spans="1:10" x14ac:dyDescent="0.25">
      <c r="A1770" s="93">
        <v>43510</v>
      </c>
      <c r="B1770" s="35">
        <f>C1770+(D1770-2009)*12</f>
        <v>122</v>
      </c>
      <c r="C1770" s="76">
        <v>2</v>
      </c>
      <c r="D1770" s="76">
        <v>2019</v>
      </c>
      <c r="E1770" s="56">
        <v>0</v>
      </c>
      <c r="F1770" s="53">
        <f>IF(E1770&gt;0,1,0)</f>
        <v>0</v>
      </c>
      <c r="G1770" s="53">
        <f>SUM(F1769:F1770)</f>
        <v>0</v>
      </c>
      <c r="H1770" s="53">
        <f>IF(G1770=1,IF(F1769=1,1,-1),G1770)</f>
        <v>0</v>
      </c>
      <c r="I1770" s="53" t="str">
        <f>VLOOKUP(H1770,codes,2,)</f>
        <v>dd</v>
      </c>
      <c r="J1770" s="53"/>
    </row>
    <row r="1771" spans="1:10" x14ac:dyDescent="0.25">
      <c r="A1771" s="93">
        <v>43511</v>
      </c>
      <c r="B1771" s="35">
        <f>C1771+(D1771-2009)*12</f>
        <v>122</v>
      </c>
      <c r="C1771" s="76">
        <v>2</v>
      </c>
      <c r="D1771" s="76">
        <v>2019</v>
      </c>
      <c r="E1771" s="56">
        <v>0</v>
      </c>
      <c r="F1771" s="53">
        <f>IF(E1771&gt;0,1,0)</f>
        <v>0</v>
      </c>
      <c r="G1771" s="53">
        <f>SUM(F1770:F1771)</f>
        <v>0</v>
      </c>
      <c r="H1771" s="53">
        <f>IF(G1771=1,IF(F1770=1,1,-1),G1771)</f>
        <v>0</v>
      </c>
      <c r="I1771" s="53" t="str">
        <f>VLOOKUP(H1771,codes,2,)</f>
        <v>dd</v>
      </c>
      <c r="J1771" s="53"/>
    </row>
    <row r="1772" spans="1:10" x14ac:dyDescent="0.25">
      <c r="A1772" s="93">
        <v>43512</v>
      </c>
      <c r="B1772" s="35">
        <f>C1772+(D1772-2009)*12</f>
        <v>122</v>
      </c>
      <c r="C1772" s="76">
        <v>2</v>
      </c>
      <c r="D1772" s="76">
        <v>2019</v>
      </c>
      <c r="E1772" s="56">
        <v>0</v>
      </c>
      <c r="F1772" s="53">
        <f>IF(E1772&gt;0,1,0)</f>
        <v>0</v>
      </c>
      <c r="G1772" s="53">
        <f>SUM(F1771:F1772)</f>
        <v>0</v>
      </c>
      <c r="H1772" s="53">
        <f>IF(G1772=1,IF(F1771=1,1,-1),G1772)</f>
        <v>0</v>
      </c>
      <c r="I1772" s="53" t="str">
        <f>VLOOKUP(H1772,codes,2,)</f>
        <v>dd</v>
      </c>
      <c r="J1772" s="53"/>
    </row>
    <row r="1773" spans="1:10" x14ac:dyDescent="0.25">
      <c r="A1773" s="93">
        <v>43513</v>
      </c>
      <c r="B1773" s="35">
        <f>C1773+(D1773-2009)*12</f>
        <v>122</v>
      </c>
      <c r="C1773" s="76">
        <v>2</v>
      </c>
      <c r="D1773" s="76">
        <v>2019</v>
      </c>
      <c r="E1773" s="56">
        <v>0</v>
      </c>
      <c r="F1773" s="53">
        <f>IF(E1773&gt;0,1,0)</f>
        <v>0</v>
      </c>
      <c r="G1773" s="53">
        <f>SUM(F1772:F1773)</f>
        <v>0</v>
      </c>
      <c r="H1773" s="53">
        <f>IF(G1773=1,IF(F1772=1,1,-1),G1773)</f>
        <v>0</v>
      </c>
      <c r="I1773" s="53" t="str">
        <f>VLOOKUP(H1773,codes,2,)</f>
        <v>dd</v>
      </c>
      <c r="J1773" s="53"/>
    </row>
    <row r="1774" spans="1:10" x14ac:dyDescent="0.25">
      <c r="A1774" s="93">
        <v>43514</v>
      </c>
      <c r="B1774" s="35">
        <f>C1774+(D1774-2009)*12</f>
        <v>122</v>
      </c>
      <c r="C1774" s="76">
        <v>2</v>
      </c>
      <c r="D1774" s="76">
        <v>2019</v>
      </c>
      <c r="E1774" s="56">
        <v>0</v>
      </c>
      <c r="F1774" s="53">
        <f>IF(E1774&gt;0,1,0)</f>
        <v>0</v>
      </c>
      <c r="G1774" s="53">
        <f>SUM(F1773:F1774)</f>
        <v>0</v>
      </c>
      <c r="H1774" s="53">
        <f>IF(G1774=1,IF(F1773=1,1,-1),G1774)</f>
        <v>0</v>
      </c>
      <c r="I1774" s="53" t="str">
        <f>VLOOKUP(H1774,codes,2,)</f>
        <v>dd</v>
      </c>
      <c r="J1774" s="53"/>
    </row>
    <row r="1775" spans="1:10" x14ac:dyDescent="0.25">
      <c r="A1775" s="93">
        <v>43515</v>
      </c>
      <c r="B1775" s="35">
        <f>C1775+(D1775-2009)*12</f>
        <v>122</v>
      </c>
      <c r="C1775" s="76">
        <v>2</v>
      </c>
      <c r="D1775" s="76">
        <v>2019</v>
      </c>
      <c r="E1775" s="56">
        <v>6.6666666666666666E-2</v>
      </c>
      <c r="F1775" s="53">
        <f>IF(E1775&gt;0,1,0)</f>
        <v>1</v>
      </c>
      <c r="G1775" s="53">
        <f>SUM(F1774:F1775)</f>
        <v>1</v>
      </c>
      <c r="H1775" s="53">
        <f>IF(G1775=1,IF(F1774=1,1,-1),G1775)</f>
        <v>-1</v>
      </c>
      <c r="I1775" s="53" t="str">
        <f>VLOOKUP(H1775,codes,2,)</f>
        <v>dw</v>
      </c>
      <c r="J1775" s="53"/>
    </row>
    <row r="1776" spans="1:10" x14ac:dyDescent="0.25">
      <c r="A1776" s="93">
        <v>43516</v>
      </c>
      <c r="B1776" s="35">
        <f>C1776+(D1776-2009)*12</f>
        <v>122</v>
      </c>
      <c r="C1776" s="76">
        <v>2</v>
      </c>
      <c r="D1776" s="76">
        <v>2019</v>
      </c>
      <c r="E1776" s="56">
        <v>1.0666666666666667</v>
      </c>
      <c r="F1776" s="53">
        <f>IF(E1776&gt;0,1,0)</f>
        <v>1</v>
      </c>
      <c r="G1776" s="53">
        <f>SUM(F1775:F1776)</f>
        <v>2</v>
      </c>
      <c r="H1776" s="53">
        <f>IF(G1776=1,IF(F1775=1,1,-1),G1776)</f>
        <v>2</v>
      </c>
      <c r="I1776" s="53" t="str">
        <f>VLOOKUP(H1776,codes,2,)</f>
        <v>ww</v>
      </c>
      <c r="J1776" s="53"/>
    </row>
    <row r="1777" spans="1:10" x14ac:dyDescent="0.25">
      <c r="A1777" s="93">
        <v>43517</v>
      </c>
      <c r="B1777" s="35">
        <f>C1777+(D1777-2009)*12</f>
        <v>122</v>
      </c>
      <c r="C1777" s="76">
        <v>2</v>
      </c>
      <c r="D1777" s="76">
        <v>2019</v>
      </c>
      <c r="E1777" s="56">
        <v>2</v>
      </c>
      <c r="F1777" s="53">
        <f>IF(E1777&gt;0,1,0)</f>
        <v>1</v>
      </c>
      <c r="G1777" s="53">
        <f>SUM(F1776:F1777)</f>
        <v>2</v>
      </c>
      <c r="H1777" s="53">
        <f>IF(G1777=1,IF(F1776=1,1,-1),G1777)</f>
        <v>2</v>
      </c>
      <c r="I1777" s="53" t="str">
        <f>VLOOKUP(H1777,codes,2,)</f>
        <v>ww</v>
      </c>
      <c r="J1777" s="53"/>
    </row>
    <row r="1778" spans="1:10" x14ac:dyDescent="0.25">
      <c r="A1778" s="93">
        <v>43518</v>
      </c>
      <c r="B1778" s="35">
        <f>C1778+(D1778-2009)*12</f>
        <v>122</v>
      </c>
      <c r="C1778" s="76">
        <v>2</v>
      </c>
      <c r="D1778" s="76">
        <v>2019</v>
      </c>
      <c r="E1778" s="56">
        <v>0.66666666666666663</v>
      </c>
      <c r="F1778" s="53">
        <f>IF(E1778&gt;0,1,0)</f>
        <v>1</v>
      </c>
      <c r="G1778" s="53">
        <f>SUM(F1777:F1778)</f>
        <v>2</v>
      </c>
      <c r="H1778" s="53">
        <f>IF(G1778=1,IF(F1777=1,1,-1),G1778)</f>
        <v>2</v>
      </c>
      <c r="I1778" s="53" t="str">
        <f>VLOOKUP(H1778,codes,2,)</f>
        <v>ww</v>
      </c>
      <c r="J1778" s="53"/>
    </row>
    <row r="1779" spans="1:10" x14ac:dyDescent="0.25">
      <c r="A1779" s="93">
        <v>43519</v>
      </c>
      <c r="B1779" s="35">
        <f>C1779+(D1779-2009)*12</f>
        <v>122</v>
      </c>
      <c r="C1779" s="76">
        <v>2</v>
      </c>
      <c r="D1779" s="76">
        <v>2019</v>
      </c>
      <c r="E1779" s="56">
        <v>0</v>
      </c>
      <c r="F1779" s="53">
        <f>IF(E1779&gt;0,1,0)</f>
        <v>0</v>
      </c>
      <c r="G1779" s="53">
        <f>SUM(F1778:F1779)</f>
        <v>1</v>
      </c>
      <c r="H1779" s="53">
        <f>IF(G1779=1,IF(F1778=1,1,-1),G1779)</f>
        <v>1</v>
      </c>
      <c r="I1779" s="53" t="str">
        <f>VLOOKUP(H1779,codes,2,)</f>
        <v>wd</v>
      </c>
      <c r="J1779" s="53"/>
    </row>
    <row r="1780" spans="1:10" x14ac:dyDescent="0.25">
      <c r="A1780" s="93">
        <v>43520</v>
      </c>
      <c r="B1780" s="35">
        <f>C1780+(D1780-2009)*12</f>
        <v>122</v>
      </c>
      <c r="C1780" s="76">
        <v>2</v>
      </c>
      <c r="D1780" s="76">
        <v>2019</v>
      </c>
      <c r="E1780" s="56">
        <v>0</v>
      </c>
      <c r="F1780" s="53">
        <f>IF(E1780&gt;0,1,0)</f>
        <v>0</v>
      </c>
      <c r="G1780" s="53">
        <f>SUM(F1779:F1780)</f>
        <v>0</v>
      </c>
      <c r="H1780" s="53">
        <f>IF(G1780=1,IF(F1779=1,1,-1),G1780)</f>
        <v>0</v>
      </c>
      <c r="I1780" s="53" t="str">
        <f>VLOOKUP(H1780,codes,2,)</f>
        <v>dd</v>
      </c>
      <c r="J1780" s="53"/>
    </row>
    <row r="1781" spans="1:10" x14ac:dyDescent="0.25">
      <c r="A1781" s="93">
        <v>43521</v>
      </c>
      <c r="B1781" s="35">
        <f>C1781+(D1781-2009)*12</f>
        <v>122</v>
      </c>
      <c r="C1781" s="76">
        <v>2</v>
      </c>
      <c r="D1781" s="76">
        <v>2019</v>
      </c>
      <c r="E1781" s="56">
        <v>0.13333333333333333</v>
      </c>
      <c r="F1781" s="53">
        <f>IF(E1781&gt;0,1,0)</f>
        <v>1</v>
      </c>
      <c r="G1781" s="53">
        <f>SUM(F1780:F1781)</f>
        <v>1</v>
      </c>
      <c r="H1781" s="53">
        <f>IF(G1781=1,IF(F1780=1,1,-1),G1781)</f>
        <v>-1</v>
      </c>
      <c r="I1781" s="53" t="str">
        <f>VLOOKUP(H1781,codes,2,)</f>
        <v>dw</v>
      </c>
      <c r="J1781" s="53"/>
    </row>
    <row r="1782" spans="1:10" x14ac:dyDescent="0.25">
      <c r="A1782" s="93">
        <v>43522</v>
      </c>
      <c r="B1782" s="35">
        <f>C1782+(D1782-2009)*12</f>
        <v>122</v>
      </c>
      <c r="C1782" s="76">
        <v>2</v>
      </c>
      <c r="D1782" s="76">
        <v>2019</v>
      </c>
      <c r="E1782" s="56">
        <v>0</v>
      </c>
      <c r="F1782" s="53">
        <f>IF(E1782&gt;0,1,0)</f>
        <v>0</v>
      </c>
      <c r="G1782" s="53">
        <f>SUM(F1781:F1782)</f>
        <v>1</v>
      </c>
      <c r="H1782" s="53">
        <f>IF(G1782=1,IF(F1781=1,1,-1),G1782)</f>
        <v>1</v>
      </c>
      <c r="I1782" s="53" t="str">
        <f>VLOOKUP(H1782,codes,2,)</f>
        <v>wd</v>
      </c>
      <c r="J1782" s="53"/>
    </row>
    <row r="1783" spans="1:10" x14ac:dyDescent="0.25">
      <c r="A1783" s="93">
        <v>43523</v>
      </c>
      <c r="B1783" s="35">
        <f>C1783+(D1783-2009)*12</f>
        <v>122</v>
      </c>
      <c r="C1783" s="76">
        <v>2</v>
      </c>
      <c r="D1783" s="76">
        <v>2019</v>
      </c>
      <c r="E1783" s="56">
        <v>0</v>
      </c>
      <c r="F1783" s="53">
        <f>IF(E1783&gt;0,1,0)</f>
        <v>0</v>
      </c>
      <c r="G1783" s="53">
        <f>SUM(F1782:F1783)</f>
        <v>0</v>
      </c>
      <c r="H1783" s="53">
        <f>IF(G1783=1,IF(F1782=1,1,-1),G1783)</f>
        <v>0</v>
      </c>
      <c r="I1783" s="53" t="str">
        <f>VLOOKUP(H1783,codes,2,)</f>
        <v>dd</v>
      </c>
      <c r="J1783" s="53"/>
    </row>
    <row r="1784" spans="1:10" x14ac:dyDescent="0.25">
      <c r="A1784" s="93">
        <v>43524</v>
      </c>
      <c r="B1784" s="35">
        <f>C1784+(D1784-2009)*12</f>
        <v>122</v>
      </c>
      <c r="C1784" s="76">
        <v>2</v>
      </c>
      <c r="D1784" s="76">
        <v>2019</v>
      </c>
      <c r="E1784" s="56">
        <v>0.13333333333333333</v>
      </c>
      <c r="F1784" s="53">
        <f>IF(E1784&gt;0,1,0)</f>
        <v>1</v>
      </c>
      <c r="G1784" s="53">
        <f>SUM(F1783:F1784)</f>
        <v>1</v>
      </c>
      <c r="H1784" s="53">
        <f>IF(G1784=1,IF(F1783=1,1,-1),G1784)</f>
        <v>-1</v>
      </c>
      <c r="I1784" s="53" t="str">
        <f>VLOOKUP(H1784,codes,2,)</f>
        <v>dw</v>
      </c>
      <c r="J1784" s="53"/>
    </row>
    <row r="1785" spans="1:10" x14ac:dyDescent="0.25">
      <c r="A1785" s="93">
        <v>43862</v>
      </c>
      <c r="B1785" s="35">
        <f>C1785+(D1785-2009)*12</f>
        <v>134</v>
      </c>
      <c r="C1785" s="76">
        <v>2</v>
      </c>
      <c r="D1785" s="53">
        <v>2020</v>
      </c>
      <c r="E1785" s="56">
        <v>0.13333333333333333</v>
      </c>
      <c r="F1785" s="53">
        <f>IF(E1785&gt;0,1,0)</f>
        <v>1</v>
      </c>
      <c r="G1785" s="53">
        <f>SUM(F1784:F1785)</f>
        <v>2</v>
      </c>
      <c r="H1785" s="53">
        <f>IF(G1785=1,IF(F1784=1,1,-1),G1785)</f>
        <v>2</v>
      </c>
      <c r="I1785" s="53" t="str">
        <f>VLOOKUP(H1785,codes,2,)</f>
        <v>ww</v>
      </c>
      <c r="J1785" s="53"/>
    </row>
    <row r="1786" spans="1:10" x14ac:dyDescent="0.25">
      <c r="A1786" s="93">
        <v>43863</v>
      </c>
      <c r="B1786" s="35">
        <f>C1786+(D1786-2009)*12</f>
        <v>134</v>
      </c>
      <c r="C1786" s="76">
        <v>2</v>
      </c>
      <c r="D1786" s="53">
        <v>2020</v>
      </c>
      <c r="E1786" s="56">
        <v>1.4666666666666668</v>
      </c>
      <c r="F1786" s="53">
        <f>IF(E1786&gt;0,1,0)</f>
        <v>1</v>
      </c>
      <c r="G1786" s="53">
        <f>SUM(F1785:F1786)</f>
        <v>2</v>
      </c>
      <c r="H1786" s="53">
        <f>IF(G1786=1,IF(F1785=1,1,-1),G1786)</f>
        <v>2</v>
      </c>
      <c r="I1786" s="53" t="str">
        <f>VLOOKUP(H1786,codes,2,)</f>
        <v>ww</v>
      </c>
      <c r="J1786" s="53"/>
    </row>
    <row r="1787" spans="1:10" x14ac:dyDescent="0.25">
      <c r="A1787" s="93">
        <v>43864</v>
      </c>
      <c r="B1787" s="35">
        <f>C1787+(D1787-2009)*12</f>
        <v>134</v>
      </c>
      <c r="C1787" s="76">
        <v>2</v>
      </c>
      <c r="D1787" s="53">
        <v>2020</v>
      </c>
      <c r="E1787" s="56">
        <v>1.2</v>
      </c>
      <c r="F1787" s="53">
        <f>IF(E1787&gt;0,1,0)</f>
        <v>1</v>
      </c>
      <c r="G1787" s="53">
        <f>SUM(F1786:F1787)</f>
        <v>2</v>
      </c>
      <c r="H1787" s="53">
        <f>IF(G1787=1,IF(F1786=1,1,-1),G1787)</f>
        <v>2</v>
      </c>
      <c r="I1787" s="53" t="str">
        <f>VLOOKUP(H1787,codes,2,)</f>
        <v>ww</v>
      </c>
      <c r="J1787" s="53"/>
    </row>
    <row r="1788" spans="1:10" x14ac:dyDescent="0.25">
      <c r="A1788" s="93">
        <v>43865</v>
      </c>
      <c r="B1788" s="35">
        <f>C1788+(D1788-2009)*12</f>
        <v>134</v>
      </c>
      <c r="C1788" s="76">
        <v>2</v>
      </c>
      <c r="D1788" s="53">
        <v>2020</v>
      </c>
      <c r="E1788" s="56">
        <v>0.33333333333333331</v>
      </c>
      <c r="F1788" s="53">
        <f>IF(E1788&gt;0,1,0)</f>
        <v>1</v>
      </c>
      <c r="G1788" s="53">
        <f>SUM(F1787:F1788)</f>
        <v>2</v>
      </c>
      <c r="H1788" s="53">
        <f>IF(G1788=1,IF(F1787=1,1,-1),G1788)</f>
        <v>2</v>
      </c>
      <c r="I1788" s="53" t="str">
        <f>VLOOKUP(H1788,codes,2,)</f>
        <v>ww</v>
      </c>
      <c r="J1788" s="53"/>
    </row>
    <row r="1789" spans="1:10" x14ac:dyDescent="0.25">
      <c r="A1789" s="93">
        <v>43866</v>
      </c>
      <c r="B1789" s="35">
        <f>C1789+(D1789-2009)*12</f>
        <v>134</v>
      </c>
      <c r="C1789" s="76">
        <v>2</v>
      </c>
      <c r="D1789" s="53">
        <v>2020</v>
      </c>
      <c r="E1789" s="56">
        <v>0</v>
      </c>
      <c r="F1789" s="53">
        <f>IF(E1789&gt;0,1,0)</f>
        <v>0</v>
      </c>
      <c r="G1789" s="53">
        <f>SUM(F1788:F1789)</f>
        <v>1</v>
      </c>
      <c r="H1789" s="53">
        <f>IF(G1789=1,IF(F1788=1,1,-1),G1789)</f>
        <v>1</v>
      </c>
      <c r="I1789" s="53" t="str">
        <f>VLOOKUP(H1789,codes,2,)</f>
        <v>wd</v>
      </c>
      <c r="J1789" s="53"/>
    </row>
    <row r="1790" spans="1:10" x14ac:dyDescent="0.25">
      <c r="A1790" s="93">
        <v>43867</v>
      </c>
      <c r="B1790" s="35">
        <f>C1790+(D1790-2009)*12</f>
        <v>134</v>
      </c>
      <c r="C1790" s="76">
        <v>2</v>
      </c>
      <c r="D1790" s="53">
        <v>2020</v>
      </c>
      <c r="E1790" s="56">
        <v>0</v>
      </c>
      <c r="F1790" s="53">
        <f>IF(E1790&gt;0,1,0)</f>
        <v>0</v>
      </c>
      <c r="G1790" s="53">
        <f>SUM(F1789:F1790)</f>
        <v>0</v>
      </c>
      <c r="H1790" s="53">
        <f>IF(G1790=1,IF(F1789=1,1,-1),G1790)</f>
        <v>0</v>
      </c>
      <c r="I1790" s="53" t="str">
        <f>VLOOKUP(H1790,codes,2,)</f>
        <v>dd</v>
      </c>
      <c r="J1790" s="53"/>
    </row>
    <row r="1791" spans="1:10" x14ac:dyDescent="0.25">
      <c r="A1791" s="93">
        <v>43868</v>
      </c>
      <c r="B1791" s="35">
        <f>C1791+(D1791-2009)*12</f>
        <v>134</v>
      </c>
      <c r="C1791" s="76">
        <v>2</v>
      </c>
      <c r="D1791" s="53">
        <v>2020</v>
      </c>
      <c r="E1791" s="56">
        <v>0</v>
      </c>
      <c r="F1791" s="53">
        <f>IF(E1791&gt;0,1,0)</f>
        <v>0</v>
      </c>
      <c r="G1791" s="53">
        <f>SUM(F1790:F1791)</f>
        <v>0</v>
      </c>
      <c r="H1791" s="53">
        <f>IF(G1791=1,IF(F1790=1,1,-1),G1791)</f>
        <v>0</v>
      </c>
      <c r="I1791" s="53" t="str">
        <f>VLOOKUP(H1791,codes,2,)</f>
        <v>dd</v>
      </c>
      <c r="J1791" s="53"/>
    </row>
    <row r="1792" spans="1:10" x14ac:dyDescent="0.25">
      <c r="A1792" s="93">
        <v>43869</v>
      </c>
      <c r="B1792" s="35">
        <f>C1792+(D1792-2009)*12</f>
        <v>134</v>
      </c>
      <c r="C1792" s="76">
        <v>2</v>
      </c>
      <c r="D1792" s="53">
        <v>2020</v>
      </c>
      <c r="E1792" s="56">
        <v>0</v>
      </c>
      <c r="F1792" s="53">
        <f>IF(E1792&gt;0,1,0)</f>
        <v>0</v>
      </c>
      <c r="G1792" s="53">
        <f>SUM(F1791:F1792)</f>
        <v>0</v>
      </c>
      <c r="H1792" s="53">
        <f>IF(G1792=1,IF(F1791=1,1,-1),G1792)</f>
        <v>0</v>
      </c>
      <c r="I1792" s="53" t="str">
        <f>VLOOKUP(H1792,codes,2,)</f>
        <v>dd</v>
      </c>
      <c r="J1792" s="53"/>
    </row>
    <row r="1793" spans="1:10" x14ac:dyDescent="0.25">
      <c r="A1793" s="93">
        <v>43870</v>
      </c>
      <c r="B1793" s="35">
        <f>C1793+(D1793-2009)*12</f>
        <v>134</v>
      </c>
      <c r="C1793" s="76">
        <v>2</v>
      </c>
      <c r="D1793" s="53">
        <v>2020</v>
      </c>
      <c r="E1793" s="56">
        <v>8.1333333333333329</v>
      </c>
      <c r="F1793" s="53">
        <f>IF(E1793&gt;0,1,0)</f>
        <v>1</v>
      </c>
      <c r="G1793" s="53">
        <f>SUM(F1792:F1793)</f>
        <v>1</v>
      </c>
      <c r="H1793" s="53">
        <f>IF(G1793=1,IF(F1792=1,1,-1),G1793)</f>
        <v>-1</v>
      </c>
      <c r="I1793" s="53" t="str">
        <f>VLOOKUP(H1793,codes,2,)</f>
        <v>dw</v>
      </c>
      <c r="J1793" s="53"/>
    </row>
    <row r="1794" spans="1:10" x14ac:dyDescent="0.25">
      <c r="A1794" s="93">
        <v>43871</v>
      </c>
      <c r="B1794" s="35">
        <f>C1794+(D1794-2009)*12</f>
        <v>134</v>
      </c>
      <c r="C1794" s="76">
        <v>2</v>
      </c>
      <c r="D1794" s="53">
        <v>2020</v>
      </c>
      <c r="E1794" s="56">
        <v>3.4666666666666668</v>
      </c>
      <c r="F1794" s="53">
        <f>IF(E1794&gt;0,1,0)</f>
        <v>1</v>
      </c>
      <c r="G1794" s="53">
        <f>SUM(F1793:F1794)</f>
        <v>2</v>
      </c>
      <c r="H1794" s="53">
        <f>IF(G1794=1,IF(F1793=1,1,-1),G1794)</f>
        <v>2</v>
      </c>
      <c r="I1794" s="53" t="str">
        <f>VLOOKUP(H1794,codes,2,)</f>
        <v>ww</v>
      </c>
      <c r="J1794" s="53"/>
    </row>
    <row r="1795" spans="1:10" x14ac:dyDescent="0.25">
      <c r="A1795" s="93">
        <v>43872</v>
      </c>
      <c r="B1795" s="35">
        <f>C1795+(D1795-2009)*12</f>
        <v>134</v>
      </c>
      <c r="C1795" s="76">
        <v>2</v>
      </c>
      <c r="D1795" s="53">
        <v>2020</v>
      </c>
      <c r="E1795" s="56">
        <v>1.2666666666666666</v>
      </c>
      <c r="F1795" s="53">
        <f>IF(E1795&gt;0,1,0)</f>
        <v>1</v>
      </c>
      <c r="G1795" s="53">
        <f>SUM(F1794:F1795)</f>
        <v>2</v>
      </c>
      <c r="H1795" s="53">
        <f>IF(G1795=1,IF(F1794=1,1,-1),G1795)</f>
        <v>2</v>
      </c>
      <c r="I1795" s="53" t="str">
        <f>VLOOKUP(H1795,codes,2,)</f>
        <v>ww</v>
      </c>
      <c r="J1795" s="53"/>
    </row>
    <row r="1796" spans="1:10" x14ac:dyDescent="0.25">
      <c r="A1796" s="93">
        <v>43873</v>
      </c>
      <c r="B1796" s="35">
        <f>C1796+(D1796-2009)*12</f>
        <v>134</v>
      </c>
      <c r="C1796" s="76">
        <v>2</v>
      </c>
      <c r="D1796" s="53">
        <v>2020</v>
      </c>
      <c r="E1796" s="56">
        <v>1</v>
      </c>
      <c r="F1796" s="53">
        <f>IF(E1796&gt;0,1,0)</f>
        <v>1</v>
      </c>
      <c r="G1796" s="53">
        <f>SUM(F1795:F1796)</f>
        <v>2</v>
      </c>
      <c r="H1796" s="53">
        <f>IF(G1796=1,IF(F1795=1,1,-1),G1796)</f>
        <v>2</v>
      </c>
      <c r="I1796" s="53" t="str">
        <f>VLOOKUP(H1796,codes,2,)</f>
        <v>ww</v>
      </c>
      <c r="J1796" s="53"/>
    </row>
    <row r="1797" spans="1:10" x14ac:dyDescent="0.25">
      <c r="A1797" s="93">
        <v>43874</v>
      </c>
      <c r="B1797" s="35">
        <f>C1797+(D1797-2009)*12</f>
        <v>134</v>
      </c>
      <c r="C1797" s="76">
        <v>2</v>
      </c>
      <c r="D1797" s="53">
        <v>2020</v>
      </c>
      <c r="E1797" s="56">
        <v>7.0666666666666664</v>
      </c>
      <c r="F1797" s="53">
        <f>IF(E1797&gt;0,1,0)</f>
        <v>1</v>
      </c>
      <c r="G1797" s="53">
        <f>SUM(F1796:F1797)</f>
        <v>2</v>
      </c>
      <c r="H1797" s="53">
        <f>IF(G1797=1,IF(F1796=1,1,-1),G1797)</f>
        <v>2</v>
      </c>
      <c r="I1797" s="53" t="str">
        <f>VLOOKUP(H1797,codes,2,)</f>
        <v>ww</v>
      </c>
      <c r="J1797" s="53"/>
    </row>
    <row r="1798" spans="1:10" x14ac:dyDescent="0.25">
      <c r="A1798" s="93">
        <v>43875</v>
      </c>
      <c r="B1798" s="35">
        <f>C1798+(D1798-2009)*12</f>
        <v>134</v>
      </c>
      <c r="C1798" s="76">
        <v>2</v>
      </c>
      <c r="D1798" s="53">
        <v>2020</v>
      </c>
      <c r="E1798" s="56">
        <v>2.4666666666666668</v>
      </c>
      <c r="F1798" s="53">
        <f>IF(E1798&gt;0,1,0)</f>
        <v>1</v>
      </c>
      <c r="G1798" s="53">
        <f>SUM(F1797:F1798)</f>
        <v>2</v>
      </c>
      <c r="H1798" s="53">
        <f>IF(G1798=1,IF(F1797=1,1,-1),G1798)</f>
        <v>2</v>
      </c>
      <c r="I1798" s="53" t="str">
        <f>VLOOKUP(H1798,codes,2,)</f>
        <v>ww</v>
      </c>
      <c r="J1798" s="53"/>
    </row>
    <row r="1799" spans="1:10" x14ac:dyDescent="0.25">
      <c r="A1799" s="93">
        <v>43876</v>
      </c>
      <c r="B1799" s="35">
        <f>C1799+(D1799-2009)*12</f>
        <v>134</v>
      </c>
      <c r="C1799" s="76">
        <v>2</v>
      </c>
      <c r="D1799" s="53">
        <v>2020</v>
      </c>
      <c r="E1799" s="56">
        <v>0</v>
      </c>
      <c r="F1799" s="53">
        <f>IF(E1799&gt;0,1,0)</f>
        <v>0</v>
      </c>
      <c r="G1799" s="53">
        <f>SUM(F1798:F1799)</f>
        <v>1</v>
      </c>
      <c r="H1799" s="53">
        <f>IF(G1799=1,IF(F1798=1,1,-1),G1799)</f>
        <v>1</v>
      </c>
      <c r="I1799" s="53" t="str">
        <f>VLOOKUP(H1799,codes,2,)</f>
        <v>wd</v>
      </c>
      <c r="J1799" s="53"/>
    </row>
    <row r="1800" spans="1:10" x14ac:dyDescent="0.25">
      <c r="A1800" s="93">
        <v>43877</v>
      </c>
      <c r="B1800" s="35">
        <f>C1800+(D1800-2009)*12</f>
        <v>134</v>
      </c>
      <c r="C1800" s="76">
        <v>2</v>
      </c>
      <c r="D1800" s="53">
        <v>2020</v>
      </c>
      <c r="E1800" s="56">
        <v>16.933333333333334</v>
      </c>
      <c r="F1800" s="53">
        <f>IF(E1800&gt;0,1,0)</f>
        <v>1</v>
      </c>
      <c r="G1800" s="53">
        <f>SUM(F1799:F1800)</f>
        <v>1</v>
      </c>
      <c r="H1800" s="53">
        <f>IF(G1800=1,IF(F1799=1,1,-1),G1800)</f>
        <v>-1</v>
      </c>
      <c r="I1800" s="53" t="str">
        <f>VLOOKUP(H1800,codes,2,)</f>
        <v>dw</v>
      </c>
      <c r="J1800" s="53"/>
    </row>
    <row r="1801" spans="1:10" x14ac:dyDescent="0.25">
      <c r="A1801" s="93">
        <v>43878</v>
      </c>
      <c r="B1801" s="35">
        <f>C1801+(D1801-2009)*12</f>
        <v>134</v>
      </c>
      <c r="C1801" s="76">
        <v>2</v>
      </c>
      <c r="D1801" s="53">
        <v>2020</v>
      </c>
      <c r="E1801" s="56">
        <v>6.6666666666666666E-2</v>
      </c>
      <c r="F1801" s="53">
        <f>IF(E1801&gt;0,1,0)</f>
        <v>1</v>
      </c>
      <c r="G1801" s="53">
        <f>SUM(F1800:F1801)</f>
        <v>2</v>
      </c>
      <c r="H1801" s="53">
        <f>IF(G1801=1,IF(F1800=1,1,-1),G1801)</f>
        <v>2</v>
      </c>
      <c r="I1801" s="53" t="str">
        <f>VLOOKUP(H1801,codes,2,)</f>
        <v>ww</v>
      </c>
      <c r="J1801" s="53"/>
    </row>
    <row r="1802" spans="1:10" x14ac:dyDescent="0.25">
      <c r="A1802" s="93">
        <v>43879</v>
      </c>
      <c r="B1802" s="35">
        <f>C1802+(D1802-2009)*12</f>
        <v>134</v>
      </c>
      <c r="C1802" s="76">
        <v>2</v>
      </c>
      <c r="D1802" s="53">
        <v>2020</v>
      </c>
      <c r="E1802" s="56">
        <v>0.33333333333333331</v>
      </c>
      <c r="F1802" s="53">
        <f>IF(E1802&gt;0,1,0)</f>
        <v>1</v>
      </c>
      <c r="G1802" s="53">
        <f>SUM(F1801:F1802)</f>
        <v>2</v>
      </c>
      <c r="H1802" s="53">
        <f>IF(G1802=1,IF(F1801=1,1,-1),G1802)</f>
        <v>2</v>
      </c>
      <c r="I1802" s="53" t="str">
        <f>VLOOKUP(H1802,codes,2,)</f>
        <v>ww</v>
      </c>
      <c r="J1802" s="53"/>
    </row>
    <row r="1803" spans="1:10" x14ac:dyDescent="0.25">
      <c r="A1803" s="93">
        <v>43880</v>
      </c>
      <c r="B1803" s="35">
        <f>C1803+(D1803-2009)*12</f>
        <v>134</v>
      </c>
      <c r="C1803" s="76">
        <v>2</v>
      </c>
      <c r="D1803" s="53">
        <v>2020</v>
      </c>
      <c r="E1803" s="56">
        <v>0.93333333333333324</v>
      </c>
      <c r="F1803" s="53">
        <f>IF(E1803&gt;0,1,0)</f>
        <v>1</v>
      </c>
      <c r="G1803" s="53">
        <f>SUM(F1802:F1803)</f>
        <v>2</v>
      </c>
      <c r="H1803" s="53">
        <f>IF(G1803=1,IF(F1802=1,1,-1),G1803)</f>
        <v>2</v>
      </c>
      <c r="I1803" s="53" t="str">
        <f>VLOOKUP(H1803,codes,2,)</f>
        <v>ww</v>
      </c>
      <c r="J1803" s="53"/>
    </row>
    <row r="1804" spans="1:10" x14ac:dyDescent="0.25">
      <c r="A1804" s="93">
        <v>43881</v>
      </c>
      <c r="B1804" s="35">
        <f>C1804+(D1804-2009)*12</f>
        <v>134</v>
      </c>
      <c r="C1804" s="76">
        <v>2</v>
      </c>
      <c r="D1804" s="53">
        <v>2020</v>
      </c>
      <c r="E1804" s="56">
        <v>0.33333333333333331</v>
      </c>
      <c r="F1804" s="53">
        <f>IF(E1804&gt;0,1,0)</f>
        <v>1</v>
      </c>
      <c r="G1804" s="53">
        <f>SUM(F1803:F1804)</f>
        <v>2</v>
      </c>
      <c r="H1804" s="53">
        <f>IF(G1804=1,IF(F1803=1,1,-1),G1804)</f>
        <v>2</v>
      </c>
      <c r="I1804" s="53" t="str">
        <f>VLOOKUP(H1804,codes,2,)</f>
        <v>ww</v>
      </c>
      <c r="J1804" s="53"/>
    </row>
    <row r="1805" spans="1:10" x14ac:dyDescent="0.25">
      <c r="A1805" s="93">
        <v>43882</v>
      </c>
      <c r="B1805" s="35">
        <f>C1805+(D1805-2009)*12</f>
        <v>134</v>
      </c>
      <c r="C1805" s="76">
        <v>2</v>
      </c>
      <c r="D1805" s="53">
        <v>2020</v>
      </c>
      <c r="E1805" s="56">
        <v>2.0666666666666669</v>
      </c>
      <c r="F1805" s="53">
        <f>IF(E1805&gt;0,1,0)</f>
        <v>1</v>
      </c>
      <c r="G1805" s="53">
        <f>SUM(F1804:F1805)</f>
        <v>2</v>
      </c>
      <c r="H1805" s="53">
        <f>IF(G1805=1,IF(F1804=1,1,-1),G1805)</f>
        <v>2</v>
      </c>
      <c r="I1805" s="53" t="str">
        <f>VLOOKUP(H1805,codes,2,)</f>
        <v>ww</v>
      </c>
      <c r="J1805" s="53"/>
    </row>
    <row r="1806" spans="1:10" x14ac:dyDescent="0.25">
      <c r="A1806" s="93">
        <v>43883</v>
      </c>
      <c r="B1806" s="35">
        <f>C1806+(D1806-2009)*12</f>
        <v>134</v>
      </c>
      <c r="C1806" s="76">
        <v>2</v>
      </c>
      <c r="D1806" s="53">
        <v>2020</v>
      </c>
      <c r="E1806" s="56">
        <v>7.1333333333333329</v>
      </c>
      <c r="F1806" s="53">
        <f>IF(E1806&gt;0,1,0)</f>
        <v>1</v>
      </c>
      <c r="G1806" s="53">
        <f>SUM(F1805:F1806)</f>
        <v>2</v>
      </c>
      <c r="H1806" s="53">
        <f>IF(G1806=1,IF(F1805=1,1,-1),G1806)</f>
        <v>2</v>
      </c>
      <c r="I1806" s="53" t="str">
        <f>VLOOKUP(H1806,codes,2,)</f>
        <v>ww</v>
      </c>
      <c r="J1806" s="53"/>
    </row>
    <row r="1807" spans="1:10" x14ac:dyDescent="0.25">
      <c r="A1807" s="93">
        <v>43884</v>
      </c>
      <c r="B1807" s="35">
        <f>C1807+(D1807-2009)*12</f>
        <v>134</v>
      </c>
      <c r="C1807" s="76">
        <v>2</v>
      </c>
      <c r="D1807" s="53">
        <v>2020</v>
      </c>
      <c r="E1807" s="56">
        <v>2</v>
      </c>
      <c r="F1807" s="53">
        <f>IF(E1807&gt;0,1,0)</f>
        <v>1</v>
      </c>
      <c r="G1807" s="53">
        <f>SUM(F1806:F1807)</f>
        <v>2</v>
      </c>
      <c r="H1807" s="53">
        <f>IF(G1807=1,IF(F1806=1,1,-1),G1807)</f>
        <v>2</v>
      </c>
      <c r="I1807" s="53" t="str">
        <f>VLOOKUP(H1807,codes,2,)</f>
        <v>ww</v>
      </c>
      <c r="J1807" s="53"/>
    </row>
    <row r="1808" spans="1:10" x14ac:dyDescent="0.25">
      <c r="A1808" s="93">
        <v>43885</v>
      </c>
      <c r="B1808" s="35">
        <f>C1808+(D1808-2009)*12</f>
        <v>134</v>
      </c>
      <c r="C1808" s="76">
        <v>2</v>
      </c>
      <c r="D1808" s="53">
        <v>2020</v>
      </c>
      <c r="E1808" s="56">
        <v>10.133333333333335</v>
      </c>
      <c r="F1808" s="53">
        <f>IF(E1808&gt;0,1,0)</f>
        <v>1</v>
      </c>
      <c r="G1808" s="53">
        <f>SUM(F1807:F1808)</f>
        <v>2</v>
      </c>
      <c r="H1808" s="53">
        <f>IF(G1808=1,IF(F1807=1,1,-1),G1808)</f>
        <v>2</v>
      </c>
      <c r="I1808" s="53" t="str">
        <f>VLOOKUP(H1808,codes,2,)</f>
        <v>ww</v>
      </c>
      <c r="J1808" s="53"/>
    </row>
    <row r="1809" spans="1:10" x14ac:dyDescent="0.25">
      <c r="A1809" s="93">
        <v>43886</v>
      </c>
      <c r="B1809" s="35">
        <f>C1809+(D1809-2009)*12</f>
        <v>134</v>
      </c>
      <c r="C1809" s="76">
        <v>2</v>
      </c>
      <c r="D1809" s="53">
        <v>2020</v>
      </c>
      <c r="E1809" s="56">
        <v>3.5333333333333337</v>
      </c>
      <c r="F1809" s="53">
        <f>IF(E1809&gt;0,1,0)</f>
        <v>1</v>
      </c>
      <c r="G1809" s="53">
        <f>SUM(F1808:F1809)</f>
        <v>2</v>
      </c>
      <c r="H1809" s="53">
        <f>IF(G1809=1,IF(F1808=1,1,-1),G1809)</f>
        <v>2</v>
      </c>
      <c r="I1809" s="53" t="str">
        <f>VLOOKUP(H1809,codes,2,)</f>
        <v>ww</v>
      </c>
      <c r="J1809" s="53"/>
    </row>
    <row r="1810" spans="1:10" x14ac:dyDescent="0.25">
      <c r="A1810" s="93">
        <v>43887</v>
      </c>
      <c r="B1810" s="35">
        <f>C1810+(D1810-2009)*12</f>
        <v>134</v>
      </c>
      <c r="C1810" s="76">
        <v>2</v>
      </c>
      <c r="D1810" s="53">
        <v>2020</v>
      </c>
      <c r="E1810" s="56">
        <v>6.6666666666666666E-2</v>
      </c>
      <c r="F1810" s="53">
        <f>IF(E1810&gt;0,1,0)</f>
        <v>1</v>
      </c>
      <c r="G1810" s="53">
        <f>SUM(F1809:F1810)</f>
        <v>2</v>
      </c>
      <c r="H1810" s="53">
        <f>IF(G1810=1,IF(F1809=1,1,-1),G1810)</f>
        <v>2</v>
      </c>
      <c r="I1810" s="53" t="str">
        <f>VLOOKUP(H1810,codes,2,)</f>
        <v>ww</v>
      </c>
      <c r="J1810" s="53"/>
    </row>
    <row r="1811" spans="1:10" x14ac:dyDescent="0.25">
      <c r="A1811" s="93">
        <v>43888</v>
      </c>
      <c r="B1811" s="35">
        <f>C1811+(D1811-2009)*12</f>
        <v>134</v>
      </c>
      <c r="C1811" s="76">
        <v>2</v>
      </c>
      <c r="D1811" s="53">
        <v>2020</v>
      </c>
      <c r="E1811" s="56">
        <v>0</v>
      </c>
      <c r="F1811" s="53">
        <f>IF(E1811&gt;0,1,0)</f>
        <v>0</v>
      </c>
      <c r="G1811" s="53">
        <f>SUM(F1810:F1811)</f>
        <v>1</v>
      </c>
      <c r="H1811" s="53">
        <f>IF(G1811=1,IF(F1810=1,1,-1),G1811)</f>
        <v>1</v>
      </c>
      <c r="I1811" s="53" t="str">
        <f>VLOOKUP(H1811,codes,2,)</f>
        <v>wd</v>
      </c>
      <c r="J1811" s="53"/>
    </row>
    <row r="1812" spans="1:10" x14ac:dyDescent="0.25">
      <c r="A1812" s="93">
        <v>43889</v>
      </c>
      <c r="B1812" s="35">
        <f>C1812+(D1812-2009)*12</f>
        <v>134</v>
      </c>
      <c r="C1812" s="76">
        <v>2</v>
      </c>
      <c r="D1812" s="53">
        <v>2020</v>
      </c>
      <c r="E1812" s="56">
        <v>0</v>
      </c>
      <c r="F1812" s="53">
        <f>IF(E1812&gt;0,1,0)</f>
        <v>0</v>
      </c>
      <c r="G1812" s="53">
        <f>SUM(F1811:F1812)</f>
        <v>0</v>
      </c>
      <c r="H1812" s="53">
        <f>IF(G1812=1,IF(F1811=1,1,-1),G1812)</f>
        <v>0</v>
      </c>
      <c r="I1812" s="53" t="str">
        <f>VLOOKUP(H1812,codes,2,)</f>
        <v>dd</v>
      </c>
      <c r="J1812" s="53"/>
    </row>
    <row r="1813" spans="1:10" x14ac:dyDescent="0.25">
      <c r="A1813" s="93">
        <v>43890</v>
      </c>
      <c r="B1813" s="35">
        <f>C1813+(D1813-2009)*12</f>
        <v>134</v>
      </c>
      <c r="C1813" s="76">
        <v>2</v>
      </c>
      <c r="D1813" s="53">
        <v>2020</v>
      </c>
      <c r="E1813" s="56">
        <v>1.8666666666666665</v>
      </c>
      <c r="F1813" s="53">
        <f>IF(E1813&gt;0,1,0)</f>
        <v>1</v>
      </c>
      <c r="G1813" s="53">
        <f>SUM(F1812:F1813)</f>
        <v>1</v>
      </c>
      <c r="H1813" s="53">
        <f>IF(G1813=1,IF(F1812=1,1,-1),G1813)</f>
        <v>-1</v>
      </c>
      <c r="I1813" s="53" t="str">
        <f>VLOOKUP(H1813,codes,2,)</f>
        <v>dw</v>
      </c>
      <c r="J1813" s="53"/>
    </row>
    <row r="1814" spans="1:10" x14ac:dyDescent="0.25">
      <c r="A1814" s="93">
        <v>44228</v>
      </c>
      <c r="B1814" s="35">
        <f>C1814+(D1814-2009)*12</f>
        <v>146</v>
      </c>
      <c r="C1814" s="76">
        <v>2</v>
      </c>
      <c r="D1814" s="53">
        <v>2021</v>
      </c>
      <c r="E1814" s="56">
        <v>0.20000000000000004</v>
      </c>
      <c r="F1814" s="53">
        <f>IF(E1814&gt;0,1,0)</f>
        <v>1</v>
      </c>
      <c r="G1814" s="53">
        <f>SUM(F1813:F1814)</f>
        <v>2</v>
      </c>
      <c r="H1814" s="53">
        <f>IF(G1814=1,IF(F1813=1,1,-1),G1814)</f>
        <v>2</v>
      </c>
      <c r="I1814" s="53" t="str">
        <f>VLOOKUP(H1814,codes,2,)</f>
        <v>ww</v>
      </c>
      <c r="J1814" s="53"/>
    </row>
    <row r="1815" spans="1:10" x14ac:dyDescent="0.25">
      <c r="A1815" s="93">
        <v>44229</v>
      </c>
      <c r="B1815" s="35">
        <f>C1815+(D1815-2009)*12</f>
        <v>146</v>
      </c>
      <c r="C1815" s="76">
        <v>2</v>
      </c>
      <c r="D1815" s="53">
        <v>2021</v>
      </c>
      <c r="E1815" s="56">
        <v>4.1333333333333337</v>
      </c>
      <c r="F1815" s="53">
        <f>IF(E1815&gt;0,1,0)</f>
        <v>1</v>
      </c>
      <c r="G1815" s="53">
        <f>SUM(F1814:F1815)</f>
        <v>2</v>
      </c>
      <c r="H1815" s="53">
        <f>IF(G1815=1,IF(F1814=1,1,-1),G1815)</f>
        <v>2</v>
      </c>
      <c r="I1815" s="53" t="str">
        <f>VLOOKUP(H1815,codes,2,)</f>
        <v>ww</v>
      </c>
      <c r="J1815" s="53"/>
    </row>
    <row r="1816" spans="1:10" x14ac:dyDescent="0.25">
      <c r="A1816" s="93">
        <v>44230</v>
      </c>
      <c r="B1816" s="35">
        <f>C1816+(D1816-2009)*12</f>
        <v>146</v>
      </c>
      <c r="C1816" s="76">
        <v>2</v>
      </c>
      <c r="D1816" s="53">
        <v>2021</v>
      </c>
      <c r="E1816" s="56">
        <v>26.333333333333332</v>
      </c>
      <c r="F1816" s="53">
        <f>IF(E1816&gt;0,1,0)</f>
        <v>1</v>
      </c>
      <c r="G1816" s="53">
        <f>SUM(F1815:F1816)</f>
        <v>2</v>
      </c>
      <c r="H1816" s="53">
        <f>IF(G1816=1,IF(F1815=1,1,-1),G1816)</f>
        <v>2</v>
      </c>
      <c r="I1816" s="53" t="str">
        <f>VLOOKUP(H1816,codes,2,)</f>
        <v>ww</v>
      </c>
      <c r="J1816" s="53"/>
    </row>
    <row r="1817" spans="1:10" x14ac:dyDescent="0.25">
      <c r="A1817" s="93">
        <v>44231</v>
      </c>
      <c r="B1817" s="35">
        <f>C1817+(D1817-2009)*12</f>
        <v>146</v>
      </c>
      <c r="C1817" s="76">
        <v>2</v>
      </c>
      <c r="D1817" s="53">
        <v>2021</v>
      </c>
      <c r="E1817" s="56">
        <v>10.366666666666667</v>
      </c>
      <c r="F1817" s="53">
        <f>IF(E1817&gt;0,1,0)</f>
        <v>1</v>
      </c>
      <c r="G1817" s="53">
        <f>SUM(F1816:F1817)</f>
        <v>2</v>
      </c>
      <c r="H1817" s="53">
        <f>IF(G1817=1,IF(F1816=1,1,-1),G1817)</f>
        <v>2</v>
      </c>
      <c r="I1817" s="53" t="str">
        <f>VLOOKUP(H1817,codes,2,)</f>
        <v>ww</v>
      </c>
      <c r="J1817" s="53"/>
    </row>
    <row r="1818" spans="1:10" x14ac:dyDescent="0.25">
      <c r="A1818" s="93">
        <v>44232</v>
      </c>
      <c r="B1818" s="35">
        <f>C1818+(D1818-2009)*12</f>
        <v>146</v>
      </c>
      <c r="C1818" s="76">
        <v>2</v>
      </c>
      <c r="D1818" s="53">
        <v>2021</v>
      </c>
      <c r="E1818" s="56">
        <v>5.9333333333333336</v>
      </c>
      <c r="F1818" s="53">
        <f>IF(E1818&gt;0,1,0)</f>
        <v>1</v>
      </c>
      <c r="G1818" s="53">
        <f>SUM(F1817:F1818)</f>
        <v>2</v>
      </c>
      <c r="H1818" s="53">
        <f>IF(G1818=1,IF(F1817=1,1,-1),G1818)</f>
        <v>2</v>
      </c>
      <c r="I1818" s="53" t="str">
        <f>VLOOKUP(H1818,codes,2,)</f>
        <v>ww</v>
      </c>
      <c r="J1818" s="53"/>
    </row>
    <row r="1819" spans="1:10" x14ac:dyDescent="0.25">
      <c r="A1819" s="93">
        <v>44233</v>
      </c>
      <c r="B1819" s="35">
        <f>C1819+(D1819-2009)*12</f>
        <v>146</v>
      </c>
      <c r="C1819" s="76">
        <v>2</v>
      </c>
      <c r="D1819" s="53">
        <v>2021</v>
      </c>
      <c r="E1819" s="56">
        <v>9.4</v>
      </c>
      <c r="F1819" s="53">
        <f>IF(E1819&gt;0,1,0)</f>
        <v>1</v>
      </c>
      <c r="G1819" s="53">
        <f>SUM(F1818:F1819)</f>
        <v>2</v>
      </c>
      <c r="H1819" s="53">
        <f>IF(G1819=1,IF(F1818=1,1,-1),G1819)</f>
        <v>2</v>
      </c>
      <c r="I1819" s="53" t="str">
        <f>VLOOKUP(H1819,codes,2,)</f>
        <v>ww</v>
      </c>
      <c r="J1819" s="53"/>
    </row>
    <row r="1820" spans="1:10" x14ac:dyDescent="0.25">
      <c r="A1820" s="93">
        <v>44234</v>
      </c>
      <c r="B1820" s="35">
        <f>C1820+(D1820-2009)*12</f>
        <v>146</v>
      </c>
      <c r="C1820" s="76">
        <v>2</v>
      </c>
      <c r="D1820" s="53">
        <v>2021</v>
      </c>
      <c r="E1820" s="56">
        <v>8.2000000000000011</v>
      </c>
      <c r="F1820" s="53">
        <f>IF(E1820&gt;0,1,0)</f>
        <v>1</v>
      </c>
      <c r="G1820" s="53">
        <f>SUM(F1819:F1820)</f>
        <v>2</v>
      </c>
      <c r="H1820" s="53">
        <f>IF(G1820=1,IF(F1819=1,1,-1),G1820)</f>
        <v>2</v>
      </c>
      <c r="I1820" s="53" t="str">
        <f>VLOOKUP(H1820,codes,2,)</f>
        <v>ww</v>
      </c>
      <c r="J1820" s="53"/>
    </row>
    <row r="1821" spans="1:10" x14ac:dyDescent="0.25">
      <c r="A1821" s="93">
        <v>44235</v>
      </c>
      <c r="B1821" s="35">
        <f>C1821+(D1821-2009)*12</f>
        <v>146</v>
      </c>
      <c r="C1821" s="76">
        <v>2</v>
      </c>
      <c r="D1821" s="53">
        <v>2021</v>
      </c>
      <c r="E1821" s="56">
        <v>1.4666666666666668</v>
      </c>
      <c r="F1821" s="53">
        <f>IF(E1821&gt;0,1,0)</f>
        <v>1</v>
      </c>
      <c r="G1821" s="53">
        <f>SUM(F1820:F1821)</f>
        <v>2</v>
      </c>
      <c r="H1821" s="53">
        <f>IF(G1821=1,IF(F1820=1,1,-1),G1821)</f>
        <v>2</v>
      </c>
      <c r="I1821" s="53" t="str">
        <f>VLOOKUP(H1821,codes,2,)</f>
        <v>ww</v>
      </c>
      <c r="J1821" s="53"/>
    </row>
    <row r="1822" spans="1:10" x14ac:dyDescent="0.25">
      <c r="A1822" s="93">
        <v>44236</v>
      </c>
      <c r="B1822" s="35">
        <f>C1822+(D1822-2009)*12</f>
        <v>146</v>
      </c>
      <c r="C1822" s="76">
        <v>2</v>
      </c>
      <c r="D1822" s="53">
        <v>2021</v>
      </c>
      <c r="E1822" s="56">
        <v>1.3333333333333333</v>
      </c>
      <c r="F1822" s="53">
        <f>IF(E1822&gt;0,1,0)</f>
        <v>1</v>
      </c>
      <c r="G1822" s="53">
        <f>SUM(F1821:F1822)</f>
        <v>2</v>
      </c>
      <c r="H1822" s="53">
        <f>IF(G1822=1,IF(F1821=1,1,-1),G1822)</f>
        <v>2</v>
      </c>
      <c r="I1822" s="53" t="str">
        <f>VLOOKUP(H1822,codes,2,)</f>
        <v>ww</v>
      </c>
      <c r="J1822" s="53"/>
    </row>
    <row r="1823" spans="1:10" x14ac:dyDescent="0.25">
      <c r="A1823" s="93">
        <v>44237</v>
      </c>
      <c r="B1823" s="35">
        <f>C1823+(D1823-2009)*12</f>
        <v>146</v>
      </c>
      <c r="C1823" s="76">
        <v>2</v>
      </c>
      <c r="D1823" s="53">
        <v>2021</v>
      </c>
      <c r="E1823" s="56">
        <v>2.4</v>
      </c>
      <c r="F1823" s="53">
        <f>IF(E1823&gt;0,1,0)</f>
        <v>1</v>
      </c>
      <c r="G1823" s="53">
        <f>SUM(F1822:F1823)</f>
        <v>2</v>
      </c>
      <c r="H1823" s="53">
        <f>IF(G1823=1,IF(F1822=1,1,-1),G1823)</f>
        <v>2</v>
      </c>
      <c r="I1823" s="53" t="str">
        <f>VLOOKUP(H1823,codes,2,)</f>
        <v>ww</v>
      </c>
      <c r="J1823" s="53"/>
    </row>
    <row r="1824" spans="1:10" x14ac:dyDescent="0.25">
      <c r="A1824" s="93">
        <v>44238</v>
      </c>
      <c r="B1824" s="35">
        <f>C1824+(D1824-2009)*12</f>
        <v>146</v>
      </c>
      <c r="C1824" s="76">
        <v>2</v>
      </c>
      <c r="D1824" s="53">
        <v>2021</v>
      </c>
      <c r="E1824" s="56">
        <v>1.5999999999999999</v>
      </c>
      <c r="F1824" s="53">
        <f>IF(E1824&gt;0,1,0)</f>
        <v>1</v>
      </c>
      <c r="G1824" s="53">
        <f>SUM(F1823:F1824)</f>
        <v>2</v>
      </c>
      <c r="H1824" s="53">
        <f>IF(G1824=1,IF(F1823=1,1,-1),G1824)</f>
        <v>2</v>
      </c>
      <c r="I1824" s="53" t="str">
        <f>VLOOKUP(H1824,codes,2,)</f>
        <v>ww</v>
      </c>
      <c r="J1824" s="53"/>
    </row>
    <row r="1825" spans="1:10" x14ac:dyDescent="0.25">
      <c r="A1825" s="93">
        <v>44239</v>
      </c>
      <c r="B1825" s="35">
        <f>C1825+(D1825-2009)*12</f>
        <v>146</v>
      </c>
      <c r="C1825" s="76">
        <v>2</v>
      </c>
      <c r="D1825" s="53">
        <v>2021</v>
      </c>
      <c r="E1825" s="56">
        <v>1.5999999999999999</v>
      </c>
      <c r="F1825" s="53">
        <f>IF(E1825&gt;0,1,0)</f>
        <v>1</v>
      </c>
      <c r="G1825" s="53">
        <f>SUM(F1824:F1825)</f>
        <v>2</v>
      </c>
      <c r="H1825" s="53">
        <f>IF(G1825=1,IF(F1824=1,1,-1),G1825)</f>
        <v>2</v>
      </c>
      <c r="I1825" s="53" t="str">
        <f>VLOOKUP(H1825,codes,2,)</f>
        <v>ww</v>
      </c>
      <c r="J1825" s="53"/>
    </row>
    <row r="1826" spans="1:10" x14ac:dyDescent="0.25">
      <c r="A1826" s="93">
        <v>44240</v>
      </c>
      <c r="B1826" s="35">
        <f>C1826+(D1826-2009)*12</f>
        <v>146</v>
      </c>
      <c r="C1826" s="76">
        <v>2</v>
      </c>
      <c r="D1826" s="53">
        <v>2021</v>
      </c>
      <c r="E1826" s="56">
        <v>0.99999999999999989</v>
      </c>
      <c r="F1826" s="53">
        <f>IF(E1826&gt;0,1,0)</f>
        <v>1</v>
      </c>
      <c r="G1826" s="53">
        <f>SUM(F1825:F1826)</f>
        <v>2</v>
      </c>
      <c r="H1826" s="53">
        <f>IF(G1826=1,IF(F1825=1,1,-1),G1826)</f>
        <v>2</v>
      </c>
      <c r="I1826" s="53" t="str">
        <f>VLOOKUP(H1826,codes,2,)</f>
        <v>ww</v>
      </c>
      <c r="J1826" s="53"/>
    </row>
    <row r="1827" spans="1:10" x14ac:dyDescent="0.25">
      <c r="A1827" s="93">
        <v>44241</v>
      </c>
      <c r="B1827" s="35">
        <f>C1827+(D1827-2009)*12</f>
        <v>146</v>
      </c>
      <c r="C1827" s="76">
        <v>2</v>
      </c>
      <c r="D1827" s="53">
        <v>2021</v>
      </c>
      <c r="E1827" s="56">
        <v>0</v>
      </c>
      <c r="F1827" s="53">
        <f>IF(E1827&gt;0,1,0)</f>
        <v>0</v>
      </c>
      <c r="G1827" s="53">
        <f>SUM(F1826:F1827)</f>
        <v>1</v>
      </c>
      <c r="H1827" s="53">
        <f>IF(G1827=1,IF(F1826=1,1,-1),G1827)</f>
        <v>1</v>
      </c>
      <c r="I1827" s="53" t="str">
        <f>VLOOKUP(H1827,codes,2,)</f>
        <v>wd</v>
      </c>
      <c r="J1827" s="53"/>
    </row>
    <row r="1828" spans="1:10" x14ac:dyDescent="0.25">
      <c r="A1828" s="93">
        <v>44242</v>
      </c>
      <c r="B1828" s="35">
        <f>C1828+(D1828-2009)*12</f>
        <v>146</v>
      </c>
      <c r="C1828" s="76">
        <v>2</v>
      </c>
      <c r="D1828" s="53">
        <v>2021</v>
      </c>
      <c r="E1828" s="56">
        <v>0.39999999999999997</v>
      </c>
      <c r="F1828" s="53">
        <f>IF(E1828&gt;0,1,0)</f>
        <v>1</v>
      </c>
      <c r="G1828" s="53">
        <f>SUM(F1827:F1828)</f>
        <v>1</v>
      </c>
      <c r="H1828" s="53">
        <f>IF(G1828=1,IF(F1827=1,1,-1),G1828)</f>
        <v>-1</v>
      </c>
      <c r="I1828" s="53" t="str">
        <f>VLOOKUP(H1828,codes,2,)</f>
        <v>dw</v>
      </c>
      <c r="J1828" s="53"/>
    </row>
    <row r="1829" spans="1:10" x14ac:dyDescent="0.25">
      <c r="A1829" s="93">
        <v>44243</v>
      </c>
      <c r="B1829" s="35">
        <f>C1829+(D1829-2009)*12</f>
        <v>146</v>
      </c>
      <c r="C1829" s="76">
        <v>2</v>
      </c>
      <c r="D1829" s="53">
        <v>2021</v>
      </c>
      <c r="E1829" s="56">
        <v>0.26666666666666666</v>
      </c>
      <c r="F1829" s="53">
        <f>IF(E1829&gt;0,1,0)</f>
        <v>1</v>
      </c>
      <c r="G1829" s="53">
        <f>SUM(F1828:F1829)</f>
        <v>2</v>
      </c>
      <c r="H1829" s="53">
        <f>IF(G1829=1,IF(F1828=1,1,-1),G1829)</f>
        <v>2</v>
      </c>
      <c r="I1829" s="53" t="str">
        <f>VLOOKUP(H1829,codes,2,)</f>
        <v>ww</v>
      </c>
      <c r="J1829" s="53"/>
    </row>
    <row r="1830" spans="1:10" x14ac:dyDescent="0.25">
      <c r="A1830" s="93">
        <v>44244</v>
      </c>
      <c r="B1830" s="35">
        <f>C1830+(D1830-2009)*12</f>
        <v>146</v>
      </c>
      <c r="C1830" s="76">
        <v>2</v>
      </c>
      <c r="D1830" s="53">
        <v>2021</v>
      </c>
      <c r="E1830" s="56">
        <v>0.26666666666666666</v>
      </c>
      <c r="F1830" s="53">
        <f>IF(E1830&gt;0,1,0)</f>
        <v>1</v>
      </c>
      <c r="G1830" s="53">
        <f>SUM(F1829:F1830)</f>
        <v>2</v>
      </c>
      <c r="H1830" s="53">
        <f>IF(G1830=1,IF(F1829=1,1,-1),G1830)</f>
        <v>2</v>
      </c>
      <c r="I1830" s="53" t="str">
        <f>VLOOKUP(H1830,codes,2,)</f>
        <v>ww</v>
      </c>
      <c r="J1830" s="53"/>
    </row>
    <row r="1831" spans="1:10" x14ac:dyDescent="0.25">
      <c r="A1831" s="93">
        <v>44245</v>
      </c>
      <c r="B1831" s="35">
        <f>C1831+(D1831-2009)*12</f>
        <v>146</v>
      </c>
      <c r="C1831" s="76">
        <v>2</v>
      </c>
      <c r="D1831" s="53">
        <v>2021</v>
      </c>
      <c r="E1831" s="56">
        <v>6.6666666666666666E-2</v>
      </c>
      <c r="F1831" s="53">
        <f>IF(E1831&gt;0,1,0)</f>
        <v>1</v>
      </c>
      <c r="G1831" s="53">
        <f>SUM(F1830:F1831)</f>
        <v>2</v>
      </c>
      <c r="H1831" s="53">
        <f>IF(G1831=1,IF(F1830=1,1,-1),G1831)</f>
        <v>2</v>
      </c>
      <c r="I1831" s="53" t="str">
        <f>VLOOKUP(H1831,codes,2,)</f>
        <v>ww</v>
      </c>
      <c r="J1831" s="53"/>
    </row>
    <row r="1832" spans="1:10" x14ac:dyDescent="0.25">
      <c r="A1832" s="93">
        <v>44246</v>
      </c>
      <c r="B1832" s="35">
        <f>C1832+(D1832-2009)*12</f>
        <v>146</v>
      </c>
      <c r="C1832" s="76">
        <v>2</v>
      </c>
      <c r="D1832" s="53">
        <v>2021</v>
      </c>
      <c r="E1832" s="56">
        <v>6.6666666666666666E-2</v>
      </c>
      <c r="F1832" s="53">
        <f>IF(E1832&gt;0,1,0)</f>
        <v>1</v>
      </c>
      <c r="G1832" s="53">
        <f>SUM(F1831:F1832)</f>
        <v>2</v>
      </c>
      <c r="H1832" s="53">
        <f>IF(G1832=1,IF(F1831=1,1,-1),G1832)</f>
        <v>2</v>
      </c>
      <c r="I1832" s="53" t="str">
        <f>VLOOKUP(H1832,codes,2,)</f>
        <v>ww</v>
      </c>
      <c r="J1832" s="53"/>
    </row>
    <row r="1833" spans="1:10" x14ac:dyDescent="0.25">
      <c r="A1833" s="93">
        <v>44247</v>
      </c>
      <c r="B1833" s="35">
        <f>C1833+(D1833-2009)*12</f>
        <v>146</v>
      </c>
      <c r="C1833" s="76">
        <v>2</v>
      </c>
      <c r="D1833" s="53">
        <v>2021</v>
      </c>
      <c r="E1833" s="56">
        <v>0.20000000000000004</v>
      </c>
      <c r="F1833" s="53">
        <f>IF(E1833&gt;0,1,0)</f>
        <v>1</v>
      </c>
      <c r="G1833" s="53">
        <f>SUM(F1832:F1833)</f>
        <v>2</v>
      </c>
      <c r="H1833" s="53">
        <f>IF(G1833=1,IF(F1832=1,1,-1),G1833)</f>
        <v>2</v>
      </c>
      <c r="I1833" s="53" t="str">
        <f>VLOOKUP(H1833,codes,2,)</f>
        <v>ww</v>
      </c>
      <c r="J1833" s="53"/>
    </row>
    <row r="1834" spans="1:10" x14ac:dyDescent="0.25">
      <c r="A1834" s="93">
        <v>44248</v>
      </c>
      <c r="B1834" s="35">
        <f>C1834+(D1834-2009)*12</f>
        <v>146</v>
      </c>
      <c r="C1834" s="76">
        <v>2</v>
      </c>
      <c r="D1834" s="53">
        <v>2021</v>
      </c>
      <c r="E1834" s="56">
        <v>0.46666666666666662</v>
      </c>
      <c r="F1834" s="53">
        <f>IF(E1834&gt;0,1,0)</f>
        <v>1</v>
      </c>
      <c r="G1834" s="53">
        <f>SUM(F1833:F1834)</f>
        <v>2</v>
      </c>
      <c r="H1834" s="53">
        <f>IF(G1834=1,IF(F1833=1,1,-1),G1834)</f>
        <v>2</v>
      </c>
      <c r="I1834" s="53" t="str">
        <f>VLOOKUP(H1834,codes,2,)</f>
        <v>ww</v>
      </c>
      <c r="J1834" s="53"/>
    </row>
    <row r="1835" spans="1:10" x14ac:dyDescent="0.25">
      <c r="A1835" s="93">
        <v>44249</v>
      </c>
      <c r="B1835" s="35">
        <f>C1835+(D1835-2009)*12</f>
        <v>146</v>
      </c>
      <c r="C1835" s="76">
        <v>2</v>
      </c>
      <c r="D1835" s="53">
        <v>2021</v>
      </c>
      <c r="E1835" s="56">
        <v>3.3666666666666667</v>
      </c>
      <c r="F1835" s="53">
        <f>IF(E1835&gt;0,1,0)</f>
        <v>1</v>
      </c>
      <c r="G1835" s="53">
        <f>SUM(F1834:F1835)</f>
        <v>2</v>
      </c>
      <c r="H1835" s="53">
        <f>IF(G1835=1,IF(F1834=1,1,-1),G1835)</f>
        <v>2</v>
      </c>
      <c r="I1835" s="53" t="str">
        <f>VLOOKUP(H1835,codes,2,)</f>
        <v>ww</v>
      </c>
      <c r="J1835" s="53"/>
    </row>
    <row r="1836" spans="1:10" x14ac:dyDescent="0.25">
      <c r="A1836" s="93">
        <v>44250</v>
      </c>
      <c r="B1836" s="35">
        <f>C1836+(D1836-2009)*12</f>
        <v>146</v>
      </c>
      <c r="C1836" s="76">
        <v>2</v>
      </c>
      <c r="D1836" s="53">
        <v>2021</v>
      </c>
      <c r="E1836" s="56">
        <v>0.33333333333333331</v>
      </c>
      <c r="F1836" s="53">
        <f>IF(E1836&gt;0,1,0)</f>
        <v>1</v>
      </c>
      <c r="G1836" s="53">
        <f>SUM(F1835:F1836)</f>
        <v>2</v>
      </c>
      <c r="H1836" s="53">
        <f>IF(G1836=1,IF(F1835=1,1,-1),G1836)</f>
        <v>2</v>
      </c>
      <c r="I1836" s="53" t="str">
        <f>VLOOKUP(H1836,codes,2,)</f>
        <v>ww</v>
      </c>
      <c r="J1836" s="53"/>
    </row>
    <row r="1837" spans="1:10" x14ac:dyDescent="0.25">
      <c r="A1837" s="93">
        <v>44251</v>
      </c>
      <c r="B1837" s="35">
        <f>C1837+(D1837-2009)*12</f>
        <v>146</v>
      </c>
      <c r="C1837" s="76">
        <v>2</v>
      </c>
      <c r="D1837" s="53">
        <v>2021</v>
      </c>
      <c r="E1837" s="56">
        <v>0.43333333333333329</v>
      </c>
      <c r="F1837" s="53">
        <f>IF(E1837&gt;0,1,0)</f>
        <v>1</v>
      </c>
      <c r="G1837" s="53">
        <f>SUM(F1836:F1837)</f>
        <v>2</v>
      </c>
      <c r="H1837" s="53">
        <f>IF(G1837=1,IF(F1836=1,1,-1),G1837)</f>
        <v>2</v>
      </c>
      <c r="I1837" s="53" t="str">
        <f>VLOOKUP(H1837,codes,2,)</f>
        <v>ww</v>
      </c>
      <c r="J1837" s="53"/>
    </row>
    <row r="1838" spans="1:10" x14ac:dyDescent="0.25">
      <c r="A1838" s="93">
        <v>44252</v>
      </c>
      <c r="B1838" s="35">
        <f>C1838+(D1838-2009)*12</f>
        <v>146</v>
      </c>
      <c r="C1838" s="76">
        <v>2</v>
      </c>
      <c r="D1838" s="53">
        <v>2021</v>
      </c>
      <c r="E1838" s="56">
        <v>0.26666666666666666</v>
      </c>
      <c r="F1838" s="53">
        <f>IF(E1838&gt;0,1,0)</f>
        <v>1</v>
      </c>
      <c r="G1838" s="53">
        <f>SUM(F1837:F1838)</f>
        <v>2</v>
      </c>
      <c r="H1838" s="53">
        <f>IF(G1838=1,IF(F1837=1,1,-1),G1838)</f>
        <v>2</v>
      </c>
      <c r="I1838" s="53" t="str">
        <f>VLOOKUP(H1838,codes,2,)</f>
        <v>ww</v>
      </c>
      <c r="J1838" s="53"/>
    </row>
    <row r="1839" spans="1:10" x14ac:dyDescent="0.25">
      <c r="A1839" s="93">
        <v>44253</v>
      </c>
      <c r="B1839" s="35">
        <f>C1839+(D1839-2009)*12</f>
        <v>146</v>
      </c>
      <c r="C1839" s="76">
        <v>2</v>
      </c>
      <c r="D1839" s="53">
        <v>2021</v>
      </c>
      <c r="E1839" s="56">
        <v>0</v>
      </c>
      <c r="F1839" s="53">
        <f>IF(E1839&gt;0,1,0)</f>
        <v>0</v>
      </c>
      <c r="G1839" s="53">
        <f>SUM(F1838:F1839)</f>
        <v>1</v>
      </c>
      <c r="H1839" s="53">
        <f>IF(G1839=1,IF(F1838=1,1,-1),G1839)</f>
        <v>1</v>
      </c>
      <c r="I1839" s="53" t="str">
        <f>VLOOKUP(H1839,codes,2,)</f>
        <v>wd</v>
      </c>
      <c r="J1839" s="53"/>
    </row>
    <row r="1840" spans="1:10" x14ac:dyDescent="0.25">
      <c r="A1840" s="93">
        <v>44254</v>
      </c>
      <c r="B1840" s="35">
        <f>C1840+(D1840-2009)*12</f>
        <v>146</v>
      </c>
      <c r="C1840" s="76">
        <v>2</v>
      </c>
      <c r="D1840" s="53">
        <v>2021</v>
      </c>
      <c r="E1840" s="56">
        <v>6.6666666666666666E-2</v>
      </c>
      <c r="F1840" s="53">
        <f>IF(E1840&gt;0,1,0)</f>
        <v>1</v>
      </c>
      <c r="G1840" s="53">
        <f>SUM(F1839:F1840)</f>
        <v>1</v>
      </c>
      <c r="H1840" s="53">
        <f>IF(G1840=1,IF(F1839=1,1,-1),G1840)</f>
        <v>-1</v>
      </c>
      <c r="I1840" s="53" t="str">
        <f>VLOOKUP(H1840,codes,2,)</f>
        <v>dw</v>
      </c>
      <c r="J1840" s="53"/>
    </row>
    <row r="1841" spans="1:10" x14ac:dyDescent="0.25">
      <c r="A1841" s="93">
        <v>44255</v>
      </c>
      <c r="B1841" s="35">
        <f>C1841+(D1841-2009)*12</f>
        <v>146</v>
      </c>
      <c r="C1841" s="76">
        <v>2</v>
      </c>
      <c r="D1841" s="53">
        <v>2021</v>
      </c>
      <c r="E1841" s="56">
        <v>0</v>
      </c>
      <c r="F1841" s="53">
        <f>IF(E1841&gt;0,1,0)</f>
        <v>0</v>
      </c>
      <c r="G1841" s="53">
        <f>SUM(F1840:F1841)</f>
        <v>1</v>
      </c>
      <c r="H1841" s="53">
        <f>IF(G1841=1,IF(F1840=1,1,-1),G1841)</f>
        <v>1</v>
      </c>
      <c r="I1841" s="53" t="str">
        <f>VLOOKUP(H1841,codes,2,)</f>
        <v>wd</v>
      </c>
      <c r="J1841" s="53"/>
    </row>
    <row r="1842" spans="1:10" x14ac:dyDescent="0.25">
      <c r="A1842" s="93">
        <v>44593</v>
      </c>
      <c r="B1842" s="35">
        <f>C1842+(D1842-2009)*12</f>
        <v>158</v>
      </c>
      <c r="C1842" s="76">
        <v>2</v>
      </c>
      <c r="D1842" s="53">
        <v>2022</v>
      </c>
      <c r="E1842" s="56">
        <v>0.13333333333333333</v>
      </c>
      <c r="F1842" s="53">
        <f>IF(E1842&gt;0,1,0)</f>
        <v>1</v>
      </c>
      <c r="G1842" s="53">
        <f>SUM(F1841:F1842)</f>
        <v>1</v>
      </c>
      <c r="H1842" s="53">
        <f>IF(G1842=1,IF(F1841=1,1,-1),G1842)</f>
        <v>-1</v>
      </c>
      <c r="I1842" s="53" t="str">
        <f>VLOOKUP(H1842,codes,2,)</f>
        <v>dw</v>
      </c>
      <c r="J1842" s="53"/>
    </row>
    <row r="1843" spans="1:10" x14ac:dyDescent="0.25">
      <c r="A1843" s="93">
        <v>44594</v>
      </c>
      <c r="B1843" s="35">
        <f>C1843+(D1843-2009)*12</f>
        <v>158</v>
      </c>
      <c r="C1843" s="76">
        <v>2</v>
      </c>
      <c r="D1843" s="53">
        <v>2022</v>
      </c>
      <c r="E1843" s="56">
        <v>0</v>
      </c>
      <c r="F1843" s="53">
        <f>IF(E1843&gt;0,1,0)</f>
        <v>0</v>
      </c>
      <c r="G1843" s="53">
        <f>SUM(F1842:F1843)</f>
        <v>1</v>
      </c>
      <c r="H1843" s="53">
        <f>IF(G1843=1,IF(F1842=1,1,-1),G1843)</f>
        <v>1</v>
      </c>
      <c r="I1843" s="53" t="str">
        <f>VLOOKUP(H1843,codes,2,)</f>
        <v>wd</v>
      </c>
      <c r="J1843" s="53"/>
    </row>
    <row r="1844" spans="1:10" x14ac:dyDescent="0.25">
      <c r="A1844" s="93">
        <v>44595</v>
      </c>
      <c r="B1844" s="35">
        <f>C1844+(D1844-2009)*12</f>
        <v>158</v>
      </c>
      <c r="C1844" s="76">
        <v>2</v>
      </c>
      <c r="D1844" s="53">
        <v>2022</v>
      </c>
      <c r="E1844" s="56">
        <v>0</v>
      </c>
      <c r="F1844" s="53">
        <f>IF(E1844&gt;0,1,0)</f>
        <v>0</v>
      </c>
      <c r="G1844" s="53">
        <f>SUM(F1843:F1844)</f>
        <v>0</v>
      </c>
      <c r="H1844" s="53">
        <f>IF(G1844=1,IF(F1843=1,1,-1),G1844)</f>
        <v>0</v>
      </c>
      <c r="I1844" s="53" t="str">
        <f>VLOOKUP(H1844,codes,2,)</f>
        <v>dd</v>
      </c>
      <c r="J1844" s="53"/>
    </row>
    <row r="1845" spans="1:10" x14ac:dyDescent="0.25">
      <c r="A1845" s="93">
        <v>44596</v>
      </c>
      <c r="B1845" s="35">
        <f>C1845+(D1845-2009)*12</f>
        <v>158</v>
      </c>
      <c r="C1845" s="76">
        <v>2</v>
      </c>
      <c r="D1845" s="53">
        <v>2022</v>
      </c>
      <c r="E1845" s="56">
        <v>0.20000000000000004</v>
      </c>
      <c r="F1845" s="53">
        <f>IF(E1845&gt;0,1,0)</f>
        <v>1</v>
      </c>
      <c r="G1845" s="53">
        <f>SUM(F1844:F1845)</f>
        <v>1</v>
      </c>
      <c r="H1845" s="53">
        <f>IF(G1845=1,IF(F1844=1,1,-1),G1845)</f>
        <v>-1</v>
      </c>
      <c r="I1845" s="53" t="str">
        <f>VLOOKUP(H1845,codes,2,)</f>
        <v>dw</v>
      </c>
      <c r="J1845" s="53"/>
    </row>
    <row r="1846" spans="1:10" x14ac:dyDescent="0.25">
      <c r="A1846" s="93">
        <v>44597</v>
      </c>
      <c r="B1846" s="35">
        <f>C1846+(D1846-2009)*12</f>
        <v>158</v>
      </c>
      <c r="C1846" s="76">
        <v>2</v>
      </c>
      <c r="D1846" s="53">
        <v>2022</v>
      </c>
      <c r="E1846" s="56">
        <v>6.6666666666666666E-2</v>
      </c>
      <c r="F1846" s="53">
        <f>IF(E1846&gt;0,1,0)</f>
        <v>1</v>
      </c>
      <c r="G1846" s="53">
        <f>SUM(F1845:F1846)</f>
        <v>2</v>
      </c>
      <c r="H1846" s="53">
        <f>IF(G1846=1,IF(F1845=1,1,-1),G1846)</f>
        <v>2</v>
      </c>
      <c r="I1846" s="53" t="str">
        <f>VLOOKUP(H1846,codes,2,)</f>
        <v>ww</v>
      </c>
      <c r="J1846" s="53"/>
    </row>
    <row r="1847" spans="1:10" x14ac:dyDescent="0.25">
      <c r="A1847" s="93">
        <v>44598</v>
      </c>
      <c r="B1847" s="35">
        <f>C1847+(D1847-2009)*12</f>
        <v>158</v>
      </c>
      <c r="C1847" s="76">
        <v>2</v>
      </c>
      <c r="D1847" s="53">
        <v>2022</v>
      </c>
      <c r="E1847" s="56">
        <v>2.7333333333333329</v>
      </c>
      <c r="F1847" s="53">
        <f>IF(E1847&gt;0,1,0)</f>
        <v>1</v>
      </c>
      <c r="G1847" s="53">
        <f>SUM(F1846:F1847)</f>
        <v>2</v>
      </c>
      <c r="H1847" s="53">
        <f>IF(G1847=1,IF(F1846=1,1,-1),G1847)</f>
        <v>2</v>
      </c>
      <c r="I1847" s="53" t="str">
        <f>VLOOKUP(H1847,codes,2,)</f>
        <v>ww</v>
      </c>
      <c r="J1847" s="53"/>
    </row>
    <row r="1848" spans="1:10" x14ac:dyDescent="0.25">
      <c r="A1848" s="93">
        <v>44599</v>
      </c>
      <c r="B1848" s="35">
        <f>C1848+(D1848-2009)*12</f>
        <v>158</v>
      </c>
      <c r="C1848" s="76">
        <v>2</v>
      </c>
      <c r="D1848" s="53">
        <v>2022</v>
      </c>
      <c r="E1848" s="56">
        <v>0.66666666666666663</v>
      </c>
      <c r="F1848" s="53">
        <f>IF(E1848&gt;0,1,0)</f>
        <v>1</v>
      </c>
      <c r="G1848" s="53">
        <f>SUM(F1847:F1848)</f>
        <v>2</v>
      </c>
      <c r="H1848" s="53">
        <f>IF(G1848=1,IF(F1847=1,1,-1),G1848)</f>
        <v>2</v>
      </c>
      <c r="I1848" s="53" t="str">
        <f>VLOOKUP(H1848,codes,2,)</f>
        <v>ww</v>
      </c>
      <c r="J1848" s="53"/>
    </row>
    <row r="1849" spans="1:10" x14ac:dyDescent="0.25">
      <c r="A1849" s="93">
        <v>44600</v>
      </c>
      <c r="B1849" s="35">
        <f>C1849+(D1849-2009)*12</f>
        <v>158</v>
      </c>
      <c r="C1849" s="76">
        <v>2</v>
      </c>
      <c r="D1849" s="53">
        <v>2022</v>
      </c>
      <c r="E1849" s="56">
        <v>0</v>
      </c>
      <c r="F1849" s="53">
        <f>IF(E1849&gt;0,1,0)</f>
        <v>0</v>
      </c>
      <c r="G1849" s="53">
        <f>SUM(F1848:F1849)</f>
        <v>1</v>
      </c>
      <c r="H1849" s="53">
        <f>IF(G1849=1,IF(F1848=1,1,-1),G1849)</f>
        <v>1</v>
      </c>
      <c r="I1849" s="53" t="str">
        <f>VLOOKUP(H1849,codes,2,)</f>
        <v>wd</v>
      </c>
      <c r="J1849" s="53"/>
    </row>
    <row r="1850" spans="1:10" x14ac:dyDescent="0.25">
      <c r="A1850" s="93">
        <v>44601</v>
      </c>
      <c r="B1850" s="35">
        <f>C1850+(D1850-2009)*12</f>
        <v>158</v>
      </c>
      <c r="C1850" s="76">
        <v>2</v>
      </c>
      <c r="D1850" s="53">
        <v>2022</v>
      </c>
      <c r="E1850" s="56">
        <v>0.79999999999999993</v>
      </c>
      <c r="F1850" s="53">
        <f>IF(E1850&gt;0,1,0)</f>
        <v>1</v>
      </c>
      <c r="G1850" s="53">
        <f>SUM(F1849:F1850)</f>
        <v>1</v>
      </c>
      <c r="H1850" s="53">
        <f>IF(G1850=1,IF(F1849=1,1,-1),G1850)</f>
        <v>-1</v>
      </c>
      <c r="I1850" s="53" t="str">
        <f>VLOOKUP(H1850,codes,2,)</f>
        <v>dw</v>
      </c>
      <c r="J1850" s="53"/>
    </row>
    <row r="1851" spans="1:10" x14ac:dyDescent="0.25">
      <c r="A1851" s="93">
        <v>44602</v>
      </c>
      <c r="B1851" s="35">
        <f>C1851+(D1851-2009)*12</f>
        <v>158</v>
      </c>
      <c r="C1851" s="76">
        <v>2</v>
      </c>
      <c r="D1851" s="53">
        <v>2022</v>
      </c>
      <c r="E1851" s="56">
        <v>6.6666666666666666E-2</v>
      </c>
      <c r="F1851" s="53">
        <f>IF(E1851&gt;0,1,0)</f>
        <v>1</v>
      </c>
      <c r="G1851" s="53">
        <f>SUM(F1850:F1851)</f>
        <v>2</v>
      </c>
      <c r="H1851" s="53">
        <f>IF(G1851=1,IF(F1850=1,1,-1),G1851)</f>
        <v>2</v>
      </c>
      <c r="I1851" s="53" t="str">
        <f>VLOOKUP(H1851,codes,2,)</f>
        <v>ww</v>
      </c>
      <c r="J1851" s="53"/>
    </row>
    <row r="1852" spans="1:10" x14ac:dyDescent="0.25">
      <c r="A1852" s="93">
        <v>44603</v>
      </c>
      <c r="B1852" s="35">
        <f>C1852+(D1852-2009)*12</f>
        <v>158</v>
      </c>
      <c r="C1852" s="76">
        <v>2</v>
      </c>
      <c r="D1852" s="53">
        <v>2022</v>
      </c>
      <c r="E1852" s="56">
        <v>0</v>
      </c>
      <c r="F1852" s="53">
        <f>IF(E1852&gt;0,1,0)</f>
        <v>0</v>
      </c>
      <c r="G1852" s="53">
        <f>SUM(F1851:F1852)</f>
        <v>1</v>
      </c>
      <c r="H1852" s="53">
        <f>IF(G1852=1,IF(F1851=1,1,-1),G1852)</f>
        <v>1</v>
      </c>
      <c r="I1852" s="53" t="str">
        <f>VLOOKUP(H1852,codes,2,)</f>
        <v>wd</v>
      </c>
      <c r="J1852" s="53"/>
    </row>
    <row r="1853" spans="1:10" x14ac:dyDescent="0.25">
      <c r="A1853" s="93">
        <v>44604</v>
      </c>
      <c r="B1853" s="35">
        <f>C1853+(D1853-2009)*12</f>
        <v>158</v>
      </c>
      <c r="C1853" s="76">
        <v>2</v>
      </c>
      <c r="D1853" s="53">
        <v>2022</v>
      </c>
      <c r="E1853" s="56">
        <v>0</v>
      </c>
      <c r="F1853" s="53">
        <f>IF(E1853&gt;0,1,0)</f>
        <v>0</v>
      </c>
      <c r="G1853" s="53">
        <f>SUM(F1852:F1853)</f>
        <v>0</v>
      </c>
      <c r="H1853" s="53">
        <f>IF(G1853=1,IF(F1852=1,1,-1),G1853)</f>
        <v>0</v>
      </c>
      <c r="I1853" s="53" t="str">
        <f>VLOOKUP(H1853,codes,2,)</f>
        <v>dd</v>
      </c>
      <c r="J1853" s="53"/>
    </row>
    <row r="1854" spans="1:10" x14ac:dyDescent="0.25">
      <c r="A1854" s="93">
        <v>44605</v>
      </c>
      <c r="B1854" s="35">
        <f>C1854+(D1854-2009)*12</f>
        <v>158</v>
      </c>
      <c r="C1854" s="76">
        <v>2</v>
      </c>
      <c r="D1854" s="53">
        <v>2022</v>
      </c>
      <c r="E1854" s="56">
        <v>0</v>
      </c>
      <c r="F1854" s="53">
        <f>IF(E1854&gt;0,1,0)</f>
        <v>0</v>
      </c>
      <c r="G1854" s="53">
        <f>SUM(F1853:F1854)</f>
        <v>0</v>
      </c>
      <c r="H1854" s="53">
        <f>IF(G1854=1,IF(F1853=1,1,-1),G1854)</f>
        <v>0</v>
      </c>
      <c r="I1854" s="53" t="str">
        <f>VLOOKUP(H1854,codes,2,)</f>
        <v>dd</v>
      </c>
      <c r="J1854" s="53"/>
    </row>
    <row r="1855" spans="1:10" x14ac:dyDescent="0.25">
      <c r="A1855" s="93">
        <v>44606</v>
      </c>
      <c r="B1855" s="35">
        <f>C1855+(D1855-2009)*12</f>
        <v>158</v>
      </c>
      <c r="C1855" s="76">
        <v>2</v>
      </c>
      <c r="D1855" s="53">
        <v>2022</v>
      </c>
      <c r="E1855" s="56">
        <v>5.9333333333333327</v>
      </c>
      <c r="F1855" s="53">
        <f>IF(E1855&gt;0,1,0)</f>
        <v>1</v>
      </c>
      <c r="G1855" s="53">
        <f>SUM(F1854:F1855)</f>
        <v>1</v>
      </c>
      <c r="H1855" s="53">
        <f>IF(G1855=1,IF(F1854=1,1,-1),G1855)</f>
        <v>-1</v>
      </c>
      <c r="I1855" s="53" t="str">
        <f>VLOOKUP(H1855,codes,2,)</f>
        <v>dw</v>
      </c>
      <c r="J1855" s="53"/>
    </row>
    <row r="1856" spans="1:10" x14ac:dyDescent="0.25">
      <c r="A1856" s="93">
        <v>44607</v>
      </c>
      <c r="B1856" s="35">
        <f>C1856+(D1856-2009)*12</f>
        <v>158</v>
      </c>
      <c r="C1856" s="76">
        <v>2</v>
      </c>
      <c r="D1856" s="53">
        <v>2022</v>
      </c>
      <c r="E1856" s="56">
        <v>1.9333333333333333</v>
      </c>
      <c r="F1856" s="53">
        <f>IF(E1856&gt;0,1,0)</f>
        <v>1</v>
      </c>
      <c r="G1856" s="53">
        <f>SUM(F1855:F1856)</f>
        <v>2</v>
      </c>
      <c r="H1856" s="53">
        <f>IF(G1856=1,IF(F1855=1,1,-1),G1856)</f>
        <v>2</v>
      </c>
      <c r="I1856" s="53" t="str">
        <f>VLOOKUP(H1856,codes,2,)</f>
        <v>ww</v>
      </c>
      <c r="J1856" s="53"/>
    </row>
    <row r="1857" spans="1:10" x14ac:dyDescent="0.25">
      <c r="A1857" s="93">
        <v>44608</v>
      </c>
      <c r="B1857" s="35">
        <f>C1857+(D1857-2009)*12</f>
        <v>158</v>
      </c>
      <c r="C1857" s="76">
        <v>2</v>
      </c>
      <c r="D1857" s="53">
        <v>2022</v>
      </c>
      <c r="E1857" s="56">
        <v>1.8666666666666665</v>
      </c>
      <c r="F1857" s="53">
        <f>IF(E1857&gt;0,1,0)</f>
        <v>1</v>
      </c>
      <c r="G1857" s="53">
        <f>SUM(F1856:F1857)</f>
        <v>2</v>
      </c>
      <c r="H1857" s="53">
        <f>IF(G1857=1,IF(F1856=1,1,-1),G1857)</f>
        <v>2</v>
      </c>
      <c r="I1857" s="53" t="str">
        <f>VLOOKUP(H1857,codes,2,)</f>
        <v>ww</v>
      </c>
      <c r="J1857" s="53"/>
    </row>
    <row r="1858" spans="1:10" x14ac:dyDescent="0.25">
      <c r="A1858" s="93">
        <v>44609</v>
      </c>
      <c r="B1858" s="35">
        <f>C1858+(D1858-2009)*12</f>
        <v>158</v>
      </c>
      <c r="C1858" s="76">
        <v>2</v>
      </c>
      <c r="D1858" s="53">
        <v>2022</v>
      </c>
      <c r="E1858" s="56">
        <v>1.3333333333333333</v>
      </c>
      <c r="F1858" s="53">
        <f>IF(E1858&gt;0,1,0)</f>
        <v>1</v>
      </c>
      <c r="G1858" s="53">
        <f>SUM(F1857:F1858)</f>
        <v>2</v>
      </c>
      <c r="H1858" s="53">
        <f>IF(G1858=1,IF(F1857=1,1,-1),G1858)</f>
        <v>2</v>
      </c>
      <c r="I1858" s="53" t="str">
        <f>VLOOKUP(H1858,codes,2,)</f>
        <v>ww</v>
      </c>
      <c r="J1858" s="53"/>
    </row>
    <row r="1859" spans="1:10" x14ac:dyDescent="0.25">
      <c r="A1859" s="93">
        <v>44610</v>
      </c>
      <c r="B1859" s="35">
        <f>C1859+(D1859-2009)*12</f>
        <v>158</v>
      </c>
      <c r="C1859" s="76">
        <v>2</v>
      </c>
      <c r="D1859" s="53">
        <v>2022</v>
      </c>
      <c r="E1859" s="56">
        <v>5.7333333333333334</v>
      </c>
      <c r="F1859" s="53">
        <f>IF(E1859&gt;0,1,0)</f>
        <v>1</v>
      </c>
      <c r="G1859" s="53">
        <f>SUM(F1858:F1859)</f>
        <v>2</v>
      </c>
      <c r="H1859" s="53">
        <f>IF(G1859=1,IF(F1858=1,1,-1),G1859)</f>
        <v>2</v>
      </c>
      <c r="I1859" s="53" t="str">
        <f>VLOOKUP(H1859,codes,2,)</f>
        <v>ww</v>
      </c>
      <c r="J1859" s="53"/>
    </row>
    <row r="1860" spans="1:10" x14ac:dyDescent="0.25">
      <c r="A1860" s="93">
        <v>44611</v>
      </c>
      <c r="B1860" s="35">
        <f>C1860+(D1860-2009)*12</f>
        <v>158</v>
      </c>
      <c r="C1860" s="76">
        <v>2</v>
      </c>
      <c r="D1860" s="53">
        <v>2022</v>
      </c>
      <c r="E1860" s="56">
        <v>1.8</v>
      </c>
      <c r="F1860" s="53">
        <f>IF(E1860&gt;0,1,0)</f>
        <v>1</v>
      </c>
      <c r="G1860" s="53">
        <f>SUM(F1859:F1860)</f>
        <v>2</v>
      </c>
      <c r="H1860" s="53">
        <f>IF(G1860=1,IF(F1859=1,1,-1),G1860)</f>
        <v>2</v>
      </c>
      <c r="I1860" s="53" t="str">
        <f>VLOOKUP(H1860,codes,2,)</f>
        <v>ww</v>
      </c>
      <c r="J1860" s="53"/>
    </row>
    <row r="1861" spans="1:10" x14ac:dyDescent="0.25">
      <c r="A1861" s="93">
        <v>44612</v>
      </c>
      <c r="B1861" s="35">
        <f>C1861+(D1861-2009)*12</f>
        <v>158</v>
      </c>
      <c r="C1861" s="76">
        <v>2</v>
      </c>
      <c r="D1861" s="53">
        <v>2022</v>
      </c>
      <c r="E1861" s="56">
        <v>3.3333333333333335</v>
      </c>
      <c r="F1861" s="53">
        <f>IF(E1861&gt;0,1,0)</f>
        <v>1</v>
      </c>
      <c r="G1861" s="53">
        <f>SUM(F1860:F1861)</f>
        <v>2</v>
      </c>
      <c r="H1861" s="53">
        <f>IF(G1861=1,IF(F1860=1,1,-1),G1861)</f>
        <v>2</v>
      </c>
      <c r="I1861" s="53" t="str">
        <f>VLOOKUP(H1861,codes,2,)</f>
        <v>ww</v>
      </c>
      <c r="J1861" s="53"/>
    </row>
    <row r="1862" spans="1:10" x14ac:dyDescent="0.25">
      <c r="A1862" s="93">
        <v>44613</v>
      </c>
      <c r="B1862" s="35">
        <f>C1862+(D1862-2009)*12</f>
        <v>158</v>
      </c>
      <c r="C1862" s="76">
        <v>2</v>
      </c>
      <c r="D1862" s="53">
        <v>2022</v>
      </c>
      <c r="E1862" s="56">
        <v>11</v>
      </c>
      <c r="F1862" s="53">
        <f>IF(E1862&gt;0,1,0)</f>
        <v>1</v>
      </c>
      <c r="G1862" s="53">
        <f>SUM(F1861:F1862)</f>
        <v>2</v>
      </c>
      <c r="H1862" s="53">
        <f>IF(G1862=1,IF(F1861=1,1,-1),G1862)</f>
        <v>2</v>
      </c>
      <c r="I1862" s="53" t="str">
        <f>VLOOKUP(H1862,codes,2,)</f>
        <v>ww</v>
      </c>
      <c r="J1862" s="53"/>
    </row>
    <row r="1863" spans="1:10" x14ac:dyDescent="0.25">
      <c r="A1863" s="93">
        <v>44614</v>
      </c>
      <c r="B1863" s="35">
        <f>C1863+(D1863-2009)*12</f>
        <v>158</v>
      </c>
      <c r="C1863" s="76">
        <v>2</v>
      </c>
      <c r="D1863" s="53">
        <v>2022</v>
      </c>
      <c r="E1863" s="56">
        <v>0.46666666666666662</v>
      </c>
      <c r="F1863" s="53">
        <f>IF(E1863&gt;0,1,0)</f>
        <v>1</v>
      </c>
      <c r="G1863" s="53">
        <f>SUM(F1862:F1863)</f>
        <v>2</v>
      </c>
      <c r="H1863" s="53">
        <f>IF(G1863=1,IF(F1862=1,1,-1),G1863)</f>
        <v>2</v>
      </c>
      <c r="I1863" s="53" t="str">
        <f>VLOOKUP(H1863,codes,2,)</f>
        <v>ww</v>
      </c>
      <c r="J1863" s="53"/>
    </row>
    <row r="1864" spans="1:10" x14ac:dyDescent="0.25">
      <c r="A1864" s="93">
        <v>44615</v>
      </c>
      <c r="B1864" s="35">
        <f>C1864+(D1864-2009)*12</f>
        <v>158</v>
      </c>
      <c r="C1864" s="76">
        <v>2</v>
      </c>
      <c r="D1864" s="53">
        <v>2022</v>
      </c>
      <c r="E1864" s="56">
        <v>0.13333333333333333</v>
      </c>
      <c r="F1864" s="53">
        <f>IF(E1864&gt;0,1,0)</f>
        <v>1</v>
      </c>
      <c r="G1864" s="53">
        <f>SUM(F1863:F1864)</f>
        <v>2</v>
      </c>
      <c r="H1864" s="53">
        <f>IF(G1864=1,IF(F1863=1,1,-1),G1864)</f>
        <v>2</v>
      </c>
      <c r="I1864" s="53" t="str">
        <f>VLOOKUP(H1864,codes,2,)</f>
        <v>ww</v>
      </c>
      <c r="J1864" s="53"/>
    </row>
    <row r="1865" spans="1:10" x14ac:dyDescent="0.25">
      <c r="A1865" s="93">
        <v>44616</v>
      </c>
      <c r="B1865" s="35">
        <f>C1865+(D1865-2009)*12</f>
        <v>158</v>
      </c>
      <c r="C1865" s="76">
        <v>2</v>
      </c>
      <c r="D1865" s="53">
        <v>2022</v>
      </c>
      <c r="E1865" s="56">
        <v>2.2666666666666666</v>
      </c>
      <c r="F1865" s="53">
        <f>IF(E1865&gt;0,1,0)</f>
        <v>1</v>
      </c>
      <c r="G1865" s="53">
        <f>SUM(F1864:F1865)</f>
        <v>2</v>
      </c>
      <c r="H1865" s="53">
        <f>IF(G1865=1,IF(F1864=1,1,-1),G1865)</f>
        <v>2</v>
      </c>
      <c r="I1865" s="53" t="str">
        <f>VLOOKUP(H1865,codes,2,)</f>
        <v>ww</v>
      </c>
      <c r="J1865" s="53"/>
    </row>
    <row r="1866" spans="1:10" x14ac:dyDescent="0.25">
      <c r="A1866" s="93">
        <v>44617</v>
      </c>
      <c r="B1866" s="35">
        <f>C1866+(D1866-2009)*12</f>
        <v>158</v>
      </c>
      <c r="C1866" s="76">
        <v>2</v>
      </c>
      <c r="D1866" s="53">
        <v>2022</v>
      </c>
      <c r="E1866" s="56">
        <v>0.26666666666666666</v>
      </c>
      <c r="F1866" s="53">
        <f>IF(E1866&gt;0,1,0)</f>
        <v>1</v>
      </c>
      <c r="G1866" s="53">
        <f>SUM(F1865:F1866)</f>
        <v>2</v>
      </c>
      <c r="H1866" s="53">
        <f>IF(G1866=1,IF(F1865=1,1,-1),G1866)</f>
        <v>2</v>
      </c>
      <c r="I1866" s="53" t="str">
        <f>VLOOKUP(H1866,codes,2,)</f>
        <v>ww</v>
      </c>
      <c r="J1866" s="53"/>
    </row>
    <row r="1867" spans="1:10" x14ac:dyDescent="0.25">
      <c r="A1867" s="93">
        <v>44618</v>
      </c>
      <c r="B1867" s="35">
        <f>C1867+(D1867-2009)*12</f>
        <v>158</v>
      </c>
      <c r="C1867" s="76">
        <v>2</v>
      </c>
      <c r="D1867" s="53">
        <v>2022</v>
      </c>
      <c r="E1867" s="56">
        <v>0</v>
      </c>
      <c r="F1867" s="53">
        <f>IF(E1867&gt;0,1,0)</f>
        <v>0</v>
      </c>
      <c r="G1867" s="53">
        <f>SUM(F1866:F1867)</f>
        <v>1</v>
      </c>
      <c r="H1867" s="53">
        <f>IF(G1867=1,IF(F1866=1,1,-1),G1867)</f>
        <v>1</v>
      </c>
      <c r="I1867" s="53" t="str">
        <f>VLOOKUP(H1867,codes,2,)</f>
        <v>wd</v>
      </c>
      <c r="J1867" s="53"/>
    </row>
    <row r="1868" spans="1:10" x14ac:dyDescent="0.25">
      <c r="A1868" s="93">
        <v>44619</v>
      </c>
      <c r="B1868" s="35">
        <f>C1868+(D1868-2009)*12</f>
        <v>158</v>
      </c>
      <c r="C1868" s="76">
        <v>2</v>
      </c>
      <c r="D1868" s="53">
        <v>2022</v>
      </c>
      <c r="E1868" s="56">
        <v>0</v>
      </c>
      <c r="F1868" s="53">
        <f>IF(E1868&gt;0,1,0)</f>
        <v>0</v>
      </c>
      <c r="G1868" s="53">
        <f>SUM(F1867:F1868)</f>
        <v>0</v>
      </c>
      <c r="H1868" s="53">
        <f>IF(G1868=1,IF(F1867=1,1,-1),G1868)</f>
        <v>0</v>
      </c>
      <c r="I1868" s="53" t="str">
        <f>VLOOKUP(H1868,codes,2,)</f>
        <v>dd</v>
      </c>
      <c r="J1868" s="53"/>
    </row>
    <row r="1869" spans="1:10" x14ac:dyDescent="0.25">
      <c r="A1869" s="93">
        <v>44620</v>
      </c>
      <c r="B1869" s="35">
        <f>C1869+(D1869-2009)*12</f>
        <v>158</v>
      </c>
      <c r="C1869" s="76">
        <v>2</v>
      </c>
      <c r="D1869" s="53">
        <v>2022</v>
      </c>
      <c r="E1869" s="56">
        <v>0.53333333333333333</v>
      </c>
      <c r="F1869" s="53">
        <f>IF(E1869&gt;0,1,0)</f>
        <v>1</v>
      </c>
      <c r="G1869" s="53">
        <f>SUM(F1868:F1869)</f>
        <v>1</v>
      </c>
      <c r="H1869" s="53">
        <f>IF(G1869=1,IF(F1868=1,1,-1),G1869)</f>
        <v>-1</v>
      </c>
      <c r="I1869" s="53" t="str">
        <f>VLOOKUP(H1869,codes,2,)</f>
        <v>dw</v>
      </c>
      <c r="J1869" s="53"/>
    </row>
    <row r="1870" spans="1:10" x14ac:dyDescent="0.25">
      <c r="A1870" s="93">
        <v>44958</v>
      </c>
      <c r="B1870" s="35">
        <f>C1870+(D1870-2009)*12</f>
        <v>170</v>
      </c>
      <c r="C1870" s="76">
        <v>2</v>
      </c>
      <c r="D1870" s="53">
        <v>2023</v>
      </c>
      <c r="E1870" s="56">
        <v>1.6666666666666667</v>
      </c>
      <c r="F1870" s="53">
        <f>IF(E1870&gt;0,1,0)</f>
        <v>1</v>
      </c>
      <c r="G1870" s="53">
        <f>SUM(F1869:F1870)</f>
        <v>2</v>
      </c>
      <c r="H1870" s="53">
        <f>IF(G1870=1,IF(F1869=1,1,-1),G1870)</f>
        <v>2</v>
      </c>
      <c r="I1870" s="53" t="str">
        <f>VLOOKUP(H1870,codes,2,)</f>
        <v>ww</v>
      </c>
      <c r="J1870" s="53"/>
    </row>
    <row r="1871" spans="1:10" x14ac:dyDescent="0.25">
      <c r="A1871" s="93">
        <v>44959</v>
      </c>
      <c r="B1871" s="35">
        <f>C1871+(D1871-2009)*12</f>
        <v>170</v>
      </c>
      <c r="C1871" s="76">
        <v>2</v>
      </c>
      <c r="D1871" s="53">
        <v>2023</v>
      </c>
      <c r="E1871" s="56">
        <v>0</v>
      </c>
      <c r="F1871" s="53">
        <f>IF(E1871&gt;0,1,0)</f>
        <v>0</v>
      </c>
      <c r="G1871" s="53">
        <f>SUM(F1870:F1871)</f>
        <v>1</v>
      </c>
      <c r="H1871" s="53">
        <f>IF(G1871=1,IF(F1870=1,1,-1),G1871)</f>
        <v>1</v>
      </c>
      <c r="I1871" s="53" t="str">
        <f>VLOOKUP(H1871,codes,2,)</f>
        <v>wd</v>
      </c>
      <c r="J1871" s="53"/>
    </row>
    <row r="1872" spans="1:10" x14ac:dyDescent="0.25">
      <c r="A1872" s="93">
        <v>44960</v>
      </c>
      <c r="B1872" s="35">
        <f>C1872+(D1872-2009)*12</f>
        <v>170</v>
      </c>
      <c r="C1872" s="76">
        <v>2</v>
      </c>
      <c r="D1872" s="53">
        <v>2023</v>
      </c>
      <c r="E1872" s="56">
        <v>6.6666666666666666E-2</v>
      </c>
      <c r="F1872" s="53">
        <f>IF(E1872&gt;0,1,0)</f>
        <v>1</v>
      </c>
      <c r="G1872" s="53">
        <f>SUM(F1871:F1872)</f>
        <v>1</v>
      </c>
      <c r="H1872" s="53">
        <f>IF(G1872=1,IF(F1871=1,1,-1),G1872)</f>
        <v>-1</v>
      </c>
      <c r="I1872" s="53" t="str">
        <f>VLOOKUP(H1872,codes,2,)</f>
        <v>dw</v>
      </c>
      <c r="J1872" s="53"/>
    </row>
    <row r="1873" spans="1:10" x14ac:dyDescent="0.25">
      <c r="A1873" s="93">
        <v>44961</v>
      </c>
      <c r="B1873" s="35">
        <f>C1873+(D1873-2009)*12</f>
        <v>170</v>
      </c>
      <c r="C1873" s="76">
        <v>2</v>
      </c>
      <c r="D1873" s="53">
        <v>2023</v>
      </c>
      <c r="E1873" s="56">
        <v>0</v>
      </c>
      <c r="F1873" s="53">
        <f>IF(E1873&gt;0,1,0)</f>
        <v>0</v>
      </c>
      <c r="G1873" s="53">
        <f>SUM(F1872:F1873)</f>
        <v>1</v>
      </c>
      <c r="H1873" s="53">
        <f>IF(G1873=1,IF(F1872=1,1,-1),G1873)</f>
        <v>1</v>
      </c>
      <c r="I1873" s="53" t="str">
        <f>VLOOKUP(H1873,codes,2,)</f>
        <v>wd</v>
      </c>
      <c r="J1873" s="53"/>
    </row>
    <row r="1874" spans="1:10" x14ac:dyDescent="0.25">
      <c r="A1874" s="93">
        <v>44962</v>
      </c>
      <c r="B1874" s="35">
        <f>C1874+(D1874-2009)*12</f>
        <v>170</v>
      </c>
      <c r="C1874" s="76">
        <v>2</v>
      </c>
      <c r="D1874" s="53">
        <v>2023</v>
      </c>
      <c r="E1874" s="56">
        <v>0</v>
      </c>
      <c r="F1874" s="53">
        <f>IF(E1874&gt;0,1,0)</f>
        <v>0</v>
      </c>
      <c r="G1874" s="53">
        <f>SUM(F1873:F1874)</f>
        <v>0</v>
      </c>
      <c r="H1874" s="53">
        <f>IF(G1874=1,IF(F1873=1,1,-1),G1874)</f>
        <v>0</v>
      </c>
      <c r="I1874" s="53" t="str">
        <f>VLOOKUP(H1874,codes,2,)</f>
        <v>dd</v>
      </c>
      <c r="J1874" s="53"/>
    </row>
    <row r="1875" spans="1:10" x14ac:dyDescent="0.25">
      <c r="A1875" s="93">
        <v>44963</v>
      </c>
      <c r="B1875" s="35">
        <f>C1875+(D1875-2009)*12</f>
        <v>170</v>
      </c>
      <c r="C1875" s="76">
        <v>2</v>
      </c>
      <c r="D1875" s="53">
        <v>2023</v>
      </c>
      <c r="E1875" s="56">
        <v>0</v>
      </c>
      <c r="F1875" s="53">
        <f>IF(E1875&gt;0,1,0)</f>
        <v>0</v>
      </c>
      <c r="G1875" s="53">
        <f>SUM(F1874:F1875)</f>
        <v>0</v>
      </c>
      <c r="H1875" s="53">
        <f>IF(G1875=1,IF(F1874=1,1,-1),G1875)</f>
        <v>0</v>
      </c>
      <c r="I1875" s="53" t="str">
        <f>VLOOKUP(H1875,codes,2,)</f>
        <v>dd</v>
      </c>
      <c r="J1875" s="53"/>
    </row>
    <row r="1876" spans="1:10" x14ac:dyDescent="0.25">
      <c r="A1876" s="93">
        <v>44964</v>
      </c>
      <c r="B1876" s="35">
        <f>C1876+(D1876-2009)*12</f>
        <v>170</v>
      </c>
      <c r="C1876" s="76">
        <v>2</v>
      </c>
      <c r="D1876" s="53">
        <v>2023</v>
      </c>
      <c r="E1876" s="56">
        <v>0</v>
      </c>
      <c r="F1876" s="53">
        <f>IF(E1876&gt;0,1,0)</f>
        <v>0</v>
      </c>
      <c r="G1876" s="53">
        <f>SUM(F1875:F1876)</f>
        <v>0</v>
      </c>
      <c r="H1876" s="53">
        <f>IF(G1876=1,IF(F1875=1,1,-1),G1876)</f>
        <v>0</v>
      </c>
      <c r="I1876" s="53" t="str">
        <f>VLOOKUP(H1876,codes,2,)</f>
        <v>dd</v>
      </c>
      <c r="J1876" s="53"/>
    </row>
    <row r="1877" spans="1:10" x14ac:dyDescent="0.25">
      <c r="A1877" s="93">
        <v>44965</v>
      </c>
      <c r="B1877" s="35">
        <f>C1877+(D1877-2009)*12</f>
        <v>170</v>
      </c>
      <c r="C1877" s="76">
        <v>2</v>
      </c>
      <c r="D1877" s="53">
        <v>2023</v>
      </c>
      <c r="E1877" s="56">
        <v>0</v>
      </c>
      <c r="F1877" s="53">
        <f>IF(E1877&gt;0,1,0)</f>
        <v>0</v>
      </c>
      <c r="G1877" s="53">
        <f>SUM(F1876:F1877)</f>
        <v>0</v>
      </c>
      <c r="H1877" s="53">
        <f>IF(G1877=1,IF(F1876=1,1,-1),G1877)</f>
        <v>0</v>
      </c>
      <c r="I1877" s="53" t="str">
        <f>VLOOKUP(H1877,codes,2,)</f>
        <v>dd</v>
      </c>
      <c r="J1877" s="53"/>
    </row>
    <row r="1878" spans="1:10" x14ac:dyDescent="0.25">
      <c r="A1878" s="93">
        <v>44966</v>
      </c>
      <c r="B1878" s="35">
        <f>C1878+(D1878-2009)*12</f>
        <v>170</v>
      </c>
      <c r="C1878" s="76">
        <v>2</v>
      </c>
      <c r="D1878" s="53">
        <v>2023</v>
      </c>
      <c r="E1878" s="56">
        <v>0</v>
      </c>
      <c r="F1878" s="53">
        <f>IF(E1878&gt;0,1,0)</f>
        <v>0</v>
      </c>
      <c r="G1878" s="53">
        <f>SUM(F1877:F1878)</f>
        <v>0</v>
      </c>
      <c r="H1878" s="53">
        <f>IF(G1878=1,IF(F1877=1,1,-1),G1878)</f>
        <v>0</v>
      </c>
      <c r="I1878" s="53" t="str">
        <f>VLOOKUP(H1878,codes,2,)</f>
        <v>dd</v>
      </c>
      <c r="J1878" s="53"/>
    </row>
    <row r="1879" spans="1:10" x14ac:dyDescent="0.25">
      <c r="A1879" s="93">
        <v>44967</v>
      </c>
      <c r="B1879" s="35">
        <f>C1879+(D1879-2009)*12</f>
        <v>170</v>
      </c>
      <c r="C1879" s="76">
        <v>2</v>
      </c>
      <c r="D1879" s="53">
        <v>2023</v>
      </c>
      <c r="E1879" s="56">
        <v>0</v>
      </c>
      <c r="F1879" s="53">
        <f>IF(E1879&gt;0,1,0)</f>
        <v>0</v>
      </c>
      <c r="G1879" s="53">
        <f>SUM(F1878:F1879)</f>
        <v>0</v>
      </c>
      <c r="H1879" s="53">
        <f>IF(G1879=1,IF(F1878=1,1,-1),G1879)</f>
        <v>0</v>
      </c>
      <c r="I1879" s="53" t="str">
        <f>VLOOKUP(H1879,codes,2,)</f>
        <v>dd</v>
      </c>
      <c r="J1879" s="53"/>
    </row>
    <row r="1880" spans="1:10" x14ac:dyDescent="0.25">
      <c r="A1880" s="93">
        <v>44968</v>
      </c>
      <c r="B1880" s="35">
        <f>C1880+(D1880-2009)*12</f>
        <v>170</v>
      </c>
      <c r="C1880" s="76">
        <v>2</v>
      </c>
      <c r="D1880" s="53">
        <v>2023</v>
      </c>
      <c r="E1880" s="56">
        <v>0</v>
      </c>
      <c r="F1880" s="53">
        <f>IF(E1880&gt;0,1,0)</f>
        <v>0</v>
      </c>
      <c r="G1880" s="53">
        <f>SUM(F1879:F1880)</f>
        <v>0</v>
      </c>
      <c r="H1880" s="53">
        <f>IF(G1880=1,IF(F1879=1,1,-1),G1880)</f>
        <v>0</v>
      </c>
      <c r="I1880" s="53" t="str">
        <f>VLOOKUP(H1880,codes,2,)</f>
        <v>dd</v>
      </c>
      <c r="J1880" s="53"/>
    </row>
    <row r="1881" spans="1:10" x14ac:dyDescent="0.25">
      <c r="A1881" s="93">
        <v>44969</v>
      </c>
      <c r="B1881" s="35">
        <f>C1881+(D1881-2009)*12</f>
        <v>170</v>
      </c>
      <c r="C1881" s="76">
        <v>2</v>
      </c>
      <c r="D1881" s="53">
        <v>2023</v>
      </c>
      <c r="E1881" s="56">
        <v>0</v>
      </c>
      <c r="F1881" s="53">
        <f>IF(E1881&gt;0,1,0)</f>
        <v>0</v>
      </c>
      <c r="G1881" s="53">
        <f>SUM(F1880:F1881)</f>
        <v>0</v>
      </c>
      <c r="H1881" s="53">
        <f>IF(G1881=1,IF(F1880=1,1,-1),G1881)</f>
        <v>0</v>
      </c>
      <c r="I1881" s="53" t="str">
        <f>VLOOKUP(H1881,codes,2,)</f>
        <v>dd</v>
      </c>
      <c r="J1881" s="53"/>
    </row>
    <row r="1882" spans="1:10" x14ac:dyDescent="0.25">
      <c r="A1882" s="93">
        <v>44970</v>
      </c>
      <c r="B1882" s="35">
        <f>C1882+(D1882-2009)*12</f>
        <v>170</v>
      </c>
      <c r="C1882" s="76">
        <v>2</v>
      </c>
      <c r="D1882" s="53">
        <v>2023</v>
      </c>
      <c r="E1882" s="56">
        <v>0</v>
      </c>
      <c r="F1882" s="53">
        <f>IF(E1882&gt;0,1,0)</f>
        <v>0</v>
      </c>
      <c r="G1882" s="53">
        <f>SUM(F1881:F1882)</f>
        <v>0</v>
      </c>
      <c r="H1882" s="53">
        <f>IF(G1882=1,IF(F1881=1,1,-1),G1882)</f>
        <v>0</v>
      </c>
      <c r="I1882" s="53" t="str">
        <f>VLOOKUP(H1882,codes,2,)</f>
        <v>dd</v>
      </c>
      <c r="J1882" s="53"/>
    </row>
    <row r="1883" spans="1:10" x14ac:dyDescent="0.25">
      <c r="A1883" s="93">
        <v>44971</v>
      </c>
      <c r="B1883" s="35">
        <f>C1883+(D1883-2009)*12</f>
        <v>170</v>
      </c>
      <c r="C1883" s="76">
        <v>2</v>
      </c>
      <c r="D1883" s="53">
        <v>2023</v>
      </c>
      <c r="E1883" s="56">
        <v>0</v>
      </c>
      <c r="F1883" s="53">
        <f>IF(E1883&gt;0,1,0)</f>
        <v>0</v>
      </c>
      <c r="G1883" s="53">
        <f>SUM(F1882:F1883)</f>
        <v>0</v>
      </c>
      <c r="H1883" s="53">
        <f>IF(G1883=1,IF(F1882=1,1,-1),G1883)</f>
        <v>0</v>
      </c>
      <c r="I1883" s="53" t="str">
        <f>VLOOKUP(H1883,codes,2,)</f>
        <v>dd</v>
      </c>
      <c r="J1883" s="53"/>
    </row>
    <row r="1884" spans="1:10" x14ac:dyDescent="0.25">
      <c r="A1884" s="93">
        <v>44972</v>
      </c>
      <c r="B1884" s="35">
        <f>C1884+(D1884-2009)*12</f>
        <v>170</v>
      </c>
      <c r="C1884" s="76">
        <v>2</v>
      </c>
      <c r="D1884" s="53">
        <v>2023</v>
      </c>
      <c r="E1884" s="56">
        <v>6.6666666666666666E-2</v>
      </c>
      <c r="F1884" s="53">
        <f>IF(E1884&gt;0,1,0)</f>
        <v>1</v>
      </c>
      <c r="G1884" s="53">
        <f>SUM(F1883:F1884)</f>
        <v>1</v>
      </c>
      <c r="H1884" s="53">
        <f>IF(G1884=1,IF(F1883=1,1,-1),G1884)</f>
        <v>-1</v>
      </c>
      <c r="I1884" s="53" t="str">
        <f>VLOOKUP(H1884,codes,2,)</f>
        <v>dw</v>
      </c>
      <c r="J1884" s="53"/>
    </row>
    <row r="1885" spans="1:10" x14ac:dyDescent="0.25">
      <c r="A1885" s="93">
        <v>44973</v>
      </c>
      <c r="B1885" s="35">
        <f>C1885+(D1885-2009)*12</f>
        <v>170</v>
      </c>
      <c r="C1885" s="76">
        <v>2</v>
      </c>
      <c r="D1885" s="53">
        <v>2023</v>
      </c>
      <c r="E1885" s="56">
        <v>0.26666666666666666</v>
      </c>
      <c r="F1885" s="53">
        <f>IF(E1885&gt;0,1,0)</f>
        <v>1</v>
      </c>
      <c r="G1885" s="53">
        <f>SUM(F1884:F1885)</f>
        <v>2</v>
      </c>
      <c r="H1885" s="53">
        <f>IF(G1885=1,IF(F1884=1,1,-1),G1885)</f>
        <v>2</v>
      </c>
      <c r="I1885" s="53" t="str">
        <f>VLOOKUP(H1885,codes,2,)</f>
        <v>ww</v>
      </c>
      <c r="J1885" s="53"/>
    </row>
    <row r="1886" spans="1:10" x14ac:dyDescent="0.25">
      <c r="A1886" s="93">
        <v>44974</v>
      </c>
      <c r="B1886" s="35">
        <f>C1886+(D1886-2009)*12</f>
        <v>170</v>
      </c>
      <c r="C1886" s="76">
        <v>2</v>
      </c>
      <c r="D1886" s="53">
        <v>2023</v>
      </c>
      <c r="E1886" s="56">
        <v>1.0666666666666667</v>
      </c>
      <c r="F1886" s="53">
        <f>IF(E1886&gt;0,1,0)</f>
        <v>1</v>
      </c>
      <c r="G1886" s="53">
        <f>SUM(F1885:F1886)</f>
        <v>2</v>
      </c>
      <c r="H1886" s="53">
        <f>IF(G1886=1,IF(F1885=1,1,-1),G1886)</f>
        <v>2</v>
      </c>
      <c r="I1886" s="53" t="str">
        <f>VLOOKUP(H1886,codes,2,)</f>
        <v>ww</v>
      </c>
      <c r="J1886" s="53"/>
    </row>
    <row r="1887" spans="1:10" x14ac:dyDescent="0.25">
      <c r="A1887" s="93">
        <v>44975</v>
      </c>
      <c r="B1887" s="35">
        <f>C1887+(D1887-2009)*12</f>
        <v>170</v>
      </c>
      <c r="C1887" s="76">
        <v>2</v>
      </c>
      <c r="D1887" s="53">
        <v>2023</v>
      </c>
      <c r="E1887" s="56">
        <v>4.8666666666666663</v>
      </c>
      <c r="F1887" s="53">
        <f>IF(E1887&gt;0,1,0)</f>
        <v>1</v>
      </c>
      <c r="G1887" s="53">
        <f>SUM(F1886:F1887)</f>
        <v>2</v>
      </c>
      <c r="H1887" s="53">
        <f>IF(G1887=1,IF(F1886=1,1,-1),G1887)</f>
        <v>2</v>
      </c>
      <c r="I1887" s="53" t="str">
        <f>VLOOKUP(H1887,codes,2,)</f>
        <v>ww</v>
      </c>
      <c r="J1887" s="53"/>
    </row>
    <row r="1888" spans="1:10" x14ac:dyDescent="0.25">
      <c r="A1888" s="93">
        <v>44976</v>
      </c>
      <c r="B1888" s="35">
        <f>C1888+(D1888-2009)*12</f>
        <v>170</v>
      </c>
      <c r="C1888" s="76">
        <v>2</v>
      </c>
      <c r="D1888" s="53">
        <v>2023</v>
      </c>
      <c r="E1888" s="56">
        <v>5.9333333333333336</v>
      </c>
      <c r="F1888" s="53">
        <f>IF(E1888&gt;0,1,0)</f>
        <v>1</v>
      </c>
      <c r="G1888" s="53">
        <f>SUM(F1887:F1888)</f>
        <v>2</v>
      </c>
      <c r="H1888" s="53">
        <f>IF(G1888=1,IF(F1887=1,1,-1),G1888)</f>
        <v>2</v>
      </c>
      <c r="I1888" s="53" t="str">
        <f>VLOOKUP(H1888,codes,2,)</f>
        <v>ww</v>
      </c>
      <c r="J1888" s="53"/>
    </row>
    <row r="1889" spans="1:10" x14ac:dyDescent="0.25">
      <c r="A1889" s="93">
        <v>44977</v>
      </c>
      <c r="B1889" s="35">
        <f>C1889+(D1889-2009)*12</f>
        <v>170</v>
      </c>
      <c r="C1889" s="76">
        <v>2</v>
      </c>
      <c r="D1889" s="53">
        <v>2023</v>
      </c>
      <c r="E1889" s="56">
        <v>6.6666666666666666E-2</v>
      </c>
      <c r="F1889" s="53">
        <f>IF(E1889&gt;0,1,0)</f>
        <v>1</v>
      </c>
      <c r="G1889" s="53">
        <f>SUM(F1888:F1889)</f>
        <v>2</v>
      </c>
      <c r="H1889" s="53">
        <f>IF(G1889=1,IF(F1888=1,1,-1),G1889)</f>
        <v>2</v>
      </c>
      <c r="I1889" s="53" t="str">
        <f>VLOOKUP(H1889,codes,2,)</f>
        <v>ww</v>
      </c>
      <c r="J1889" s="53"/>
    </row>
    <row r="1890" spans="1:10" x14ac:dyDescent="0.25">
      <c r="A1890" s="93">
        <v>44978</v>
      </c>
      <c r="B1890" s="35">
        <f>C1890+(D1890-2009)*12</f>
        <v>170</v>
      </c>
      <c r="C1890" s="76">
        <v>2</v>
      </c>
      <c r="D1890" s="53">
        <v>2023</v>
      </c>
      <c r="E1890" s="56">
        <v>0</v>
      </c>
      <c r="F1890" s="53">
        <f>IF(E1890&gt;0,1,0)</f>
        <v>0</v>
      </c>
      <c r="G1890" s="53">
        <f>SUM(F1889:F1890)</f>
        <v>1</v>
      </c>
      <c r="H1890" s="53">
        <f>IF(G1890=1,IF(F1889=1,1,-1),G1890)</f>
        <v>1</v>
      </c>
      <c r="I1890" s="53" t="str">
        <f>VLOOKUP(H1890,codes,2,)</f>
        <v>wd</v>
      </c>
      <c r="J1890" s="53"/>
    </row>
    <row r="1891" spans="1:10" x14ac:dyDescent="0.25">
      <c r="A1891" s="93">
        <v>44979</v>
      </c>
      <c r="B1891" s="35">
        <f>C1891+(D1891-2009)*12</f>
        <v>170</v>
      </c>
      <c r="C1891" s="76">
        <v>2</v>
      </c>
      <c r="D1891" s="53">
        <v>2023</v>
      </c>
      <c r="E1891" s="56">
        <v>0</v>
      </c>
      <c r="F1891" s="53">
        <f>IF(E1891&gt;0,1,0)</f>
        <v>0</v>
      </c>
      <c r="G1891" s="53">
        <f>SUM(F1890:F1891)</f>
        <v>0</v>
      </c>
      <c r="H1891" s="53">
        <f>IF(G1891=1,IF(F1890=1,1,-1),G1891)</f>
        <v>0</v>
      </c>
      <c r="I1891" s="53" t="str">
        <f>VLOOKUP(H1891,codes,2,)</f>
        <v>dd</v>
      </c>
      <c r="J1891" s="53"/>
    </row>
    <row r="1892" spans="1:10" x14ac:dyDescent="0.25">
      <c r="A1892" s="93">
        <v>44980</v>
      </c>
      <c r="B1892" s="35">
        <f>C1892+(D1892-2009)*12</f>
        <v>170</v>
      </c>
      <c r="C1892" s="76">
        <v>2</v>
      </c>
      <c r="D1892" s="53">
        <v>2023</v>
      </c>
      <c r="E1892" s="56">
        <v>0.6</v>
      </c>
      <c r="F1892" s="53">
        <f>IF(E1892&gt;0,1,0)</f>
        <v>1</v>
      </c>
      <c r="G1892" s="53">
        <f>SUM(F1891:F1892)</f>
        <v>1</v>
      </c>
      <c r="H1892" s="53">
        <f>IF(G1892=1,IF(F1891=1,1,-1),G1892)</f>
        <v>-1</v>
      </c>
      <c r="I1892" s="53" t="str">
        <f>VLOOKUP(H1892,codes,2,)</f>
        <v>dw</v>
      </c>
      <c r="J1892" s="53"/>
    </row>
    <row r="1893" spans="1:10" x14ac:dyDescent="0.25">
      <c r="A1893" s="93">
        <v>44981</v>
      </c>
      <c r="B1893" s="35">
        <f>C1893+(D1893-2009)*12</f>
        <v>170</v>
      </c>
      <c r="C1893" s="76">
        <v>2</v>
      </c>
      <c r="D1893" s="53">
        <v>2023</v>
      </c>
      <c r="E1893" s="56">
        <v>0.73333333333333339</v>
      </c>
      <c r="F1893" s="53">
        <f>IF(E1893&gt;0,1,0)</f>
        <v>1</v>
      </c>
      <c r="G1893" s="53">
        <f>SUM(F1892:F1893)</f>
        <v>2</v>
      </c>
      <c r="H1893" s="53">
        <f>IF(G1893=1,IF(F1892=1,1,-1),G1893)</f>
        <v>2</v>
      </c>
      <c r="I1893" s="53" t="str">
        <f>VLOOKUP(H1893,codes,2,)</f>
        <v>ww</v>
      </c>
      <c r="J1893" s="53"/>
    </row>
    <row r="1894" spans="1:10" x14ac:dyDescent="0.25">
      <c r="A1894" s="93">
        <v>44982</v>
      </c>
      <c r="B1894" s="35">
        <f>C1894+(D1894-2009)*12</f>
        <v>170</v>
      </c>
      <c r="C1894" s="76">
        <v>2</v>
      </c>
      <c r="D1894" s="53">
        <v>2023</v>
      </c>
      <c r="E1894" s="56">
        <v>1.6666666666666667</v>
      </c>
      <c r="F1894" s="53">
        <f>IF(E1894&gt;0,1,0)</f>
        <v>1</v>
      </c>
      <c r="G1894" s="53">
        <f>SUM(F1893:F1894)</f>
        <v>2</v>
      </c>
      <c r="H1894" s="53">
        <f>IF(G1894=1,IF(F1893=1,1,-1),G1894)</f>
        <v>2</v>
      </c>
      <c r="I1894" s="53" t="str">
        <f>VLOOKUP(H1894,codes,2,)</f>
        <v>ww</v>
      </c>
      <c r="J1894" s="53"/>
    </row>
    <row r="1895" spans="1:10" x14ac:dyDescent="0.25">
      <c r="A1895" s="93">
        <v>44983</v>
      </c>
      <c r="B1895" s="35">
        <f>C1895+(D1895-2009)*12</f>
        <v>170</v>
      </c>
      <c r="C1895" s="76">
        <v>2</v>
      </c>
      <c r="D1895" s="53">
        <v>2023</v>
      </c>
      <c r="E1895" s="56">
        <v>0.6</v>
      </c>
      <c r="F1895" s="53">
        <f>IF(E1895&gt;0,1,0)</f>
        <v>1</v>
      </c>
      <c r="G1895" s="53">
        <f>SUM(F1894:F1895)</f>
        <v>2</v>
      </c>
      <c r="H1895" s="53">
        <f>IF(G1895=1,IF(F1894=1,1,-1),G1895)</f>
        <v>2</v>
      </c>
      <c r="I1895" s="53" t="str">
        <f>VLOOKUP(H1895,codes,2,)</f>
        <v>ww</v>
      </c>
      <c r="J1895" s="53"/>
    </row>
    <row r="1896" spans="1:10" x14ac:dyDescent="0.25">
      <c r="A1896" s="93">
        <v>44984</v>
      </c>
      <c r="B1896" s="35">
        <f>C1896+(D1896-2009)*12</f>
        <v>170</v>
      </c>
      <c r="C1896" s="76">
        <v>2</v>
      </c>
      <c r="D1896" s="53">
        <v>2023</v>
      </c>
      <c r="E1896" s="56">
        <v>0.20000000000000004</v>
      </c>
      <c r="F1896" s="53">
        <f>IF(E1896&gt;0,1,0)</f>
        <v>1</v>
      </c>
      <c r="G1896" s="53">
        <f>SUM(F1895:F1896)</f>
        <v>2</v>
      </c>
      <c r="H1896" s="53">
        <f>IF(G1896=1,IF(F1895=1,1,-1),G1896)</f>
        <v>2</v>
      </c>
      <c r="I1896" s="53" t="str">
        <f>VLOOKUP(H1896,codes,2,)</f>
        <v>ww</v>
      </c>
      <c r="J1896" s="53"/>
    </row>
    <row r="1897" spans="1:10" x14ac:dyDescent="0.25">
      <c r="A1897" s="93">
        <v>44985</v>
      </c>
      <c r="B1897" s="35">
        <f>C1897+(D1897-2009)*12</f>
        <v>170</v>
      </c>
      <c r="C1897" s="76">
        <v>2</v>
      </c>
      <c r="D1897" s="53">
        <v>2023</v>
      </c>
      <c r="E1897" s="56">
        <v>0.79999999999999993</v>
      </c>
      <c r="F1897" s="53">
        <f>IF(E1897&gt;0,1,0)</f>
        <v>1</v>
      </c>
      <c r="G1897" s="53">
        <f>SUM(F1896:F1897)</f>
        <v>2</v>
      </c>
      <c r="H1897" s="53">
        <f>IF(G1897=1,IF(F1896=1,1,-1),G1897)</f>
        <v>2</v>
      </c>
      <c r="I1897" s="53" t="str">
        <f>VLOOKUP(H1897,codes,2,)</f>
        <v>ww</v>
      </c>
      <c r="J1897" s="53"/>
    </row>
    <row r="1898" spans="1:10" x14ac:dyDescent="0.25">
      <c r="A1898" s="93">
        <v>45323</v>
      </c>
      <c r="B1898" s="35">
        <f>C1898+(D1898-2009)*12</f>
        <v>182</v>
      </c>
      <c r="C1898" s="76">
        <v>2</v>
      </c>
      <c r="D1898" s="53">
        <v>2024</v>
      </c>
      <c r="E1898" s="56">
        <v>0.46666666666666662</v>
      </c>
      <c r="F1898" s="53">
        <f>IF(E1898&gt;0,1,0)</f>
        <v>1</v>
      </c>
      <c r="G1898" s="53">
        <f>SUM(F1897:F1898)</f>
        <v>2</v>
      </c>
      <c r="H1898" s="53">
        <f>IF(G1898=1,IF(F1897=1,1,-1),G1898)</f>
        <v>2</v>
      </c>
      <c r="I1898" s="53" t="str">
        <f>VLOOKUP(H1898,codes,2,)</f>
        <v>ww</v>
      </c>
      <c r="J1898" s="53"/>
    </row>
    <row r="1899" spans="1:10" x14ac:dyDescent="0.25">
      <c r="A1899" s="93">
        <v>45324</v>
      </c>
      <c r="B1899" s="35">
        <f>C1899+(D1899-2009)*12</f>
        <v>182</v>
      </c>
      <c r="C1899" s="76">
        <v>2</v>
      </c>
      <c r="D1899" s="53">
        <v>2024</v>
      </c>
      <c r="E1899" s="56">
        <v>0</v>
      </c>
      <c r="F1899" s="53">
        <f>IF(E1899&gt;0,1,0)</f>
        <v>0</v>
      </c>
      <c r="G1899" s="53">
        <f>SUM(F1898:F1899)</f>
        <v>1</v>
      </c>
      <c r="H1899" s="53">
        <f>IF(G1899=1,IF(F1898=1,1,-1),G1899)</f>
        <v>1</v>
      </c>
      <c r="I1899" s="53" t="str">
        <f>VLOOKUP(H1899,codes,2,)</f>
        <v>wd</v>
      </c>
      <c r="J1899" s="53"/>
    </row>
    <row r="1900" spans="1:10" x14ac:dyDescent="0.25">
      <c r="A1900" s="93">
        <v>45325</v>
      </c>
      <c r="B1900" s="35">
        <f>C1900+(D1900-2009)*12</f>
        <v>182</v>
      </c>
      <c r="C1900" s="76">
        <v>2</v>
      </c>
      <c r="D1900" s="53">
        <v>2024</v>
      </c>
      <c r="E1900" s="56">
        <v>0</v>
      </c>
      <c r="F1900" s="53">
        <f>IF(E1900&gt;0,1,0)</f>
        <v>0</v>
      </c>
      <c r="G1900" s="53">
        <f>SUM(F1899:F1900)</f>
        <v>0</v>
      </c>
      <c r="H1900" s="53">
        <f>IF(G1900=1,IF(F1899=1,1,-1),G1900)</f>
        <v>0</v>
      </c>
      <c r="I1900" s="53" t="str">
        <f>VLOOKUP(H1900,codes,2,)</f>
        <v>dd</v>
      </c>
      <c r="J1900" s="53"/>
    </row>
    <row r="1901" spans="1:10" x14ac:dyDescent="0.25">
      <c r="A1901" s="93">
        <v>45326</v>
      </c>
      <c r="B1901" s="35">
        <f>C1901+(D1901-2009)*12</f>
        <v>182</v>
      </c>
      <c r="C1901" s="76">
        <v>2</v>
      </c>
      <c r="D1901" s="53">
        <v>2024</v>
      </c>
      <c r="E1901" s="56">
        <v>0</v>
      </c>
      <c r="F1901" s="53">
        <f>IF(E1901&gt;0,1,0)</f>
        <v>0</v>
      </c>
      <c r="G1901" s="53">
        <f>SUM(F1900:F1901)</f>
        <v>0</v>
      </c>
      <c r="H1901" s="53">
        <f>IF(G1901=1,IF(F1900=1,1,-1),G1901)</f>
        <v>0</v>
      </c>
      <c r="I1901" s="53" t="str">
        <f>VLOOKUP(H1901,codes,2,)</f>
        <v>dd</v>
      </c>
      <c r="J1901" s="53"/>
    </row>
    <row r="1902" spans="1:10" x14ac:dyDescent="0.25">
      <c r="A1902" s="93">
        <v>45327</v>
      </c>
      <c r="B1902" s="35">
        <f>C1902+(D1902-2009)*12</f>
        <v>182</v>
      </c>
      <c r="C1902" s="76">
        <v>2</v>
      </c>
      <c r="D1902" s="53">
        <v>2024</v>
      </c>
      <c r="E1902" s="56">
        <v>0.20000000000000004</v>
      </c>
      <c r="F1902" s="53">
        <f>IF(E1902&gt;0,1,0)</f>
        <v>1</v>
      </c>
      <c r="G1902" s="53">
        <f>SUM(F1901:F1902)</f>
        <v>1</v>
      </c>
      <c r="H1902" s="53">
        <f>IF(G1902=1,IF(F1901=1,1,-1),G1902)</f>
        <v>-1</v>
      </c>
      <c r="I1902" s="53" t="str">
        <f>VLOOKUP(H1902,codes,2,)</f>
        <v>dw</v>
      </c>
      <c r="J1902" s="53"/>
    </row>
    <row r="1903" spans="1:10" x14ac:dyDescent="0.25">
      <c r="A1903" s="93">
        <v>45328</v>
      </c>
      <c r="B1903" s="35">
        <f>C1903+(D1903-2009)*12</f>
        <v>182</v>
      </c>
      <c r="C1903" s="76">
        <v>2</v>
      </c>
      <c r="D1903" s="53">
        <v>2024</v>
      </c>
      <c r="E1903" s="56">
        <v>2.3333333333333335</v>
      </c>
      <c r="F1903" s="53">
        <f>IF(E1903&gt;0,1,0)</f>
        <v>1</v>
      </c>
      <c r="G1903" s="53">
        <f>SUM(F1902:F1903)</f>
        <v>2</v>
      </c>
      <c r="H1903" s="53">
        <f>IF(G1903=1,IF(F1902=1,1,-1),G1903)</f>
        <v>2</v>
      </c>
      <c r="I1903" s="53" t="str">
        <f>VLOOKUP(H1903,codes,2,)</f>
        <v>ww</v>
      </c>
      <c r="J1903" s="53"/>
    </row>
    <row r="1904" spans="1:10" x14ac:dyDescent="0.25">
      <c r="A1904" s="93">
        <v>45329</v>
      </c>
      <c r="B1904" s="35">
        <f>C1904+(D1904-2009)*12</f>
        <v>182</v>
      </c>
      <c r="C1904" s="76">
        <v>2</v>
      </c>
      <c r="D1904" s="53">
        <v>2024</v>
      </c>
      <c r="E1904" s="56">
        <v>0</v>
      </c>
      <c r="F1904" s="53">
        <f>IF(E1904&gt;0,1,0)</f>
        <v>0</v>
      </c>
      <c r="G1904" s="53">
        <f>SUM(F1903:F1904)</f>
        <v>1</v>
      </c>
      <c r="H1904" s="53">
        <f>IF(G1904=1,IF(F1903=1,1,-1),G1904)</f>
        <v>1</v>
      </c>
      <c r="I1904" s="53" t="str">
        <f>VLOOKUP(H1904,codes,2,)</f>
        <v>wd</v>
      </c>
      <c r="J1904" s="53"/>
    </row>
    <row r="1905" spans="1:10" x14ac:dyDescent="0.25">
      <c r="A1905" s="93">
        <v>45330</v>
      </c>
      <c r="B1905" s="35">
        <f>C1905+(D1905-2009)*12</f>
        <v>182</v>
      </c>
      <c r="C1905" s="76">
        <v>2</v>
      </c>
      <c r="D1905" s="53">
        <v>2024</v>
      </c>
      <c r="E1905" s="56">
        <v>0</v>
      </c>
      <c r="F1905" s="53">
        <f>IF(E1905&gt;0,1,0)</f>
        <v>0</v>
      </c>
      <c r="G1905" s="53">
        <f>SUM(F1904:F1905)</f>
        <v>0</v>
      </c>
      <c r="H1905" s="53">
        <f>IF(G1905=1,IF(F1904=1,1,-1),G1905)</f>
        <v>0</v>
      </c>
      <c r="I1905" s="53" t="str">
        <f>VLOOKUP(H1905,codes,2,)</f>
        <v>dd</v>
      </c>
      <c r="J1905" s="53"/>
    </row>
    <row r="1906" spans="1:10" x14ac:dyDescent="0.25">
      <c r="A1906" s="93">
        <v>45331</v>
      </c>
      <c r="B1906" s="35">
        <f>C1906+(D1906-2009)*12</f>
        <v>182</v>
      </c>
      <c r="C1906" s="76">
        <v>2</v>
      </c>
      <c r="D1906" s="53">
        <v>2024</v>
      </c>
      <c r="E1906" s="56">
        <v>17.066666666666666</v>
      </c>
      <c r="F1906" s="53">
        <f>IF(E1906&gt;0,1,0)</f>
        <v>1</v>
      </c>
      <c r="G1906" s="53">
        <f>SUM(F1905:F1906)</f>
        <v>1</v>
      </c>
      <c r="H1906" s="53">
        <f>IF(G1906=1,IF(F1905=1,1,-1),G1906)</f>
        <v>-1</v>
      </c>
      <c r="I1906" s="53" t="str">
        <f>VLOOKUP(H1906,codes,2,)</f>
        <v>dw</v>
      </c>
      <c r="J1906" s="53"/>
    </row>
    <row r="1907" spans="1:10" x14ac:dyDescent="0.25">
      <c r="A1907" s="93">
        <v>45332</v>
      </c>
      <c r="B1907" s="35">
        <f>C1907+(D1907-2009)*12</f>
        <v>182</v>
      </c>
      <c r="C1907" s="76">
        <v>2</v>
      </c>
      <c r="D1907" s="53">
        <v>2024</v>
      </c>
      <c r="E1907" s="56">
        <v>12.266666666666666</v>
      </c>
      <c r="F1907" s="53">
        <f>IF(E1907&gt;0,1,0)</f>
        <v>1</v>
      </c>
      <c r="G1907" s="53">
        <f>SUM(F1906:F1907)</f>
        <v>2</v>
      </c>
      <c r="H1907" s="53">
        <f>IF(G1907=1,IF(F1906=1,1,-1),G1907)</f>
        <v>2</v>
      </c>
      <c r="I1907" s="53" t="str">
        <f>VLOOKUP(H1907,codes,2,)</f>
        <v>ww</v>
      </c>
      <c r="J1907" s="53"/>
    </row>
    <row r="1908" spans="1:10" x14ac:dyDescent="0.25">
      <c r="A1908" s="93">
        <v>45333</v>
      </c>
      <c r="B1908" s="35">
        <f>C1908+(D1908-2009)*12</f>
        <v>182</v>
      </c>
      <c r="C1908" s="76">
        <v>2</v>
      </c>
      <c r="D1908" s="53">
        <v>2024</v>
      </c>
      <c r="E1908" s="56">
        <v>9.6</v>
      </c>
      <c r="F1908" s="53">
        <f>IF(E1908&gt;0,1,0)</f>
        <v>1</v>
      </c>
      <c r="G1908" s="53">
        <f>SUM(F1907:F1908)</f>
        <v>2</v>
      </c>
      <c r="H1908" s="53">
        <f>IF(G1908=1,IF(F1907=1,1,-1),G1908)</f>
        <v>2</v>
      </c>
      <c r="I1908" s="53" t="str">
        <f>VLOOKUP(H1908,codes,2,)</f>
        <v>ww</v>
      </c>
      <c r="J1908" s="53"/>
    </row>
    <row r="1909" spans="1:10" x14ac:dyDescent="0.25">
      <c r="A1909" s="93">
        <v>45334</v>
      </c>
      <c r="B1909" s="35">
        <f>C1909+(D1909-2009)*12</f>
        <v>182</v>
      </c>
      <c r="C1909" s="76">
        <v>2</v>
      </c>
      <c r="D1909" s="53">
        <v>2024</v>
      </c>
      <c r="E1909" s="56">
        <v>2.6</v>
      </c>
      <c r="F1909" s="53">
        <f>IF(E1909&gt;0,1,0)</f>
        <v>1</v>
      </c>
      <c r="G1909" s="53">
        <f>SUM(F1908:F1909)</f>
        <v>2</v>
      </c>
      <c r="H1909" s="53">
        <f>IF(G1909=1,IF(F1908=1,1,-1),G1909)</f>
        <v>2</v>
      </c>
      <c r="I1909" s="53" t="str">
        <f>VLOOKUP(H1909,codes,2,)</f>
        <v>ww</v>
      </c>
      <c r="J1909" s="53"/>
    </row>
    <row r="1910" spans="1:10" x14ac:dyDescent="0.25">
      <c r="A1910" s="93">
        <v>45335</v>
      </c>
      <c r="B1910" s="35">
        <f>C1910+(D1910-2009)*12</f>
        <v>182</v>
      </c>
      <c r="C1910" s="76">
        <v>2</v>
      </c>
      <c r="D1910" s="53">
        <v>2024</v>
      </c>
      <c r="E1910" s="56">
        <v>0</v>
      </c>
      <c r="F1910" s="53">
        <f>IF(E1910&gt;0,1,0)</f>
        <v>0</v>
      </c>
      <c r="G1910" s="53">
        <f>SUM(F1909:F1910)</f>
        <v>1</v>
      </c>
      <c r="H1910" s="53">
        <f>IF(G1910=1,IF(F1909=1,1,-1),G1910)</f>
        <v>1</v>
      </c>
      <c r="I1910" s="53" t="str">
        <f>VLOOKUP(H1910,codes,2,)</f>
        <v>wd</v>
      </c>
      <c r="J1910" s="53"/>
    </row>
    <row r="1911" spans="1:10" x14ac:dyDescent="0.25">
      <c r="A1911" s="93">
        <v>45336</v>
      </c>
      <c r="B1911" s="35">
        <f>C1911+(D1911-2009)*12</f>
        <v>182</v>
      </c>
      <c r="C1911" s="76">
        <v>2</v>
      </c>
      <c r="D1911" s="53">
        <v>2024</v>
      </c>
      <c r="E1911" s="56">
        <v>1.4000000000000001</v>
      </c>
      <c r="F1911" s="53">
        <f>IF(E1911&gt;0,1,0)</f>
        <v>1</v>
      </c>
      <c r="G1911" s="53">
        <f>SUM(F1910:F1911)</f>
        <v>1</v>
      </c>
      <c r="H1911" s="53">
        <f>IF(G1911=1,IF(F1910=1,1,-1),G1911)</f>
        <v>-1</v>
      </c>
      <c r="I1911" s="53" t="str">
        <f>VLOOKUP(H1911,codes,2,)</f>
        <v>dw</v>
      </c>
      <c r="J1911" s="53"/>
    </row>
    <row r="1912" spans="1:10" x14ac:dyDescent="0.25">
      <c r="A1912" s="93">
        <v>45337</v>
      </c>
      <c r="B1912" s="35">
        <f>C1912+(D1912-2009)*12</f>
        <v>182</v>
      </c>
      <c r="C1912" s="76">
        <v>2</v>
      </c>
      <c r="D1912" s="53">
        <v>2024</v>
      </c>
      <c r="E1912" s="56">
        <v>3.8666666666666667</v>
      </c>
      <c r="F1912" s="53">
        <f>IF(E1912&gt;0,1,0)</f>
        <v>1</v>
      </c>
      <c r="G1912" s="53">
        <f>SUM(F1911:F1912)</f>
        <v>2</v>
      </c>
      <c r="H1912" s="53">
        <f>IF(G1912=1,IF(F1911=1,1,-1),G1912)</f>
        <v>2</v>
      </c>
      <c r="I1912" s="53" t="str">
        <f>VLOOKUP(H1912,codes,2,)</f>
        <v>ww</v>
      </c>
      <c r="J1912" s="53"/>
    </row>
    <row r="1913" spans="1:10" x14ac:dyDescent="0.25">
      <c r="A1913" s="93">
        <v>45338</v>
      </c>
      <c r="B1913" s="35">
        <f>C1913+(D1913-2009)*12</f>
        <v>182</v>
      </c>
      <c r="C1913" s="76">
        <v>2</v>
      </c>
      <c r="D1913" s="53">
        <v>2024</v>
      </c>
      <c r="E1913" s="56">
        <v>0.26666666666666666</v>
      </c>
      <c r="F1913" s="53">
        <f>IF(E1913&gt;0,1,0)</f>
        <v>1</v>
      </c>
      <c r="G1913" s="53">
        <f>SUM(F1912:F1913)</f>
        <v>2</v>
      </c>
      <c r="H1913" s="53">
        <f>IF(G1913=1,IF(F1912=1,1,-1),G1913)</f>
        <v>2</v>
      </c>
      <c r="I1913" s="53" t="str">
        <f>VLOOKUP(H1913,codes,2,)</f>
        <v>ww</v>
      </c>
      <c r="J1913" s="53"/>
    </row>
    <row r="1914" spans="1:10" x14ac:dyDescent="0.25">
      <c r="A1914" s="93">
        <v>45339</v>
      </c>
      <c r="B1914" s="35">
        <f>C1914+(D1914-2009)*12</f>
        <v>182</v>
      </c>
      <c r="C1914" s="76">
        <v>2</v>
      </c>
      <c r="D1914" s="53">
        <v>2024</v>
      </c>
      <c r="E1914" s="56">
        <v>0</v>
      </c>
      <c r="F1914" s="53">
        <f>IF(E1914&gt;0,1,0)</f>
        <v>0</v>
      </c>
      <c r="G1914" s="53">
        <f>SUM(F1913:F1914)</f>
        <v>1</v>
      </c>
      <c r="H1914" s="53">
        <f>IF(G1914=1,IF(F1913=1,1,-1),G1914)</f>
        <v>1</v>
      </c>
      <c r="I1914" s="53" t="str">
        <f>VLOOKUP(H1914,codes,2,)</f>
        <v>wd</v>
      </c>
      <c r="J1914" s="53"/>
    </row>
    <row r="1915" spans="1:10" x14ac:dyDescent="0.25">
      <c r="A1915" s="93">
        <v>45340</v>
      </c>
      <c r="B1915" s="35">
        <f>C1915+(D1915-2009)*12</f>
        <v>182</v>
      </c>
      <c r="C1915" s="76">
        <v>2</v>
      </c>
      <c r="D1915" s="53">
        <v>2024</v>
      </c>
      <c r="E1915" s="56">
        <v>3.1999999999999997</v>
      </c>
      <c r="F1915" s="53">
        <f>IF(E1915&gt;0,1,0)</f>
        <v>1</v>
      </c>
      <c r="G1915" s="53">
        <f>SUM(F1914:F1915)</f>
        <v>1</v>
      </c>
      <c r="H1915" s="53">
        <f>IF(G1915=1,IF(F1914=1,1,-1),G1915)</f>
        <v>-1</v>
      </c>
      <c r="I1915" s="53" t="str">
        <f>VLOOKUP(H1915,codes,2,)</f>
        <v>dw</v>
      </c>
      <c r="J1915" s="53"/>
    </row>
    <row r="1916" spans="1:10" x14ac:dyDescent="0.25">
      <c r="A1916" s="93">
        <v>45341</v>
      </c>
      <c r="B1916" s="35">
        <f>C1916+(D1916-2009)*12</f>
        <v>182</v>
      </c>
      <c r="C1916" s="76">
        <v>2</v>
      </c>
      <c r="D1916" s="53">
        <v>2024</v>
      </c>
      <c r="E1916" s="56">
        <v>6.6666666666666666E-2</v>
      </c>
      <c r="F1916" s="53">
        <f>IF(E1916&gt;0,1,0)</f>
        <v>1</v>
      </c>
      <c r="G1916" s="53">
        <f>SUM(F1915:F1916)</f>
        <v>2</v>
      </c>
      <c r="H1916" s="53">
        <f>IF(G1916=1,IF(F1915=1,1,-1),G1916)</f>
        <v>2</v>
      </c>
      <c r="I1916" s="53" t="str">
        <f>VLOOKUP(H1916,codes,2,)</f>
        <v>ww</v>
      </c>
      <c r="J1916" s="53"/>
    </row>
    <row r="1917" spans="1:10" x14ac:dyDescent="0.25">
      <c r="A1917" s="93">
        <v>45342</v>
      </c>
      <c r="B1917" s="35">
        <f>C1917+(D1917-2009)*12</f>
        <v>182</v>
      </c>
      <c r="C1917" s="76">
        <v>2</v>
      </c>
      <c r="D1917" s="53">
        <v>2024</v>
      </c>
      <c r="E1917" s="56">
        <v>0</v>
      </c>
      <c r="F1917" s="53">
        <f>IF(E1917&gt;0,1,0)</f>
        <v>0</v>
      </c>
      <c r="G1917" s="53">
        <f>SUM(F1916:F1917)</f>
        <v>1</v>
      </c>
      <c r="H1917" s="53">
        <f>IF(G1917=1,IF(F1916=1,1,-1),G1917)</f>
        <v>1</v>
      </c>
      <c r="I1917" s="53" t="str">
        <f>VLOOKUP(H1917,codes,2,)</f>
        <v>wd</v>
      </c>
      <c r="J1917" s="53"/>
    </row>
    <row r="1918" spans="1:10" x14ac:dyDescent="0.25">
      <c r="A1918" s="93">
        <v>45343</v>
      </c>
      <c r="B1918" s="35">
        <f>C1918+(D1918-2009)*12</f>
        <v>182</v>
      </c>
      <c r="C1918" s="76">
        <v>2</v>
      </c>
      <c r="D1918" s="53">
        <v>2024</v>
      </c>
      <c r="E1918" s="56">
        <v>0.6</v>
      </c>
      <c r="F1918" s="53">
        <f>IF(E1918&gt;0,1,0)</f>
        <v>1</v>
      </c>
      <c r="G1918" s="53">
        <f>SUM(F1917:F1918)</f>
        <v>1</v>
      </c>
      <c r="H1918" s="53">
        <f>IF(G1918=1,IF(F1917=1,1,-1),G1918)</f>
        <v>-1</v>
      </c>
      <c r="I1918" s="53" t="str">
        <f>VLOOKUP(H1918,codes,2,)</f>
        <v>dw</v>
      </c>
      <c r="J1918" s="53"/>
    </row>
    <row r="1919" spans="1:10" x14ac:dyDescent="0.25">
      <c r="A1919" s="93">
        <v>45344</v>
      </c>
      <c r="B1919" s="35">
        <f>C1919+(D1919-2009)*12</f>
        <v>182</v>
      </c>
      <c r="C1919" s="76">
        <v>2</v>
      </c>
      <c r="D1919" s="53">
        <v>2024</v>
      </c>
      <c r="E1919" s="56">
        <v>1.2</v>
      </c>
      <c r="F1919" s="53">
        <f>IF(E1919&gt;0,1,0)</f>
        <v>1</v>
      </c>
      <c r="G1919" s="53">
        <f>SUM(F1918:F1919)</f>
        <v>2</v>
      </c>
      <c r="H1919" s="53">
        <f>IF(G1919=1,IF(F1918=1,1,-1),G1919)</f>
        <v>2</v>
      </c>
      <c r="I1919" s="53" t="str">
        <f>VLOOKUP(H1919,codes,2,)</f>
        <v>ww</v>
      </c>
      <c r="J1919" s="53"/>
    </row>
    <row r="1920" spans="1:10" x14ac:dyDescent="0.25">
      <c r="A1920" s="93">
        <v>45345</v>
      </c>
      <c r="B1920" s="35">
        <f>C1920+(D1920-2009)*12</f>
        <v>182</v>
      </c>
      <c r="C1920" s="76">
        <v>2</v>
      </c>
      <c r="D1920" s="53">
        <v>2024</v>
      </c>
      <c r="E1920" s="56">
        <v>0.26666666666666666</v>
      </c>
      <c r="F1920" s="53">
        <f>IF(E1920&gt;0,1,0)</f>
        <v>1</v>
      </c>
      <c r="G1920" s="53">
        <f>SUM(F1919:F1920)</f>
        <v>2</v>
      </c>
      <c r="H1920" s="53">
        <f>IF(G1920=1,IF(F1919=1,1,-1),G1920)</f>
        <v>2</v>
      </c>
      <c r="I1920" s="53" t="str">
        <f>VLOOKUP(H1920,codes,2,)</f>
        <v>ww</v>
      </c>
      <c r="J1920" s="53"/>
    </row>
    <row r="1921" spans="1:10" x14ac:dyDescent="0.25">
      <c r="A1921" s="93">
        <v>45346</v>
      </c>
      <c r="B1921" s="35">
        <f>C1921+(D1921-2009)*12</f>
        <v>182</v>
      </c>
      <c r="C1921" s="76">
        <v>2</v>
      </c>
      <c r="D1921" s="53">
        <v>2024</v>
      </c>
      <c r="E1921" s="56">
        <v>6.6666666666666666E-2</v>
      </c>
      <c r="F1921" s="53">
        <f>IF(E1921&gt;0,1,0)</f>
        <v>1</v>
      </c>
      <c r="G1921" s="53">
        <f>SUM(F1920:F1921)</f>
        <v>2</v>
      </c>
      <c r="H1921" s="53">
        <f>IF(G1921=1,IF(F1920=1,1,-1),G1921)</f>
        <v>2</v>
      </c>
      <c r="I1921" s="53" t="str">
        <f>VLOOKUP(H1921,codes,2,)</f>
        <v>ww</v>
      </c>
      <c r="J1921" s="53"/>
    </row>
    <row r="1922" spans="1:10" x14ac:dyDescent="0.25">
      <c r="A1922" s="93">
        <v>45347</v>
      </c>
      <c r="B1922" s="35">
        <f>C1922+(D1922-2009)*12</f>
        <v>182</v>
      </c>
      <c r="C1922" s="76">
        <v>2</v>
      </c>
      <c r="D1922" s="53">
        <v>2024</v>
      </c>
      <c r="E1922" s="56">
        <v>0</v>
      </c>
      <c r="F1922" s="53">
        <f>IF(E1922&gt;0,1,0)</f>
        <v>0</v>
      </c>
      <c r="G1922" s="53">
        <f>SUM(F1921:F1922)</f>
        <v>1</v>
      </c>
      <c r="H1922" s="53">
        <f>IF(G1922=1,IF(F1921=1,1,-1),G1922)</f>
        <v>1</v>
      </c>
      <c r="I1922" s="53" t="str">
        <f>VLOOKUP(H1922,codes,2,)</f>
        <v>wd</v>
      </c>
      <c r="J1922" s="53"/>
    </row>
    <row r="1923" spans="1:10" x14ac:dyDescent="0.25">
      <c r="A1923" s="93">
        <v>45348</v>
      </c>
      <c r="B1923" s="35">
        <f>C1923+(D1923-2009)*12</f>
        <v>182</v>
      </c>
      <c r="C1923" s="76">
        <v>2</v>
      </c>
      <c r="D1923" s="53">
        <v>2024</v>
      </c>
      <c r="E1923" s="56">
        <v>0.93333333333333324</v>
      </c>
      <c r="F1923" s="53">
        <f>IF(E1923&gt;0,1,0)</f>
        <v>1</v>
      </c>
      <c r="G1923" s="53">
        <f>SUM(F1922:F1923)</f>
        <v>1</v>
      </c>
      <c r="H1923" s="53">
        <f>IF(G1923=1,IF(F1922=1,1,-1),G1923)</f>
        <v>-1</v>
      </c>
      <c r="I1923" s="53" t="str">
        <f>VLOOKUP(H1923,codes,2,)</f>
        <v>dw</v>
      </c>
      <c r="J1923" s="53"/>
    </row>
    <row r="1924" spans="1:10" x14ac:dyDescent="0.25">
      <c r="A1924" s="93">
        <v>45349</v>
      </c>
      <c r="B1924" s="35">
        <f>C1924+(D1924-2009)*12</f>
        <v>182</v>
      </c>
      <c r="C1924" s="76">
        <v>2</v>
      </c>
      <c r="D1924" s="53">
        <v>2024</v>
      </c>
      <c r="E1924" s="56">
        <v>0.66666666666666663</v>
      </c>
      <c r="F1924" s="53">
        <f>IF(E1924&gt;0,1,0)</f>
        <v>1</v>
      </c>
      <c r="G1924" s="53">
        <f>SUM(F1923:F1924)</f>
        <v>2</v>
      </c>
      <c r="H1924" s="53">
        <f>IF(G1924=1,IF(F1923=1,1,-1),G1924)</f>
        <v>2</v>
      </c>
      <c r="I1924" s="53" t="str">
        <f>VLOOKUP(H1924,codes,2,)</f>
        <v>ww</v>
      </c>
      <c r="J1924" s="53"/>
    </row>
    <row r="1925" spans="1:10" x14ac:dyDescent="0.25">
      <c r="A1925" s="93">
        <v>45350</v>
      </c>
      <c r="B1925" s="35">
        <f>C1925+(D1925-2009)*12</f>
        <v>182</v>
      </c>
      <c r="C1925" s="76">
        <v>2</v>
      </c>
      <c r="D1925" s="53">
        <v>2024</v>
      </c>
      <c r="E1925" s="56">
        <v>0</v>
      </c>
      <c r="F1925" s="53">
        <f>IF(E1925&gt;0,1,0)</f>
        <v>0</v>
      </c>
      <c r="G1925" s="53">
        <f>SUM(F1924:F1925)</f>
        <v>1</v>
      </c>
      <c r="H1925" s="53">
        <f>IF(G1925=1,IF(F1924=1,1,-1),G1925)</f>
        <v>1</v>
      </c>
      <c r="I1925" s="53" t="str">
        <f>VLOOKUP(H1925,codes,2,)</f>
        <v>wd</v>
      </c>
      <c r="J1925" s="53"/>
    </row>
    <row r="1926" spans="1:10" x14ac:dyDescent="0.25">
      <c r="A1926" s="93">
        <v>45351</v>
      </c>
      <c r="B1926" s="35">
        <f>C1926+(D1926-2009)*12</f>
        <v>182</v>
      </c>
      <c r="C1926" s="76">
        <v>2</v>
      </c>
      <c r="D1926" s="53">
        <v>2024</v>
      </c>
      <c r="E1926" s="56">
        <v>0.46666666666666662</v>
      </c>
      <c r="F1926" s="53">
        <f>IF(E1926&gt;0,1,0)</f>
        <v>1</v>
      </c>
      <c r="G1926" s="53">
        <f>SUM(F1925:F1926)</f>
        <v>1</v>
      </c>
      <c r="H1926" s="53">
        <f>IF(G1926=1,IF(F1925=1,1,-1),G1926)</f>
        <v>-1</v>
      </c>
      <c r="I1926" s="53" t="str">
        <f>VLOOKUP(H1926,codes,2,)</f>
        <v>dw</v>
      </c>
      <c r="J1926" s="53"/>
    </row>
    <row r="1927" spans="1:10" x14ac:dyDescent="0.25">
      <c r="A1927" s="93"/>
      <c r="B1927" s="35"/>
      <c r="C1927" s="76"/>
      <c r="D1927" s="76"/>
      <c r="E1927" s="56"/>
      <c r="J1927" s="53"/>
    </row>
    <row r="1928" spans="1:10" x14ac:dyDescent="0.25">
      <c r="A1928" s="93"/>
      <c r="B1928" s="35"/>
      <c r="C1928" s="76"/>
      <c r="D1928" s="76"/>
      <c r="E1928" s="56"/>
      <c r="J1928" s="53"/>
    </row>
    <row r="1929" spans="1:10" x14ac:dyDescent="0.25">
      <c r="A1929" s="93"/>
      <c r="B1929" s="35"/>
      <c r="C1929" s="76"/>
      <c r="D1929" s="76"/>
      <c r="E1929" s="56"/>
      <c r="J1929" s="53"/>
    </row>
    <row r="1930" spans="1:10" x14ac:dyDescent="0.25">
      <c r="A1930" s="93"/>
      <c r="B1930" s="35"/>
      <c r="C1930" s="76"/>
      <c r="D1930" s="76"/>
      <c r="E1930" s="56"/>
      <c r="J1930" s="53"/>
    </row>
    <row r="1931" spans="1:10" x14ac:dyDescent="0.25">
      <c r="A1931" s="93"/>
      <c r="B1931" s="35"/>
      <c r="C1931" s="76"/>
      <c r="D1931" s="76"/>
      <c r="E1931" s="56"/>
      <c r="J1931" s="53"/>
    </row>
    <row r="1932" spans="1:10" x14ac:dyDescent="0.25">
      <c r="A1932" s="93"/>
      <c r="B1932" s="35"/>
      <c r="C1932" s="76"/>
      <c r="D1932" s="76"/>
      <c r="E1932" s="56"/>
      <c r="J1932" s="53"/>
    </row>
    <row r="1933" spans="1:10" x14ac:dyDescent="0.25">
      <c r="A1933" s="93"/>
      <c r="B1933" s="35"/>
      <c r="C1933" s="76"/>
      <c r="D1933" s="76"/>
      <c r="E1933" s="56"/>
      <c r="J1933" s="53"/>
    </row>
    <row r="1934" spans="1:10" x14ac:dyDescent="0.25">
      <c r="A1934" s="93"/>
      <c r="B1934" s="35"/>
      <c r="C1934" s="76"/>
      <c r="D1934" s="76"/>
      <c r="E1934" s="56"/>
      <c r="J1934" s="53"/>
    </row>
    <row r="1935" spans="1:10" x14ac:dyDescent="0.25">
      <c r="A1935" s="93"/>
      <c r="B1935" s="35"/>
      <c r="C1935" s="76"/>
      <c r="D1935" s="76"/>
      <c r="E1935" s="56"/>
      <c r="J1935" s="53"/>
    </row>
    <row r="1936" spans="1:10" x14ac:dyDescent="0.25">
      <c r="A1936" s="93"/>
      <c r="B1936" s="35"/>
      <c r="C1936" s="76"/>
      <c r="D1936" s="76"/>
      <c r="E1936" s="56"/>
      <c r="J1936" s="53"/>
    </row>
    <row r="1937" spans="1:10" x14ac:dyDescent="0.25">
      <c r="A1937" s="93"/>
      <c r="B1937" s="35"/>
      <c r="C1937" s="76"/>
      <c r="D1937" s="76"/>
      <c r="E1937" s="56"/>
      <c r="J1937" s="53"/>
    </row>
    <row r="1938" spans="1:10" x14ac:dyDescent="0.25">
      <c r="A1938" s="93"/>
      <c r="B1938" s="35"/>
      <c r="C1938" s="76"/>
      <c r="D1938" s="76"/>
      <c r="E1938" s="56"/>
      <c r="J1938" s="53"/>
    </row>
    <row r="1939" spans="1:10" x14ac:dyDescent="0.25">
      <c r="A1939" s="93"/>
      <c r="B1939" s="35"/>
      <c r="C1939" s="76"/>
      <c r="D1939" s="76"/>
      <c r="E1939" s="56"/>
      <c r="J1939" s="53"/>
    </row>
    <row r="1940" spans="1:10" x14ac:dyDescent="0.25">
      <c r="A1940" s="93"/>
      <c r="B1940" s="35"/>
      <c r="C1940" s="76"/>
      <c r="D1940" s="76"/>
      <c r="E1940" s="56"/>
      <c r="J1940" s="53"/>
    </row>
    <row r="1941" spans="1:10" x14ac:dyDescent="0.25">
      <c r="A1941" s="93"/>
      <c r="B1941" s="35"/>
      <c r="C1941" s="76"/>
      <c r="D1941" s="76"/>
      <c r="E1941" s="56"/>
      <c r="J1941" s="53"/>
    </row>
    <row r="1942" spans="1:10" x14ac:dyDescent="0.25">
      <c r="A1942" s="93"/>
      <c r="B1942" s="35"/>
      <c r="C1942" s="76"/>
      <c r="D1942" s="76"/>
      <c r="E1942" s="56"/>
      <c r="J1942" s="53"/>
    </row>
    <row r="1943" spans="1:10" x14ac:dyDescent="0.25">
      <c r="A1943" s="93"/>
      <c r="B1943" s="35"/>
      <c r="C1943" s="76"/>
      <c r="D1943" s="76"/>
      <c r="E1943" s="56"/>
      <c r="J1943" s="53"/>
    </row>
    <row r="1944" spans="1:10" x14ac:dyDescent="0.25">
      <c r="A1944" s="93"/>
      <c r="B1944" s="35"/>
      <c r="C1944" s="76"/>
      <c r="D1944" s="76"/>
      <c r="E1944" s="56"/>
      <c r="J1944" s="53"/>
    </row>
    <row r="1945" spans="1:10" x14ac:dyDescent="0.25">
      <c r="A1945" s="93"/>
      <c r="B1945" s="35"/>
      <c r="C1945" s="76"/>
      <c r="D1945" s="76"/>
      <c r="E1945" s="56"/>
      <c r="J1945" s="53"/>
    </row>
    <row r="1946" spans="1:10" x14ac:dyDescent="0.25">
      <c r="A1946" s="93"/>
      <c r="B1946" s="35"/>
      <c r="C1946" s="76"/>
      <c r="D1946" s="76"/>
      <c r="E1946" s="56"/>
      <c r="J1946" s="53"/>
    </row>
    <row r="1947" spans="1:10" x14ac:dyDescent="0.25">
      <c r="A1947" s="93"/>
      <c r="B1947" s="35"/>
      <c r="C1947" s="76"/>
      <c r="D1947" s="76"/>
      <c r="E1947" s="56"/>
      <c r="J1947" s="53"/>
    </row>
    <row r="1948" spans="1:10" x14ac:dyDescent="0.25">
      <c r="A1948" s="93"/>
      <c r="B1948" s="35"/>
      <c r="C1948" s="76"/>
      <c r="D1948" s="76"/>
      <c r="E1948" s="56"/>
      <c r="J1948" s="53"/>
    </row>
    <row r="1949" spans="1:10" x14ac:dyDescent="0.25">
      <c r="A1949" s="93"/>
      <c r="B1949" s="35"/>
      <c r="C1949" s="76"/>
      <c r="D1949" s="76"/>
      <c r="E1949" s="56"/>
      <c r="J1949" s="53"/>
    </row>
    <row r="1950" spans="1:10" x14ac:dyDescent="0.25">
      <c r="A1950" s="93"/>
      <c r="B1950" s="35"/>
      <c r="C1950" s="76"/>
      <c r="D1950" s="76"/>
      <c r="E1950" s="56"/>
      <c r="J1950" s="53"/>
    </row>
    <row r="1951" spans="1:10" x14ac:dyDescent="0.25">
      <c r="A1951" s="93"/>
      <c r="B1951" s="35"/>
      <c r="C1951" s="76"/>
      <c r="D1951" s="76"/>
      <c r="E1951" s="56"/>
      <c r="J1951" s="53"/>
    </row>
    <row r="1952" spans="1:10" x14ac:dyDescent="0.25">
      <c r="A1952" s="93"/>
      <c r="B1952" s="35"/>
      <c r="C1952" s="76"/>
      <c r="D1952" s="76"/>
      <c r="E1952" s="56"/>
      <c r="J1952" s="53"/>
    </row>
    <row r="1953" spans="1:10" x14ac:dyDescent="0.25">
      <c r="A1953" s="93"/>
      <c r="B1953" s="35"/>
      <c r="C1953" s="76"/>
      <c r="D1953" s="76"/>
      <c r="E1953" s="56"/>
      <c r="J1953" s="53"/>
    </row>
    <row r="1954" spans="1:10" x14ac:dyDescent="0.25">
      <c r="A1954" s="93"/>
      <c r="B1954" s="35"/>
      <c r="C1954" s="76"/>
      <c r="D1954" s="76"/>
      <c r="E1954" s="56"/>
      <c r="J1954" s="53"/>
    </row>
    <row r="1955" spans="1:10" x14ac:dyDescent="0.25">
      <c r="A1955" s="93"/>
      <c r="B1955" s="35"/>
      <c r="C1955" s="76"/>
      <c r="D1955" s="76"/>
      <c r="E1955" s="56"/>
      <c r="J1955" s="53"/>
    </row>
    <row r="1956" spans="1:10" x14ac:dyDescent="0.25">
      <c r="A1956" s="93"/>
      <c r="B1956" s="35"/>
      <c r="C1956" s="76"/>
      <c r="D1956" s="76"/>
      <c r="E1956" s="56"/>
      <c r="J1956" s="53"/>
    </row>
    <row r="1957" spans="1:10" x14ac:dyDescent="0.25">
      <c r="A1957" s="93"/>
      <c r="B1957" s="35"/>
      <c r="C1957" s="76"/>
      <c r="D1957" s="76"/>
      <c r="E1957" s="56"/>
      <c r="J1957" s="53"/>
    </row>
    <row r="1958" spans="1:10" x14ac:dyDescent="0.25">
      <c r="A1958" s="93"/>
      <c r="B1958" s="35"/>
      <c r="C1958" s="76"/>
      <c r="D1958" s="76"/>
      <c r="E1958" s="56"/>
      <c r="J1958" s="53"/>
    </row>
    <row r="1959" spans="1:10" x14ac:dyDescent="0.25">
      <c r="A1959" s="93"/>
      <c r="B1959" s="35"/>
      <c r="C1959" s="76"/>
      <c r="D1959" s="76"/>
      <c r="E1959" s="56"/>
      <c r="J1959" s="53"/>
    </row>
    <row r="1960" spans="1:10" x14ac:dyDescent="0.25">
      <c r="A1960" s="93"/>
      <c r="B1960" s="35"/>
      <c r="C1960" s="76"/>
      <c r="D1960" s="76"/>
      <c r="E1960" s="56"/>
      <c r="J1960" s="53"/>
    </row>
    <row r="1961" spans="1:10" x14ac:dyDescent="0.25">
      <c r="A1961" s="93"/>
      <c r="B1961" s="35"/>
      <c r="C1961" s="76"/>
      <c r="D1961" s="76"/>
      <c r="E1961" s="56"/>
      <c r="J1961" s="53"/>
    </row>
    <row r="1962" spans="1:10" x14ac:dyDescent="0.25">
      <c r="A1962" s="93"/>
      <c r="B1962" s="35"/>
      <c r="C1962" s="76"/>
      <c r="D1962" s="76"/>
      <c r="E1962" s="56"/>
      <c r="J1962" s="53"/>
    </row>
    <row r="1963" spans="1:10" x14ac:dyDescent="0.25">
      <c r="A1963" s="93"/>
      <c r="B1963" s="35"/>
      <c r="C1963" s="76"/>
      <c r="D1963" s="76"/>
      <c r="E1963" s="56"/>
      <c r="J1963" s="53"/>
    </row>
    <row r="1964" spans="1:10" x14ac:dyDescent="0.25">
      <c r="A1964" s="93"/>
      <c r="B1964" s="35"/>
      <c r="C1964" s="76"/>
      <c r="D1964" s="76"/>
      <c r="E1964" s="56"/>
      <c r="J1964" s="53"/>
    </row>
    <row r="1965" spans="1:10" x14ac:dyDescent="0.25">
      <c r="A1965" s="93"/>
      <c r="B1965" s="35"/>
      <c r="C1965" s="76"/>
      <c r="D1965" s="76"/>
      <c r="E1965" s="56"/>
      <c r="J1965" s="53"/>
    </row>
    <row r="1966" spans="1:10" x14ac:dyDescent="0.25">
      <c r="A1966" s="93"/>
      <c r="B1966" s="35"/>
      <c r="C1966" s="76"/>
      <c r="D1966" s="76"/>
      <c r="E1966" s="56"/>
      <c r="J1966" s="53"/>
    </row>
    <row r="1967" spans="1:10" x14ac:dyDescent="0.25">
      <c r="A1967" s="93"/>
      <c r="B1967" s="35"/>
      <c r="C1967" s="76"/>
      <c r="D1967" s="76"/>
      <c r="E1967" s="56"/>
      <c r="J1967" s="53"/>
    </row>
    <row r="1968" spans="1:10" x14ac:dyDescent="0.25">
      <c r="A1968" s="93"/>
      <c r="B1968" s="35"/>
      <c r="C1968" s="76"/>
      <c r="D1968" s="76"/>
      <c r="E1968" s="56"/>
      <c r="J1968" s="53"/>
    </row>
    <row r="1969" spans="1:10" x14ac:dyDescent="0.25">
      <c r="A1969" s="93"/>
      <c r="B1969" s="35"/>
      <c r="C1969" s="76"/>
      <c r="D1969" s="76"/>
      <c r="E1969" s="56"/>
      <c r="J1969" s="53"/>
    </row>
    <row r="1970" spans="1:10" x14ac:dyDescent="0.25">
      <c r="A1970" s="93"/>
      <c r="B1970" s="35"/>
      <c r="C1970" s="76"/>
      <c r="D1970" s="76"/>
      <c r="E1970" s="56"/>
      <c r="J1970" s="53"/>
    </row>
    <row r="1971" spans="1:10" x14ac:dyDescent="0.25">
      <c r="A1971" s="93"/>
      <c r="B1971" s="35"/>
      <c r="C1971" s="76"/>
      <c r="D1971" s="76"/>
      <c r="E1971" s="56"/>
      <c r="J1971" s="53"/>
    </row>
    <row r="1972" spans="1:10" x14ac:dyDescent="0.25">
      <c r="A1972" s="93"/>
      <c r="B1972" s="35"/>
      <c r="C1972" s="76"/>
      <c r="D1972" s="76"/>
      <c r="E1972" s="56"/>
      <c r="J1972" s="53"/>
    </row>
    <row r="1973" spans="1:10" x14ac:dyDescent="0.25">
      <c r="A1973" s="93"/>
      <c r="B1973" s="35"/>
      <c r="C1973" s="76"/>
      <c r="D1973" s="76"/>
      <c r="E1973" s="56"/>
      <c r="J1973" s="53"/>
    </row>
    <row r="1974" spans="1:10" x14ac:dyDescent="0.25">
      <c r="A1974" s="93"/>
      <c r="B1974" s="35"/>
      <c r="C1974" s="76"/>
      <c r="D1974" s="76"/>
      <c r="E1974" s="56"/>
      <c r="J1974" s="53"/>
    </row>
    <row r="1975" spans="1:10" x14ac:dyDescent="0.25">
      <c r="A1975" s="93"/>
      <c r="B1975" s="35"/>
      <c r="C1975" s="76"/>
      <c r="D1975" s="76"/>
      <c r="E1975" s="56"/>
      <c r="J1975" s="53"/>
    </row>
    <row r="1976" spans="1:10" x14ac:dyDescent="0.25">
      <c r="A1976" s="93"/>
      <c r="B1976" s="35"/>
      <c r="C1976" s="76"/>
      <c r="D1976" s="76"/>
      <c r="E1976" s="56"/>
      <c r="J1976" s="53"/>
    </row>
    <row r="1977" spans="1:10" x14ac:dyDescent="0.25">
      <c r="A1977" s="93"/>
      <c r="B1977" s="35"/>
      <c r="C1977" s="76"/>
      <c r="D1977" s="76"/>
      <c r="E1977" s="56"/>
      <c r="J1977" s="53"/>
    </row>
    <row r="1978" spans="1:10" x14ac:dyDescent="0.25">
      <c r="A1978" s="93"/>
      <c r="B1978" s="35"/>
      <c r="C1978" s="76"/>
      <c r="D1978" s="76"/>
      <c r="E1978" s="56"/>
      <c r="J1978" s="53"/>
    </row>
    <row r="1979" spans="1:10" x14ac:dyDescent="0.25">
      <c r="A1979" s="93"/>
      <c r="B1979" s="35"/>
      <c r="C1979" s="76"/>
      <c r="D1979" s="76"/>
      <c r="E1979" s="56"/>
      <c r="J1979" s="53"/>
    </row>
    <row r="1980" spans="1:10" x14ac:dyDescent="0.25">
      <c r="A1980" s="93"/>
      <c r="B1980" s="35"/>
      <c r="C1980" s="76"/>
      <c r="D1980" s="76"/>
      <c r="E1980" s="56"/>
      <c r="J1980" s="53"/>
    </row>
    <row r="1981" spans="1:10" x14ac:dyDescent="0.25">
      <c r="A1981" s="93"/>
      <c r="B1981" s="35"/>
      <c r="C1981" s="76"/>
      <c r="D1981" s="76"/>
      <c r="E1981" s="56"/>
      <c r="J1981" s="53"/>
    </row>
    <row r="1982" spans="1:10" x14ac:dyDescent="0.25">
      <c r="A1982" s="93"/>
      <c r="B1982" s="35"/>
      <c r="C1982" s="76"/>
      <c r="D1982" s="76"/>
      <c r="E1982" s="56"/>
      <c r="J1982" s="53"/>
    </row>
    <row r="1983" spans="1:10" x14ac:dyDescent="0.25">
      <c r="A1983" s="93"/>
      <c r="B1983" s="35"/>
      <c r="C1983" s="76"/>
      <c r="D1983" s="76"/>
      <c r="E1983" s="56"/>
      <c r="J1983" s="53"/>
    </row>
    <row r="1984" spans="1:10" x14ac:dyDescent="0.25">
      <c r="A1984" s="93"/>
      <c r="B1984" s="35"/>
      <c r="C1984" s="76"/>
      <c r="D1984" s="76"/>
      <c r="E1984" s="56"/>
      <c r="J1984" s="53"/>
    </row>
    <row r="1985" spans="1:10" x14ac:dyDescent="0.25">
      <c r="A1985" s="93"/>
      <c r="B1985" s="35"/>
      <c r="C1985" s="76"/>
      <c r="D1985" s="76"/>
      <c r="E1985" s="56"/>
      <c r="J1985" s="53"/>
    </row>
    <row r="1986" spans="1:10" x14ac:dyDescent="0.25">
      <c r="A1986" s="93"/>
      <c r="B1986" s="35"/>
      <c r="C1986" s="76"/>
      <c r="D1986" s="76"/>
      <c r="E1986" s="56"/>
      <c r="J1986" s="53"/>
    </row>
    <row r="1987" spans="1:10" x14ac:dyDescent="0.25">
      <c r="A1987" s="93"/>
      <c r="B1987" s="35"/>
      <c r="C1987" s="76"/>
      <c r="D1987" s="76"/>
      <c r="E1987" s="56"/>
      <c r="J1987" s="53"/>
    </row>
    <row r="1988" spans="1:10" x14ac:dyDescent="0.25">
      <c r="A1988" s="93"/>
      <c r="B1988" s="35"/>
      <c r="C1988" s="76"/>
      <c r="D1988" s="76"/>
      <c r="E1988" s="56"/>
      <c r="J1988" s="53"/>
    </row>
    <row r="1989" spans="1:10" x14ac:dyDescent="0.25">
      <c r="A1989" s="93"/>
      <c r="B1989" s="35"/>
      <c r="C1989" s="76"/>
      <c r="D1989" s="76"/>
      <c r="E1989" s="56"/>
      <c r="J1989" s="53"/>
    </row>
    <row r="1990" spans="1:10" x14ac:dyDescent="0.25">
      <c r="A1990" s="93"/>
      <c r="B1990" s="35"/>
      <c r="C1990" s="76"/>
      <c r="D1990" s="76"/>
      <c r="E1990" s="56"/>
      <c r="J1990" s="53"/>
    </row>
    <row r="1991" spans="1:10" x14ac:dyDescent="0.25">
      <c r="A1991" s="93"/>
      <c r="B1991" s="35"/>
      <c r="C1991" s="76"/>
      <c r="D1991" s="76"/>
      <c r="E1991" s="56"/>
      <c r="J1991" s="53"/>
    </row>
    <row r="1992" spans="1:10" x14ac:dyDescent="0.25">
      <c r="A1992" s="93"/>
      <c r="B1992" s="35"/>
      <c r="C1992" s="76"/>
      <c r="D1992" s="76"/>
      <c r="E1992" s="56"/>
      <c r="J1992" s="53"/>
    </row>
    <row r="1993" spans="1:10" x14ac:dyDescent="0.25">
      <c r="A1993" s="93"/>
      <c r="B1993" s="35"/>
      <c r="C1993" s="76"/>
      <c r="D1993" s="76"/>
      <c r="E1993" s="56"/>
      <c r="J1993" s="53"/>
    </row>
    <row r="1994" spans="1:10" x14ac:dyDescent="0.25">
      <c r="A1994" s="93"/>
      <c r="B1994" s="35"/>
      <c r="C1994" s="76"/>
      <c r="D1994" s="76"/>
      <c r="E1994" s="56"/>
      <c r="J1994" s="53"/>
    </row>
    <row r="1995" spans="1:10" x14ac:dyDescent="0.25">
      <c r="A1995" s="93"/>
      <c r="B1995" s="35"/>
      <c r="C1995" s="76"/>
      <c r="D1995" s="76"/>
      <c r="E1995" s="56"/>
      <c r="J1995" s="53"/>
    </row>
    <row r="1996" spans="1:10" x14ac:dyDescent="0.25">
      <c r="A1996" s="93"/>
      <c r="B1996" s="35"/>
      <c r="C1996" s="76"/>
      <c r="D1996" s="76"/>
      <c r="E1996" s="56"/>
      <c r="J1996" s="53"/>
    </row>
    <row r="1997" spans="1:10" x14ac:dyDescent="0.25">
      <c r="A1997" s="93"/>
      <c r="B1997" s="35"/>
      <c r="C1997" s="76"/>
      <c r="D1997" s="76"/>
      <c r="E1997" s="56"/>
      <c r="J1997" s="53"/>
    </row>
    <row r="1998" spans="1:10" x14ac:dyDescent="0.25">
      <c r="A1998" s="93"/>
      <c r="B1998" s="35"/>
      <c r="C1998" s="76"/>
      <c r="D1998" s="76"/>
      <c r="E1998" s="56"/>
      <c r="J1998" s="53"/>
    </row>
    <row r="1999" spans="1:10" x14ac:dyDescent="0.25">
      <c r="A1999" s="93"/>
      <c r="B1999" s="35"/>
      <c r="C1999" s="76"/>
      <c r="D1999" s="76"/>
      <c r="E1999" s="56"/>
      <c r="J1999" s="53"/>
    </row>
    <row r="2000" spans="1:10" x14ac:dyDescent="0.25">
      <c r="A2000" s="93"/>
      <c r="B2000" s="35"/>
      <c r="C2000" s="76"/>
      <c r="D2000" s="76"/>
      <c r="E2000" s="56"/>
      <c r="J2000" s="53"/>
    </row>
    <row r="2001" spans="1:10" x14ac:dyDescent="0.25">
      <c r="A2001" s="93"/>
      <c r="B2001" s="35"/>
      <c r="C2001" s="76"/>
      <c r="D2001" s="76"/>
      <c r="E2001" s="56"/>
      <c r="J2001" s="53"/>
    </row>
    <row r="2002" spans="1:10" x14ac:dyDescent="0.25">
      <c r="A2002" s="93"/>
      <c r="B2002" s="35"/>
      <c r="C2002" s="76"/>
      <c r="D2002" s="76"/>
      <c r="E2002" s="56"/>
      <c r="J2002" s="53"/>
    </row>
    <row r="2003" spans="1:10" x14ac:dyDescent="0.25">
      <c r="A2003" s="93"/>
      <c r="B2003" s="35"/>
      <c r="C2003" s="76"/>
      <c r="D2003" s="76"/>
      <c r="E2003" s="56"/>
      <c r="J2003" s="53"/>
    </row>
    <row r="2004" spans="1:10" x14ac:dyDescent="0.25">
      <c r="A2004" s="93"/>
      <c r="B2004" s="35"/>
      <c r="C2004" s="76"/>
      <c r="D2004" s="76"/>
      <c r="E2004" s="56"/>
      <c r="J2004" s="53"/>
    </row>
    <row r="2005" spans="1:10" x14ac:dyDescent="0.25">
      <c r="A2005" s="93"/>
      <c r="B2005" s="35"/>
      <c r="C2005" s="76"/>
      <c r="D2005" s="76"/>
      <c r="E2005" s="56"/>
      <c r="J2005" s="53"/>
    </row>
    <row r="2006" spans="1:10" x14ac:dyDescent="0.25">
      <c r="A2006" s="93"/>
      <c r="B2006" s="35"/>
      <c r="C2006" s="76"/>
      <c r="D2006" s="76"/>
      <c r="E2006" s="56"/>
      <c r="J2006" s="53"/>
    </row>
    <row r="2007" spans="1:10" x14ac:dyDescent="0.25">
      <c r="A2007" s="93"/>
      <c r="B2007" s="35"/>
      <c r="C2007" s="76"/>
      <c r="D2007" s="76"/>
      <c r="E2007" s="56"/>
      <c r="J2007" s="53"/>
    </row>
    <row r="2008" spans="1:10" x14ac:dyDescent="0.25">
      <c r="A2008" s="93"/>
      <c r="B2008" s="35"/>
      <c r="C2008" s="76"/>
      <c r="D2008" s="76"/>
      <c r="E2008" s="56"/>
      <c r="J2008" s="53"/>
    </row>
    <row r="2009" spans="1:10" x14ac:dyDescent="0.25">
      <c r="A2009" s="93"/>
      <c r="B2009" s="35"/>
      <c r="C2009" s="76"/>
      <c r="D2009" s="76"/>
      <c r="E2009" s="56"/>
      <c r="J2009" s="53"/>
    </row>
    <row r="2010" spans="1:10" x14ac:dyDescent="0.25">
      <c r="A2010" s="93"/>
      <c r="B2010" s="35"/>
      <c r="C2010" s="76"/>
      <c r="D2010" s="76"/>
      <c r="E2010" s="56"/>
      <c r="J2010" s="53"/>
    </row>
    <row r="2011" spans="1:10" x14ac:dyDescent="0.25">
      <c r="A2011" s="93"/>
      <c r="B2011" s="35"/>
      <c r="C2011" s="76"/>
      <c r="D2011" s="76"/>
      <c r="E2011" s="56"/>
      <c r="J2011" s="53"/>
    </row>
    <row r="2012" spans="1:10" x14ac:dyDescent="0.25">
      <c r="A2012" s="93"/>
      <c r="B2012" s="35"/>
      <c r="C2012" s="76"/>
      <c r="D2012" s="76"/>
      <c r="E2012" s="56"/>
      <c r="J2012" s="53"/>
    </row>
    <row r="2013" spans="1:10" x14ac:dyDescent="0.25">
      <c r="A2013" s="93"/>
      <c r="B2013" s="35"/>
      <c r="C2013" s="76"/>
      <c r="D2013" s="76"/>
      <c r="E2013" s="56"/>
      <c r="J2013" s="53"/>
    </row>
    <row r="2014" spans="1:10" x14ac:dyDescent="0.25">
      <c r="A2014" s="93"/>
      <c r="B2014" s="35"/>
      <c r="C2014" s="76"/>
      <c r="D2014" s="76"/>
      <c r="E2014" s="56"/>
      <c r="J2014" s="53"/>
    </row>
    <row r="2015" spans="1:10" x14ac:dyDescent="0.25">
      <c r="A2015" s="93"/>
      <c r="B2015" s="35"/>
      <c r="C2015" s="76"/>
      <c r="D2015" s="76"/>
      <c r="E2015" s="56"/>
      <c r="J2015" s="53"/>
    </row>
    <row r="2016" spans="1:10" x14ac:dyDescent="0.25">
      <c r="A2016" s="93"/>
      <c r="B2016" s="35"/>
      <c r="C2016" s="76"/>
      <c r="D2016" s="76"/>
      <c r="E2016" s="56"/>
      <c r="J2016" s="53"/>
    </row>
    <row r="2017" spans="1:10" x14ac:dyDescent="0.25">
      <c r="A2017" s="93"/>
      <c r="B2017" s="35"/>
      <c r="C2017" s="76"/>
      <c r="D2017" s="76"/>
      <c r="E2017" s="56"/>
      <c r="J2017" s="53"/>
    </row>
    <row r="2018" spans="1:10" x14ac:dyDescent="0.25">
      <c r="A2018" s="93"/>
      <c r="B2018" s="35"/>
      <c r="C2018" s="76"/>
      <c r="D2018" s="76"/>
      <c r="E2018" s="56"/>
      <c r="J2018" s="53"/>
    </row>
    <row r="2019" spans="1:10" x14ac:dyDescent="0.25">
      <c r="A2019" s="93"/>
      <c r="B2019" s="35"/>
      <c r="C2019" s="76"/>
      <c r="D2019" s="76"/>
      <c r="E2019" s="56"/>
      <c r="J2019" s="53"/>
    </row>
    <row r="2020" spans="1:10" x14ac:dyDescent="0.25">
      <c r="A2020" s="93"/>
      <c r="B2020" s="35"/>
      <c r="C2020" s="76"/>
      <c r="D2020" s="76"/>
      <c r="E2020" s="56"/>
      <c r="J2020" s="53"/>
    </row>
    <row r="2021" spans="1:10" x14ac:dyDescent="0.25">
      <c r="A2021" s="93"/>
      <c r="B2021" s="35"/>
      <c r="C2021" s="76"/>
      <c r="D2021" s="76"/>
      <c r="E2021" s="56"/>
      <c r="J2021" s="53"/>
    </row>
    <row r="2022" spans="1:10" x14ac:dyDescent="0.25">
      <c r="A2022" s="93"/>
      <c r="B2022" s="35"/>
      <c r="C2022" s="76"/>
      <c r="D2022" s="76"/>
      <c r="E2022" s="56"/>
      <c r="J2022" s="53"/>
    </row>
    <row r="2023" spans="1:10" x14ac:dyDescent="0.25">
      <c r="A2023" s="93"/>
      <c r="B2023" s="35"/>
      <c r="C2023" s="76"/>
      <c r="D2023" s="76"/>
      <c r="E2023" s="56"/>
      <c r="J2023" s="53"/>
    </row>
    <row r="2024" spans="1:10" x14ac:dyDescent="0.25">
      <c r="A2024" s="93"/>
      <c r="B2024" s="35"/>
      <c r="C2024" s="76"/>
      <c r="D2024" s="76"/>
      <c r="E2024" s="56"/>
      <c r="J2024" s="53"/>
    </row>
    <row r="2025" spans="1:10" x14ac:dyDescent="0.25">
      <c r="A2025" s="93"/>
      <c r="B2025" s="35"/>
      <c r="C2025" s="76"/>
      <c r="D2025" s="76"/>
      <c r="E2025" s="56"/>
      <c r="J2025" s="53"/>
    </row>
    <row r="2026" spans="1:10" x14ac:dyDescent="0.25">
      <c r="A2026" s="93"/>
      <c r="B2026" s="35"/>
      <c r="C2026" s="76"/>
      <c r="D2026" s="76"/>
      <c r="E2026" s="56"/>
      <c r="J2026" s="53"/>
    </row>
    <row r="2027" spans="1:10" x14ac:dyDescent="0.25">
      <c r="A2027" s="93"/>
      <c r="B2027" s="35"/>
      <c r="C2027" s="76"/>
      <c r="D2027" s="76"/>
      <c r="E2027" s="56"/>
      <c r="J2027" s="53"/>
    </row>
    <row r="2028" spans="1:10" x14ac:dyDescent="0.25">
      <c r="A2028" s="93"/>
      <c r="B2028" s="35"/>
      <c r="C2028" s="76"/>
      <c r="D2028" s="76"/>
      <c r="E2028" s="56"/>
      <c r="J2028" s="53"/>
    </row>
    <row r="2029" spans="1:10" x14ac:dyDescent="0.25">
      <c r="A2029" s="93"/>
      <c r="B2029" s="35"/>
      <c r="C2029" s="76"/>
      <c r="D2029" s="76"/>
      <c r="E2029" s="56"/>
      <c r="J2029" s="53"/>
    </row>
    <row r="2030" spans="1:10" x14ac:dyDescent="0.25">
      <c r="A2030" s="93"/>
      <c r="B2030" s="35"/>
      <c r="C2030" s="76"/>
      <c r="D2030" s="76"/>
      <c r="E2030" s="56"/>
      <c r="J2030" s="53"/>
    </row>
    <row r="2031" spans="1:10" x14ac:dyDescent="0.25">
      <c r="A2031" s="93"/>
      <c r="B2031" s="35"/>
      <c r="C2031" s="76"/>
      <c r="D2031" s="76"/>
      <c r="E2031" s="56"/>
      <c r="J2031" s="53"/>
    </row>
    <row r="2032" spans="1:10" x14ac:dyDescent="0.25">
      <c r="A2032" s="93"/>
      <c r="B2032" s="35"/>
      <c r="C2032" s="76"/>
      <c r="D2032" s="76"/>
      <c r="E2032" s="56"/>
      <c r="J2032" s="53"/>
    </row>
    <row r="2033" spans="1:10" x14ac:dyDescent="0.25">
      <c r="A2033" s="93"/>
      <c r="B2033" s="35"/>
      <c r="C2033" s="76"/>
      <c r="D2033" s="76"/>
      <c r="E2033" s="56"/>
      <c r="J2033" s="53"/>
    </row>
    <row r="2034" spans="1:10" x14ac:dyDescent="0.25">
      <c r="A2034" s="93"/>
      <c r="B2034" s="35"/>
      <c r="C2034" s="76"/>
      <c r="D2034" s="76"/>
      <c r="E2034" s="56"/>
      <c r="J2034" s="53"/>
    </row>
    <row r="2035" spans="1:10" x14ac:dyDescent="0.25">
      <c r="A2035" s="93"/>
      <c r="B2035" s="35"/>
      <c r="C2035" s="76"/>
      <c r="D2035" s="76"/>
      <c r="E2035" s="56"/>
      <c r="J2035" s="53"/>
    </row>
    <row r="2036" spans="1:10" x14ac:dyDescent="0.25">
      <c r="A2036" s="93"/>
      <c r="B2036" s="35"/>
      <c r="C2036" s="76"/>
      <c r="D2036" s="76"/>
      <c r="E2036" s="56"/>
      <c r="J2036" s="53"/>
    </row>
    <row r="2037" spans="1:10" x14ac:dyDescent="0.25">
      <c r="A2037" s="93"/>
      <c r="B2037" s="35"/>
      <c r="C2037" s="76"/>
      <c r="D2037" s="76"/>
      <c r="E2037" s="56"/>
      <c r="J2037" s="53"/>
    </row>
    <row r="2038" spans="1:10" x14ac:dyDescent="0.25">
      <c r="A2038" s="93"/>
      <c r="B2038" s="35"/>
      <c r="C2038" s="76"/>
      <c r="D2038" s="76"/>
      <c r="E2038" s="56"/>
      <c r="J2038" s="53"/>
    </row>
    <row r="2039" spans="1:10" x14ac:dyDescent="0.25">
      <c r="A2039" s="93"/>
      <c r="B2039" s="35"/>
      <c r="C2039" s="76"/>
      <c r="D2039" s="76"/>
      <c r="E2039" s="56"/>
      <c r="J2039" s="53"/>
    </row>
    <row r="2040" spans="1:10" x14ac:dyDescent="0.25">
      <c r="A2040" s="93"/>
      <c r="B2040" s="35"/>
      <c r="C2040" s="76"/>
      <c r="D2040" s="76"/>
      <c r="E2040" s="56"/>
      <c r="J2040" s="53"/>
    </row>
    <row r="2041" spans="1:10" x14ac:dyDescent="0.25">
      <c r="A2041" s="93"/>
      <c r="B2041" s="35"/>
      <c r="C2041" s="76"/>
      <c r="D2041" s="76"/>
      <c r="E2041" s="56"/>
      <c r="J2041" s="53"/>
    </row>
    <row r="2042" spans="1:10" x14ac:dyDescent="0.25">
      <c r="A2042" s="93"/>
      <c r="B2042" s="35"/>
      <c r="C2042" s="76"/>
      <c r="D2042" s="76"/>
      <c r="E2042" s="56"/>
      <c r="J2042" s="53"/>
    </row>
    <row r="2043" spans="1:10" x14ac:dyDescent="0.25">
      <c r="A2043" s="93"/>
      <c r="B2043" s="35"/>
      <c r="C2043" s="76"/>
      <c r="D2043" s="76"/>
      <c r="E2043" s="56"/>
      <c r="J2043" s="53"/>
    </row>
    <row r="2044" spans="1:10" x14ac:dyDescent="0.25">
      <c r="A2044" s="93"/>
      <c r="B2044" s="35"/>
      <c r="C2044" s="76"/>
      <c r="D2044" s="76"/>
      <c r="E2044" s="56"/>
      <c r="J2044" s="53"/>
    </row>
    <row r="2045" spans="1:10" x14ac:dyDescent="0.25">
      <c r="A2045" s="93"/>
      <c r="B2045" s="35"/>
      <c r="C2045" s="76"/>
      <c r="D2045" s="76"/>
      <c r="E2045" s="56"/>
      <c r="J2045" s="53"/>
    </row>
    <row r="2046" spans="1:10" x14ac:dyDescent="0.25">
      <c r="A2046" s="93"/>
      <c r="B2046" s="35"/>
      <c r="C2046" s="76"/>
      <c r="D2046" s="76"/>
      <c r="E2046" s="56"/>
      <c r="J2046" s="53"/>
    </row>
    <row r="2047" spans="1:10" x14ac:dyDescent="0.25">
      <c r="A2047" s="93"/>
      <c r="B2047" s="35"/>
      <c r="C2047" s="76"/>
      <c r="D2047" s="76"/>
      <c r="E2047" s="56"/>
      <c r="J2047" s="53"/>
    </row>
    <row r="2048" spans="1:10" x14ac:dyDescent="0.25">
      <c r="A2048" s="93"/>
      <c r="B2048" s="35"/>
      <c r="C2048" s="76"/>
      <c r="D2048" s="76"/>
      <c r="E2048" s="56"/>
      <c r="J2048" s="53"/>
    </row>
    <row r="2049" spans="1:10" x14ac:dyDescent="0.25">
      <c r="A2049" s="93"/>
      <c r="B2049" s="35"/>
      <c r="C2049" s="76"/>
      <c r="D2049" s="76"/>
      <c r="E2049" s="56"/>
      <c r="J2049" s="53"/>
    </row>
    <row r="2050" spans="1:10" x14ac:dyDescent="0.25">
      <c r="A2050" s="93"/>
      <c r="B2050" s="35"/>
      <c r="C2050" s="76"/>
      <c r="D2050" s="76"/>
      <c r="E2050" s="56"/>
      <c r="J2050" s="53"/>
    </row>
    <row r="2051" spans="1:10" x14ac:dyDescent="0.25">
      <c r="A2051" s="93"/>
      <c r="B2051" s="35"/>
      <c r="C2051" s="76"/>
      <c r="D2051" s="76"/>
      <c r="E2051" s="56"/>
      <c r="J2051" s="53"/>
    </row>
    <row r="2052" spans="1:10" x14ac:dyDescent="0.25">
      <c r="A2052" s="93"/>
      <c r="B2052" s="35"/>
      <c r="C2052" s="76"/>
      <c r="D2052" s="76"/>
      <c r="E2052" s="56"/>
      <c r="J2052" s="53"/>
    </row>
    <row r="2053" spans="1:10" x14ac:dyDescent="0.25">
      <c r="A2053" s="93"/>
      <c r="B2053" s="35"/>
      <c r="C2053" s="76"/>
      <c r="D2053" s="76"/>
      <c r="E2053" s="56"/>
      <c r="J2053" s="53"/>
    </row>
    <row r="2054" spans="1:10" x14ac:dyDescent="0.25">
      <c r="A2054" s="93"/>
      <c r="B2054" s="35"/>
      <c r="C2054" s="76"/>
      <c r="D2054" s="76"/>
      <c r="E2054" s="56"/>
      <c r="J2054" s="53"/>
    </row>
    <row r="2055" spans="1:10" x14ac:dyDescent="0.25">
      <c r="A2055" s="93"/>
      <c r="B2055" s="35"/>
      <c r="C2055" s="76"/>
      <c r="D2055" s="76"/>
      <c r="E2055" s="56"/>
      <c r="J2055" s="53"/>
    </row>
    <row r="2056" spans="1:10" x14ac:dyDescent="0.25">
      <c r="A2056" s="93"/>
      <c r="B2056" s="35"/>
      <c r="C2056" s="76"/>
      <c r="D2056" s="76"/>
      <c r="E2056" s="56"/>
      <c r="J2056" s="53"/>
    </row>
    <row r="2057" spans="1:10" x14ac:dyDescent="0.25">
      <c r="A2057" s="93"/>
      <c r="B2057" s="35"/>
      <c r="C2057" s="76"/>
      <c r="D2057" s="76"/>
      <c r="E2057" s="56"/>
      <c r="J2057" s="53"/>
    </row>
    <row r="2058" spans="1:10" x14ac:dyDescent="0.25">
      <c r="A2058" s="93"/>
      <c r="B2058" s="35"/>
      <c r="C2058" s="76"/>
      <c r="D2058" s="76"/>
      <c r="E2058" s="56"/>
      <c r="J2058" s="53"/>
    </row>
    <row r="2059" spans="1:10" x14ac:dyDescent="0.25">
      <c r="A2059" s="93"/>
      <c r="B2059" s="35"/>
      <c r="C2059" s="76"/>
      <c r="D2059" s="76"/>
      <c r="E2059" s="56"/>
      <c r="J2059" s="53"/>
    </row>
    <row r="2060" spans="1:10" x14ac:dyDescent="0.25">
      <c r="A2060" s="93"/>
      <c r="B2060" s="35"/>
      <c r="C2060" s="76"/>
      <c r="D2060" s="76"/>
      <c r="E2060" s="56"/>
      <c r="J2060" s="53"/>
    </row>
    <row r="2061" spans="1:10" x14ac:dyDescent="0.25">
      <c r="A2061" s="93"/>
      <c r="B2061" s="35"/>
      <c r="C2061" s="76"/>
      <c r="D2061" s="76"/>
      <c r="E2061" s="56"/>
      <c r="J2061" s="53"/>
    </row>
    <row r="2062" spans="1:10" x14ac:dyDescent="0.25">
      <c r="A2062" s="93"/>
      <c r="B2062" s="35"/>
      <c r="C2062" s="76"/>
      <c r="D2062" s="76"/>
      <c r="E2062" s="56"/>
      <c r="J2062" s="53"/>
    </row>
    <row r="2063" spans="1:10" x14ac:dyDescent="0.25">
      <c r="A2063" s="93"/>
      <c r="B2063" s="35"/>
      <c r="C2063" s="76"/>
      <c r="D2063" s="76"/>
      <c r="E2063" s="56"/>
      <c r="J2063" s="53"/>
    </row>
    <row r="2064" spans="1:10" x14ac:dyDescent="0.25">
      <c r="A2064" s="93"/>
      <c r="B2064" s="35"/>
      <c r="C2064" s="76"/>
      <c r="D2064" s="76"/>
      <c r="E2064" s="56"/>
      <c r="J2064" s="53"/>
    </row>
    <row r="2065" spans="1:10" x14ac:dyDescent="0.25">
      <c r="A2065" s="93"/>
      <c r="B2065" s="35"/>
      <c r="C2065" s="76"/>
      <c r="D2065" s="76"/>
      <c r="E2065" s="56"/>
      <c r="J2065" s="53"/>
    </row>
    <row r="2066" spans="1:10" x14ac:dyDescent="0.25">
      <c r="A2066" s="93"/>
      <c r="B2066" s="35"/>
      <c r="C2066" s="76"/>
      <c r="D2066" s="76"/>
      <c r="E2066" s="56"/>
      <c r="J2066" s="53"/>
    </row>
    <row r="2067" spans="1:10" x14ac:dyDescent="0.25">
      <c r="A2067" s="93"/>
      <c r="B2067" s="35"/>
      <c r="C2067" s="76"/>
      <c r="D2067" s="76"/>
      <c r="E2067" s="56"/>
      <c r="J2067" s="53"/>
    </row>
    <row r="2068" spans="1:10" x14ac:dyDescent="0.25">
      <c r="A2068" s="93"/>
      <c r="B2068" s="35"/>
      <c r="C2068" s="76"/>
      <c r="D2068" s="76"/>
      <c r="E2068" s="56"/>
      <c r="J2068" s="53"/>
    </row>
    <row r="2069" spans="1:10" x14ac:dyDescent="0.25">
      <c r="A2069" s="93"/>
      <c r="B2069" s="35"/>
      <c r="C2069" s="76"/>
      <c r="D2069" s="76"/>
      <c r="E2069" s="56"/>
      <c r="J2069" s="53"/>
    </row>
    <row r="2070" spans="1:10" x14ac:dyDescent="0.25">
      <c r="A2070" s="93"/>
      <c r="B2070" s="35"/>
      <c r="C2070" s="76"/>
      <c r="D2070" s="76"/>
      <c r="E2070" s="56"/>
      <c r="J2070" s="53"/>
    </row>
    <row r="2071" spans="1:10" x14ac:dyDescent="0.25">
      <c r="A2071" s="93"/>
      <c r="B2071" s="35"/>
      <c r="C2071" s="76"/>
      <c r="D2071" s="76"/>
      <c r="E2071" s="56"/>
      <c r="J2071" s="53"/>
    </row>
    <row r="2072" spans="1:10" x14ac:dyDescent="0.25">
      <c r="A2072" s="93"/>
      <c r="B2072" s="35"/>
      <c r="C2072" s="76"/>
      <c r="D2072" s="76"/>
      <c r="E2072" s="56"/>
      <c r="J2072" s="53"/>
    </row>
    <row r="2073" spans="1:10" x14ac:dyDescent="0.25">
      <c r="A2073" s="93"/>
      <c r="B2073" s="35"/>
      <c r="C2073" s="76"/>
      <c r="D2073" s="76"/>
      <c r="E2073" s="56"/>
      <c r="J2073" s="53"/>
    </row>
    <row r="2074" spans="1:10" x14ac:dyDescent="0.25">
      <c r="A2074" s="93"/>
      <c r="B2074" s="35"/>
      <c r="C2074" s="76"/>
      <c r="D2074" s="76"/>
      <c r="E2074" s="56"/>
      <c r="J2074" s="53"/>
    </row>
    <row r="2075" spans="1:10" x14ac:dyDescent="0.25">
      <c r="A2075" s="93"/>
      <c r="B2075" s="35"/>
      <c r="C2075" s="76"/>
      <c r="D2075" s="76"/>
      <c r="E2075" s="56"/>
      <c r="J2075" s="53"/>
    </row>
    <row r="2076" spans="1:10" x14ac:dyDescent="0.25">
      <c r="A2076" s="93"/>
      <c r="B2076" s="35"/>
      <c r="C2076" s="76"/>
      <c r="D2076" s="76"/>
      <c r="E2076" s="56"/>
      <c r="J2076" s="53"/>
    </row>
    <row r="2077" spans="1:10" x14ac:dyDescent="0.25">
      <c r="A2077" s="93"/>
      <c r="B2077" s="35"/>
      <c r="C2077" s="76"/>
      <c r="D2077" s="76"/>
      <c r="E2077" s="56"/>
      <c r="J2077" s="53"/>
    </row>
    <row r="2078" spans="1:10" x14ac:dyDescent="0.25">
      <c r="A2078" s="93"/>
      <c r="B2078" s="35"/>
      <c r="C2078" s="76"/>
      <c r="D2078" s="76"/>
      <c r="E2078" s="56"/>
      <c r="J2078" s="53"/>
    </row>
    <row r="2079" spans="1:10" x14ac:dyDescent="0.25">
      <c r="A2079" s="93"/>
      <c r="B2079" s="35"/>
      <c r="C2079" s="76"/>
      <c r="D2079" s="76"/>
      <c r="E2079" s="56"/>
      <c r="J2079" s="53"/>
    </row>
    <row r="2080" spans="1:10" x14ac:dyDescent="0.25">
      <c r="A2080" s="93"/>
      <c r="B2080" s="35"/>
      <c r="C2080" s="76"/>
      <c r="D2080" s="76"/>
      <c r="E2080" s="56"/>
      <c r="J2080" s="53"/>
    </row>
    <row r="2081" spans="1:10" x14ac:dyDescent="0.25">
      <c r="A2081" s="93"/>
      <c r="B2081" s="35"/>
      <c r="C2081" s="76"/>
      <c r="D2081" s="76"/>
      <c r="E2081" s="56"/>
      <c r="J2081" s="53"/>
    </row>
    <row r="2082" spans="1:10" x14ac:dyDescent="0.25">
      <c r="A2082" s="93"/>
      <c r="B2082" s="35"/>
      <c r="C2082" s="76"/>
      <c r="D2082" s="76"/>
      <c r="E2082" s="56"/>
      <c r="J2082" s="53"/>
    </row>
    <row r="2083" spans="1:10" x14ac:dyDescent="0.25">
      <c r="A2083" s="93"/>
      <c r="B2083" s="35"/>
      <c r="C2083" s="76"/>
      <c r="D2083" s="76"/>
      <c r="E2083" s="56"/>
      <c r="J2083" s="53"/>
    </row>
    <row r="2084" spans="1:10" x14ac:dyDescent="0.25">
      <c r="A2084" s="93"/>
      <c r="B2084" s="35"/>
      <c r="C2084" s="76"/>
      <c r="D2084" s="76"/>
      <c r="E2084" s="56"/>
      <c r="J2084" s="53"/>
    </row>
    <row r="2085" spans="1:10" x14ac:dyDescent="0.25">
      <c r="A2085" s="93"/>
      <c r="B2085" s="35"/>
      <c r="C2085" s="76"/>
      <c r="D2085" s="76"/>
      <c r="E2085" s="56"/>
      <c r="J2085" s="53"/>
    </row>
    <row r="2086" spans="1:10" x14ac:dyDescent="0.25">
      <c r="A2086" s="93"/>
      <c r="B2086" s="35"/>
      <c r="C2086" s="76"/>
      <c r="D2086" s="76"/>
      <c r="E2086" s="56"/>
      <c r="J2086" s="53"/>
    </row>
    <row r="2087" spans="1:10" x14ac:dyDescent="0.25">
      <c r="A2087" s="93"/>
      <c r="B2087" s="35"/>
      <c r="C2087" s="76"/>
      <c r="D2087" s="76"/>
      <c r="E2087" s="56"/>
      <c r="J2087" s="53"/>
    </row>
    <row r="2088" spans="1:10" x14ac:dyDescent="0.25">
      <c r="A2088" s="93"/>
      <c r="B2088" s="35"/>
      <c r="C2088" s="76"/>
      <c r="D2088" s="76"/>
      <c r="E2088" s="56"/>
      <c r="J2088" s="53"/>
    </row>
    <row r="2089" spans="1:10" x14ac:dyDescent="0.25">
      <c r="A2089" s="93"/>
      <c r="B2089" s="35"/>
      <c r="C2089" s="76"/>
      <c r="D2089" s="76"/>
      <c r="E2089" s="56"/>
      <c r="J2089" s="53"/>
    </row>
    <row r="2090" spans="1:10" x14ac:dyDescent="0.25">
      <c r="A2090" s="93"/>
      <c r="B2090" s="35"/>
      <c r="C2090" s="76"/>
      <c r="D2090" s="76"/>
      <c r="E2090" s="56"/>
      <c r="J2090" s="53"/>
    </row>
    <row r="2091" spans="1:10" x14ac:dyDescent="0.25">
      <c r="A2091" s="93"/>
      <c r="B2091" s="35"/>
      <c r="C2091" s="76"/>
      <c r="D2091" s="76"/>
      <c r="E2091" s="56"/>
      <c r="J2091" s="53"/>
    </row>
    <row r="2092" spans="1:10" x14ac:dyDescent="0.25">
      <c r="A2092" s="93"/>
      <c r="B2092" s="35"/>
      <c r="C2092" s="76"/>
      <c r="D2092" s="76"/>
      <c r="E2092" s="56"/>
      <c r="J2092" s="53"/>
    </row>
    <row r="2093" spans="1:10" x14ac:dyDescent="0.25">
      <c r="A2093" s="93"/>
      <c r="B2093" s="35"/>
      <c r="C2093" s="76"/>
      <c r="D2093" s="76"/>
      <c r="E2093" s="56"/>
      <c r="J2093" s="53"/>
    </row>
    <row r="2094" spans="1:10" x14ac:dyDescent="0.25">
      <c r="A2094" s="93"/>
      <c r="B2094" s="35"/>
      <c r="C2094" s="76"/>
      <c r="D2094" s="76"/>
      <c r="E2094" s="56"/>
      <c r="J2094" s="53"/>
    </row>
    <row r="2095" spans="1:10" x14ac:dyDescent="0.25">
      <c r="A2095" s="93"/>
      <c r="B2095" s="35"/>
      <c r="C2095" s="76"/>
      <c r="D2095" s="76"/>
      <c r="E2095" s="56"/>
      <c r="J2095" s="53"/>
    </row>
    <row r="2096" spans="1:10" x14ac:dyDescent="0.25">
      <c r="A2096" s="93"/>
      <c r="B2096" s="35"/>
      <c r="C2096" s="76"/>
      <c r="D2096" s="76"/>
      <c r="E2096" s="56"/>
      <c r="J2096" s="53"/>
    </row>
    <row r="2097" spans="1:10" x14ac:dyDescent="0.25">
      <c r="A2097" s="93"/>
      <c r="B2097" s="35"/>
      <c r="C2097" s="76"/>
      <c r="D2097" s="76"/>
      <c r="E2097" s="56"/>
      <c r="J2097" s="53"/>
    </row>
    <row r="2098" spans="1:10" x14ac:dyDescent="0.25">
      <c r="A2098" s="93"/>
      <c r="B2098" s="35"/>
      <c r="C2098" s="76"/>
      <c r="D2098" s="76"/>
      <c r="E2098" s="56"/>
      <c r="J2098" s="53"/>
    </row>
    <row r="2099" spans="1:10" x14ac:dyDescent="0.25">
      <c r="A2099" s="93"/>
      <c r="B2099" s="35"/>
      <c r="C2099" s="76"/>
      <c r="D2099" s="76"/>
      <c r="E2099" s="56"/>
      <c r="J2099" s="53"/>
    </row>
    <row r="2100" spans="1:10" x14ac:dyDescent="0.25">
      <c r="A2100" s="93"/>
      <c r="B2100" s="35"/>
      <c r="C2100" s="76"/>
      <c r="D2100" s="76"/>
      <c r="E2100" s="56"/>
      <c r="J2100" s="53"/>
    </row>
    <row r="2101" spans="1:10" x14ac:dyDescent="0.25">
      <c r="A2101" s="93"/>
      <c r="B2101" s="35"/>
      <c r="C2101" s="76"/>
      <c r="D2101" s="76"/>
      <c r="E2101" s="56"/>
      <c r="J2101" s="53"/>
    </row>
    <row r="2102" spans="1:10" x14ac:dyDescent="0.25">
      <c r="A2102" s="93"/>
      <c r="B2102" s="35"/>
      <c r="C2102" s="76"/>
      <c r="D2102" s="76"/>
      <c r="E2102" s="56"/>
      <c r="J2102" s="53"/>
    </row>
    <row r="2103" spans="1:10" x14ac:dyDescent="0.25">
      <c r="A2103" s="93"/>
      <c r="B2103" s="35"/>
      <c r="C2103" s="76"/>
      <c r="D2103" s="76"/>
      <c r="E2103" s="56"/>
      <c r="J2103" s="53"/>
    </row>
    <row r="2104" spans="1:10" x14ac:dyDescent="0.25">
      <c r="A2104" s="93"/>
      <c r="B2104" s="35"/>
      <c r="C2104" s="76"/>
      <c r="D2104" s="76"/>
      <c r="E2104" s="56"/>
      <c r="J2104" s="53"/>
    </row>
    <row r="2105" spans="1:10" x14ac:dyDescent="0.25">
      <c r="A2105" s="93"/>
      <c r="B2105" s="35"/>
      <c r="C2105" s="76"/>
      <c r="D2105" s="76"/>
      <c r="E2105" s="56"/>
      <c r="J2105" s="53"/>
    </row>
    <row r="2106" spans="1:10" x14ac:dyDescent="0.25">
      <c r="A2106" s="93"/>
      <c r="B2106" s="35"/>
      <c r="C2106" s="76"/>
      <c r="D2106" s="76"/>
      <c r="E2106" s="56"/>
      <c r="J2106" s="53"/>
    </row>
    <row r="2107" spans="1:10" x14ac:dyDescent="0.25">
      <c r="A2107" s="93"/>
      <c r="B2107" s="35"/>
      <c r="C2107" s="76"/>
      <c r="D2107" s="76"/>
      <c r="E2107" s="56"/>
      <c r="J2107" s="53"/>
    </row>
    <row r="2108" spans="1:10" x14ac:dyDescent="0.25">
      <c r="A2108" s="93"/>
      <c r="B2108" s="35"/>
      <c r="C2108" s="76"/>
      <c r="D2108" s="76"/>
      <c r="E2108" s="56"/>
      <c r="J2108" s="53"/>
    </row>
    <row r="2109" spans="1:10" x14ac:dyDescent="0.25">
      <c r="A2109" s="93"/>
      <c r="B2109" s="35"/>
      <c r="C2109" s="76"/>
      <c r="D2109" s="76"/>
      <c r="E2109" s="56"/>
      <c r="J2109" s="53"/>
    </row>
    <row r="2110" spans="1:10" x14ac:dyDescent="0.25">
      <c r="A2110" s="93"/>
      <c r="B2110" s="35"/>
      <c r="C2110" s="76"/>
      <c r="D2110" s="76"/>
      <c r="E2110" s="56"/>
      <c r="J2110" s="53"/>
    </row>
    <row r="2111" spans="1:10" x14ac:dyDescent="0.25">
      <c r="A2111" s="93"/>
      <c r="B2111" s="35"/>
      <c r="C2111" s="76"/>
      <c r="D2111" s="76"/>
      <c r="E2111" s="56"/>
      <c r="J2111" s="53"/>
    </row>
    <row r="2112" spans="1:10" x14ac:dyDescent="0.25">
      <c r="A2112" s="93"/>
      <c r="B2112" s="35"/>
      <c r="C2112" s="76"/>
      <c r="D2112" s="76"/>
      <c r="E2112" s="56"/>
      <c r="J2112" s="53"/>
    </row>
    <row r="2113" spans="1:10" x14ac:dyDescent="0.25">
      <c r="A2113" s="93"/>
      <c r="B2113" s="35"/>
      <c r="C2113" s="76"/>
      <c r="D2113" s="76"/>
      <c r="E2113" s="56"/>
      <c r="J2113" s="53"/>
    </row>
    <row r="2114" spans="1:10" x14ac:dyDescent="0.25">
      <c r="A2114" s="93"/>
      <c r="B2114" s="35"/>
      <c r="C2114" s="76"/>
      <c r="D2114" s="76"/>
      <c r="E2114" s="56"/>
      <c r="J2114" s="53"/>
    </row>
    <row r="2115" spans="1:10" x14ac:dyDescent="0.25">
      <c r="A2115" s="93"/>
      <c r="B2115" s="35"/>
      <c r="C2115" s="76"/>
      <c r="D2115" s="76"/>
      <c r="E2115" s="56"/>
      <c r="J2115" s="53"/>
    </row>
    <row r="2116" spans="1:10" x14ac:dyDescent="0.25">
      <c r="A2116" s="93"/>
      <c r="B2116" s="35"/>
      <c r="C2116" s="76"/>
      <c r="D2116" s="76"/>
      <c r="E2116" s="56"/>
      <c r="J2116" s="53"/>
    </row>
    <row r="2117" spans="1:10" x14ac:dyDescent="0.25">
      <c r="A2117" s="93"/>
      <c r="B2117" s="35"/>
      <c r="C2117" s="76"/>
      <c r="D2117" s="76"/>
      <c r="E2117" s="56"/>
      <c r="J2117" s="53"/>
    </row>
    <row r="2118" spans="1:10" x14ac:dyDescent="0.25">
      <c r="A2118" s="93"/>
      <c r="B2118" s="35"/>
      <c r="C2118" s="76"/>
      <c r="D2118" s="76"/>
      <c r="E2118" s="56"/>
      <c r="J2118" s="53"/>
    </row>
    <row r="2119" spans="1:10" x14ac:dyDescent="0.25">
      <c r="A2119" s="93"/>
      <c r="B2119" s="35"/>
      <c r="C2119" s="76"/>
      <c r="D2119" s="76"/>
      <c r="E2119" s="56"/>
      <c r="J2119" s="53"/>
    </row>
    <row r="2120" spans="1:10" x14ac:dyDescent="0.25">
      <c r="A2120" s="93"/>
      <c r="B2120" s="35"/>
      <c r="C2120" s="76"/>
      <c r="D2120" s="76"/>
      <c r="E2120" s="56"/>
      <c r="J2120" s="53"/>
    </row>
    <row r="2121" spans="1:10" x14ac:dyDescent="0.25">
      <c r="A2121" s="93"/>
      <c r="B2121" s="35"/>
      <c r="C2121" s="76"/>
      <c r="D2121" s="76"/>
      <c r="E2121" s="56"/>
      <c r="J2121" s="53"/>
    </row>
    <row r="2122" spans="1:10" x14ac:dyDescent="0.25">
      <c r="A2122" s="93"/>
      <c r="B2122" s="35"/>
      <c r="C2122" s="76"/>
      <c r="D2122" s="76"/>
      <c r="E2122" s="56"/>
      <c r="J2122" s="53"/>
    </row>
    <row r="2123" spans="1:10" x14ac:dyDescent="0.25">
      <c r="A2123" s="93"/>
      <c r="B2123" s="35"/>
      <c r="C2123" s="76"/>
      <c r="D2123" s="76"/>
      <c r="E2123" s="56"/>
      <c r="J2123" s="53"/>
    </row>
    <row r="2124" spans="1:10" x14ac:dyDescent="0.25">
      <c r="A2124" s="93"/>
      <c r="B2124" s="35"/>
      <c r="C2124" s="76"/>
      <c r="D2124" s="76"/>
      <c r="E2124" s="56"/>
      <c r="J2124" s="53"/>
    </row>
    <row r="2125" spans="1:10" x14ac:dyDescent="0.25">
      <c r="A2125" s="93"/>
      <c r="B2125" s="35"/>
      <c r="C2125" s="76"/>
      <c r="D2125" s="76"/>
      <c r="E2125" s="56"/>
      <c r="J2125" s="53"/>
    </row>
    <row r="2126" spans="1:10" x14ac:dyDescent="0.25">
      <c r="A2126" s="93"/>
      <c r="B2126" s="35"/>
      <c r="C2126" s="76"/>
      <c r="D2126" s="76"/>
      <c r="E2126" s="56"/>
      <c r="J2126" s="53"/>
    </row>
    <row r="2127" spans="1:10" x14ac:dyDescent="0.25">
      <c r="A2127" s="93"/>
      <c r="B2127" s="35"/>
      <c r="C2127" s="76"/>
      <c r="D2127" s="76"/>
      <c r="E2127" s="56"/>
      <c r="J2127" s="53"/>
    </row>
    <row r="2128" spans="1:10" x14ac:dyDescent="0.25">
      <c r="A2128" s="93"/>
      <c r="B2128" s="35"/>
      <c r="C2128" s="76"/>
      <c r="D2128" s="76"/>
      <c r="E2128" s="56"/>
      <c r="J2128" s="53"/>
    </row>
    <row r="2129" spans="1:10" x14ac:dyDescent="0.25">
      <c r="A2129" s="93"/>
      <c r="B2129" s="35"/>
      <c r="C2129" s="76"/>
      <c r="D2129" s="76"/>
      <c r="E2129" s="56"/>
      <c r="J2129" s="53"/>
    </row>
    <row r="2130" spans="1:10" x14ac:dyDescent="0.25">
      <c r="A2130" s="93"/>
      <c r="B2130" s="35"/>
      <c r="C2130" s="76"/>
      <c r="D2130" s="76"/>
      <c r="E2130" s="56"/>
      <c r="J2130" s="53"/>
    </row>
    <row r="2131" spans="1:10" x14ac:dyDescent="0.25">
      <c r="A2131" s="93"/>
      <c r="B2131" s="35"/>
      <c r="C2131" s="76"/>
      <c r="D2131" s="76"/>
      <c r="E2131" s="56"/>
      <c r="J2131" s="53"/>
    </row>
    <row r="2132" spans="1:10" x14ac:dyDescent="0.25">
      <c r="A2132" s="93"/>
      <c r="B2132" s="35"/>
      <c r="C2132" s="76"/>
      <c r="D2132" s="76"/>
      <c r="E2132" s="56"/>
      <c r="J2132" s="53"/>
    </row>
    <row r="2133" spans="1:10" x14ac:dyDescent="0.25">
      <c r="A2133" s="93"/>
      <c r="B2133" s="35"/>
      <c r="C2133" s="76"/>
      <c r="D2133" s="76"/>
      <c r="E2133" s="56"/>
      <c r="J2133" s="53"/>
    </row>
    <row r="2134" spans="1:10" x14ac:dyDescent="0.25">
      <c r="A2134" s="93"/>
      <c r="B2134" s="35"/>
      <c r="C2134" s="76"/>
      <c r="D2134" s="76"/>
      <c r="E2134" s="56"/>
      <c r="J2134" s="53"/>
    </row>
    <row r="2135" spans="1:10" x14ac:dyDescent="0.25">
      <c r="A2135" s="93"/>
      <c r="B2135" s="35"/>
      <c r="C2135" s="76"/>
      <c r="D2135" s="76"/>
      <c r="E2135" s="56"/>
      <c r="J2135" s="53"/>
    </row>
    <row r="2136" spans="1:10" x14ac:dyDescent="0.25">
      <c r="A2136" s="93"/>
      <c r="B2136" s="35"/>
      <c r="C2136" s="76"/>
      <c r="D2136" s="76"/>
      <c r="E2136" s="56"/>
      <c r="J2136" s="53"/>
    </row>
    <row r="2137" spans="1:10" x14ac:dyDescent="0.25">
      <c r="A2137" s="93"/>
      <c r="B2137" s="35"/>
      <c r="C2137" s="76"/>
      <c r="D2137" s="76"/>
      <c r="E2137" s="56"/>
      <c r="J2137" s="53"/>
    </row>
    <row r="2138" spans="1:10" x14ac:dyDescent="0.25">
      <c r="A2138" s="93"/>
      <c r="B2138" s="35"/>
      <c r="C2138" s="76"/>
      <c r="D2138" s="76"/>
      <c r="E2138" s="56"/>
      <c r="J2138" s="53"/>
    </row>
    <row r="2139" spans="1:10" x14ac:dyDescent="0.25">
      <c r="A2139" s="93"/>
      <c r="B2139" s="35"/>
      <c r="C2139" s="76"/>
      <c r="D2139" s="76"/>
      <c r="E2139" s="56"/>
      <c r="J2139" s="53"/>
    </row>
    <row r="2140" spans="1:10" x14ac:dyDescent="0.25">
      <c r="A2140" s="93"/>
      <c r="B2140" s="35"/>
      <c r="C2140" s="76"/>
      <c r="D2140" s="76"/>
      <c r="E2140" s="56"/>
      <c r="J2140" s="53"/>
    </row>
    <row r="2141" spans="1:10" x14ac:dyDescent="0.25">
      <c r="A2141" s="93"/>
      <c r="B2141" s="35"/>
      <c r="C2141" s="76"/>
      <c r="D2141" s="76"/>
      <c r="E2141" s="56"/>
      <c r="J2141" s="53"/>
    </row>
    <row r="2142" spans="1:10" x14ac:dyDescent="0.25">
      <c r="A2142" s="93"/>
      <c r="B2142" s="35"/>
      <c r="C2142" s="76"/>
      <c r="D2142" s="76"/>
      <c r="E2142" s="56"/>
      <c r="J2142" s="53"/>
    </row>
    <row r="2143" spans="1:10" x14ac:dyDescent="0.25">
      <c r="A2143" s="93"/>
      <c r="B2143" s="35"/>
      <c r="C2143" s="76"/>
      <c r="D2143" s="76"/>
      <c r="E2143" s="56"/>
      <c r="J2143" s="53"/>
    </row>
    <row r="2144" spans="1:10" x14ac:dyDescent="0.25">
      <c r="A2144" s="93"/>
      <c r="B2144" s="35"/>
      <c r="C2144" s="76"/>
      <c r="D2144" s="76"/>
      <c r="E2144" s="56"/>
      <c r="J2144" s="53"/>
    </row>
    <row r="2145" spans="1:10" x14ac:dyDescent="0.25">
      <c r="A2145" s="93"/>
      <c r="B2145" s="35"/>
      <c r="C2145" s="76"/>
      <c r="D2145" s="76"/>
      <c r="E2145" s="56"/>
      <c r="J2145" s="53"/>
    </row>
    <row r="2146" spans="1:10" x14ac:dyDescent="0.25">
      <c r="A2146" s="93"/>
      <c r="B2146" s="35"/>
      <c r="C2146" s="76"/>
      <c r="D2146" s="76"/>
      <c r="E2146" s="56"/>
      <c r="J2146" s="53"/>
    </row>
    <row r="2147" spans="1:10" x14ac:dyDescent="0.25">
      <c r="A2147" s="93"/>
      <c r="B2147" s="35"/>
      <c r="C2147" s="76"/>
      <c r="D2147" s="76"/>
      <c r="E2147" s="56"/>
      <c r="J2147" s="53"/>
    </row>
    <row r="2148" spans="1:10" x14ac:dyDescent="0.25">
      <c r="A2148" s="93"/>
      <c r="B2148" s="35"/>
      <c r="C2148" s="76"/>
      <c r="D2148" s="76"/>
      <c r="E2148" s="56"/>
      <c r="J2148" s="53"/>
    </row>
    <row r="2149" spans="1:10" x14ac:dyDescent="0.25">
      <c r="A2149" s="93"/>
      <c r="B2149" s="35"/>
      <c r="C2149" s="76"/>
      <c r="D2149" s="76"/>
      <c r="E2149" s="56"/>
      <c r="J2149" s="53"/>
    </row>
    <row r="2150" spans="1:10" x14ac:dyDescent="0.25">
      <c r="A2150" s="93"/>
      <c r="B2150" s="35"/>
      <c r="C2150" s="76"/>
      <c r="D2150" s="76"/>
      <c r="E2150" s="56"/>
      <c r="J2150" s="53"/>
    </row>
    <row r="2151" spans="1:10" x14ac:dyDescent="0.25">
      <c r="A2151" s="93"/>
      <c r="B2151" s="35"/>
      <c r="C2151" s="76"/>
      <c r="D2151" s="76"/>
      <c r="E2151" s="56"/>
      <c r="J2151" s="53"/>
    </row>
    <row r="2152" spans="1:10" x14ac:dyDescent="0.25">
      <c r="A2152" s="93"/>
      <c r="B2152" s="35"/>
      <c r="C2152" s="76"/>
      <c r="D2152" s="76"/>
      <c r="E2152" s="56"/>
      <c r="J2152" s="53"/>
    </row>
    <row r="2153" spans="1:10" x14ac:dyDescent="0.25">
      <c r="A2153" s="93"/>
      <c r="B2153" s="35"/>
      <c r="C2153" s="76"/>
      <c r="D2153" s="76"/>
      <c r="E2153" s="56"/>
      <c r="J2153" s="53"/>
    </row>
    <row r="2154" spans="1:10" x14ac:dyDescent="0.25">
      <c r="A2154" s="93"/>
      <c r="B2154" s="35"/>
      <c r="C2154" s="76"/>
      <c r="D2154" s="76"/>
      <c r="E2154" s="56"/>
      <c r="J2154" s="53"/>
    </row>
    <row r="2155" spans="1:10" x14ac:dyDescent="0.25">
      <c r="A2155" s="93"/>
      <c r="B2155" s="35"/>
      <c r="C2155" s="76"/>
      <c r="D2155" s="76"/>
      <c r="E2155" s="56"/>
      <c r="J2155" s="53"/>
    </row>
    <row r="2156" spans="1:10" x14ac:dyDescent="0.25">
      <c r="A2156" s="93"/>
      <c r="B2156" s="35"/>
      <c r="C2156" s="76"/>
      <c r="D2156" s="76"/>
      <c r="E2156" s="56"/>
      <c r="J2156" s="53"/>
    </row>
    <row r="2157" spans="1:10" x14ac:dyDescent="0.25">
      <c r="A2157" s="93"/>
      <c r="B2157" s="35"/>
      <c r="C2157" s="76"/>
      <c r="D2157" s="76"/>
      <c r="E2157" s="56"/>
      <c r="J2157" s="53"/>
    </row>
    <row r="2158" spans="1:10" x14ac:dyDescent="0.25">
      <c r="A2158" s="93"/>
      <c r="B2158" s="35"/>
      <c r="C2158" s="76"/>
      <c r="D2158" s="76"/>
      <c r="E2158" s="56"/>
      <c r="J2158" s="53"/>
    </row>
    <row r="2159" spans="1:10" x14ac:dyDescent="0.25">
      <c r="A2159" s="93"/>
      <c r="B2159" s="35"/>
      <c r="C2159" s="76"/>
      <c r="D2159" s="76"/>
      <c r="E2159" s="56"/>
      <c r="J2159" s="53"/>
    </row>
    <row r="2160" spans="1:10" x14ac:dyDescent="0.25">
      <c r="A2160" s="93"/>
      <c r="B2160" s="35"/>
      <c r="C2160" s="76"/>
      <c r="D2160" s="76"/>
      <c r="E2160" s="56"/>
      <c r="J2160" s="53"/>
    </row>
    <row r="2161" spans="1:10" x14ac:dyDescent="0.25">
      <c r="A2161" s="93"/>
      <c r="B2161" s="35"/>
      <c r="C2161" s="76"/>
      <c r="D2161" s="76"/>
      <c r="E2161" s="56"/>
      <c r="J2161" s="53"/>
    </row>
    <row r="2162" spans="1:10" x14ac:dyDescent="0.25">
      <c r="A2162" s="93"/>
      <c r="B2162" s="35"/>
      <c r="C2162" s="76"/>
      <c r="D2162" s="76"/>
      <c r="E2162" s="56"/>
      <c r="J2162" s="53"/>
    </row>
    <row r="2163" spans="1:10" x14ac:dyDescent="0.25">
      <c r="A2163" s="93"/>
      <c r="B2163" s="35"/>
      <c r="C2163" s="76"/>
      <c r="D2163" s="76"/>
      <c r="E2163" s="56"/>
      <c r="J2163" s="53"/>
    </row>
    <row r="2164" spans="1:10" x14ac:dyDescent="0.25">
      <c r="A2164" s="93"/>
      <c r="B2164" s="35"/>
      <c r="C2164" s="76"/>
      <c r="D2164" s="76"/>
      <c r="E2164" s="56"/>
      <c r="J2164" s="53"/>
    </row>
    <row r="2165" spans="1:10" x14ac:dyDescent="0.25">
      <c r="A2165" s="93"/>
      <c r="B2165" s="35"/>
      <c r="C2165" s="76"/>
      <c r="D2165" s="76"/>
      <c r="E2165" s="56"/>
      <c r="J2165" s="53"/>
    </row>
    <row r="2166" spans="1:10" x14ac:dyDescent="0.25">
      <c r="A2166" s="93"/>
      <c r="B2166" s="35"/>
      <c r="C2166" s="76"/>
      <c r="D2166" s="76"/>
      <c r="E2166" s="56"/>
      <c r="J2166" s="53"/>
    </row>
    <row r="2167" spans="1:10" x14ac:dyDescent="0.25">
      <c r="A2167" s="93"/>
      <c r="B2167" s="35"/>
      <c r="C2167" s="76"/>
      <c r="D2167" s="76"/>
      <c r="E2167" s="56"/>
      <c r="J2167" s="53"/>
    </row>
    <row r="2168" spans="1:10" x14ac:dyDescent="0.25">
      <c r="A2168" s="93"/>
      <c r="B2168" s="35"/>
      <c r="C2168" s="76"/>
      <c r="D2168" s="76"/>
      <c r="E2168" s="56"/>
      <c r="J2168" s="53"/>
    </row>
    <row r="2169" spans="1:10" x14ac:dyDescent="0.25">
      <c r="A2169" s="93"/>
      <c r="B2169" s="35"/>
      <c r="C2169" s="76"/>
      <c r="D2169" s="76"/>
      <c r="E2169" s="56"/>
      <c r="J2169" s="53"/>
    </row>
    <row r="2170" spans="1:10" x14ac:dyDescent="0.25">
      <c r="A2170" s="93"/>
      <c r="B2170" s="35"/>
      <c r="C2170" s="76"/>
      <c r="D2170" s="76"/>
      <c r="E2170" s="56"/>
      <c r="J2170" s="53"/>
    </row>
    <row r="2171" spans="1:10" x14ac:dyDescent="0.25">
      <c r="A2171" s="93"/>
      <c r="B2171" s="35"/>
      <c r="C2171" s="76"/>
      <c r="D2171" s="76"/>
      <c r="E2171" s="56"/>
      <c r="J2171" s="53"/>
    </row>
    <row r="2172" spans="1:10" x14ac:dyDescent="0.25">
      <c r="A2172" s="93"/>
      <c r="B2172" s="35"/>
      <c r="C2172" s="76"/>
      <c r="D2172" s="76"/>
      <c r="E2172" s="56"/>
      <c r="J2172" s="53"/>
    </row>
    <row r="2173" spans="1:10" x14ac:dyDescent="0.25">
      <c r="A2173" s="93"/>
      <c r="B2173" s="35"/>
      <c r="C2173" s="76"/>
      <c r="D2173" s="76"/>
      <c r="E2173" s="56"/>
      <c r="J2173" s="53"/>
    </row>
    <row r="2174" spans="1:10" x14ac:dyDescent="0.25">
      <c r="A2174" s="93"/>
      <c r="B2174" s="35"/>
      <c r="C2174" s="76"/>
      <c r="D2174" s="76"/>
      <c r="E2174" s="56"/>
      <c r="J2174" s="53"/>
    </row>
    <row r="2175" spans="1:10" x14ac:dyDescent="0.25">
      <c r="A2175" s="93"/>
      <c r="B2175" s="35"/>
      <c r="C2175" s="76"/>
      <c r="D2175" s="76"/>
      <c r="E2175" s="56"/>
      <c r="J2175" s="53"/>
    </row>
    <row r="2176" spans="1:10" x14ac:dyDescent="0.25">
      <c r="A2176" s="93"/>
      <c r="B2176" s="35"/>
      <c r="C2176" s="76"/>
      <c r="D2176" s="76"/>
      <c r="E2176" s="56"/>
      <c r="J2176" s="53"/>
    </row>
    <row r="2177" spans="1:10" x14ac:dyDescent="0.25">
      <c r="A2177" s="93"/>
      <c r="B2177" s="35"/>
      <c r="C2177" s="76"/>
      <c r="D2177" s="76"/>
      <c r="E2177" s="56"/>
      <c r="J2177" s="53"/>
    </row>
    <row r="2178" spans="1:10" x14ac:dyDescent="0.25">
      <c r="A2178" s="93"/>
      <c r="B2178" s="35"/>
      <c r="C2178" s="76"/>
      <c r="D2178" s="76"/>
      <c r="E2178" s="56"/>
      <c r="J2178" s="53"/>
    </row>
    <row r="2179" spans="1:10" x14ac:dyDescent="0.25">
      <c r="A2179" s="93"/>
      <c r="B2179" s="35"/>
      <c r="C2179" s="76"/>
      <c r="D2179" s="76"/>
      <c r="E2179" s="56"/>
      <c r="J2179" s="53"/>
    </row>
    <row r="2180" spans="1:10" x14ac:dyDescent="0.25">
      <c r="A2180" s="93"/>
      <c r="B2180" s="35"/>
      <c r="C2180" s="76"/>
      <c r="D2180" s="76"/>
      <c r="E2180" s="56"/>
      <c r="J2180" s="53"/>
    </row>
    <row r="2181" spans="1:10" x14ac:dyDescent="0.25">
      <c r="A2181" s="93"/>
      <c r="B2181" s="35"/>
      <c r="C2181" s="76"/>
      <c r="D2181" s="76"/>
      <c r="E2181" s="56"/>
      <c r="J2181" s="53"/>
    </row>
    <row r="2182" spans="1:10" x14ac:dyDescent="0.25">
      <c r="A2182" s="93"/>
      <c r="B2182" s="35"/>
      <c r="C2182" s="76"/>
      <c r="D2182" s="76"/>
      <c r="E2182" s="56"/>
      <c r="J2182" s="53"/>
    </row>
    <row r="2183" spans="1:10" x14ac:dyDescent="0.25">
      <c r="A2183" s="93"/>
      <c r="B2183" s="35"/>
      <c r="C2183" s="76"/>
      <c r="D2183" s="76"/>
      <c r="E2183" s="56"/>
      <c r="J2183" s="53"/>
    </row>
    <row r="2184" spans="1:10" x14ac:dyDescent="0.25">
      <c r="A2184" s="93"/>
      <c r="B2184" s="35"/>
      <c r="C2184" s="76"/>
      <c r="D2184" s="76"/>
      <c r="E2184" s="56"/>
      <c r="J2184" s="53"/>
    </row>
    <row r="2185" spans="1:10" x14ac:dyDescent="0.25">
      <c r="A2185" s="93"/>
      <c r="B2185" s="35"/>
      <c r="C2185" s="76"/>
      <c r="D2185" s="76"/>
      <c r="E2185" s="56"/>
      <c r="J2185" s="53"/>
    </row>
    <row r="2186" spans="1:10" x14ac:dyDescent="0.25">
      <c r="A2186" s="93"/>
      <c r="B2186" s="35"/>
      <c r="C2186" s="76"/>
      <c r="D2186" s="76"/>
      <c r="E2186" s="56"/>
      <c r="J2186" s="53"/>
    </row>
    <row r="2187" spans="1:10" x14ac:dyDescent="0.25">
      <c r="A2187" s="93"/>
      <c r="B2187" s="35"/>
      <c r="C2187" s="76"/>
      <c r="D2187" s="76"/>
      <c r="E2187" s="56"/>
      <c r="J2187" s="53"/>
    </row>
    <row r="2188" spans="1:10" x14ac:dyDescent="0.25">
      <c r="A2188" s="93"/>
      <c r="B2188" s="35"/>
      <c r="C2188" s="76"/>
      <c r="D2188" s="76"/>
      <c r="E2188" s="56"/>
      <c r="J2188" s="53"/>
    </row>
    <row r="2189" spans="1:10" x14ac:dyDescent="0.25">
      <c r="A2189" s="93"/>
      <c r="B2189" s="35"/>
      <c r="C2189" s="76"/>
      <c r="D2189" s="76"/>
      <c r="E2189" s="56"/>
      <c r="J2189" s="53"/>
    </row>
    <row r="2190" spans="1:10" x14ac:dyDescent="0.25">
      <c r="A2190" s="93"/>
      <c r="B2190" s="35"/>
      <c r="C2190" s="76"/>
      <c r="D2190" s="76"/>
      <c r="E2190" s="56"/>
      <c r="J2190" s="53"/>
    </row>
    <row r="2191" spans="1:10" x14ac:dyDescent="0.25">
      <c r="A2191" s="93"/>
      <c r="B2191" s="35"/>
      <c r="C2191" s="76"/>
      <c r="D2191" s="76"/>
      <c r="E2191" s="56"/>
      <c r="J2191" s="53"/>
    </row>
    <row r="2192" spans="1:10" x14ac:dyDescent="0.25">
      <c r="A2192" s="93"/>
      <c r="B2192" s="35"/>
      <c r="C2192" s="76"/>
      <c r="D2192" s="76"/>
      <c r="E2192" s="56"/>
      <c r="J2192" s="53"/>
    </row>
    <row r="2193" spans="1:10" x14ac:dyDescent="0.25">
      <c r="A2193" s="93"/>
      <c r="B2193" s="35"/>
      <c r="C2193" s="76"/>
      <c r="D2193" s="76"/>
      <c r="E2193" s="56"/>
      <c r="J2193" s="53"/>
    </row>
    <row r="2194" spans="1:10" x14ac:dyDescent="0.25">
      <c r="A2194" s="93"/>
      <c r="B2194" s="35"/>
      <c r="C2194" s="76"/>
      <c r="D2194" s="76"/>
      <c r="E2194" s="56"/>
      <c r="J2194" s="53"/>
    </row>
    <row r="2195" spans="1:10" x14ac:dyDescent="0.25">
      <c r="A2195" s="93"/>
      <c r="B2195" s="35"/>
      <c r="C2195" s="76"/>
      <c r="D2195" s="76"/>
      <c r="E2195" s="56"/>
      <c r="J2195" s="53"/>
    </row>
    <row r="2196" spans="1:10" x14ac:dyDescent="0.25">
      <c r="A2196" s="93"/>
      <c r="B2196" s="35"/>
      <c r="C2196" s="76"/>
      <c r="D2196" s="76"/>
      <c r="E2196" s="56"/>
      <c r="J2196" s="53"/>
    </row>
    <row r="2197" spans="1:10" x14ac:dyDescent="0.25">
      <c r="A2197" s="93"/>
      <c r="B2197" s="35"/>
      <c r="C2197" s="76"/>
      <c r="D2197" s="76"/>
      <c r="E2197" s="56"/>
      <c r="J2197" s="53"/>
    </row>
    <row r="2198" spans="1:10" x14ac:dyDescent="0.25">
      <c r="A2198" s="93"/>
      <c r="B2198" s="35"/>
      <c r="C2198" s="76"/>
      <c r="D2198" s="76"/>
      <c r="E2198" s="56"/>
      <c r="J2198" s="53"/>
    </row>
    <row r="2199" spans="1:10" x14ac:dyDescent="0.25">
      <c r="A2199" s="93"/>
      <c r="B2199" s="35"/>
      <c r="C2199" s="76"/>
      <c r="D2199" s="76"/>
      <c r="E2199" s="56"/>
      <c r="J2199" s="53"/>
    </row>
    <row r="2200" spans="1:10" x14ac:dyDescent="0.25">
      <c r="A2200" s="93"/>
      <c r="B2200" s="35"/>
      <c r="C2200" s="76"/>
      <c r="D2200" s="76"/>
      <c r="E2200" s="56"/>
      <c r="J2200" s="53"/>
    </row>
    <row r="2201" spans="1:10" x14ac:dyDescent="0.25">
      <c r="A2201" s="93"/>
      <c r="B2201" s="35"/>
      <c r="C2201" s="76"/>
      <c r="D2201" s="76"/>
      <c r="E2201" s="56"/>
      <c r="J2201" s="53"/>
    </row>
    <row r="2202" spans="1:10" x14ac:dyDescent="0.25">
      <c r="A2202" s="93"/>
      <c r="B2202" s="35"/>
      <c r="C2202" s="76"/>
      <c r="D2202" s="76"/>
      <c r="E2202" s="56"/>
      <c r="J2202" s="53"/>
    </row>
    <row r="2203" spans="1:10" x14ac:dyDescent="0.25">
      <c r="A2203" s="93"/>
      <c r="B2203" s="35"/>
      <c r="C2203" s="76"/>
      <c r="D2203" s="76"/>
      <c r="E2203" s="56"/>
      <c r="J2203" s="53"/>
    </row>
    <row r="2204" spans="1:10" x14ac:dyDescent="0.25">
      <c r="A2204" s="93"/>
      <c r="B2204" s="35"/>
      <c r="C2204" s="76"/>
      <c r="D2204" s="76"/>
      <c r="E2204" s="56"/>
      <c r="J2204" s="53"/>
    </row>
    <row r="2205" spans="1:10" x14ac:dyDescent="0.25">
      <c r="A2205" s="93"/>
      <c r="B2205" s="35"/>
      <c r="C2205" s="76"/>
      <c r="D2205" s="76"/>
      <c r="E2205" s="56"/>
      <c r="J2205" s="53"/>
    </row>
    <row r="2206" spans="1:10" x14ac:dyDescent="0.25">
      <c r="A2206" s="93"/>
      <c r="B2206" s="35"/>
      <c r="C2206" s="76"/>
      <c r="D2206" s="76"/>
      <c r="E2206" s="56"/>
      <c r="J2206" s="53"/>
    </row>
    <row r="2207" spans="1:10" x14ac:dyDescent="0.25">
      <c r="A2207" s="93"/>
      <c r="B2207" s="35"/>
      <c r="C2207" s="76"/>
      <c r="D2207" s="76"/>
      <c r="E2207" s="56"/>
      <c r="J2207" s="53"/>
    </row>
    <row r="2208" spans="1:10" x14ac:dyDescent="0.25">
      <c r="A2208" s="93"/>
      <c r="B2208" s="35"/>
      <c r="C2208" s="76"/>
      <c r="D2208" s="76"/>
      <c r="E2208" s="56"/>
      <c r="J2208" s="53"/>
    </row>
    <row r="2209" spans="1:10" x14ac:dyDescent="0.25">
      <c r="A2209" s="93"/>
      <c r="B2209" s="35"/>
      <c r="C2209" s="76"/>
      <c r="D2209" s="76"/>
      <c r="E2209" s="56"/>
      <c r="J2209" s="53"/>
    </row>
    <row r="2210" spans="1:10" x14ac:dyDescent="0.25">
      <c r="A2210" s="93"/>
      <c r="B2210" s="35"/>
      <c r="C2210" s="76"/>
      <c r="D2210" s="76"/>
      <c r="E2210" s="56"/>
      <c r="J2210" s="53"/>
    </row>
    <row r="2211" spans="1:10" x14ac:dyDescent="0.25">
      <c r="A2211" s="93"/>
      <c r="B2211" s="35"/>
      <c r="C2211" s="76"/>
      <c r="D2211" s="76"/>
      <c r="E2211" s="56"/>
      <c r="J2211" s="53"/>
    </row>
    <row r="2212" spans="1:10" x14ac:dyDescent="0.25">
      <c r="A2212" s="93"/>
      <c r="B2212" s="35"/>
      <c r="C2212" s="76"/>
      <c r="D2212" s="76"/>
      <c r="E2212" s="56"/>
      <c r="J2212" s="53"/>
    </row>
    <row r="2213" spans="1:10" x14ac:dyDescent="0.25">
      <c r="A2213" s="93"/>
      <c r="B2213" s="35"/>
      <c r="C2213" s="76"/>
      <c r="D2213" s="76"/>
      <c r="E2213" s="56"/>
      <c r="J2213" s="53"/>
    </row>
    <row r="2214" spans="1:10" x14ac:dyDescent="0.25">
      <c r="A2214" s="93"/>
      <c r="B2214" s="35"/>
      <c r="C2214" s="76"/>
      <c r="D2214" s="76"/>
      <c r="E2214" s="56"/>
      <c r="J2214" s="53"/>
    </row>
    <row r="2215" spans="1:10" x14ac:dyDescent="0.25">
      <c r="A2215" s="93"/>
      <c r="B2215" s="35"/>
      <c r="C2215" s="76"/>
      <c r="D2215" s="76"/>
      <c r="E2215" s="56"/>
      <c r="J2215" s="53"/>
    </row>
    <row r="2216" spans="1:10" x14ac:dyDescent="0.25">
      <c r="A2216" s="93"/>
      <c r="B2216" s="35"/>
      <c r="C2216" s="76"/>
      <c r="D2216" s="76"/>
      <c r="E2216" s="56"/>
      <c r="J2216" s="53"/>
    </row>
    <row r="2217" spans="1:10" x14ac:dyDescent="0.25">
      <c r="A2217" s="93"/>
      <c r="B2217" s="35"/>
      <c r="C2217" s="76"/>
      <c r="D2217" s="76"/>
      <c r="E2217" s="56"/>
      <c r="J2217" s="53"/>
    </row>
    <row r="2218" spans="1:10" x14ac:dyDescent="0.25">
      <c r="A2218" s="93"/>
      <c r="B2218" s="35"/>
      <c r="C2218" s="76"/>
      <c r="D2218" s="76"/>
      <c r="E2218" s="56"/>
      <c r="J2218" s="53"/>
    </row>
    <row r="2219" spans="1:10" x14ac:dyDescent="0.25">
      <c r="A2219" s="93"/>
      <c r="B2219" s="35"/>
      <c r="C2219" s="76"/>
      <c r="D2219" s="76"/>
      <c r="E2219" s="56"/>
      <c r="J2219" s="53"/>
    </row>
    <row r="2220" spans="1:10" x14ac:dyDescent="0.25">
      <c r="A2220" s="93"/>
      <c r="B2220" s="35"/>
      <c r="C2220" s="76"/>
      <c r="D2220" s="76"/>
      <c r="E2220" s="56"/>
      <c r="J2220" s="53"/>
    </row>
    <row r="2221" spans="1:10" x14ac:dyDescent="0.25">
      <c r="A2221" s="93"/>
      <c r="B2221" s="35"/>
      <c r="C2221" s="76"/>
      <c r="D2221" s="76"/>
      <c r="E2221" s="56"/>
      <c r="J2221" s="53"/>
    </row>
    <row r="2222" spans="1:10" x14ac:dyDescent="0.25">
      <c r="A2222" s="93"/>
      <c r="B2222" s="35"/>
      <c r="C2222" s="76"/>
      <c r="D2222" s="76"/>
      <c r="E2222" s="56"/>
      <c r="J2222" s="53"/>
    </row>
    <row r="2223" spans="1:10" x14ac:dyDescent="0.25">
      <c r="A2223" s="93"/>
      <c r="B2223" s="35"/>
      <c r="C2223" s="76"/>
      <c r="D2223" s="76"/>
      <c r="E2223" s="56"/>
      <c r="J2223" s="53"/>
    </row>
    <row r="2224" spans="1:10" x14ac:dyDescent="0.25">
      <c r="A2224" s="93"/>
      <c r="B2224" s="35"/>
      <c r="C2224" s="76"/>
      <c r="D2224" s="76"/>
      <c r="E2224" s="56"/>
      <c r="J2224" s="53"/>
    </row>
    <row r="2225" spans="1:10" x14ac:dyDescent="0.25">
      <c r="A2225" s="93"/>
      <c r="B2225" s="35"/>
      <c r="C2225" s="76"/>
      <c r="D2225" s="76"/>
      <c r="E2225" s="56"/>
      <c r="J2225" s="53"/>
    </row>
    <row r="2226" spans="1:10" x14ac:dyDescent="0.25">
      <c r="A2226" s="93"/>
      <c r="B2226" s="35"/>
      <c r="C2226" s="76"/>
      <c r="D2226" s="76"/>
      <c r="E2226" s="56"/>
      <c r="J2226" s="53"/>
    </row>
    <row r="2227" spans="1:10" x14ac:dyDescent="0.25">
      <c r="A2227" s="93"/>
      <c r="B2227" s="35"/>
      <c r="C2227" s="76"/>
      <c r="D2227" s="76"/>
      <c r="E2227" s="56"/>
      <c r="J2227" s="53"/>
    </row>
    <row r="2228" spans="1:10" x14ac:dyDescent="0.25">
      <c r="A2228" s="93"/>
      <c r="B2228" s="35"/>
      <c r="C2228" s="76"/>
      <c r="D2228" s="76"/>
      <c r="E2228" s="56"/>
      <c r="J2228" s="53"/>
    </row>
    <row r="2229" spans="1:10" x14ac:dyDescent="0.25">
      <c r="A2229" s="93"/>
      <c r="B2229" s="35"/>
      <c r="C2229" s="76"/>
      <c r="D2229" s="76"/>
      <c r="E2229" s="56"/>
      <c r="J2229" s="53"/>
    </row>
    <row r="2230" spans="1:10" x14ac:dyDescent="0.25">
      <c r="A2230" s="93"/>
      <c r="B2230" s="35"/>
      <c r="C2230" s="76"/>
      <c r="D2230" s="76"/>
      <c r="E2230" s="56"/>
      <c r="J2230" s="53"/>
    </row>
    <row r="2231" spans="1:10" x14ac:dyDescent="0.25">
      <c r="A2231" s="93"/>
      <c r="B2231" s="35"/>
      <c r="C2231" s="76"/>
      <c r="D2231" s="76"/>
      <c r="E2231" s="56"/>
      <c r="J2231" s="53"/>
    </row>
    <row r="2232" spans="1:10" x14ac:dyDescent="0.25">
      <c r="A2232" s="93"/>
      <c r="B2232" s="35"/>
      <c r="C2232" s="76"/>
      <c r="D2232" s="76"/>
      <c r="E2232" s="56"/>
      <c r="J2232" s="53"/>
    </row>
    <row r="2233" spans="1:10" x14ac:dyDescent="0.25">
      <c r="A2233" s="93"/>
      <c r="B2233" s="35"/>
      <c r="C2233" s="76"/>
      <c r="D2233" s="76"/>
      <c r="E2233" s="56"/>
      <c r="J2233" s="53"/>
    </row>
    <row r="2234" spans="1:10" x14ac:dyDescent="0.25">
      <c r="A2234" s="93"/>
      <c r="B2234" s="35"/>
      <c r="C2234" s="76"/>
      <c r="D2234" s="76"/>
      <c r="E2234" s="56"/>
      <c r="J2234" s="53"/>
    </row>
    <row r="2235" spans="1:10" x14ac:dyDescent="0.25">
      <c r="A2235" s="93"/>
      <c r="B2235" s="35"/>
      <c r="C2235" s="76"/>
      <c r="D2235" s="76"/>
      <c r="E2235" s="56"/>
      <c r="J2235" s="53"/>
    </row>
    <row r="2236" spans="1:10" x14ac:dyDescent="0.25">
      <c r="A2236" s="93"/>
      <c r="B2236" s="35"/>
      <c r="C2236" s="76"/>
      <c r="D2236" s="76"/>
      <c r="E2236" s="56"/>
      <c r="J2236" s="53"/>
    </row>
    <row r="2237" spans="1:10" x14ac:dyDescent="0.25">
      <c r="A2237" s="93"/>
      <c r="B2237" s="35"/>
      <c r="C2237" s="76"/>
      <c r="D2237" s="76"/>
      <c r="E2237" s="56"/>
      <c r="J2237" s="53"/>
    </row>
    <row r="2238" spans="1:10" x14ac:dyDescent="0.25">
      <c r="A2238" s="93"/>
      <c r="B2238" s="35"/>
      <c r="C2238" s="76"/>
      <c r="D2238" s="76"/>
      <c r="E2238" s="56"/>
      <c r="J2238" s="53"/>
    </row>
    <row r="2239" spans="1:10" x14ac:dyDescent="0.25">
      <c r="A2239" s="93"/>
      <c r="B2239" s="35"/>
      <c r="C2239" s="76"/>
      <c r="D2239" s="76"/>
      <c r="E2239" s="56"/>
      <c r="J2239" s="53"/>
    </row>
    <row r="2240" spans="1:10" x14ac:dyDescent="0.25">
      <c r="A2240" s="93"/>
      <c r="B2240" s="35"/>
      <c r="C2240" s="76"/>
      <c r="D2240" s="76"/>
      <c r="E2240" s="56"/>
      <c r="J2240" s="53"/>
    </row>
    <row r="2241" spans="1:10" x14ac:dyDescent="0.25">
      <c r="A2241" s="93"/>
      <c r="B2241" s="35"/>
      <c r="C2241" s="76"/>
      <c r="D2241" s="76"/>
      <c r="E2241" s="56"/>
      <c r="J2241" s="53"/>
    </row>
    <row r="2242" spans="1:10" x14ac:dyDescent="0.25">
      <c r="A2242" s="93"/>
      <c r="B2242" s="35"/>
      <c r="C2242" s="76"/>
      <c r="D2242" s="76"/>
      <c r="E2242" s="56"/>
      <c r="J2242" s="53"/>
    </row>
    <row r="2243" spans="1:10" x14ac:dyDescent="0.25">
      <c r="A2243" s="93"/>
      <c r="B2243" s="35"/>
      <c r="C2243" s="76"/>
      <c r="D2243" s="76"/>
      <c r="E2243" s="56"/>
      <c r="J2243" s="53"/>
    </row>
    <row r="2244" spans="1:10" x14ac:dyDescent="0.25">
      <c r="A2244" s="93"/>
      <c r="B2244" s="35"/>
      <c r="C2244" s="76"/>
      <c r="D2244" s="76"/>
      <c r="E2244" s="56"/>
      <c r="J2244" s="53"/>
    </row>
    <row r="2245" spans="1:10" x14ac:dyDescent="0.25">
      <c r="A2245" s="93"/>
      <c r="B2245" s="35"/>
      <c r="C2245" s="76"/>
      <c r="D2245" s="76"/>
      <c r="E2245" s="56"/>
      <c r="J2245" s="53"/>
    </row>
    <row r="2246" spans="1:10" x14ac:dyDescent="0.25">
      <c r="A2246" s="93"/>
      <c r="B2246" s="35"/>
      <c r="C2246" s="76"/>
      <c r="D2246" s="76"/>
      <c r="E2246" s="56"/>
      <c r="J2246" s="53"/>
    </row>
    <row r="2247" spans="1:10" x14ac:dyDescent="0.25">
      <c r="A2247" s="93"/>
      <c r="B2247" s="35"/>
      <c r="C2247" s="76"/>
      <c r="D2247" s="76"/>
      <c r="E2247" s="56"/>
      <c r="J2247" s="53"/>
    </row>
    <row r="2248" spans="1:10" x14ac:dyDescent="0.25">
      <c r="A2248" s="93"/>
      <c r="B2248" s="35"/>
      <c r="C2248" s="76"/>
      <c r="D2248" s="76"/>
      <c r="E2248" s="56"/>
      <c r="J2248" s="53"/>
    </row>
    <row r="2249" spans="1:10" x14ac:dyDescent="0.25">
      <c r="A2249" s="93"/>
      <c r="B2249" s="35"/>
      <c r="C2249" s="76"/>
      <c r="D2249" s="76"/>
      <c r="E2249" s="56"/>
      <c r="J2249" s="53"/>
    </row>
    <row r="2250" spans="1:10" x14ac:dyDescent="0.25">
      <c r="A2250" s="93"/>
      <c r="B2250" s="35"/>
      <c r="C2250" s="76"/>
      <c r="D2250" s="76"/>
      <c r="E2250" s="56"/>
      <c r="J2250" s="53"/>
    </row>
    <row r="2251" spans="1:10" x14ac:dyDescent="0.25">
      <c r="A2251" s="93"/>
      <c r="B2251" s="35"/>
      <c r="C2251" s="76"/>
      <c r="D2251" s="76"/>
      <c r="E2251" s="56"/>
      <c r="J2251" s="53"/>
    </row>
    <row r="2252" spans="1:10" x14ac:dyDescent="0.25">
      <c r="A2252" s="93"/>
      <c r="B2252" s="35"/>
      <c r="C2252" s="76"/>
      <c r="D2252" s="76"/>
      <c r="E2252" s="56"/>
      <c r="J2252" s="53"/>
    </row>
    <row r="2253" spans="1:10" x14ac:dyDescent="0.25">
      <c r="A2253" s="93"/>
      <c r="B2253" s="35"/>
      <c r="C2253" s="76"/>
      <c r="D2253" s="76"/>
      <c r="E2253" s="56"/>
      <c r="J2253" s="53"/>
    </row>
    <row r="2254" spans="1:10" x14ac:dyDescent="0.25">
      <c r="A2254" s="93"/>
      <c r="B2254" s="35"/>
      <c r="C2254" s="76"/>
      <c r="D2254" s="76"/>
      <c r="E2254" s="56"/>
      <c r="J2254" s="53"/>
    </row>
    <row r="2255" spans="1:10" x14ac:dyDescent="0.25">
      <c r="A2255" s="93"/>
      <c r="B2255" s="35"/>
      <c r="C2255" s="76"/>
      <c r="D2255" s="76"/>
      <c r="E2255" s="56"/>
      <c r="J2255" s="53"/>
    </row>
    <row r="2256" spans="1:10" x14ac:dyDescent="0.25">
      <c r="A2256" s="93"/>
      <c r="B2256" s="35"/>
      <c r="C2256" s="76"/>
      <c r="D2256" s="76"/>
      <c r="E2256" s="56"/>
      <c r="J2256" s="53"/>
    </row>
    <row r="2257" spans="1:10" x14ac:dyDescent="0.25">
      <c r="A2257" s="93"/>
      <c r="B2257" s="35"/>
      <c r="C2257" s="76"/>
      <c r="D2257" s="76"/>
      <c r="E2257" s="56"/>
      <c r="J2257" s="53"/>
    </row>
    <row r="2258" spans="1:10" x14ac:dyDescent="0.25">
      <c r="A2258" s="93"/>
      <c r="B2258" s="35"/>
      <c r="C2258" s="76"/>
      <c r="D2258" s="76"/>
      <c r="E2258" s="56"/>
      <c r="J2258" s="53"/>
    </row>
    <row r="2259" spans="1:10" x14ac:dyDescent="0.25">
      <c r="A2259" s="93"/>
      <c r="B2259" s="35"/>
      <c r="C2259" s="76"/>
      <c r="D2259" s="76"/>
      <c r="E2259" s="56"/>
      <c r="J2259" s="53"/>
    </row>
    <row r="2260" spans="1:10" x14ac:dyDescent="0.25">
      <c r="A2260" s="93"/>
      <c r="B2260" s="35"/>
      <c r="C2260" s="76"/>
      <c r="D2260" s="76"/>
      <c r="E2260" s="56"/>
      <c r="J2260" s="53"/>
    </row>
    <row r="2261" spans="1:10" x14ac:dyDescent="0.25">
      <c r="A2261" s="93"/>
      <c r="B2261" s="35"/>
      <c r="C2261" s="76"/>
      <c r="D2261" s="76"/>
      <c r="E2261" s="56"/>
      <c r="J2261" s="53"/>
    </row>
    <row r="2262" spans="1:10" x14ac:dyDescent="0.25">
      <c r="A2262" s="93"/>
      <c r="B2262" s="35"/>
      <c r="C2262" s="76"/>
      <c r="D2262" s="76"/>
      <c r="E2262" s="56"/>
      <c r="J2262" s="53"/>
    </row>
    <row r="2263" spans="1:10" x14ac:dyDescent="0.25">
      <c r="A2263" s="93"/>
      <c r="B2263" s="35"/>
      <c r="C2263" s="76"/>
      <c r="D2263" s="76"/>
      <c r="E2263" s="56"/>
      <c r="J2263" s="53"/>
    </row>
    <row r="2264" spans="1:10" x14ac:dyDescent="0.25">
      <c r="A2264" s="93"/>
      <c r="B2264" s="35"/>
      <c r="C2264" s="76"/>
      <c r="D2264" s="76"/>
      <c r="E2264" s="56"/>
      <c r="J2264" s="53"/>
    </row>
    <row r="2265" spans="1:10" x14ac:dyDescent="0.25">
      <c r="A2265" s="93"/>
      <c r="B2265" s="35"/>
      <c r="C2265" s="76"/>
      <c r="D2265" s="76"/>
      <c r="E2265" s="56"/>
      <c r="J2265" s="53"/>
    </row>
    <row r="2266" spans="1:10" x14ac:dyDescent="0.25">
      <c r="A2266" s="93"/>
      <c r="B2266" s="35"/>
      <c r="C2266" s="76"/>
      <c r="D2266" s="76"/>
      <c r="E2266" s="56"/>
      <c r="J2266" s="53"/>
    </row>
    <row r="2267" spans="1:10" x14ac:dyDescent="0.25">
      <c r="A2267" s="93"/>
      <c r="B2267" s="35"/>
      <c r="C2267" s="76"/>
      <c r="D2267" s="76"/>
      <c r="E2267" s="56"/>
      <c r="J2267" s="53"/>
    </row>
    <row r="2268" spans="1:10" x14ac:dyDescent="0.25">
      <c r="A2268" s="93"/>
      <c r="B2268" s="35"/>
      <c r="C2268" s="76"/>
      <c r="D2268" s="76"/>
      <c r="E2268" s="56"/>
      <c r="J2268" s="53"/>
    </row>
    <row r="2269" spans="1:10" x14ac:dyDescent="0.25">
      <c r="A2269" s="93"/>
      <c r="B2269" s="35"/>
      <c r="C2269" s="76"/>
      <c r="D2269" s="76"/>
      <c r="E2269" s="56"/>
      <c r="J2269" s="53"/>
    </row>
    <row r="2270" spans="1:10" x14ac:dyDescent="0.25">
      <c r="A2270" s="93"/>
      <c r="B2270" s="35"/>
      <c r="C2270" s="76"/>
      <c r="D2270" s="76"/>
      <c r="E2270" s="56"/>
      <c r="J2270" s="53"/>
    </row>
    <row r="2271" spans="1:10" x14ac:dyDescent="0.25">
      <c r="A2271" s="93"/>
      <c r="B2271" s="35"/>
      <c r="C2271" s="76"/>
      <c r="D2271" s="76"/>
      <c r="E2271" s="56"/>
      <c r="J2271" s="53"/>
    </row>
    <row r="2272" spans="1:10" x14ac:dyDescent="0.25">
      <c r="A2272" s="93"/>
      <c r="B2272" s="35"/>
      <c r="C2272" s="76"/>
      <c r="D2272" s="76"/>
      <c r="E2272" s="56"/>
      <c r="J2272" s="53"/>
    </row>
    <row r="2273" spans="1:10" x14ac:dyDescent="0.25">
      <c r="A2273" s="93"/>
      <c r="B2273" s="35"/>
      <c r="C2273" s="76"/>
      <c r="D2273" s="76"/>
      <c r="E2273" s="56"/>
      <c r="J2273" s="53"/>
    </row>
    <row r="2274" spans="1:10" x14ac:dyDescent="0.25">
      <c r="A2274" s="93"/>
      <c r="B2274" s="35"/>
      <c r="C2274" s="76"/>
      <c r="D2274" s="76"/>
      <c r="E2274" s="56"/>
      <c r="J2274" s="53"/>
    </row>
    <row r="2275" spans="1:10" x14ac:dyDescent="0.25">
      <c r="A2275" s="93"/>
      <c r="B2275" s="35"/>
      <c r="C2275" s="76"/>
      <c r="D2275" s="76"/>
      <c r="E2275" s="56"/>
      <c r="J2275" s="53"/>
    </row>
    <row r="2276" spans="1:10" x14ac:dyDescent="0.25">
      <c r="A2276" s="93"/>
      <c r="B2276" s="35"/>
      <c r="C2276" s="76"/>
      <c r="D2276" s="76"/>
      <c r="E2276" s="56"/>
      <c r="J2276" s="53"/>
    </row>
    <row r="2277" spans="1:10" x14ac:dyDescent="0.25">
      <c r="A2277" s="93"/>
      <c r="B2277" s="35"/>
      <c r="C2277" s="76"/>
      <c r="D2277" s="76"/>
      <c r="E2277" s="56"/>
      <c r="J2277" s="53"/>
    </row>
    <row r="2278" spans="1:10" x14ac:dyDescent="0.25">
      <c r="A2278" s="93"/>
      <c r="B2278" s="35"/>
      <c r="C2278" s="76"/>
      <c r="D2278" s="76"/>
      <c r="E2278" s="56"/>
      <c r="J2278" s="53"/>
    </row>
    <row r="2279" spans="1:10" x14ac:dyDescent="0.25">
      <c r="A2279" s="93"/>
      <c r="B2279" s="35"/>
      <c r="C2279" s="76"/>
      <c r="D2279" s="76"/>
      <c r="E2279" s="56"/>
      <c r="J2279" s="53"/>
    </row>
    <row r="2280" spans="1:10" x14ac:dyDescent="0.25">
      <c r="A2280" s="93"/>
      <c r="B2280" s="35"/>
      <c r="C2280" s="76"/>
      <c r="E2280" s="56"/>
      <c r="J2280" s="53"/>
    </row>
    <row r="2281" spans="1:10" x14ac:dyDescent="0.25">
      <c r="A2281" s="93"/>
      <c r="B2281" s="35"/>
      <c r="C2281" s="76"/>
      <c r="E2281" s="56"/>
      <c r="J2281" s="53"/>
    </row>
    <row r="2282" spans="1:10" x14ac:dyDescent="0.25">
      <c r="A2282" s="93"/>
      <c r="B2282" s="35"/>
      <c r="C2282" s="76"/>
      <c r="E2282" s="56"/>
      <c r="J2282" s="53"/>
    </row>
    <row r="2283" spans="1:10" x14ac:dyDescent="0.25">
      <c r="A2283" s="93"/>
      <c r="B2283" s="35"/>
      <c r="C2283" s="76"/>
      <c r="E2283" s="56"/>
      <c r="J2283" s="53"/>
    </row>
    <row r="2284" spans="1:10" x14ac:dyDescent="0.25">
      <c r="A2284" s="93"/>
      <c r="B2284" s="35"/>
      <c r="C2284" s="76"/>
      <c r="E2284" s="56"/>
      <c r="J2284" s="53"/>
    </row>
    <row r="2285" spans="1:10" x14ac:dyDescent="0.25">
      <c r="A2285" s="93"/>
      <c r="B2285" s="35"/>
      <c r="C2285" s="76"/>
      <c r="E2285" s="56"/>
      <c r="J2285" s="53"/>
    </row>
    <row r="2286" spans="1:10" x14ac:dyDescent="0.25">
      <c r="A2286" s="93"/>
      <c r="B2286" s="35"/>
      <c r="C2286" s="76"/>
      <c r="E2286" s="56"/>
      <c r="J2286" s="53"/>
    </row>
    <row r="2287" spans="1:10" x14ac:dyDescent="0.25">
      <c r="A2287" s="93"/>
      <c r="B2287" s="35"/>
      <c r="C2287" s="76"/>
      <c r="E2287" s="56"/>
      <c r="J2287" s="53"/>
    </row>
    <row r="2288" spans="1:10" x14ac:dyDescent="0.25">
      <c r="A2288" s="93"/>
      <c r="B2288" s="35"/>
      <c r="C2288" s="76"/>
      <c r="E2288" s="56"/>
      <c r="J2288" s="53"/>
    </row>
    <row r="2289" spans="1:10" x14ac:dyDescent="0.25">
      <c r="A2289" s="93"/>
      <c r="B2289" s="35"/>
      <c r="C2289" s="76"/>
      <c r="E2289" s="56"/>
      <c r="J2289" s="53"/>
    </row>
    <row r="2290" spans="1:10" x14ac:dyDescent="0.25">
      <c r="A2290" s="93"/>
      <c r="B2290" s="35"/>
      <c r="C2290" s="76"/>
      <c r="E2290" s="56"/>
      <c r="J2290" s="53"/>
    </row>
    <row r="2291" spans="1:10" x14ac:dyDescent="0.25">
      <c r="A2291" s="93"/>
      <c r="B2291" s="35"/>
      <c r="C2291" s="76"/>
      <c r="E2291" s="56"/>
      <c r="J2291" s="53"/>
    </row>
    <row r="2292" spans="1:10" x14ac:dyDescent="0.25">
      <c r="A2292" s="93"/>
      <c r="B2292" s="35"/>
      <c r="C2292" s="76"/>
      <c r="E2292" s="56"/>
      <c r="J2292" s="53"/>
    </row>
    <row r="2293" spans="1:10" x14ac:dyDescent="0.25">
      <c r="A2293" s="93"/>
      <c r="B2293" s="35"/>
      <c r="C2293" s="76"/>
      <c r="E2293" s="56"/>
      <c r="J2293" s="53"/>
    </row>
    <row r="2294" spans="1:10" x14ac:dyDescent="0.25">
      <c r="A2294" s="93"/>
      <c r="B2294" s="35"/>
      <c r="C2294" s="76"/>
      <c r="E2294" s="56"/>
      <c r="J2294" s="53"/>
    </row>
    <row r="2295" spans="1:10" x14ac:dyDescent="0.25">
      <c r="A2295" s="93"/>
      <c r="B2295" s="35"/>
      <c r="C2295" s="76"/>
      <c r="E2295" s="56"/>
      <c r="J2295" s="53"/>
    </row>
    <row r="2296" spans="1:10" x14ac:dyDescent="0.25">
      <c r="A2296" s="93"/>
      <c r="B2296" s="35"/>
      <c r="C2296" s="76"/>
      <c r="E2296" s="56"/>
      <c r="J2296" s="53"/>
    </row>
    <row r="2297" spans="1:10" x14ac:dyDescent="0.25">
      <c r="A2297" s="93"/>
      <c r="B2297" s="35"/>
      <c r="C2297" s="76"/>
      <c r="E2297" s="56"/>
      <c r="J2297" s="53"/>
    </row>
    <row r="2298" spans="1:10" x14ac:dyDescent="0.25">
      <c r="A2298" s="93"/>
      <c r="B2298" s="35"/>
      <c r="C2298" s="76"/>
      <c r="E2298" s="56"/>
      <c r="J2298" s="53"/>
    </row>
    <row r="2299" spans="1:10" x14ac:dyDescent="0.25">
      <c r="A2299" s="93"/>
      <c r="B2299" s="35"/>
      <c r="C2299" s="76"/>
      <c r="E2299" s="56"/>
      <c r="J2299" s="53"/>
    </row>
    <row r="2300" spans="1:10" x14ac:dyDescent="0.25">
      <c r="A2300" s="93"/>
      <c r="B2300" s="35"/>
      <c r="C2300" s="76"/>
      <c r="E2300" s="56"/>
      <c r="J2300" s="53"/>
    </row>
    <row r="2301" spans="1:10" x14ac:dyDescent="0.25">
      <c r="A2301" s="93"/>
      <c r="B2301" s="35"/>
      <c r="C2301" s="76"/>
      <c r="E2301" s="56"/>
      <c r="J2301" s="53"/>
    </row>
    <row r="2302" spans="1:10" x14ac:dyDescent="0.25">
      <c r="A2302" s="93"/>
      <c r="B2302" s="35"/>
      <c r="C2302" s="76"/>
      <c r="E2302" s="56"/>
      <c r="J2302" s="53"/>
    </row>
    <row r="2303" spans="1:10" x14ac:dyDescent="0.25">
      <c r="A2303" s="93"/>
      <c r="B2303" s="35"/>
      <c r="C2303" s="76"/>
      <c r="E2303" s="56"/>
      <c r="J2303" s="53"/>
    </row>
    <row r="2304" spans="1:10" x14ac:dyDescent="0.25">
      <c r="A2304" s="93"/>
      <c r="B2304" s="35"/>
      <c r="C2304" s="76"/>
      <c r="E2304" s="56"/>
      <c r="J2304" s="53"/>
    </row>
    <row r="2305" spans="1:10" x14ac:dyDescent="0.25">
      <c r="A2305" s="93"/>
      <c r="B2305" s="35"/>
      <c r="C2305" s="76"/>
      <c r="E2305" s="56"/>
      <c r="J2305" s="53"/>
    </row>
    <row r="2306" spans="1:10" x14ac:dyDescent="0.25">
      <c r="A2306" s="93"/>
      <c r="B2306" s="35"/>
      <c r="C2306" s="76"/>
      <c r="E2306" s="56"/>
      <c r="J2306" s="53"/>
    </row>
    <row r="2307" spans="1:10" x14ac:dyDescent="0.25">
      <c r="A2307" s="93"/>
      <c r="B2307" s="35"/>
      <c r="C2307" s="76"/>
      <c r="E2307" s="56"/>
      <c r="J2307" s="53"/>
    </row>
    <row r="2308" spans="1:10" x14ac:dyDescent="0.25">
      <c r="A2308" s="93"/>
      <c r="B2308" s="35"/>
      <c r="C2308" s="76"/>
      <c r="E2308" s="56"/>
      <c r="J2308" s="53"/>
    </row>
    <row r="2309" spans="1:10" x14ac:dyDescent="0.25">
      <c r="A2309" s="93"/>
      <c r="B2309" s="35"/>
      <c r="C2309" s="76"/>
      <c r="E2309" s="56"/>
      <c r="J2309" s="53"/>
    </row>
    <row r="2310" spans="1:10" x14ac:dyDescent="0.25">
      <c r="A2310" s="93"/>
      <c r="B2310" s="35"/>
      <c r="C2310" s="76"/>
      <c r="E2310" s="56"/>
      <c r="J2310" s="53"/>
    </row>
    <row r="2311" spans="1:10" x14ac:dyDescent="0.25">
      <c r="A2311" s="93"/>
      <c r="B2311" s="35"/>
      <c r="C2311" s="76"/>
      <c r="E2311" s="56"/>
      <c r="J2311" s="53"/>
    </row>
    <row r="2312" spans="1:10" x14ac:dyDescent="0.25">
      <c r="A2312" s="93"/>
      <c r="B2312" s="35"/>
      <c r="C2312" s="76"/>
      <c r="E2312" s="56"/>
      <c r="J2312" s="53"/>
    </row>
    <row r="2313" spans="1:10" x14ac:dyDescent="0.25">
      <c r="A2313" s="93"/>
      <c r="B2313" s="35"/>
      <c r="C2313" s="76"/>
      <c r="E2313" s="56"/>
      <c r="J2313" s="53"/>
    </row>
    <row r="2314" spans="1:10" x14ac:dyDescent="0.25">
      <c r="A2314" s="93"/>
      <c r="B2314" s="35"/>
      <c r="C2314" s="76"/>
      <c r="E2314" s="56"/>
      <c r="J2314" s="53"/>
    </row>
    <row r="2315" spans="1:10" x14ac:dyDescent="0.25">
      <c r="A2315" s="93"/>
      <c r="B2315" s="35"/>
      <c r="C2315" s="76"/>
      <c r="E2315" s="56"/>
      <c r="J2315" s="53"/>
    </row>
    <row r="2316" spans="1:10" x14ac:dyDescent="0.25">
      <c r="A2316" s="93"/>
      <c r="B2316" s="35"/>
      <c r="C2316" s="76"/>
      <c r="E2316" s="56"/>
      <c r="J2316" s="53"/>
    </row>
    <row r="2317" spans="1:10" x14ac:dyDescent="0.25">
      <c r="A2317" s="93"/>
      <c r="B2317" s="35"/>
      <c r="C2317" s="76"/>
      <c r="E2317" s="56"/>
      <c r="J2317" s="53"/>
    </row>
    <row r="2318" spans="1:10" x14ac:dyDescent="0.25">
      <c r="A2318" s="93"/>
      <c r="B2318" s="35"/>
      <c r="C2318" s="76"/>
      <c r="E2318" s="56"/>
      <c r="J2318" s="53"/>
    </row>
    <row r="2319" spans="1:10" x14ac:dyDescent="0.25">
      <c r="A2319" s="93"/>
      <c r="B2319" s="35"/>
      <c r="C2319" s="76"/>
      <c r="E2319" s="56"/>
      <c r="J2319" s="53"/>
    </row>
    <row r="2320" spans="1:10" x14ac:dyDescent="0.25">
      <c r="A2320" s="93"/>
      <c r="B2320" s="35"/>
      <c r="C2320" s="76"/>
      <c r="E2320" s="56"/>
      <c r="J2320" s="53"/>
    </row>
    <row r="2321" spans="1:10" x14ac:dyDescent="0.25">
      <c r="A2321" s="93"/>
      <c r="B2321" s="35"/>
      <c r="C2321" s="76"/>
      <c r="E2321" s="56"/>
      <c r="J2321" s="53"/>
    </row>
    <row r="2322" spans="1:10" x14ac:dyDescent="0.25">
      <c r="A2322" s="93"/>
      <c r="B2322" s="35"/>
      <c r="C2322" s="76"/>
      <c r="E2322" s="56"/>
      <c r="J2322" s="53"/>
    </row>
    <row r="2323" spans="1:10" x14ac:dyDescent="0.25">
      <c r="A2323" s="93"/>
      <c r="B2323" s="35"/>
      <c r="C2323" s="76"/>
      <c r="E2323" s="56"/>
      <c r="J2323" s="53"/>
    </row>
    <row r="2324" spans="1:10" x14ac:dyDescent="0.25">
      <c r="A2324" s="93"/>
      <c r="B2324" s="35"/>
      <c r="C2324" s="76"/>
      <c r="E2324" s="56"/>
      <c r="J2324" s="53"/>
    </row>
    <row r="2325" spans="1:10" x14ac:dyDescent="0.25">
      <c r="A2325" s="93"/>
      <c r="B2325" s="35"/>
      <c r="C2325" s="76"/>
      <c r="E2325" s="56"/>
      <c r="J2325" s="53"/>
    </row>
    <row r="2326" spans="1:10" x14ac:dyDescent="0.25">
      <c r="A2326" s="93"/>
      <c r="B2326" s="35"/>
      <c r="C2326" s="76"/>
      <c r="E2326" s="56"/>
      <c r="J2326" s="53"/>
    </row>
    <row r="2327" spans="1:10" x14ac:dyDescent="0.25">
      <c r="A2327" s="93"/>
      <c r="B2327" s="35"/>
      <c r="C2327" s="76"/>
      <c r="E2327" s="56"/>
      <c r="J2327" s="53"/>
    </row>
    <row r="2328" spans="1:10" x14ac:dyDescent="0.25">
      <c r="A2328" s="93"/>
      <c r="B2328" s="35"/>
      <c r="C2328" s="76"/>
      <c r="E2328" s="56"/>
      <c r="J2328" s="53"/>
    </row>
    <row r="2329" spans="1:10" x14ac:dyDescent="0.25">
      <c r="A2329" s="93"/>
      <c r="B2329" s="35"/>
      <c r="C2329" s="76"/>
      <c r="E2329" s="56"/>
      <c r="J2329" s="53"/>
    </row>
    <row r="2330" spans="1:10" x14ac:dyDescent="0.25">
      <c r="A2330" s="93"/>
      <c r="B2330" s="35"/>
      <c r="C2330" s="76"/>
      <c r="E2330" s="56"/>
      <c r="J2330" s="53"/>
    </row>
    <row r="2331" spans="1:10" x14ac:dyDescent="0.25">
      <c r="A2331" s="93"/>
      <c r="B2331" s="35"/>
      <c r="C2331" s="76"/>
      <c r="E2331" s="56"/>
      <c r="J2331" s="53"/>
    </row>
    <row r="2332" spans="1:10" x14ac:dyDescent="0.25">
      <c r="A2332" s="93"/>
      <c r="B2332" s="35"/>
      <c r="C2332" s="76"/>
      <c r="E2332" s="56"/>
      <c r="J2332" s="53"/>
    </row>
    <row r="2333" spans="1:10" x14ac:dyDescent="0.25">
      <c r="A2333" s="93"/>
      <c r="B2333" s="35"/>
      <c r="C2333" s="76"/>
      <c r="E2333" s="56"/>
      <c r="J2333" s="53"/>
    </row>
    <row r="2334" spans="1:10" x14ac:dyDescent="0.25">
      <c r="A2334" s="93"/>
      <c r="B2334" s="35"/>
      <c r="C2334" s="76"/>
      <c r="E2334" s="56"/>
      <c r="J2334" s="53"/>
    </row>
    <row r="2335" spans="1:10" x14ac:dyDescent="0.25">
      <c r="A2335" s="93"/>
      <c r="B2335" s="35"/>
      <c r="C2335" s="76"/>
      <c r="E2335" s="56"/>
      <c r="J2335" s="53"/>
    </row>
    <row r="2336" spans="1:10" x14ac:dyDescent="0.25">
      <c r="A2336" s="93"/>
      <c r="B2336" s="35"/>
      <c r="C2336" s="76"/>
      <c r="E2336" s="56"/>
      <c r="J2336" s="53"/>
    </row>
    <row r="2337" spans="1:10" x14ac:dyDescent="0.25">
      <c r="A2337" s="93"/>
      <c r="B2337" s="35"/>
      <c r="C2337" s="76"/>
      <c r="E2337" s="56"/>
      <c r="J2337" s="53"/>
    </row>
    <row r="2338" spans="1:10" x14ac:dyDescent="0.25">
      <c r="A2338" s="93"/>
      <c r="B2338" s="35"/>
      <c r="C2338" s="76"/>
      <c r="E2338" s="56"/>
      <c r="J2338" s="53"/>
    </row>
    <row r="2339" spans="1:10" x14ac:dyDescent="0.25">
      <c r="A2339" s="93"/>
      <c r="B2339" s="35"/>
      <c r="C2339" s="76"/>
      <c r="E2339" s="56"/>
      <c r="J2339" s="53"/>
    </row>
    <row r="2340" spans="1:10" x14ac:dyDescent="0.25">
      <c r="A2340" s="93"/>
      <c r="B2340" s="35"/>
      <c r="C2340" s="76"/>
      <c r="E2340" s="56"/>
      <c r="J2340" s="53"/>
    </row>
    <row r="2341" spans="1:10" x14ac:dyDescent="0.25">
      <c r="A2341" s="93"/>
      <c r="B2341" s="35"/>
      <c r="C2341" s="76"/>
      <c r="E2341" s="56"/>
      <c r="J2341" s="53"/>
    </row>
    <row r="2342" spans="1:10" x14ac:dyDescent="0.25">
      <c r="A2342" s="93"/>
      <c r="B2342" s="35"/>
      <c r="C2342" s="76"/>
      <c r="E2342" s="56"/>
      <c r="J2342" s="53"/>
    </row>
    <row r="2343" spans="1:10" x14ac:dyDescent="0.25">
      <c r="A2343" s="93"/>
      <c r="B2343" s="35"/>
      <c r="C2343" s="76"/>
      <c r="E2343" s="56"/>
      <c r="J2343" s="53"/>
    </row>
    <row r="2344" spans="1:10" x14ac:dyDescent="0.25">
      <c r="A2344" s="93"/>
      <c r="B2344" s="35"/>
      <c r="C2344" s="76"/>
      <c r="E2344" s="56"/>
      <c r="J2344" s="53"/>
    </row>
    <row r="2345" spans="1:10" x14ac:dyDescent="0.25">
      <c r="A2345" s="93"/>
      <c r="B2345" s="35"/>
      <c r="C2345" s="76"/>
      <c r="E2345" s="56"/>
      <c r="J2345" s="53"/>
    </row>
    <row r="2346" spans="1:10" x14ac:dyDescent="0.25">
      <c r="A2346" s="93"/>
      <c r="B2346" s="35"/>
      <c r="C2346" s="76"/>
      <c r="E2346" s="56"/>
      <c r="J2346" s="53"/>
    </row>
    <row r="2347" spans="1:10" x14ac:dyDescent="0.25">
      <c r="A2347" s="93"/>
      <c r="B2347" s="35"/>
      <c r="C2347" s="76"/>
      <c r="E2347" s="56"/>
      <c r="J2347" s="53"/>
    </row>
    <row r="2348" spans="1:10" x14ac:dyDescent="0.25">
      <c r="A2348" s="93"/>
      <c r="B2348" s="35"/>
      <c r="C2348" s="76"/>
      <c r="E2348" s="56"/>
      <c r="J2348" s="53"/>
    </row>
    <row r="2349" spans="1:10" x14ac:dyDescent="0.25">
      <c r="A2349" s="93"/>
      <c r="B2349" s="35"/>
      <c r="C2349" s="76"/>
      <c r="E2349" s="56"/>
      <c r="J2349" s="53"/>
    </row>
    <row r="2350" spans="1:10" x14ac:dyDescent="0.25">
      <c r="A2350" s="93"/>
      <c r="B2350" s="35"/>
      <c r="C2350" s="76"/>
      <c r="E2350" s="56"/>
      <c r="J2350" s="53"/>
    </row>
    <row r="2351" spans="1:10" x14ac:dyDescent="0.25">
      <c r="A2351" s="93"/>
      <c r="B2351" s="35"/>
      <c r="C2351" s="76"/>
      <c r="E2351" s="56"/>
      <c r="J2351" s="53"/>
    </row>
    <row r="2352" spans="1:10" x14ac:dyDescent="0.25">
      <c r="A2352" s="93"/>
      <c r="B2352" s="35"/>
      <c r="C2352" s="76"/>
      <c r="E2352" s="56"/>
      <c r="J2352" s="53"/>
    </row>
    <row r="2353" spans="1:10" x14ac:dyDescent="0.25">
      <c r="A2353" s="93"/>
      <c r="B2353" s="35"/>
      <c r="C2353" s="76"/>
      <c r="E2353" s="56"/>
      <c r="J2353" s="53"/>
    </row>
    <row r="2354" spans="1:10" x14ac:dyDescent="0.25">
      <c r="A2354" s="93"/>
      <c r="B2354" s="35"/>
      <c r="C2354" s="76"/>
      <c r="E2354" s="56"/>
      <c r="J2354" s="53"/>
    </row>
    <row r="2355" spans="1:10" x14ac:dyDescent="0.25">
      <c r="A2355" s="93"/>
      <c r="B2355" s="35"/>
      <c r="C2355" s="76"/>
      <c r="E2355" s="56"/>
      <c r="J2355" s="53"/>
    </row>
    <row r="2356" spans="1:10" x14ac:dyDescent="0.25">
      <c r="A2356" s="93"/>
      <c r="B2356" s="35"/>
      <c r="C2356" s="76"/>
      <c r="E2356" s="56"/>
      <c r="J2356" s="53"/>
    </row>
    <row r="2357" spans="1:10" x14ac:dyDescent="0.25">
      <c r="A2357" s="93"/>
      <c r="B2357" s="35"/>
      <c r="C2357" s="76"/>
      <c r="E2357" s="56"/>
      <c r="J2357" s="53"/>
    </row>
    <row r="2358" spans="1:10" x14ac:dyDescent="0.25">
      <c r="A2358" s="93"/>
      <c r="B2358" s="35"/>
      <c r="C2358" s="76"/>
      <c r="E2358" s="56"/>
      <c r="J2358" s="53"/>
    </row>
    <row r="2359" spans="1:10" x14ac:dyDescent="0.25">
      <c r="A2359" s="93"/>
      <c r="B2359" s="35"/>
      <c r="C2359" s="76"/>
      <c r="E2359" s="56"/>
      <c r="J2359" s="53"/>
    </row>
    <row r="2360" spans="1:10" x14ac:dyDescent="0.25">
      <c r="A2360" s="93"/>
      <c r="B2360" s="35"/>
      <c r="C2360" s="76"/>
      <c r="E2360" s="56"/>
      <c r="J2360" s="53"/>
    </row>
    <row r="2361" spans="1:10" x14ac:dyDescent="0.25">
      <c r="A2361" s="93"/>
      <c r="B2361" s="35"/>
      <c r="C2361" s="76"/>
      <c r="E2361" s="56"/>
      <c r="J2361" s="53"/>
    </row>
    <row r="2362" spans="1:10" x14ac:dyDescent="0.25">
      <c r="A2362" s="93"/>
      <c r="B2362" s="35"/>
      <c r="C2362" s="76"/>
      <c r="E2362" s="56"/>
      <c r="J2362" s="53"/>
    </row>
    <row r="2363" spans="1:10" x14ac:dyDescent="0.25">
      <c r="A2363" s="93"/>
      <c r="B2363" s="35"/>
      <c r="C2363" s="76"/>
      <c r="E2363" s="56"/>
      <c r="J2363" s="53"/>
    </row>
    <row r="2364" spans="1:10" x14ac:dyDescent="0.25">
      <c r="A2364" s="93"/>
      <c r="B2364" s="35"/>
      <c r="C2364" s="76"/>
      <c r="E2364" s="56"/>
      <c r="J2364" s="53"/>
    </row>
    <row r="2365" spans="1:10" x14ac:dyDescent="0.25">
      <c r="A2365" s="93"/>
      <c r="B2365" s="35"/>
      <c r="C2365" s="76"/>
      <c r="E2365" s="56"/>
      <c r="J2365" s="53"/>
    </row>
    <row r="2366" spans="1:10" x14ac:dyDescent="0.25">
      <c r="A2366" s="93"/>
      <c r="B2366" s="35"/>
      <c r="C2366" s="76"/>
      <c r="E2366" s="56"/>
      <c r="J2366" s="53"/>
    </row>
    <row r="2367" spans="1:10" x14ac:dyDescent="0.25">
      <c r="A2367" s="93"/>
      <c r="B2367" s="35"/>
      <c r="C2367" s="76"/>
      <c r="E2367" s="56"/>
      <c r="J2367" s="53"/>
    </row>
    <row r="2368" spans="1:10" x14ac:dyDescent="0.25">
      <c r="A2368" s="93"/>
      <c r="B2368" s="35"/>
      <c r="C2368" s="76"/>
      <c r="E2368" s="56"/>
      <c r="J2368" s="53"/>
    </row>
    <row r="2369" spans="1:10" x14ac:dyDescent="0.25">
      <c r="A2369" s="93"/>
      <c r="B2369" s="35"/>
      <c r="C2369" s="76"/>
      <c r="E2369" s="56"/>
      <c r="J2369" s="53"/>
    </row>
    <row r="2370" spans="1:10" x14ac:dyDescent="0.25">
      <c r="A2370" s="93"/>
      <c r="B2370" s="35"/>
      <c r="C2370" s="76"/>
      <c r="E2370" s="56"/>
      <c r="J2370" s="53"/>
    </row>
    <row r="2371" spans="1:10" x14ac:dyDescent="0.25">
      <c r="A2371" s="93"/>
      <c r="B2371" s="35"/>
      <c r="C2371" s="76"/>
      <c r="E2371" s="56"/>
      <c r="J2371" s="53"/>
    </row>
    <row r="2372" spans="1:10" x14ac:dyDescent="0.25">
      <c r="A2372" s="93"/>
      <c r="B2372" s="35"/>
      <c r="C2372" s="76"/>
      <c r="E2372" s="56"/>
      <c r="J2372" s="53"/>
    </row>
    <row r="2373" spans="1:10" x14ac:dyDescent="0.25">
      <c r="A2373" s="93"/>
      <c r="B2373" s="35"/>
      <c r="C2373" s="76"/>
      <c r="E2373" s="56"/>
      <c r="J2373" s="53"/>
    </row>
    <row r="2374" spans="1:10" x14ac:dyDescent="0.25">
      <c r="A2374" s="93"/>
      <c r="B2374" s="35"/>
      <c r="C2374" s="76"/>
      <c r="E2374" s="56"/>
      <c r="J2374" s="53"/>
    </row>
    <row r="2375" spans="1:10" x14ac:dyDescent="0.25">
      <c r="A2375" s="93"/>
      <c r="B2375" s="35"/>
      <c r="C2375" s="76"/>
      <c r="E2375" s="56"/>
      <c r="J2375" s="53"/>
    </row>
    <row r="2376" spans="1:10" x14ac:dyDescent="0.25">
      <c r="A2376" s="93"/>
      <c r="B2376" s="35"/>
      <c r="C2376" s="76"/>
      <c r="E2376" s="56"/>
      <c r="J2376" s="53"/>
    </row>
    <row r="2377" spans="1:10" x14ac:dyDescent="0.25">
      <c r="A2377" s="93"/>
      <c r="B2377" s="35"/>
      <c r="C2377" s="76"/>
      <c r="E2377" s="56"/>
      <c r="J2377" s="53"/>
    </row>
    <row r="2378" spans="1:10" x14ac:dyDescent="0.25">
      <c r="A2378" s="93"/>
      <c r="B2378" s="35"/>
      <c r="C2378" s="76"/>
      <c r="E2378" s="56"/>
      <c r="J2378" s="53"/>
    </row>
    <row r="2379" spans="1:10" x14ac:dyDescent="0.25">
      <c r="A2379" s="93"/>
      <c r="B2379" s="35"/>
      <c r="C2379" s="76"/>
      <c r="E2379" s="56"/>
      <c r="J2379" s="53"/>
    </row>
    <row r="2380" spans="1:10" x14ac:dyDescent="0.25">
      <c r="A2380" s="93"/>
      <c r="B2380" s="35"/>
      <c r="C2380" s="76"/>
      <c r="E2380" s="56"/>
      <c r="J2380" s="53"/>
    </row>
    <row r="2381" spans="1:10" x14ac:dyDescent="0.25">
      <c r="A2381" s="93"/>
      <c r="B2381" s="35"/>
      <c r="C2381" s="76"/>
      <c r="E2381" s="56"/>
      <c r="J2381" s="53"/>
    </row>
    <row r="2382" spans="1:10" x14ac:dyDescent="0.25">
      <c r="A2382" s="93"/>
      <c r="B2382" s="35"/>
      <c r="C2382" s="76"/>
      <c r="E2382" s="56"/>
      <c r="J2382" s="53"/>
    </row>
    <row r="2383" spans="1:10" x14ac:dyDescent="0.25">
      <c r="A2383" s="93"/>
      <c r="B2383" s="35"/>
      <c r="C2383" s="76"/>
      <c r="E2383" s="56"/>
      <c r="J2383" s="53"/>
    </row>
    <row r="2384" spans="1:10" x14ac:dyDescent="0.25">
      <c r="A2384" s="93"/>
      <c r="B2384" s="35"/>
      <c r="C2384" s="76"/>
      <c r="E2384" s="56"/>
      <c r="J2384" s="53"/>
    </row>
    <row r="2385" spans="1:10" x14ac:dyDescent="0.25">
      <c r="A2385" s="93"/>
      <c r="B2385" s="35"/>
      <c r="C2385" s="76"/>
      <c r="E2385" s="56"/>
      <c r="J2385" s="53"/>
    </row>
    <row r="2386" spans="1:10" x14ac:dyDescent="0.25">
      <c r="A2386" s="93"/>
      <c r="B2386" s="35"/>
      <c r="C2386" s="76"/>
      <c r="E2386" s="56"/>
      <c r="J2386" s="53"/>
    </row>
    <row r="2387" spans="1:10" x14ac:dyDescent="0.25">
      <c r="A2387" s="93"/>
      <c r="B2387" s="35"/>
      <c r="C2387" s="76"/>
      <c r="E2387" s="56"/>
      <c r="J2387" s="53"/>
    </row>
    <row r="2388" spans="1:10" x14ac:dyDescent="0.25">
      <c r="A2388" s="93"/>
      <c r="B2388" s="35"/>
      <c r="C2388" s="76"/>
      <c r="E2388" s="56"/>
      <c r="J2388" s="53"/>
    </row>
    <row r="2389" spans="1:10" x14ac:dyDescent="0.25">
      <c r="A2389" s="93"/>
      <c r="B2389" s="35"/>
      <c r="C2389" s="76"/>
      <c r="E2389" s="56"/>
      <c r="J2389" s="53"/>
    </row>
    <row r="2390" spans="1:10" x14ac:dyDescent="0.25">
      <c r="A2390" s="93"/>
      <c r="B2390" s="35"/>
      <c r="C2390" s="76"/>
      <c r="E2390" s="56"/>
      <c r="J2390" s="53"/>
    </row>
    <row r="2391" spans="1:10" x14ac:dyDescent="0.25">
      <c r="A2391" s="93"/>
      <c r="B2391" s="35"/>
      <c r="C2391" s="76"/>
      <c r="E2391" s="56"/>
      <c r="J2391" s="53"/>
    </row>
    <row r="2392" spans="1:10" x14ac:dyDescent="0.25">
      <c r="A2392" s="93"/>
      <c r="B2392" s="35"/>
      <c r="C2392" s="76"/>
      <c r="E2392" s="56"/>
      <c r="J2392" s="53"/>
    </row>
    <row r="2393" spans="1:10" x14ac:dyDescent="0.25">
      <c r="A2393" s="93"/>
      <c r="B2393" s="35"/>
      <c r="C2393" s="76"/>
      <c r="E2393" s="56"/>
      <c r="J2393" s="53"/>
    </row>
    <row r="2394" spans="1:10" x14ac:dyDescent="0.25">
      <c r="A2394" s="93"/>
      <c r="B2394" s="35"/>
      <c r="C2394" s="76"/>
      <c r="E2394" s="56"/>
      <c r="J2394" s="53"/>
    </row>
    <row r="2395" spans="1:10" x14ac:dyDescent="0.25">
      <c r="A2395" s="93"/>
      <c r="B2395" s="35"/>
      <c r="C2395" s="76"/>
      <c r="E2395" s="56"/>
      <c r="J2395" s="53"/>
    </row>
    <row r="2396" spans="1:10" x14ac:dyDescent="0.25">
      <c r="A2396" s="93"/>
      <c r="B2396" s="35"/>
      <c r="C2396" s="76"/>
      <c r="E2396" s="56"/>
      <c r="J2396" s="53"/>
    </row>
    <row r="2397" spans="1:10" x14ac:dyDescent="0.25">
      <c r="A2397" s="93"/>
      <c r="B2397" s="35"/>
      <c r="C2397" s="76"/>
      <c r="E2397" s="56"/>
      <c r="J2397" s="53"/>
    </row>
    <row r="2398" spans="1:10" x14ac:dyDescent="0.25">
      <c r="A2398" s="93"/>
      <c r="B2398" s="35"/>
      <c r="C2398" s="76"/>
      <c r="E2398" s="56"/>
      <c r="J2398" s="53"/>
    </row>
    <row r="2399" spans="1:10" x14ac:dyDescent="0.25">
      <c r="A2399" s="93"/>
      <c r="B2399" s="35"/>
      <c r="C2399" s="76"/>
      <c r="E2399" s="56"/>
      <c r="J2399" s="53"/>
    </row>
    <row r="2400" spans="1:10" x14ac:dyDescent="0.25">
      <c r="A2400" s="93"/>
      <c r="B2400" s="35"/>
      <c r="C2400" s="76"/>
      <c r="E2400" s="56"/>
      <c r="J2400" s="53"/>
    </row>
    <row r="2401" spans="1:10" x14ac:dyDescent="0.25">
      <c r="A2401" s="93"/>
      <c r="B2401" s="35"/>
      <c r="C2401" s="76"/>
      <c r="E2401" s="56"/>
      <c r="J2401" s="53"/>
    </row>
    <row r="2402" spans="1:10" x14ac:dyDescent="0.25">
      <c r="A2402" s="93"/>
      <c r="B2402" s="35"/>
      <c r="C2402" s="76"/>
      <c r="E2402" s="56"/>
      <c r="J2402" s="53"/>
    </row>
    <row r="2403" spans="1:10" x14ac:dyDescent="0.25">
      <c r="A2403" s="93"/>
      <c r="B2403" s="35"/>
      <c r="C2403" s="76"/>
      <c r="E2403" s="56"/>
      <c r="J2403" s="53"/>
    </row>
    <row r="2404" spans="1:10" x14ac:dyDescent="0.25">
      <c r="A2404" s="93"/>
      <c r="B2404" s="35"/>
      <c r="C2404" s="76"/>
      <c r="E2404" s="56"/>
      <c r="J2404" s="53"/>
    </row>
    <row r="2405" spans="1:10" x14ac:dyDescent="0.25">
      <c r="A2405" s="93"/>
      <c r="B2405" s="35"/>
      <c r="C2405" s="76"/>
      <c r="E2405" s="56"/>
      <c r="J2405" s="53"/>
    </row>
    <row r="2406" spans="1:10" x14ac:dyDescent="0.25">
      <c r="A2406" s="93"/>
      <c r="B2406" s="35"/>
      <c r="C2406" s="76"/>
      <c r="E2406" s="56"/>
      <c r="J2406" s="53"/>
    </row>
    <row r="2407" spans="1:10" x14ac:dyDescent="0.25">
      <c r="A2407" s="93"/>
      <c r="B2407" s="35"/>
      <c r="C2407" s="76"/>
      <c r="E2407" s="56"/>
      <c r="J2407" s="53"/>
    </row>
    <row r="2408" spans="1:10" x14ac:dyDescent="0.25">
      <c r="A2408" s="93"/>
      <c r="B2408" s="35"/>
      <c r="C2408" s="76"/>
      <c r="E2408" s="56"/>
      <c r="J2408" s="53"/>
    </row>
    <row r="2409" spans="1:10" x14ac:dyDescent="0.25">
      <c r="A2409" s="93"/>
      <c r="B2409" s="35"/>
      <c r="C2409" s="76"/>
      <c r="E2409" s="56"/>
      <c r="J2409" s="53"/>
    </row>
    <row r="2410" spans="1:10" x14ac:dyDescent="0.25">
      <c r="A2410" s="93"/>
      <c r="B2410" s="35"/>
      <c r="C2410" s="76"/>
      <c r="E2410" s="56"/>
      <c r="J2410" s="53"/>
    </row>
    <row r="2411" spans="1:10" x14ac:dyDescent="0.25">
      <c r="A2411" s="93"/>
      <c r="B2411" s="35"/>
      <c r="C2411" s="76"/>
      <c r="E2411" s="56"/>
      <c r="J2411" s="53"/>
    </row>
    <row r="2412" spans="1:10" x14ac:dyDescent="0.25">
      <c r="A2412" s="93"/>
      <c r="B2412" s="35"/>
      <c r="C2412" s="76"/>
      <c r="E2412" s="56"/>
      <c r="J2412" s="53"/>
    </row>
    <row r="2413" spans="1:10" x14ac:dyDescent="0.25">
      <c r="A2413" s="93"/>
      <c r="B2413" s="35"/>
      <c r="C2413" s="76"/>
      <c r="E2413" s="56"/>
      <c r="J2413" s="53"/>
    </row>
    <row r="2414" spans="1:10" x14ac:dyDescent="0.25">
      <c r="A2414" s="93"/>
      <c r="B2414" s="35"/>
      <c r="C2414" s="76"/>
      <c r="E2414" s="56"/>
      <c r="J2414" s="53"/>
    </row>
    <row r="2415" spans="1:10" x14ac:dyDescent="0.25">
      <c r="A2415" s="93"/>
      <c r="B2415" s="35"/>
      <c r="C2415" s="76"/>
      <c r="E2415" s="56"/>
      <c r="J2415" s="53"/>
    </row>
    <row r="2416" spans="1:10" x14ac:dyDescent="0.25">
      <c r="A2416" s="93"/>
      <c r="B2416" s="35"/>
      <c r="C2416" s="76"/>
      <c r="E2416" s="56"/>
      <c r="J2416" s="53"/>
    </row>
    <row r="2417" spans="1:10" x14ac:dyDescent="0.25">
      <c r="A2417" s="93"/>
      <c r="B2417" s="35"/>
      <c r="C2417" s="76"/>
      <c r="E2417" s="56"/>
      <c r="J2417" s="53"/>
    </row>
    <row r="2418" spans="1:10" x14ac:dyDescent="0.25">
      <c r="A2418" s="93"/>
      <c r="B2418" s="35"/>
      <c r="C2418" s="76"/>
      <c r="E2418" s="56"/>
      <c r="J2418" s="53"/>
    </row>
    <row r="2419" spans="1:10" x14ac:dyDescent="0.25">
      <c r="A2419" s="93"/>
      <c r="B2419" s="35"/>
      <c r="C2419" s="76"/>
      <c r="E2419" s="56"/>
      <c r="J2419" s="53"/>
    </row>
    <row r="2420" spans="1:10" x14ac:dyDescent="0.25">
      <c r="A2420" s="93"/>
      <c r="B2420" s="35"/>
      <c r="C2420" s="76"/>
      <c r="E2420" s="56"/>
      <c r="J2420" s="53"/>
    </row>
    <row r="2421" spans="1:10" x14ac:dyDescent="0.25">
      <c r="A2421" s="93"/>
      <c r="B2421" s="35"/>
      <c r="C2421" s="76"/>
      <c r="E2421" s="56"/>
      <c r="J2421" s="53"/>
    </row>
    <row r="2422" spans="1:10" x14ac:dyDescent="0.25">
      <c r="A2422" s="93"/>
      <c r="B2422" s="35"/>
      <c r="C2422" s="76"/>
      <c r="E2422" s="56"/>
      <c r="J2422" s="53"/>
    </row>
    <row r="2423" spans="1:10" x14ac:dyDescent="0.25">
      <c r="A2423" s="93"/>
      <c r="B2423" s="35"/>
      <c r="C2423" s="76"/>
      <c r="E2423" s="56"/>
      <c r="J2423" s="53"/>
    </row>
    <row r="2424" spans="1:10" x14ac:dyDescent="0.25">
      <c r="A2424" s="93"/>
      <c r="B2424" s="35"/>
      <c r="C2424" s="76"/>
      <c r="E2424" s="56"/>
      <c r="J2424" s="53"/>
    </row>
    <row r="2425" spans="1:10" x14ac:dyDescent="0.25">
      <c r="A2425" s="93"/>
      <c r="B2425" s="35"/>
      <c r="C2425" s="76"/>
      <c r="E2425" s="56"/>
      <c r="J2425" s="53"/>
    </row>
    <row r="2426" spans="1:10" x14ac:dyDescent="0.25">
      <c r="A2426" s="93"/>
      <c r="B2426" s="35"/>
      <c r="C2426" s="76"/>
      <c r="E2426" s="56"/>
      <c r="J2426" s="53"/>
    </row>
    <row r="2427" spans="1:10" x14ac:dyDescent="0.25">
      <c r="A2427" s="93"/>
      <c r="B2427" s="35"/>
      <c r="C2427" s="76"/>
      <c r="E2427" s="56"/>
      <c r="J2427" s="53"/>
    </row>
    <row r="2428" spans="1:10" x14ac:dyDescent="0.25">
      <c r="A2428" s="93"/>
      <c r="B2428" s="35"/>
      <c r="C2428" s="76"/>
      <c r="E2428" s="56"/>
      <c r="J2428" s="53"/>
    </row>
    <row r="2429" spans="1:10" x14ac:dyDescent="0.25">
      <c r="A2429" s="93"/>
      <c r="B2429" s="35"/>
      <c r="C2429" s="76"/>
      <c r="E2429" s="56"/>
      <c r="J2429" s="53"/>
    </row>
    <row r="2430" spans="1:10" x14ac:dyDescent="0.25">
      <c r="A2430" s="93"/>
      <c r="B2430" s="35"/>
      <c r="C2430" s="76"/>
      <c r="E2430" s="56"/>
      <c r="J2430" s="53"/>
    </row>
    <row r="2431" spans="1:10" x14ac:dyDescent="0.25">
      <c r="A2431" s="93"/>
      <c r="B2431" s="35"/>
      <c r="C2431" s="76"/>
      <c r="E2431" s="56"/>
      <c r="J2431" s="53"/>
    </row>
    <row r="2432" spans="1:10" x14ac:dyDescent="0.25">
      <c r="A2432" s="93"/>
      <c r="B2432" s="35"/>
      <c r="C2432" s="76"/>
      <c r="E2432" s="56"/>
      <c r="J2432" s="53"/>
    </row>
    <row r="2433" spans="1:10" x14ac:dyDescent="0.25">
      <c r="A2433" s="93"/>
      <c r="B2433" s="35"/>
      <c r="C2433" s="76"/>
      <c r="E2433" s="56"/>
      <c r="J2433" s="53"/>
    </row>
    <row r="2434" spans="1:10" x14ac:dyDescent="0.25">
      <c r="A2434" s="93"/>
      <c r="B2434" s="35"/>
      <c r="C2434" s="76"/>
      <c r="E2434" s="56"/>
      <c r="J2434" s="53"/>
    </row>
    <row r="2435" spans="1:10" x14ac:dyDescent="0.25">
      <c r="B2435" s="35"/>
      <c r="C2435" s="76"/>
      <c r="J2435" s="53"/>
    </row>
    <row r="2436" spans="1:10" x14ac:dyDescent="0.25">
      <c r="B2436" s="35"/>
      <c r="C2436" s="76"/>
      <c r="J2436" s="53"/>
    </row>
    <row r="2437" spans="1:10" x14ac:dyDescent="0.25">
      <c r="B2437" s="35"/>
      <c r="C2437" s="76"/>
      <c r="J2437" s="53"/>
    </row>
    <row r="2438" spans="1:10" x14ac:dyDescent="0.25">
      <c r="B2438" s="35"/>
      <c r="C2438" s="76"/>
      <c r="J2438" s="53"/>
    </row>
    <row r="2439" spans="1:10" x14ac:dyDescent="0.25">
      <c r="B2439" s="35"/>
      <c r="C2439" s="76"/>
      <c r="J2439" s="53"/>
    </row>
    <row r="2440" spans="1:10" x14ac:dyDescent="0.25">
      <c r="B2440" s="35"/>
      <c r="C2440" s="76"/>
      <c r="J2440" s="53"/>
    </row>
    <row r="2441" spans="1:10" x14ac:dyDescent="0.25">
      <c r="B2441" s="35"/>
      <c r="C2441" s="76"/>
      <c r="J2441" s="53"/>
    </row>
    <row r="2442" spans="1:10" x14ac:dyDescent="0.25">
      <c r="B2442" s="35"/>
      <c r="C2442" s="76"/>
      <c r="J2442" s="53"/>
    </row>
    <row r="2443" spans="1:10" x14ac:dyDescent="0.25">
      <c r="B2443" s="35"/>
      <c r="C2443" s="76"/>
      <c r="J2443" s="53"/>
    </row>
    <row r="2444" spans="1:10" x14ac:dyDescent="0.25">
      <c r="B2444" s="35"/>
      <c r="C2444" s="76"/>
      <c r="J2444" s="53"/>
    </row>
    <row r="2445" spans="1:10" x14ac:dyDescent="0.25">
      <c r="B2445" s="35"/>
      <c r="C2445" s="76"/>
      <c r="J2445" s="53"/>
    </row>
    <row r="2446" spans="1:10" x14ac:dyDescent="0.25">
      <c r="B2446" s="35"/>
      <c r="C2446" s="76"/>
      <c r="J2446" s="53"/>
    </row>
    <row r="2447" spans="1:10" x14ac:dyDescent="0.25">
      <c r="B2447" s="35"/>
      <c r="C2447" s="76"/>
      <c r="J2447" s="53"/>
    </row>
    <row r="2448" spans="1:10" x14ac:dyDescent="0.25">
      <c r="B2448" s="35"/>
      <c r="C2448" s="76"/>
      <c r="J2448" s="53"/>
    </row>
    <row r="2449" spans="2:10" x14ac:dyDescent="0.25">
      <c r="B2449" s="35"/>
      <c r="C2449" s="76"/>
      <c r="J2449" s="53"/>
    </row>
    <row r="2450" spans="2:10" x14ac:dyDescent="0.25">
      <c r="B2450" s="35"/>
      <c r="C2450" s="76"/>
      <c r="J2450" s="53"/>
    </row>
    <row r="2451" spans="2:10" x14ac:dyDescent="0.25">
      <c r="B2451" s="35"/>
      <c r="C2451" s="76"/>
      <c r="J2451" s="53"/>
    </row>
    <row r="2452" spans="2:10" x14ac:dyDescent="0.25">
      <c r="B2452" s="35"/>
      <c r="C2452" s="76"/>
      <c r="J2452" s="53"/>
    </row>
    <row r="2453" spans="2:10" x14ac:dyDescent="0.25">
      <c r="B2453" s="35"/>
      <c r="C2453" s="76"/>
      <c r="J2453" s="53"/>
    </row>
    <row r="2454" spans="2:10" x14ac:dyDescent="0.25">
      <c r="B2454" s="35"/>
      <c r="C2454" s="76"/>
      <c r="J2454" s="53"/>
    </row>
    <row r="2455" spans="2:10" x14ac:dyDescent="0.25">
      <c r="B2455" s="35"/>
      <c r="C2455" s="76"/>
      <c r="J2455" s="53"/>
    </row>
    <row r="2456" spans="2:10" x14ac:dyDescent="0.25">
      <c r="B2456" s="35"/>
      <c r="C2456" s="76"/>
      <c r="J2456" s="53"/>
    </row>
    <row r="2457" spans="2:10" x14ac:dyDescent="0.25">
      <c r="B2457" s="35"/>
      <c r="C2457" s="76"/>
      <c r="J2457" s="53"/>
    </row>
    <row r="2458" spans="2:10" x14ac:dyDescent="0.25">
      <c r="B2458" s="35"/>
      <c r="C2458" s="76"/>
      <c r="J2458" s="53"/>
    </row>
    <row r="2459" spans="2:10" x14ac:dyDescent="0.25">
      <c r="B2459" s="35"/>
      <c r="C2459" s="76"/>
      <c r="J2459" s="53"/>
    </row>
    <row r="2460" spans="2:10" x14ac:dyDescent="0.25">
      <c r="B2460" s="35"/>
      <c r="C2460" s="76"/>
      <c r="J2460" s="53"/>
    </row>
    <row r="2461" spans="2:10" x14ac:dyDescent="0.25">
      <c r="B2461" s="35"/>
      <c r="C2461" s="76"/>
      <c r="J2461" s="53"/>
    </row>
    <row r="2462" spans="2:10" x14ac:dyDescent="0.25">
      <c r="B2462" s="35"/>
      <c r="C2462" s="76"/>
      <c r="J2462" s="53"/>
    </row>
    <row r="2463" spans="2:10" x14ac:dyDescent="0.25">
      <c r="B2463" s="35"/>
      <c r="C2463" s="76"/>
      <c r="J2463" s="53"/>
    </row>
    <row r="2464" spans="2:10" x14ac:dyDescent="0.25">
      <c r="B2464" s="35"/>
      <c r="C2464" s="76"/>
      <c r="J2464" s="53"/>
    </row>
    <row r="2465" spans="2:10" x14ac:dyDescent="0.25">
      <c r="B2465" s="35"/>
      <c r="C2465" s="76"/>
      <c r="J2465" s="53"/>
    </row>
    <row r="2466" spans="2:10" x14ac:dyDescent="0.25">
      <c r="B2466" s="35"/>
      <c r="C2466" s="76"/>
      <c r="J2466" s="53"/>
    </row>
    <row r="2467" spans="2:10" x14ac:dyDescent="0.25">
      <c r="B2467" s="35"/>
      <c r="C2467" s="76"/>
      <c r="J2467" s="53"/>
    </row>
    <row r="2468" spans="2:10" x14ac:dyDescent="0.25">
      <c r="B2468" s="35"/>
      <c r="C2468" s="76"/>
      <c r="J2468" s="53"/>
    </row>
    <row r="2469" spans="2:10" x14ac:dyDescent="0.25">
      <c r="B2469" s="35"/>
      <c r="C2469" s="76"/>
      <c r="J2469" s="53"/>
    </row>
    <row r="2470" spans="2:10" x14ac:dyDescent="0.25">
      <c r="B2470" s="35"/>
      <c r="C2470" s="76"/>
      <c r="J2470" s="53"/>
    </row>
    <row r="2471" spans="2:10" x14ac:dyDescent="0.25">
      <c r="B2471" s="35"/>
      <c r="C2471" s="76"/>
      <c r="J2471" s="53"/>
    </row>
    <row r="2472" spans="2:10" x14ac:dyDescent="0.25">
      <c r="B2472" s="35"/>
      <c r="C2472" s="76"/>
      <c r="J2472" s="53"/>
    </row>
    <row r="2473" spans="2:10" x14ac:dyDescent="0.25">
      <c r="B2473" s="35"/>
      <c r="C2473" s="76"/>
      <c r="J2473" s="53"/>
    </row>
    <row r="2474" spans="2:10" x14ac:dyDescent="0.25">
      <c r="B2474" s="35"/>
      <c r="C2474" s="76"/>
      <c r="J2474" s="53"/>
    </row>
    <row r="2475" spans="2:10" x14ac:dyDescent="0.25">
      <c r="B2475" s="35"/>
      <c r="C2475" s="76"/>
      <c r="J2475" s="53"/>
    </row>
    <row r="2476" spans="2:10" x14ac:dyDescent="0.25">
      <c r="B2476" s="35"/>
      <c r="C2476" s="76"/>
      <c r="J2476" s="53"/>
    </row>
    <row r="2477" spans="2:10" x14ac:dyDescent="0.25">
      <c r="B2477" s="35"/>
      <c r="C2477" s="76"/>
      <c r="J2477" s="53"/>
    </row>
    <row r="2478" spans="2:10" x14ac:dyDescent="0.25">
      <c r="B2478" s="35"/>
      <c r="C2478" s="76"/>
      <c r="J2478" s="53"/>
    </row>
    <row r="2479" spans="2:10" x14ac:dyDescent="0.25">
      <c r="B2479" s="35"/>
      <c r="C2479" s="76"/>
      <c r="J2479" s="53"/>
    </row>
    <row r="2480" spans="2:10" x14ac:dyDescent="0.25">
      <c r="B2480" s="35"/>
      <c r="C2480" s="76"/>
      <c r="J2480" s="53"/>
    </row>
    <row r="2481" spans="2:10" x14ac:dyDescent="0.25">
      <c r="B2481" s="35"/>
      <c r="C2481" s="76"/>
      <c r="J2481" s="53"/>
    </row>
    <row r="2482" spans="2:10" x14ac:dyDescent="0.25">
      <c r="B2482" s="35"/>
      <c r="C2482" s="76"/>
      <c r="J2482" s="53"/>
    </row>
    <row r="2483" spans="2:10" x14ac:dyDescent="0.25">
      <c r="B2483" s="35"/>
      <c r="C2483" s="76"/>
      <c r="J2483" s="53"/>
    </row>
    <row r="2484" spans="2:10" x14ac:dyDescent="0.25">
      <c r="B2484" s="35"/>
      <c r="C2484" s="76"/>
      <c r="J2484" s="53"/>
    </row>
    <row r="2485" spans="2:10" x14ac:dyDescent="0.25">
      <c r="B2485" s="35"/>
      <c r="C2485" s="76"/>
      <c r="J2485" s="53"/>
    </row>
    <row r="2486" spans="2:10" x14ac:dyDescent="0.25">
      <c r="B2486" s="35"/>
      <c r="C2486" s="76"/>
      <c r="J2486" s="53"/>
    </row>
    <row r="2487" spans="2:10" x14ac:dyDescent="0.25">
      <c r="B2487" s="35"/>
      <c r="C2487" s="76"/>
      <c r="J2487" s="53"/>
    </row>
    <row r="2488" spans="2:10" x14ac:dyDescent="0.25">
      <c r="B2488" s="35"/>
      <c r="C2488" s="76"/>
      <c r="J2488" s="53"/>
    </row>
    <row r="2489" spans="2:10" x14ac:dyDescent="0.25">
      <c r="B2489" s="35"/>
      <c r="C2489" s="76"/>
      <c r="J2489" s="53"/>
    </row>
    <row r="2490" spans="2:10" x14ac:dyDescent="0.25">
      <c r="B2490" s="35"/>
      <c r="C2490" s="76"/>
      <c r="J2490" s="53"/>
    </row>
    <row r="2491" spans="2:10" x14ac:dyDescent="0.25">
      <c r="B2491" s="35"/>
      <c r="C2491" s="76"/>
      <c r="J2491" s="53"/>
    </row>
    <row r="2492" spans="2:10" x14ac:dyDescent="0.25">
      <c r="B2492" s="35"/>
      <c r="C2492" s="76"/>
      <c r="J2492" s="53"/>
    </row>
    <row r="2493" spans="2:10" x14ac:dyDescent="0.25">
      <c r="B2493" s="35"/>
      <c r="C2493" s="76"/>
      <c r="J2493" s="53"/>
    </row>
    <row r="2494" spans="2:10" x14ac:dyDescent="0.25">
      <c r="B2494" s="35"/>
      <c r="C2494" s="76"/>
      <c r="J2494" s="53"/>
    </row>
    <row r="2495" spans="2:10" x14ac:dyDescent="0.25">
      <c r="B2495" s="35"/>
      <c r="C2495" s="76"/>
      <c r="J2495" s="53"/>
    </row>
    <row r="2496" spans="2:10" x14ac:dyDescent="0.25">
      <c r="B2496" s="35"/>
      <c r="C2496" s="76"/>
      <c r="J2496" s="53"/>
    </row>
    <row r="2497" spans="2:10" x14ac:dyDescent="0.25">
      <c r="B2497" s="35"/>
      <c r="C2497" s="76"/>
      <c r="J2497" s="53"/>
    </row>
    <row r="2498" spans="2:10" x14ac:dyDescent="0.25">
      <c r="B2498" s="35"/>
      <c r="C2498" s="76"/>
      <c r="J2498" s="53"/>
    </row>
    <row r="2499" spans="2:10" x14ac:dyDescent="0.25">
      <c r="B2499" s="35"/>
      <c r="C2499" s="76"/>
      <c r="J2499" s="53"/>
    </row>
    <row r="2500" spans="2:10" x14ac:dyDescent="0.25">
      <c r="B2500" s="35"/>
      <c r="C2500" s="76"/>
      <c r="J2500" s="53"/>
    </row>
    <row r="2501" spans="2:10" x14ac:dyDescent="0.25">
      <c r="B2501" s="35"/>
      <c r="C2501" s="76"/>
      <c r="J2501" s="53"/>
    </row>
    <row r="2502" spans="2:10" x14ac:dyDescent="0.25">
      <c r="B2502" s="35"/>
      <c r="C2502" s="76"/>
      <c r="J2502" s="53"/>
    </row>
    <row r="2503" spans="2:10" x14ac:dyDescent="0.25">
      <c r="B2503" s="35"/>
      <c r="C2503" s="76"/>
      <c r="J2503" s="53"/>
    </row>
    <row r="2504" spans="2:10" x14ac:dyDescent="0.25">
      <c r="B2504" s="35"/>
      <c r="C2504" s="76"/>
      <c r="J2504" s="53"/>
    </row>
    <row r="2505" spans="2:10" x14ac:dyDescent="0.25">
      <c r="B2505" s="35"/>
      <c r="C2505" s="76"/>
      <c r="J2505" s="53"/>
    </row>
    <row r="2506" spans="2:10" x14ac:dyDescent="0.25">
      <c r="B2506" s="35"/>
      <c r="C2506" s="76"/>
      <c r="J2506" s="53"/>
    </row>
    <row r="2507" spans="2:10" x14ac:dyDescent="0.25">
      <c r="B2507" s="35"/>
      <c r="C2507" s="76"/>
      <c r="J2507" s="53"/>
    </row>
    <row r="2508" spans="2:10" x14ac:dyDescent="0.25">
      <c r="B2508" s="35"/>
      <c r="C2508" s="76"/>
      <c r="J2508" s="53"/>
    </row>
    <row r="2509" spans="2:10" x14ac:dyDescent="0.25">
      <c r="B2509" s="35"/>
      <c r="C2509" s="76"/>
      <c r="J2509" s="53"/>
    </row>
    <row r="2510" spans="2:10" x14ac:dyDescent="0.25">
      <c r="B2510" s="35"/>
      <c r="C2510" s="76"/>
      <c r="J2510" s="53"/>
    </row>
    <row r="2511" spans="2:10" x14ac:dyDescent="0.25">
      <c r="B2511" s="35"/>
      <c r="C2511" s="76"/>
      <c r="J2511" s="53"/>
    </row>
    <row r="2512" spans="2:10" x14ac:dyDescent="0.25">
      <c r="B2512" s="35"/>
      <c r="C2512" s="76"/>
      <c r="J2512" s="53"/>
    </row>
    <row r="2513" spans="2:10" x14ac:dyDescent="0.25">
      <c r="B2513" s="35"/>
      <c r="C2513" s="76"/>
      <c r="J2513" s="53"/>
    </row>
    <row r="2514" spans="2:10" x14ac:dyDescent="0.25">
      <c r="B2514" s="35"/>
      <c r="C2514" s="76"/>
      <c r="J2514" s="53"/>
    </row>
    <row r="2515" spans="2:10" x14ac:dyDescent="0.25">
      <c r="B2515" s="35"/>
      <c r="C2515" s="76"/>
      <c r="J2515" s="53"/>
    </row>
    <row r="2516" spans="2:10" x14ac:dyDescent="0.25">
      <c r="B2516" s="35"/>
      <c r="C2516" s="76"/>
      <c r="J2516" s="53"/>
    </row>
    <row r="2517" spans="2:10" x14ac:dyDescent="0.25">
      <c r="B2517" s="35"/>
      <c r="C2517" s="76"/>
      <c r="J2517" s="53"/>
    </row>
    <row r="2518" spans="2:10" x14ac:dyDescent="0.25">
      <c r="B2518" s="35"/>
      <c r="C2518" s="76"/>
      <c r="J2518" s="53"/>
    </row>
    <row r="2519" spans="2:10" x14ac:dyDescent="0.25">
      <c r="B2519" s="35"/>
      <c r="C2519" s="76"/>
      <c r="J2519" s="53"/>
    </row>
    <row r="2520" spans="2:10" x14ac:dyDescent="0.25">
      <c r="B2520" s="35"/>
      <c r="C2520" s="76"/>
      <c r="J2520" s="53"/>
    </row>
    <row r="2521" spans="2:10" x14ac:dyDescent="0.25">
      <c r="B2521" s="35"/>
      <c r="C2521" s="76"/>
      <c r="J2521" s="53"/>
    </row>
    <row r="2522" spans="2:10" x14ac:dyDescent="0.25">
      <c r="B2522" s="35"/>
      <c r="C2522" s="76"/>
      <c r="J2522" s="53"/>
    </row>
    <row r="2523" spans="2:10" x14ac:dyDescent="0.25">
      <c r="B2523" s="35"/>
      <c r="C2523" s="76"/>
      <c r="J2523" s="53"/>
    </row>
    <row r="2524" spans="2:10" x14ac:dyDescent="0.25">
      <c r="B2524" s="35"/>
      <c r="C2524" s="76"/>
      <c r="J2524" s="53"/>
    </row>
    <row r="2525" spans="2:10" x14ac:dyDescent="0.25">
      <c r="B2525" s="35"/>
      <c r="C2525" s="76"/>
      <c r="J2525" s="53"/>
    </row>
    <row r="2526" spans="2:10" x14ac:dyDescent="0.25">
      <c r="B2526" s="35"/>
      <c r="C2526" s="76"/>
      <c r="J2526" s="53"/>
    </row>
    <row r="2527" spans="2:10" x14ac:dyDescent="0.25">
      <c r="B2527" s="35"/>
      <c r="C2527" s="76"/>
      <c r="J2527" s="53"/>
    </row>
    <row r="2528" spans="2:10" x14ac:dyDescent="0.25">
      <c r="B2528" s="35"/>
      <c r="C2528" s="76"/>
      <c r="J2528" s="53"/>
    </row>
    <row r="2529" spans="2:10" x14ac:dyDescent="0.25">
      <c r="B2529" s="35"/>
      <c r="C2529" s="76"/>
      <c r="J2529" s="53"/>
    </row>
    <row r="2530" spans="2:10" x14ac:dyDescent="0.25">
      <c r="B2530" s="35"/>
      <c r="C2530" s="76"/>
      <c r="J2530" s="53"/>
    </row>
    <row r="2531" spans="2:10" x14ac:dyDescent="0.25">
      <c r="B2531" s="35"/>
      <c r="C2531" s="76"/>
      <c r="J2531" s="53"/>
    </row>
    <row r="2532" spans="2:10" x14ac:dyDescent="0.25">
      <c r="B2532" s="35"/>
      <c r="C2532" s="76"/>
      <c r="J2532" s="53"/>
    </row>
    <row r="2533" spans="2:10" x14ac:dyDescent="0.25">
      <c r="B2533" s="35"/>
      <c r="C2533" s="76"/>
      <c r="J2533" s="53"/>
    </row>
    <row r="2534" spans="2:10" x14ac:dyDescent="0.25">
      <c r="B2534" s="35"/>
      <c r="C2534" s="76"/>
      <c r="J2534" s="53"/>
    </row>
    <row r="2535" spans="2:10" x14ac:dyDescent="0.25">
      <c r="B2535" s="35"/>
      <c r="C2535" s="76"/>
      <c r="J2535" s="53"/>
    </row>
    <row r="2536" spans="2:10" x14ac:dyDescent="0.25">
      <c r="B2536" s="35"/>
      <c r="C2536" s="76"/>
      <c r="J2536" s="53"/>
    </row>
    <row r="2537" spans="2:10" x14ac:dyDescent="0.25">
      <c r="B2537" s="35"/>
      <c r="C2537" s="76"/>
      <c r="J2537" s="53"/>
    </row>
    <row r="2538" spans="2:10" x14ac:dyDescent="0.25">
      <c r="B2538" s="35"/>
      <c r="C2538" s="76"/>
      <c r="J2538" s="53"/>
    </row>
    <row r="2539" spans="2:10" x14ac:dyDescent="0.25">
      <c r="B2539" s="35"/>
      <c r="C2539" s="76"/>
      <c r="J2539" s="53"/>
    </row>
    <row r="2540" spans="2:10" x14ac:dyDescent="0.25">
      <c r="B2540" s="35"/>
      <c r="C2540" s="76"/>
      <c r="J2540" s="53"/>
    </row>
    <row r="2541" spans="2:10" x14ac:dyDescent="0.25">
      <c r="B2541" s="35"/>
      <c r="C2541" s="76"/>
      <c r="J2541" s="53"/>
    </row>
    <row r="2542" spans="2:10" x14ac:dyDescent="0.25">
      <c r="B2542" s="35"/>
      <c r="C2542" s="76"/>
      <c r="J2542" s="53"/>
    </row>
    <row r="2543" spans="2:10" x14ac:dyDescent="0.25">
      <c r="B2543" s="35"/>
      <c r="C2543" s="76"/>
      <c r="J2543" s="53"/>
    </row>
    <row r="2544" spans="2:10" x14ac:dyDescent="0.25">
      <c r="B2544" s="35"/>
      <c r="C2544" s="76"/>
      <c r="J2544" s="53"/>
    </row>
    <row r="2545" spans="2:10" x14ac:dyDescent="0.25">
      <c r="B2545" s="35"/>
      <c r="C2545" s="76"/>
      <c r="J2545" s="53"/>
    </row>
    <row r="2546" spans="2:10" x14ac:dyDescent="0.25">
      <c r="B2546" s="35"/>
      <c r="C2546" s="76"/>
      <c r="J2546" s="53"/>
    </row>
    <row r="2547" spans="2:10" x14ac:dyDescent="0.25">
      <c r="B2547" s="35"/>
      <c r="C2547" s="76"/>
      <c r="J2547" s="53"/>
    </row>
    <row r="2548" spans="2:10" x14ac:dyDescent="0.25">
      <c r="B2548" s="35"/>
      <c r="C2548" s="76"/>
      <c r="J2548" s="53"/>
    </row>
    <row r="2549" spans="2:10" x14ac:dyDescent="0.25">
      <c r="B2549" s="35"/>
      <c r="C2549" s="76"/>
      <c r="J2549" s="53"/>
    </row>
    <row r="2550" spans="2:10" x14ac:dyDescent="0.25">
      <c r="B2550" s="35"/>
      <c r="C2550" s="76"/>
      <c r="J2550" s="53"/>
    </row>
    <row r="2551" spans="2:10" x14ac:dyDescent="0.25">
      <c r="B2551" s="35"/>
      <c r="C2551" s="76"/>
      <c r="J2551" s="53"/>
    </row>
    <row r="2552" spans="2:10" x14ac:dyDescent="0.25">
      <c r="B2552" s="35"/>
      <c r="C2552" s="76"/>
      <c r="J2552" s="53"/>
    </row>
    <row r="2553" spans="2:10" x14ac:dyDescent="0.25">
      <c r="B2553" s="35"/>
      <c r="C2553" s="76"/>
      <c r="J2553" s="53"/>
    </row>
    <row r="2554" spans="2:10" x14ac:dyDescent="0.25">
      <c r="B2554" s="35"/>
      <c r="C2554" s="76"/>
      <c r="J2554" s="53"/>
    </row>
    <row r="2555" spans="2:10" x14ac:dyDescent="0.25">
      <c r="B2555" s="35"/>
      <c r="C2555" s="76"/>
      <c r="J2555" s="53"/>
    </row>
    <row r="2556" spans="2:10" x14ac:dyDescent="0.25">
      <c r="B2556" s="35"/>
      <c r="C2556" s="76"/>
      <c r="J2556" s="53"/>
    </row>
    <row r="2557" spans="2:10" x14ac:dyDescent="0.25">
      <c r="B2557" s="35"/>
      <c r="C2557" s="76"/>
      <c r="J2557" s="53"/>
    </row>
    <row r="2558" spans="2:10" x14ac:dyDescent="0.25">
      <c r="B2558" s="35"/>
      <c r="C2558" s="76"/>
      <c r="J2558" s="53"/>
    </row>
    <row r="2559" spans="2:10" x14ac:dyDescent="0.25">
      <c r="B2559" s="35"/>
      <c r="C2559" s="76"/>
      <c r="J2559" s="53"/>
    </row>
    <row r="2560" spans="2:10" x14ac:dyDescent="0.25">
      <c r="B2560" s="35"/>
      <c r="C2560" s="76"/>
      <c r="J2560" s="53"/>
    </row>
    <row r="2561" spans="2:10" x14ac:dyDescent="0.25">
      <c r="B2561" s="35"/>
      <c r="C2561" s="76"/>
      <c r="J2561" s="53"/>
    </row>
    <row r="2562" spans="2:10" x14ac:dyDescent="0.25">
      <c r="B2562" s="35"/>
      <c r="C2562" s="76"/>
      <c r="J2562" s="53"/>
    </row>
    <row r="2563" spans="2:10" x14ac:dyDescent="0.25">
      <c r="B2563" s="35"/>
      <c r="C2563" s="76"/>
      <c r="J2563" s="53"/>
    </row>
    <row r="2564" spans="2:10" x14ac:dyDescent="0.25">
      <c r="B2564" s="35"/>
      <c r="C2564" s="76"/>
      <c r="J2564" s="53"/>
    </row>
    <row r="2565" spans="2:10" x14ac:dyDescent="0.25">
      <c r="B2565" s="35"/>
      <c r="C2565" s="76"/>
      <c r="J2565" s="53"/>
    </row>
    <row r="2566" spans="2:10" x14ac:dyDescent="0.25">
      <c r="B2566" s="35"/>
      <c r="C2566" s="76"/>
      <c r="J2566" s="53"/>
    </row>
    <row r="2567" spans="2:10" x14ac:dyDescent="0.25">
      <c r="B2567" s="35"/>
      <c r="C2567" s="76"/>
      <c r="J2567" s="53"/>
    </row>
    <row r="2568" spans="2:10" x14ac:dyDescent="0.25">
      <c r="B2568" s="35"/>
      <c r="C2568" s="76"/>
      <c r="J2568" s="53"/>
    </row>
    <row r="2569" spans="2:10" x14ac:dyDescent="0.25">
      <c r="B2569" s="35"/>
      <c r="C2569" s="76"/>
      <c r="J2569" s="53"/>
    </row>
    <row r="2570" spans="2:10" x14ac:dyDescent="0.25">
      <c r="B2570" s="35"/>
      <c r="C2570" s="76"/>
      <c r="J2570" s="53"/>
    </row>
    <row r="2571" spans="2:10" x14ac:dyDescent="0.25">
      <c r="B2571" s="35"/>
      <c r="C2571" s="76"/>
      <c r="J2571" s="53"/>
    </row>
    <row r="2572" spans="2:10" x14ac:dyDescent="0.25">
      <c r="B2572" s="35"/>
      <c r="C2572" s="76"/>
      <c r="J2572" s="53"/>
    </row>
    <row r="2573" spans="2:10" x14ac:dyDescent="0.25">
      <c r="B2573" s="35"/>
      <c r="C2573" s="76"/>
      <c r="J2573" s="53"/>
    </row>
    <row r="2574" spans="2:10" x14ac:dyDescent="0.25">
      <c r="B2574" s="35"/>
      <c r="C2574" s="76"/>
      <c r="J2574" s="53"/>
    </row>
    <row r="2575" spans="2:10" x14ac:dyDescent="0.25">
      <c r="B2575" s="35"/>
      <c r="C2575" s="76"/>
      <c r="J2575" s="53"/>
    </row>
    <row r="2576" spans="2:10" x14ac:dyDescent="0.25">
      <c r="B2576" s="35"/>
      <c r="C2576" s="76"/>
      <c r="J2576" s="53"/>
    </row>
    <row r="2577" spans="2:10" x14ac:dyDescent="0.25">
      <c r="B2577" s="35"/>
      <c r="C2577" s="76"/>
      <c r="J2577" s="53"/>
    </row>
    <row r="2578" spans="2:10" x14ac:dyDescent="0.25">
      <c r="B2578" s="35"/>
      <c r="C2578" s="76"/>
      <c r="J2578" s="53"/>
    </row>
    <row r="2579" spans="2:10" x14ac:dyDescent="0.25">
      <c r="B2579" s="35"/>
      <c r="C2579" s="76"/>
      <c r="J2579" s="53"/>
    </row>
    <row r="2580" spans="2:10" x14ac:dyDescent="0.25">
      <c r="B2580" s="35"/>
      <c r="C2580" s="76"/>
      <c r="J2580" s="53"/>
    </row>
    <row r="2581" spans="2:10" x14ac:dyDescent="0.25">
      <c r="B2581" s="35"/>
      <c r="C2581" s="76"/>
      <c r="J2581" s="53"/>
    </row>
    <row r="2582" spans="2:10" x14ac:dyDescent="0.25">
      <c r="B2582" s="35"/>
      <c r="C2582" s="76"/>
      <c r="J2582" s="53"/>
    </row>
    <row r="2583" spans="2:10" x14ac:dyDescent="0.25">
      <c r="B2583" s="35"/>
      <c r="C2583" s="76"/>
      <c r="J2583" s="53"/>
    </row>
    <row r="2584" spans="2:10" x14ac:dyDescent="0.25">
      <c r="B2584" s="35"/>
      <c r="C2584" s="76"/>
      <c r="J2584" s="53"/>
    </row>
    <row r="2585" spans="2:10" x14ac:dyDescent="0.25">
      <c r="B2585" s="35"/>
      <c r="C2585" s="76"/>
      <c r="J2585" s="53"/>
    </row>
    <row r="2586" spans="2:10" x14ac:dyDescent="0.25">
      <c r="B2586" s="35"/>
      <c r="C2586" s="76"/>
      <c r="J2586" s="53"/>
    </row>
    <row r="2587" spans="2:10" x14ac:dyDescent="0.25">
      <c r="B2587" s="35"/>
      <c r="C2587" s="76"/>
      <c r="J2587" s="53"/>
    </row>
    <row r="2588" spans="2:10" x14ac:dyDescent="0.25">
      <c r="B2588" s="35"/>
      <c r="C2588" s="76"/>
      <c r="J2588" s="53"/>
    </row>
    <row r="2589" spans="2:10" x14ac:dyDescent="0.25">
      <c r="B2589" s="35"/>
      <c r="C2589" s="76"/>
      <c r="J2589" s="53"/>
    </row>
    <row r="2590" spans="2:10" x14ac:dyDescent="0.25">
      <c r="B2590" s="35"/>
      <c r="C2590" s="76"/>
      <c r="J2590" s="53"/>
    </row>
    <row r="2591" spans="2:10" x14ac:dyDescent="0.25">
      <c r="B2591" s="35"/>
      <c r="C2591" s="76"/>
      <c r="J2591" s="53"/>
    </row>
    <row r="2592" spans="2:10" x14ac:dyDescent="0.25">
      <c r="B2592" s="35"/>
      <c r="C2592" s="76"/>
      <c r="J2592" s="53"/>
    </row>
    <row r="2593" spans="2:10" x14ac:dyDescent="0.25">
      <c r="B2593" s="35"/>
      <c r="C2593" s="76"/>
      <c r="J2593" s="53"/>
    </row>
    <row r="2594" spans="2:10" x14ac:dyDescent="0.25">
      <c r="B2594" s="35"/>
      <c r="C2594" s="76"/>
      <c r="J2594" s="53"/>
    </row>
    <row r="2595" spans="2:10" x14ac:dyDescent="0.25">
      <c r="B2595" s="35"/>
      <c r="C2595" s="76"/>
      <c r="J2595" s="53"/>
    </row>
    <row r="2596" spans="2:10" x14ac:dyDescent="0.25">
      <c r="B2596" s="35"/>
      <c r="C2596" s="76"/>
      <c r="J2596" s="53"/>
    </row>
    <row r="2597" spans="2:10" x14ac:dyDescent="0.25">
      <c r="B2597" s="35"/>
      <c r="C2597" s="76"/>
      <c r="J2597" s="53"/>
    </row>
    <row r="2598" spans="2:10" x14ac:dyDescent="0.25">
      <c r="B2598" s="35"/>
      <c r="C2598" s="76"/>
      <c r="J2598" s="53"/>
    </row>
    <row r="2599" spans="2:10" x14ac:dyDescent="0.25">
      <c r="B2599" s="35"/>
      <c r="C2599" s="76"/>
      <c r="J2599" s="53"/>
    </row>
    <row r="2600" spans="2:10" x14ac:dyDescent="0.25">
      <c r="B2600" s="35"/>
      <c r="C2600" s="76"/>
      <c r="J2600" s="53"/>
    </row>
    <row r="2601" spans="2:10" x14ac:dyDescent="0.25">
      <c r="B2601" s="35"/>
      <c r="C2601" s="76"/>
      <c r="J2601" s="53"/>
    </row>
    <row r="2602" spans="2:10" x14ac:dyDescent="0.25">
      <c r="B2602" s="35"/>
      <c r="C2602" s="76"/>
      <c r="J2602" s="53"/>
    </row>
    <row r="2603" spans="2:10" x14ac:dyDescent="0.25">
      <c r="B2603" s="35"/>
      <c r="C2603" s="76"/>
      <c r="J2603" s="53"/>
    </row>
    <row r="2604" spans="2:10" x14ac:dyDescent="0.25">
      <c r="B2604" s="35"/>
      <c r="C2604" s="76"/>
      <c r="J2604" s="53"/>
    </row>
    <row r="2605" spans="2:10" x14ac:dyDescent="0.25">
      <c r="B2605" s="35"/>
      <c r="C2605" s="76"/>
      <c r="J2605" s="53"/>
    </row>
    <row r="2606" spans="2:10" x14ac:dyDescent="0.25">
      <c r="B2606" s="35"/>
      <c r="C2606" s="76"/>
      <c r="J2606" s="53"/>
    </row>
    <row r="2607" spans="2:10" x14ac:dyDescent="0.25">
      <c r="B2607" s="35"/>
      <c r="C2607" s="76"/>
      <c r="J2607" s="53"/>
    </row>
    <row r="2608" spans="2:10" x14ac:dyDescent="0.25">
      <c r="B2608" s="35"/>
      <c r="C2608" s="76"/>
      <c r="J2608" s="53"/>
    </row>
    <row r="2609" spans="2:10" x14ac:dyDescent="0.25">
      <c r="B2609" s="35"/>
      <c r="C2609" s="76"/>
      <c r="J2609" s="53"/>
    </row>
    <row r="2610" spans="2:10" x14ac:dyDescent="0.25">
      <c r="B2610" s="35"/>
      <c r="C2610" s="76"/>
      <c r="J2610" s="53"/>
    </row>
    <row r="2611" spans="2:10" x14ac:dyDescent="0.25">
      <c r="B2611" s="35"/>
      <c r="C2611" s="76"/>
      <c r="J2611" s="53"/>
    </row>
    <row r="2612" spans="2:10" x14ac:dyDescent="0.25">
      <c r="B2612" s="35"/>
      <c r="C2612" s="76"/>
      <c r="J2612" s="53"/>
    </row>
    <row r="2613" spans="2:10" x14ac:dyDescent="0.25">
      <c r="B2613" s="35"/>
      <c r="C2613" s="76"/>
      <c r="J2613" s="53"/>
    </row>
    <row r="2614" spans="2:10" x14ac:dyDescent="0.25">
      <c r="B2614" s="35"/>
      <c r="C2614" s="76"/>
      <c r="J2614" s="53"/>
    </row>
    <row r="2615" spans="2:10" x14ac:dyDescent="0.25">
      <c r="B2615" s="35"/>
      <c r="C2615" s="76"/>
      <c r="J2615" s="53"/>
    </row>
    <row r="2616" spans="2:10" x14ac:dyDescent="0.25">
      <c r="B2616" s="35"/>
      <c r="C2616" s="76"/>
      <c r="J2616" s="53"/>
    </row>
    <row r="2617" spans="2:10" x14ac:dyDescent="0.25">
      <c r="B2617" s="35"/>
      <c r="C2617" s="76"/>
      <c r="J2617" s="53"/>
    </row>
    <row r="2618" spans="2:10" x14ac:dyDescent="0.25">
      <c r="B2618" s="35"/>
      <c r="C2618" s="76"/>
      <c r="J2618" s="53"/>
    </row>
    <row r="2619" spans="2:10" x14ac:dyDescent="0.25">
      <c r="B2619" s="35"/>
      <c r="C2619" s="76"/>
      <c r="J2619" s="53"/>
    </row>
    <row r="2620" spans="2:10" x14ac:dyDescent="0.25">
      <c r="B2620" s="35"/>
      <c r="C2620" s="76"/>
      <c r="J2620" s="53"/>
    </row>
    <row r="2621" spans="2:10" x14ac:dyDescent="0.25">
      <c r="B2621" s="35"/>
      <c r="C2621" s="76"/>
      <c r="J2621" s="53"/>
    </row>
    <row r="2622" spans="2:10" x14ac:dyDescent="0.25">
      <c r="B2622" s="35"/>
      <c r="C2622" s="76"/>
      <c r="J2622" s="53"/>
    </row>
    <row r="2623" spans="2:10" x14ac:dyDescent="0.25">
      <c r="B2623" s="35"/>
      <c r="C2623" s="76"/>
      <c r="J2623" s="53"/>
    </row>
    <row r="2624" spans="2:10" x14ac:dyDescent="0.25">
      <c r="B2624" s="35"/>
      <c r="C2624" s="76"/>
      <c r="J2624" s="53"/>
    </row>
    <row r="2625" spans="2:10" x14ac:dyDescent="0.25">
      <c r="B2625" s="35"/>
      <c r="C2625" s="76"/>
      <c r="J2625" s="53"/>
    </row>
    <row r="2626" spans="2:10" x14ac:dyDescent="0.25">
      <c r="B2626" s="35"/>
      <c r="C2626" s="76"/>
      <c r="J2626" s="53"/>
    </row>
    <row r="2627" spans="2:10" x14ac:dyDescent="0.25">
      <c r="B2627" s="35"/>
      <c r="C2627" s="76"/>
      <c r="J2627" s="53"/>
    </row>
    <row r="2628" spans="2:10" x14ac:dyDescent="0.25">
      <c r="B2628" s="35"/>
      <c r="C2628" s="76"/>
      <c r="J2628" s="53"/>
    </row>
    <row r="2629" spans="2:10" x14ac:dyDescent="0.25">
      <c r="B2629" s="35"/>
      <c r="C2629" s="76"/>
      <c r="J2629" s="53"/>
    </row>
    <row r="2630" spans="2:10" x14ac:dyDescent="0.25">
      <c r="B2630" s="35"/>
      <c r="C2630" s="76"/>
      <c r="J2630" s="53"/>
    </row>
    <row r="2631" spans="2:10" x14ac:dyDescent="0.25">
      <c r="B2631" s="35"/>
      <c r="C2631" s="76"/>
      <c r="J2631" s="53"/>
    </row>
    <row r="2632" spans="2:10" x14ac:dyDescent="0.25">
      <c r="B2632" s="35"/>
      <c r="C2632" s="76"/>
      <c r="J2632" s="53"/>
    </row>
    <row r="2633" spans="2:10" x14ac:dyDescent="0.25">
      <c r="B2633" s="35"/>
      <c r="C2633" s="76"/>
      <c r="J2633" s="53"/>
    </row>
    <row r="2634" spans="2:10" x14ac:dyDescent="0.25">
      <c r="B2634" s="35"/>
      <c r="C2634" s="76"/>
      <c r="J2634" s="53"/>
    </row>
    <row r="2635" spans="2:10" x14ac:dyDescent="0.25">
      <c r="B2635" s="35"/>
      <c r="C2635" s="76"/>
      <c r="J2635" s="53"/>
    </row>
    <row r="2636" spans="2:10" x14ac:dyDescent="0.25">
      <c r="B2636" s="35"/>
      <c r="C2636" s="76"/>
      <c r="J2636" s="53"/>
    </row>
    <row r="2637" spans="2:10" x14ac:dyDescent="0.25">
      <c r="B2637" s="35"/>
      <c r="C2637" s="76"/>
      <c r="J2637" s="53"/>
    </row>
    <row r="2638" spans="2:10" x14ac:dyDescent="0.25">
      <c r="B2638" s="35"/>
      <c r="C2638" s="76"/>
      <c r="J2638" s="53"/>
    </row>
    <row r="2639" spans="2:10" x14ac:dyDescent="0.25">
      <c r="B2639" s="35"/>
      <c r="C2639" s="76"/>
      <c r="J2639" s="53"/>
    </row>
    <row r="2640" spans="2:10" x14ac:dyDescent="0.25">
      <c r="B2640" s="35"/>
      <c r="C2640" s="76"/>
      <c r="J2640" s="53"/>
    </row>
    <row r="2641" spans="2:10" x14ac:dyDescent="0.25">
      <c r="B2641" s="35"/>
      <c r="C2641" s="76"/>
      <c r="J2641" s="53"/>
    </row>
    <row r="2642" spans="2:10" x14ac:dyDescent="0.25">
      <c r="B2642" s="35"/>
      <c r="C2642" s="76"/>
      <c r="J2642" s="53"/>
    </row>
    <row r="2643" spans="2:10" x14ac:dyDescent="0.25">
      <c r="B2643" s="35"/>
      <c r="C2643" s="76"/>
      <c r="J2643" s="53"/>
    </row>
    <row r="2644" spans="2:10" x14ac:dyDescent="0.25">
      <c r="B2644" s="35"/>
      <c r="C2644" s="76"/>
      <c r="J2644" s="53"/>
    </row>
    <row r="2645" spans="2:10" x14ac:dyDescent="0.25">
      <c r="B2645" s="35"/>
      <c r="C2645" s="76"/>
      <c r="J2645" s="53"/>
    </row>
    <row r="2646" spans="2:10" x14ac:dyDescent="0.25">
      <c r="B2646" s="35"/>
      <c r="C2646" s="76"/>
      <c r="J2646" s="53"/>
    </row>
    <row r="2647" spans="2:10" x14ac:dyDescent="0.25">
      <c r="B2647" s="35"/>
      <c r="C2647" s="76"/>
      <c r="J2647" s="53"/>
    </row>
    <row r="2648" spans="2:10" x14ac:dyDescent="0.25">
      <c r="B2648" s="35"/>
      <c r="C2648" s="76"/>
      <c r="J2648" s="53"/>
    </row>
    <row r="2649" spans="2:10" x14ac:dyDescent="0.25">
      <c r="B2649" s="35"/>
      <c r="C2649" s="76"/>
      <c r="J2649" s="53"/>
    </row>
    <row r="2650" spans="2:10" x14ac:dyDescent="0.25">
      <c r="B2650" s="35"/>
      <c r="C2650" s="76"/>
      <c r="J2650" s="53"/>
    </row>
    <row r="2651" spans="2:10" x14ac:dyDescent="0.25">
      <c r="B2651" s="35"/>
      <c r="C2651" s="76"/>
      <c r="J2651" s="53"/>
    </row>
    <row r="2652" spans="2:10" x14ac:dyDescent="0.25">
      <c r="B2652" s="35"/>
      <c r="C2652" s="76"/>
      <c r="J2652" s="53"/>
    </row>
    <row r="2653" spans="2:10" x14ac:dyDescent="0.25">
      <c r="B2653" s="35"/>
      <c r="C2653" s="76"/>
      <c r="J2653" s="53"/>
    </row>
    <row r="2654" spans="2:10" x14ac:dyDescent="0.25">
      <c r="B2654" s="35"/>
      <c r="C2654" s="76"/>
      <c r="J2654" s="53"/>
    </row>
    <row r="2655" spans="2:10" x14ac:dyDescent="0.25">
      <c r="B2655" s="35"/>
      <c r="C2655" s="76"/>
      <c r="J2655" s="53"/>
    </row>
    <row r="2656" spans="2:10" x14ac:dyDescent="0.25">
      <c r="B2656" s="35"/>
      <c r="C2656" s="76"/>
      <c r="J2656" s="53"/>
    </row>
    <row r="2657" spans="2:10" x14ac:dyDescent="0.25">
      <c r="B2657" s="35"/>
      <c r="C2657" s="76"/>
      <c r="J2657" s="53"/>
    </row>
    <row r="2658" spans="2:10" x14ac:dyDescent="0.25">
      <c r="B2658" s="35"/>
      <c r="C2658" s="76"/>
      <c r="J2658" s="53"/>
    </row>
    <row r="2659" spans="2:10" x14ac:dyDescent="0.25">
      <c r="B2659" s="35"/>
      <c r="C2659" s="76"/>
      <c r="J2659" s="53"/>
    </row>
    <row r="2660" spans="2:10" x14ac:dyDescent="0.25">
      <c r="B2660" s="35"/>
      <c r="C2660" s="76"/>
      <c r="J2660" s="53"/>
    </row>
    <row r="2661" spans="2:10" x14ac:dyDescent="0.25">
      <c r="B2661" s="35"/>
      <c r="C2661" s="76"/>
      <c r="J2661" s="53"/>
    </row>
    <row r="2662" spans="2:10" x14ac:dyDescent="0.25">
      <c r="B2662" s="35"/>
      <c r="C2662" s="76"/>
      <c r="J2662" s="53"/>
    </row>
    <row r="2663" spans="2:10" x14ac:dyDescent="0.25">
      <c r="B2663" s="35"/>
      <c r="C2663" s="76"/>
      <c r="J2663" s="53"/>
    </row>
    <row r="2664" spans="2:10" x14ac:dyDescent="0.25">
      <c r="B2664" s="35"/>
      <c r="C2664" s="76"/>
      <c r="J2664" s="53"/>
    </row>
    <row r="2665" spans="2:10" x14ac:dyDescent="0.25">
      <c r="B2665" s="35"/>
      <c r="C2665" s="76"/>
      <c r="J2665" s="53"/>
    </row>
    <row r="2666" spans="2:10" x14ac:dyDescent="0.25">
      <c r="B2666" s="35"/>
      <c r="C2666" s="76"/>
      <c r="J2666" s="53"/>
    </row>
    <row r="2667" spans="2:10" x14ac:dyDescent="0.25">
      <c r="B2667" s="35"/>
      <c r="C2667" s="76"/>
      <c r="J2667" s="53"/>
    </row>
    <row r="2668" spans="2:10" x14ac:dyDescent="0.25">
      <c r="B2668" s="35"/>
      <c r="C2668" s="76"/>
      <c r="J2668" s="53"/>
    </row>
    <row r="2669" spans="2:10" x14ac:dyDescent="0.25">
      <c r="B2669" s="35"/>
      <c r="C2669" s="76"/>
      <c r="J2669" s="53"/>
    </row>
    <row r="2670" spans="2:10" x14ac:dyDescent="0.25">
      <c r="B2670" s="35"/>
      <c r="C2670" s="76"/>
      <c r="J2670" s="53"/>
    </row>
    <row r="2671" spans="2:10" x14ac:dyDescent="0.25">
      <c r="B2671" s="35"/>
      <c r="C2671" s="76"/>
      <c r="J2671" s="53"/>
    </row>
    <row r="2672" spans="2:10" x14ac:dyDescent="0.25">
      <c r="B2672" s="35"/>
      <c r="C2672" s="76"/>
      <c r="J2672" s="53"/>
    </row>
    <row r="2673" spans="2:10" x14ac:dyDescent="0.25">
      <c r="B2673" s="35"/>
      <c r="C2673" s="76"/>
      <c r="J2673" s="53"/>
    </row>
    <row r="2674" spans="2:10" x14ac:dyDescent="0.25">
      <c r="B2674" s="35"/>
      <c r="C2674" s="76"/>
      <c r="J2674" s="53"/>
    </row>
    <row r="2675" spans="2:10" x14ac:dyDescent="0.25">
      <c r="B2675" s="35"/>
      <c r="C2675" s="76"/>
      <c r="J2675" s="53"/>
    </row>
    <row r="2676" spans="2:10" x14ac:dyDescent="0.25">
      <c r="B2676" s="35"/>
      <c r="C2676" s="76"/>
      <c r="J2676" s="53"/>
    </row>
    <row r="2677" spans="2:10" x14ac:dyDescent="0.25">
      <c r="B2677" s="35"/>
      <c r="C2677" s="76"/>
      <c r="J2677" s="53"/>
    </row>
    <row r="2678" spans="2:10" x14ac:dyDescent="0.25">
      <c r="B2678" s="35"/>
      <c r="C2678" s="76"/>
      <c r="J2678" s="53"/>
    </row>
    <row r="2679" spans="2:10" x14ac:dyDescent="0.25">
      <c r="B2679" s="35"/>
      <c r="C2679" s="76"/>
      <c r="J2679" s="53"/>
    </row>
    <row r="2680" spans="2:10" x14ac:dyDescent="0.25">
      <c r="B2680" s="35"/>
      <c r="C2680" s="76"/>
      <c r="J2680" s="53"/>
    </row>
    <row r="2681" spans="2:10" x14ac:dyDescent="0.25">
      <c r="B2681" s="35"/>
      <c r="C2681" s="76"/>
      <c r="J2681" s="53"/>
    </row>
    <row r="2682" spans="2:10" x14ac:dyDescent="0.25">
      <c r="B2682" s="35"/>
      <c r="C2682" s="76"/>
      <c r="J2682" s="53"/>
    </row>
    <row r="2683" spans="2:10" x14ac:dyDescent="0.25">
      <c r="B2683" s="35"/>
      <c r="C2683" s="76"/>
      <c r="J2683" s="53"/>
    </row>
    <row r="2684" spans="2:10" x14ac:dyDescent="0.25">
      <c r="B2684" s="35"/>
      <c r="C2684" s="76"/>
      <c r="J2684" s="53"/>
    </row>
    <row r="2685" spans="2:10" x14ac:dyDescent="0.25">
      <c r="B2685" s="35"/>
      <c r="C2685" s="76"/>
      <c r="J2685" s="53"/>
    </row>
    <row r="2686" spans="2:10" x14ac:dyDescent="0.25">
      <c r="B2686" s="35"/>
      <c r="C2686" s="76"/>
      <c r="J2686" s="53"/>
    </row>
    <row r="2687" spans="2:10" x14ac:dyDescent="0.25">
      <c r="B2687" s="35"/>
      <c r="C2687" s="76"/>
      <c r="J2687" s="53"/>
    </row>
    <row r="2688" spans="2:10" x14ac:dyDescent="0.25">
      <c r="B2688" s="35"/>
      <c r="C2688" s="76"/>
      <c r="J2688" s="53"/>
    </row>
    <row r="2689" spans="2:10" x14ac:dyDescent="0.25">
      <c r="B2689" s="35"/>
      <c r="C2689" s="76"/>
      <c r="J2689" s="53"/>
    </row>
    <row r="2690" spans="2:10" x14ac:dyDescent="0.25">
      <c r="B2690" s="35"/>
      <c r="C2690" s="76"/>
      <c r="J2690" s="53"/>
    </row>
    <row r="2691" spans="2:10" x14ac:dyDescent="0.25">
      <c r="B2691" s="35"/>
      <c r="C2691" s="76"/>
      <c r="J2691" s="53"/>
    </row>
    <row r="2692" spans="2:10" x14ac:dyDescent="0.25">
      <c r="B2692" s="35"/>
      <c r="C2692" s="76"/>
      <c r="J2692" s="53"/>
    </row>
    <row r="2693" spans="2:10" x14ac:dyDescent="0.25">
      <c r="B2693" s="35"/>
      <c r="C2693" s="76"/>
      <c r="J2693" s="53"/>
    </row>
    <row r="2694" spans="2:10" x14ac:dyDescent="0.25">
      <c r="B2694" s="35"/>
      <c r="C2694" s="76"/>
      <c r="J2694" s="53"/>
    </row>
    <row r="2695" spans="2:10" x14ac:dyDescent="0.25">
      <c r="B2695" s="35"/>
      <c r="C2695" s="76"/>
      <c r="J2695" s="53"/>
    </row>
    <row r="2696" spans="2:10" x14ac:dyDescent="0.25">
      <c r="B2696" s="35"/>
      <c r="C2696" s="76"/>
      <c r="J2696" s="53"/>
    </row>
    <row r="2697" spans="2:10" x14ac:dyDescent="0.25">
      <c r="B2697" s="35"/>
      <c r="C2697" s="76"/>
      <c r="J2697" s="53"/>
    </row>
    <row r="2698" spans="2:10" x14ac:dyDescent="0.25">
      <c r="B2698" s="35"/>
      <c r="C2698" s="76"/>
      <c r="J2698" s="53"/>
    </row>
    <row r="2699" spans="2:10" x14ac:dyDescent="0.25">
      <c r="B2699" s="35"/>
      <c r="C2699" s="76"/>
      <c r="J2699" s="53"/>
    </row>
    <row r="2700" spans="2:10" x14ac:dyDescent="0.25">
      <c r="B2700" s="35"/>
      <c r="C2700" s="76"/>
      <c r="J2700" s="53"/>
    </row>
    <row r="2701" spans="2:10" x14ac:dyDescent="0.25">
      <c r="B2701" s="35"/>
      <c r="C2701" s="76"/>
      <c r="J2701" s="53"/>
    </row>
    <row r="2702" spans="2:10" x14ac:dyDescent="0.25">
      <c r="B2702" s="35"/>
      <c r="C2702" s="76"/>
      <c r="J2702" s="53"/>
    </row>
    <row r="2703" spans="2:10" x14ac:dyDescent="0.25">
      <c r="B2703" s="35"/>
      <c r="C2703" s="76"/>
      <c r="J2703" s="53"/>
    </row>
    <row r="2704" spans="2:10" x14ac:dyDescent="0.25">
      <c r="B2704" s="35"/>
      <c r="C2704" s="76"/>
      <c r="J2704" s="53"/>
    </row>
    <row r="2705" spans="2:10" x14ac:dyDescent="0.25">
      <c r="B2705" s="35"/>
      <c r="C2705" s="76"/>
      <c r="J2705" s="53"/>
    </row>
    <row r="2706" spans="2:10" x14ac:dyDescent="0.25">
      <c r="B2706" s="35"/>
      <c r="C2706" s="76"/>
      <c r="J2706" s="53"/>
    </row>
    <row r="2707" spans="2:10" x14ac:dyDescent="0.25">
      <c r="B2707" s="35"/>
      <c r="C2707" s="76"/>
      <c r="J2707" s="53"/>
    </row>
    <row r="2708" spans="2:10" x14ac:dyDescent="0.25">
      <c r="B2708" s="35"/>
      <c r="C2708" s="76"/>
      <c r="J2708" s="53"/>
    </row>
    <row r="2709" spans="2:10" x14ac:dyDescent="0.25">
      <c r="B2709" s="35"/>
      <c r="C2709" s="76"/>
      <c r="J2709" s="53"/>
    </row>
    <row r="2710" spans="2:10" x14ac:dyDescent="0.25">
      <c r="B2710" s="35"/>
      <c r="C2710" s="76"/>
      <c r="J2710" s="53"/>
    </row>
    <row r="2711" spans="2:10" x14ac:dyDescent="0.25">
      <c r="B2711" s="35"/>
      <c r="C2711" s="76"/>
      <c r="J2711" s="53"/>
    </row>
    <row r="2712" spans="2:10" x14ac:dyDescent="0.25">
      <c r="B2712" s="35"/>
      <c r="C2712" s="76"/>
      <c r="J2712" s="53"/>
    </row>
    <row r="2713" spans="2:10" x14ac:dyDescent="0.25">
      <c r="B2713" s="35"/>
      <c r="C2713" s="76"/>
      <c r="J2713" s="53"/>
    </row>
    <row r="2714" spans="2:10" x14ac:dyDescent="0.25">
      <c r="B2714" s="35"/>
      <c r="C2714" s="76"/>
      <c r="J2714" s="53"/>
    </row>
    <row r="2715" spans="2:10" x14ac:dyDescent="0.25">
      <c r="B2715" s="35"/>
      <c r="C2715" s="76"/>
      <c r="J2715" s="53"/>
    </row>
    <row r="2716" spans="2:10" x14ac:dyDescent="0.25">
      <c r="B2716" s="35"/>
      <c r="C2716" s="76"/>
      <c r="J2716" s="53"/>
    </row>
    <row r="2717" spans="2:10" x14ac:dyDescent="0.25">
      <c r="B2717" s="35"/>
      <c r="C2717" s="76"/>
      <c r="J2717" s="53"/>
    </row>
    <row r="2718" spans="2:10" x14ac:dyDescent="0.25">
      <c r="B2718" s="35"/>
      <c r="C2718" s="76"/>
      <c r="J2718" s="53"/>
    </row>
    <row r="2719" spans="2:10" x14ac:dyDescent="0.25">
      <c r="B2719" s="35"/>
      <c r="C2719" s="76"/>
      <c r="J2719" s="53"/>
    </row>
    <row r="2720" spans="2:10" x14ac:dyDescent="0.25">
      <c r="B2720" s="35"/>
      <c r="C2720" s="76"/>
      <c r="J2720" s="53"/>
    </row>
    <row r="2721" spans="2:10" x14ac:dyDescent="0.25">
      <c r="B2721" s="35"/>
      <c r="C2721" s="76"/>
      <c r="J2721" s="53"/>
    </row>
    <row r="2722" spans="2:10" x14ac:dyDescent="0.25">
      <c r="B2722" s="35"/>
      <c r="C2722" s="76"/>
      <c r="J2722" s="53"/>
    </row>
    <row r="2723" spans="2:10" x14ac:dyDescent="0.25">
      <c r="B2723" s="35"/>
      <c r="C2723" s="76"/>
      <c r="J2723" s="53"/>
    </row>
    <row r="2724" spans="2:10" x14ac:dyDescent="0.25">
      <c r="B2724" s="35"/>
      <c r="C2724" s="76"/>
      <c r="J2724" s="53"/>
    </row>
    <row r="2725" spans="2:10" x14ac:dyDescent="0.25">
      <c r="B2725" s="35"/>
      <c r="C2725" s="76"/>
      <c r="J2725" s="53"/>
    </row>
    <row r="2726" spans="2:10" x14ac:dyDescent="0.25">
      <c r="B2726" s="35"/>
      <c r="C2726" s="76"/>
      <c r="J2726" s="53"/>
    </row>
    <row r="2727" spans="2:10" x14ac:dyDescent="0.25">
      <c r="B2727" s="35"/>
      <c r="C2727" s="76"/>
      <c r="J2727" s="53"/>
    </row>
    <row r="2728" spans="2:10" x14ac:dyDescent="0.25">
      <c r="B2728" s="35"/>
      <c r="C2728" s="76"/>
      <c r="J2728" s="53"/>
    </row>
    <row r="2729" spans="2:10" x14ac:dyDescent="0.25">
      <c r="B2729" s="35"/>
      <c r="C2729" s="76"/>
      <c r="J2729" s="53"/>
    </row>
    <row r="2730" spans="2:10" x14ac:dyDescent="0.25">
      <c r="B2730" s="35"/>
      <c r="C2730" s="76"/>
      <c r="J2730" s="53"/>
    </row>
    <row r="2731" spans="2:10" x14ac:dyDescent="0.25">
      <c r="B2731" s="35"/>
      <c r="C2731" s="76"/>
      <c r="J2731" s="53"/>
    </row>
    <row r="2732" spans="2:10" x14ac:dyDescent="0.25">
      <c r="B2732" s="35"/>
      <c r="C2732" s="76"/>
      <c r="J2732" s="53"/>
    </row>
    <row r="2733" spans="2:10" x14ac:dyDescent="0.25">
      <c r="B2733" s="35"/>
      <c r="C2733" s="76"/>
      <c r="J2733" s="53"/>
    </row>
    <row r="2734" spans="2:10" x14ac:dyDescent="0.25">
      <c r="B2734" s="35"/>
      <c r="C2734" s="76"/>
      <c r="J2734" s="53"/>
    </row>
    <row r="2735" spans="2:10" x14ac:dyDescent="0.25">
      <c r="B2735" s="35"/>
      <c r="C2735" s="76"/>
      <c r="J2735" s="53"/>
    </row>
    <row r="2736" spans="2:10" x14ac:dyDescent="0.25">
      <c r="B2736" s="35"/>
      <c r="C2736" s="76"/>
      <c r="J2736" s="53"/>
    </row>
    <row r="2737" spans="2:10" x14ac:dyDescent="0.25">
      <c r="B2737" s="35"/>
      <c r="C2737" s="76"/>
      <c r="J2737" s="53"/>
    </row>
    <row r="2738" spans="2:10" x14ac:dyDescent="0.25">
      <c r="B2738" s="35"/>
      <c r="C2738" s="76"/>
      <c r="J2738" s="53"/>
    </row>
    <row r="2739" spans="2:10" x14ac:dyDescent="0.25">
      <c r="B2739" s="35"/>
      <c r="C2739" s="76"/>
      <c r="J2739" s="53"/>
    </row>
    <row r="2740" spans="2:10" x14ac:dyDescent="0.25">
      <c r="B2740" s="35"/>
      <c r="C2740" s="76"/>
      <c r="J2740" s="53"/>
    </row>
    <row r="2741" spans="2:10" x14ac:dyDescent="0.25">
      <c r="B2741" s="35"/>
      <c r="C2741" s="76"/>
      <c r="J2741" s="53"/>
    </row>
    <row r="2742" spans="2:10" x14ac:dyDescent="0.25">
      <c r="B2742" s="35"/>
      <c r="C2742" s="76"/>
      <c r="J2742" s="53"/>
    </row>
    <row r="2743" spans="2:10" x14ac:dyDescent="0.25">
      <c r="B2743" s="35"/>
      <c r="C2743" s="76"/>
      <c r="J2743" s="53"/>
    </row>
    <row r="2744" spans="2:10" x14ac:dyDescent="0.25">
      <c r="B2744" s="35"/>
      <c r="C2744" s="76"/>
      <c r="J2744" s="53"/>
    </row>
    <row r="2745" spans="2:10" x14ac:dyDescent="0.25">
      <c r="B2745" s="35"/>
      <c r="C2745" s="76"/>
      <c r="J2745" s="53"/>
    </row>
    <row r="2746" spans="2:10" x14ac:dyDescent="0.25">
      <c r="B2746" s="35"/>
      <c r="C2746" s="76"/>
      <c r="J2746" s="53"/>
    </row>
    <row r="2747" spans="2:10" x14ac:dyDescent="0.25">
      <c r="B2747" s="35"/>
      <c r="C2747" s="76"/>
      <c r="J2747" s="53"/>
    </row>
    <row r="2748" spans="2:10" x14ac:dyDescent="0.25">
      <c r="B2748" s="35"/>
      <c r="C2748" s="76"/>
      <c r="J2748" s="53"/>
    </row>
    <row r="2749" spans="2:10" x14ac:dyDescent="0.25">
      <c r="B2749" s="35"/>
      <c r="C2749" s="76"/>
      <c r="J2749" s="53"/>
    </row>
    <row r="2750" spans="2:10" x14ac:dyDescent="0.25">
      <c r="B2750" s="35"/>
      <c r="C2750" s="76"/>
      <c r="J2750" s="53"/>
    </row>
    <row r="2751" spans="2:10" x14ac:dyDescent="0.25">
      <c r="B2751" s="35"/>
      <c r="C2751" s="76"/>
      <c r="J2751" s="53"/>
    </row>
    <row r="2752" spans="2:10" x14ac:dyDescent="0.25">
      <c r="B2752" s="35"/>
      <c r="C2752" s="76"/>
      <c r="J2752" s="53"/>
    </row>
    <row r="2753" spans="2:10" x14ac:dyDescent="0.25">
      <c r="B2753" s="35"/>
      <c r="C2753" s="76"/>
      <c r="J2753" s="53"/>
    </row>
    <row r="2754" spans="2:10" x14ac:dyDescent="0.25">
      <c r="B2754" s="35"/>
      <c r="C2754" s="76"/>
      <c r="J2754" s="53"/>
    </row>
    <row r="2755" spans="2:10" x14ac:dyDescent="0.25">
      <c r="B2755" s="35"/>
      <c r="C2755" s="76"/>
      <c r="J2755" s="53"/>
    </row>
    <row r="2756" spans="2:10" x14ac:dyDescent="0.25">
      <c r="B2756" s="35"/>
      <c r="C2756" s="76"/>
      <c r="J2756" s="53"/>
    </row>
    <row r="2757" spans="2:10" x14ac:dyDescent="0.25">
      <c r="B2757" s="35"/>
      <c r="C2757" s="76"/>
      <c r="J2757" s="53"/>
    </row>
    <row r="2758" spans="2:10" x14ac:dyDescent="0.25">
      <c r="B2758" s="35"/>
      <c r="C2758" s="76"/>
      <c r="J2758" s="53"/>
    </row>
    <row r="2759" spans="2:10" x14ac:dyDescent="0.25">
      <c r="B2759" s="35"/>
      <c r="C2759" s="76"/>
      <c r="J2759" s="53"/>
    </row>
    <row r="2760" spans="2:10" x14ac:dyDescent="0.25">
      <c r="B2760" s="35"/>
      <c r="C2760" s="76"/>
      <c r="J2760" s="53"/>
    </row>
    <row r="2761" spans="2:10" x14ac:dyDescent="0.25">
      <c r="B2761" s="35"/>
      <c r="C2761" s="76"/>
      <c r="J2761" s="53"/>
    </row>
    <row r="2762" spans="2:10" x14ac:dyDescent="0.25">
      <c r="B2762" s="35"/>
      <c r="C2762" s="76"/>
      <c r="J2762" s="53"/>
    </row>
    <row r="2763" spans="2:10" x14ac:dyDescent="0.25">
      <c r="B2763" s="35"/>
      <c r="C2763" s="76"/>
      <c r="J2763" s="53"/>
    </row>
    <row r="2764" spans="2:10" x14ac:dyDescent="0.25">
      <c r="B2764" s="35"/>
      <c r="C2764" s="76"/>
      <c r="J2764" s="53"/>
    </row>
    <row r="2765" spans="2:10" x14ac:dyDescent="0.25">
      <c r="B2765" s="35"/>
      <c r="C2765" s="76"/>
      <c r="J2765" s="53"/>
    </row>
    <row r="2766" spans="2:10" x14ac:dyDescent="0.25">
      <c r="B2766" s="35"/>
      <c r="C2766" s="76"/>
      <c r="J2766" s="53"/>
    </row>
    <row r="2767" spans="2:10" x14ac:dyDescent="0.25">
      <c r="B2767" s="35"/>
      <c r="C2767" s="76"/>
      <c r="J2767" s="53"/>
    </row>
    <row r="2768" spans="2:10" x14ac:dyDescent="0.25">
      <c r="B2768" s="35"/>
      <c r="C2768" s="76"/>
      <c r="J2768" s="53"/>
    </row>
    <row r="2769" spans="2:10" x14ac:dyDescent="0.25">
      <c r="B2769" s="35"/>
      <c r="C2769" s="76"/>
      <c r="J2769" s="53"/>
    </row>
    <row r="2770" spans="2:10" x14ac:dyDescent="0.25">
      <c r="B2770" s="35"/>
      <c r="C2770" s="76"/>
      <c r="J2770" s="53"/>
    </row>
    <row r="2771" spans="2:10" x14ac:dyDescent="0.25">
      <c r="B2771" s="35"/>
      <c r="C2771" s="76"/>
      <c r="J2771" s="53"/>
    </row>
    <row r="2772" spans="2:10" x14ac:dyDescent="0.25">
      <c r="B2772" s="35"/>
      <c r="C2772" s="76"/>
      <c r="J2772" s="53"/>
    </row>
    <row r="2773" spans="2:10" x14ac:dyDescent="0.25">
      <c r="B2773" s="35"/>
      <c r="C2773" s="76"/>
      <c r="J2773" s="53"/>
    </row>
    <row r="2774" spans="2:10" x14ac:dyDescent="0.25">
      <c r="B2774" s="35"/>
      <c r="C2774" s="76"/>
      <c r="J2774" s="53"/>
    </row>
    <row r="2775" spans="2:10" x14ac:dyDescent="0.25">
      <c r="B2775" s="35"/>
      <c r="C2775" s="76"/>
      <c r="J2775" s="53"/>
    </row>
    <row r="2776" spans="2:10" x14ac:dyDescent="0.25">
      <c r="B2776" s="35"/>
      <c r="C2776" s="76"/>
      <c r="J2776" s="53"/>
    </row>
    <row r="2777" spans="2:10" x14ac:dyDescent="0.25">
      <c r="B2777" s="35"/>
      <c r="C2777" s="76"/>
      <c r="J2777" s="53"/>
    </row>
    <row r="2778" spans="2:10" x14ac:dyDescent="0.25">
      <c r="B2778" s="35"/>
      <c r="C2778" s="76"/>
      <c r="J2778" s="53"/>
    </row>
    <row r="2779" spans="2:10" x14ac:dyDescent="0.25">
      <c r="B2779" s="35"/>
      <c r="C2779" s="76"/>
      <c r="J2779" s="53"/>
    </row>
    <row r="2780" spans="2:10" x14ac:dyDescent="0.25">
      <c r="B2780" s="35"/>
      <c r="C2780" s="76"/>
      <c r="J2780" s="53"/>
    </row>
    <row r="2781" spans="2:10" x14ac:dyDescent="0.25">
      <c r="B2781" s="35"/>
      <c r="C2781" s="76"/>
      <c r="J2781" s="53"/>
    </row>
    <row r="2782" spans="2:10" x14ac:dyDescent="0.25">
      <c r="B2782" s="35"/>
      <c r="C2782" s="76"/>
      <c r="J2782" s="53"/>
    </row>
    <row r="2783" spans="2:10" x14ac:dyDescent="0.25">
      <c r="B2783" s="35"/>
      <c r="C2783" s="76"/>
      <c r="J2783" s="53"/>
    </row>
    <row r="2784" spans="2:10" x14ac:dyDescent="0.25">
      <c r="B2784" s="35"/>
      <c r="C2784" s="76"/>
      <c r="J2784" s="53"/>
    </row>
    <row r="2785" spans="2:10" x14ac:dyDescent="0.25">
      <c r="B2785" s="35"/>
      <c r="C2785" s="76"/>
      <c r="J2785" s="53"/>
    </row>
    <row r="2786" spans="2:10" x14ac:dyDescent="0.25">
      <c r="B2786" s="35"/>
      <c r="C2786" s="76"/>
      <c r="J2786" s="53"/>
    </row>
    <row r="2787" spans="2:10" x14ac:dyDescent="0.25">
      <c r="B2787" s="35"/>
      <c r="C2787" s="76"/>
      <c r="J2787" s="53"/>
    </row>
    <row r="2788" spans="2:10" x14ac:dyDescent="0.25">
      <c r="B2788" s="35"/>
      <c r="C2788" s="76"/>
      <c r="J2788" s="53"/>
    </row>
    <row r="2789" spans="2:10" x14ac:dyDescent="0.25">
      <c r="B2789" s="35"/>
      <c r="C2789" s="76"/>
      <c r="J2789" s="53"/>
    </row>
    <row r="2790" spans="2:10" x14ac:dyDescent="0.25">
      <c r="B2790" s="35"/>
      <c r="C2790" s="76"/>
      <c r="J2790" s="53"/>
    </row>
    <row r="2791" spans="2:10" x14ac:dyDescent="0.25">
      <c r="B2791" s="35"/>
      <c r="C2791" s="76"/>
      <c r="J2791" s="53"/>
    </row>
    <row r="2792" spans="2:10" x14ac:dyDescent="0.25">
      <c r="B2792" s="35"/>
      <c r="C2792" s="76"/>
      <c r="J2792" s="53"/>
    </row>
    <row r="2793" spans="2:10" x14ac:dyDescent="0.25">
      <c r="B2793" s="35"/>
      <c r="C2793" s="76"/>
      <c r="J2793" s="53"/>
    </row>
    <row r="2794" spans="2:10" x14ac:dyDescent="0.25">
      <c r="B2794" s="35"/>
      <c r="C2794" s="76"/>
      <c r="J2794" s="53"/>
    </row>
    <row r="2795" spans="2:10" x14ac:dyDescent="0.25">
      <c r="B2795" s="35"/>
      <c r="C2795" s="76"/>
      <c r="J2795" s="53"/>
    </row>
    <row r="2796" spans="2:10" x14ac:dyDescent="0.25">
      <c r="B2796" s="35"/>
      <c r="C2796" s="76"/>
      <c r="J2796" s="53"/>
    </row>
    <row r="2797" spans="2:10" x14ac:dyDescent="0.25">
      <c r="B2797" s="35"/>
      <c r="C2797" s="76"/>
      <c r="J2797" s="53"/>
    </row>
    <row r="2798" spans="2:10" x14ac:dyDescent="0.25">
      <c r="B2798" s="35"/>
      <c r="C2798" s="76"/>
      <c r="J2798" s="53"/>
    </row>
    <row r="2799" spans="2:10" x14ac:dyDescent="0.25">
      <c r="B2799" s="35"/>
      <c r="C2799" s="76"/>
      <c r="J2799" s="53"/>
    </row>
    <row r="2800" spans="2:10" x14ac:dyDescent="0.25">
      <c r="B2800" s="35"/>
      <c r="C2800" s="76"/>
      <c r="J2800" s="53"/>
    </row>
    <row r="2801" spans="2:10" x14ac:dyDescent="0.25">
      <c r="B2801" s="35"/>
      <c r="C2801" s="76"/>
      <c r="J2801" s="53"/>
    </row>
    <row r="2802" spans="2:10" x14ac:dyDescent="0.25">
      <c r="B2802" s="35"/>
      <c r="C2802" s="76"/>
      <c r="J2802" s="53"/>
    </row>
    <row r="2803" spans="2:10" x14ac:dyDescent="0.25">
      <c r="B2803" s="35"/>
      <c r="C2803" s="76"/>
      <c r="J2803" s="53"/>
    </row>
    <row r="2804" spans="2:10" x14ac:dyDescent="0.25">
      <c r="B2804" s="35"/>
      <c r="C2804" s="76"/>
      <c r="J2804" s="53"/>
    </row>
    <row r="2805" spans="2:10" x14ac:dyDescent="0.25">
      <c r="B2805" s="35"/>
      <c r="C2805" s="76"/>
      <c r="J2805" s="53"/>
    </row>
    <row r="2806" spans="2:10" x14ac:dyDescent="0.25">
      <c r="B2806" s="35"/>
      <c r="C2806" s="76"/>
      <c r="J2806" s="53"/>
    </row>
    <row r="2807" spans="2:10" x14ac:dyDescent="0.25">
      <c r="B2807" s="35"/>
      <c r="C2807" s="76"/>
      <c r="J2807" s="53"/>
    </row>
    <row r="2808" spans="2:10" x14ac:dyDescent="0.25">
      <c r="B2808" s="35"/>
      <c r="C2808" s="76"/>
      <c r="J2808" s="53"/>
    </row>
    <row r="2809" spans="2:10" x14ac:dyDescent="0.25">
      <c r="B2809" s="35"/>
      <c r="C2809" s="76"/>
      <c r="J2809" s="53"/>
    </row>
    <row r="2810" spans="2:10" x14ac:dyDescent="0.25">
      <c r="B2810" s="35"/>
      <c r="C2810" s="76"/>
      <c r="J2810" s="53"/>
    </row>
    <row r="2811" spans="2:10" x14ac:dyDescent="0.25">
      <c r="B2811" s="35"/>
      <c r="C2811" s="76"/>
      <c r="J2811" s="53"/>
    </row>
    <row r="2812" spans="2:10" x14ac:dyDescent="0.25">
      <c r="B2812" s="35"/>
      <c r="C2812" s="76"/>
      <c r="J2812" s="53"/>
    </row>
    <row r="2813" spans="2:10" x14ac:dyDescent="0.25">
      <c r="B2813" s="35"/>
      <c r="C2813" s="76"/>
      <c r="J2813" s="53"/>
    </row>
    <row r="2814" spans="2:10" x14ac:dyDescent="0.25">
      <c r="B2814" s="35"/>
      <c r="C2814" s="76"/>
      <c r="J2814" s="53"/>
    </row>
    <row r="2815" spans="2:10" x14ac:dyDescent="0.25">
      <c r="B2815" s="35"/>
      <c r="C2815" s="76"/>
      <c r="J2815" s="53"/>
    </row>
    <row r="2816" spans="2:10" x14ac:dyDescent="0.25">
      <c r="B2816" s="35"/>
      <c r="C2816" s="76"/>
      <c r="J2816" s="53"/>
    </row>
    <row r="2817" spans="2:10" x14ac:dyDescent="0.25">
      <c r="B2817" s="35"/>
      <c r="C2817" s="76"/>
      <c r="J2817" s="53"/>
    </row>
    <row r="2818" spans="2:10" x14ac:dyDescent="0.25">
      <c r="B2818" s="35"/>
      <c r="C2818" s="76"/>
      <c r="J2818" s="53"/>
    </row>
    <row r="2819" spans="2:10" x14ac:dyDescent="0.25">
      <c r="B2819" s="35"/>
      <c r="C2819" s="76"/>
      <c r="J2819" s="53"/>
    </row>
    <row r="2820" spans="2:10" x14ac:dyDescent="0.25">
      <c r="B2820" s="35"/>
      <c r="C2820" s="76"/>
      <c r="J2820" s="53"/>
    </row>
    <row r="2821" spans="2:10" x14ac:dyDescent="0.25">
      <c r="B2821" s="35"/>
      <c r="C2821" s="76"/>
      <c r="J2821" s="53"/>
    </row>
    <row r="2822" spans="2:10" x14ac:dyDescent="0.25">
      <c r="B2822" s="35"/>
      <c r="C2822" s="76"/>
      <c r="J2822" s="53"/>
    </row>
    <row r="2823" spans="2:10" x14ac:dyDescent="0.25">
      <c r="B2823" s="35"/>
      <c r="C2823" s="76"/>
      <c r="J2823" s="53"/>
    </row>
    <row r="2824" spans="2:10" x14ac:dyDescent="0.25">
      <c r="B2824" s="35"/>
      <c r="C2824" s="76"/>
      <c r="J2824" s="53"/>
    </row>
    <row r="2825" spans="2:10" x14ac:dyDescent="0.25">
      <c r="B2825" s="35"/>
      <c r="C2825" s="76"/>
      <c r="J2825" s="53"/>
    </row>
    <row r="2826" spans="2:10" x14ac:dyDescent="0.25">
      <c r="B2826" s="35"/>
      <c r="C2826" s="76"/>
      <c r="J2826" s="53"/>
    </row>
    <row r="2827" spans="2:10" x14ac:dyDescent="0.25">
      <c r="B2827" s="35"/>
      <c r="C2827" s="76"/>
      <c r="J2827" s="53"/>
    </row>
    <row r="2828" spans="2:10" x14ac:dyDescent="0.25">
      <c r="B2828" s="35"/>
      <c r="C2828" s="76"/>
      <c r="J2828" s="53"/>
    </row>
    <row r="2829" spans="2:10" x14ac:dyDescent="0.25">
      <c r="B2829" s="35"/>
      <c r="C2829" s="76"/>
      <c r="J2829" s="53"/>
    </row>
    <row r="2830" spans="2:10" x14ac:dyDescent="0.25">
      <c r="B2830" s="35"/>
      <c r="C2830" s="76"/>
      <c r="J2830" s="53"/>
    </row>
    <row r="2831" spans="2:10" x14ac:dyDescent="0.25">
      <c r="B2831" s="35"/>
      <c r="C2831" s="76"/>
      <c r="J2831" s="53"/>
    </row>
    <row r="2832" spans="2:10" x14ac:dyDescent="0.25">
      <c r="B2832" s="35"/>
      <c r="C2832" s="76"/>
      <c r="J2832" s="53"/>
    </row>
    <row r="2833" spans="2:10" x14ac:dyDescent="0.25">
      <c r="B2833" s="35"/>
      <c r="C2833" s="76"/>
      <c r="J2833" s="53"/>
    </row>
    <row r="2834" spans="2:10" x14ac:dyDescent="0.25">
      <c r="B2834" s="35"/>
      <c r="C2834" s="76"/>
      <c r="J2834" s="53"/>
    </row>
    <row r="2835" spans="2:10" x14ac:dyDescent="0.25">
      <c r="B2835" s="35"/>
      <c r="C2835" s="76"/>
      <c r="J2835" s="53"/>
    </row>
    <row r="2836" spans="2:10" x14ac:dyDescent="0.25">
      <c r="B2836" s="35"/>
      <c r="C2836" s="76"/>
      <c r="J2836" s="53"/>
    </row>
    <row r="2837" spans="2:10" x14ac:dyDescent="0.25">
      <c r="B2837" s="35"/>
      <c r="C2837" s="76"/>
      <c r="J2837" s="53"/>
    </row>
    <row r="2838" spans="2:10" x14ac:dyDescent="0.25">
      <c r="B2838" s="35"/>
      <c r="C2838" s="76"/>
      <c r="J2838" s="53"/>
    </row>
    <row r="2839" spans="2:10" x14ac:dyDescent="0.25">
      <c r="B2839" s="35"/>
      <c r="C2839" s="76"/>
      <c r="J2839" s="53"/>
    </row>
    <row r="2840" spans="2:10" x14ac:dyDescent="0.25">
      <c r="B2840" s="35"/>
      <c r="C2840" s="76"/>
      <c r="J2840" s="53"/>
    </row>
    <row r="2841" spans="2:10" x14ac:dyDescent="0.25">
      <c r="B2841" s="35"/>
      <c r="C2841" s="76"/>
      <c r="J2841" s="53"/>
    </row>
    <row r="2842" spans="2:10" x14ac:dyDescent="0.25">
      <c r="B2842" s="35"/>
      <c r="C2842" s="76"/>
      <c r="J2842" s="53"/>
    </row>
    <row r="2843" spans="2:10" x14ac:dyDescent="0.25">
      <c r="B2843" s="35"/>
      <c r="C2843" s="76"/>
      <c r="J2843" s="53"/>
    </row>
    <row r="2844" spans="2:10" x14ac:dyDescent="0.25">
      <c r="B2844" s="35"/>
      <c r="C2844" s="76"/>
      <c r="J2844" s="53"/>
    </row>
    <row r="2845" spans="2:10" x14ac:dyDescent="0.25">
      <c r="B2845" s="35"/>
      <c r="C2845" s="76"/>
      <c r="J2845" s="53"/>
    </row>
    <row r="2846" spans="2:10" x14ac:dyDescent="0.25">
      <c r="B2846" s="35"/>
      <c r="C2846" s="76"/>
      <c r="J2846" s="53"/>
    </row>
    <row r="2847" spans="2:10" x14ac:dyDescent="0.25">
      <c r="B2847" s="35"/>
      <c r="C2847" s="76"/>
      <c r="J2847" s="53"/>
    </row>
    <row r="2848" spans="2:10" x14ac:dyDescent="0.25">
      <c r="B2848" s="35"/>
      <c r="C2848" s="76"/>
      <c r="J2848" s="53"/>
    </row>
    <row r="2849" spans="2:10" x14ac:dyDescent="0.25">
      <c r="B2849" s="35"/>
      <c r="C2849" s="76"/>
      <c r="J2849" s="53"/>
    </row>
    <row r="2850" spans="2:10" x14ac:dyDescent="0.25">
      <c r="B2850" s="35"/>
      <c r="C2850" s="76"/>
      <c r="J2850" s="53"/>
    </row>
    <row r="2851" spans="2:10" x14ac:dyDescent="0.25">
      <c r="B2851" s="35"/>
      <c r="C2851" s="76"/>
      <c r="J2851" s="53"/>
    </row>
    <row r="2852" spans="2:10" x14ac:dyDescent="0.25">
      <c r="B2852" s="35"/>
      <c r="C2852" s="76"/>
      <c r="J2852" s="53"/>
    </row>
    <row r="2853" spans="2:10" x14ac:dyDescent="0.25">
      <c r="B2853" s="35"/>
      <c r="C2853" s="76"/>
      <c r="J2853" s="53"/>
    </row>
    <row r="2854" spans="2:10" x14ac:dyDescent="0.25">
      <c r="B2854" s="35"/>
      <c r="C2854" s="76"/>
      <c r="J2854" s="53"/>
    </row>
    <row r="2855" spans="2:10" x14ac:dyDescent="0.25">
      <c r="B2855" s="35"/>
      <c r="C2855" s="76"/>
      <c r="J2855" s="53"/>
    </row>
    <row r="2856" spans="2:10" x14ac:dyDescent="0.25">
      <c r="B2856" s="35"/>
      <c r="C2856" s="76"/>
      <c r="J2856" s="53"/>
    </row>
    <row r="2857" spans="2:10" x14ac:dyDescent="0.25">
      <c r="B2857" s="35"/>
      <c r="C2857" s="76"/>
      <c r="J2857" s="53"/>
    </row>
    <row r="2858" spans="2:10" x14ac:dyDescent="0.25">
      <c r="B2858" s="35"/>
      <c r="C2858" s="76"/>
      <c r="J2858" s="53"/>
    </row>
    <row r="2859" spans="2:10" x14ac:dyDescent="0.25">
      <c r="B2859" s="35"/>
      <c r="C2859" s="76"/>
      <c r="J2859" s="53"/>
    </row>
    <row r="2860" spans="2:10" x14ac:dyDescent="0.25">
      <c r="B2860" s="35"/>
      <c r="C2860" s="76"/>
      <c r="J2860" s="53"/>
    </row>
    <row r="2861" spans="2:10" x14ac:dyDescent="0.25">
      <c r="B2861" s="35"/>
      <c r="C2861" s="76"/>
      <c r="J2861" s="53"/>
    </row>
    <row r="2862" spans="2:10" x14ac:dyDescent="0.25">
      <c r="B2862" s="35"/>
      <c r="C2862" s="76"/>
      <c r="J2862" s="53"/>
    </row>
    <row r="2863" spans="2:10" x14ac:dyDescent="0.25">
      <c r="B2863" s="35"/>
      <c r="C2863" s="76"/>
      <c r="J2863" s="53"/>
    </row>
    <row r="2864" spans="2:10" x14ac:dyDescent="0.25">
      <c r="B2864" s="35"/>
      <c r="C2864" s="76"/>
      <c r="J2864" s="53"/>
    </row>
    <row r="2865" spans="2:10" x14ac:dyDescent="0.25">
      <c r="B2865" s="35"/>
      <c r="C2865" s="76"/>
      <c r="J2865" s="53"/>
    </row>
    <row r="2866" spans="2:10" x14ac:dyDescent="0.25">
      <c r="B2866" s="35"/>
      <c r="C2866" s="76"/>
      <c r="J2866" s="53"/>
    </row>
    <row r="2867" spans="2:10" x14ac:dyDescent="0.25">
      <c r="B2867" s="35"/>
      <c r="C2867" s="76"/>
      <c r="J2867" s="53"/>
    </row>
    <row r="2868" spans="2:10" x14ac:dyDescent="0.25">
      <c r="B2868" s="35"/>
      <c r="C2868" s="76"/>
      <c r="J2868" s="53"/>
    </row>
    <row r="2869" spans="2:10" x14ac:dyDescent="0.25">
      <c r="B2869" s="35"/>
      <c r="C2869" s="76"/>
      <c r="J2869" s="53"/>
    </row>
    <row r="2870" spans="2:10" x14ac:dyDescent="0.25">
      <c r="B2870" s="35"/>
      <c r="C2870" s="76"/>
      <c r="J2870" s="53"/>
    </row>
    <row r="2871" spans="2:10" x14ac:dyDescent="0.25">
      <c r="B2871" s="35"/>
      <c r="C2871" s="76"/>
      <c r="J2871" s="53"/>
    </row>
    <row r="2872" spans="2:10" x14ac:dyDescent="0.25">
      <c r="B2872" s="35"/>
      <c r="C2872" s="76"/>
      <c r="J2872" s="53"/>
    </row>
    <row r="2873" spans="2:10" x14ac:dyDescent="0.25">
      <c r="B2873" s="35"/>
      <c r="C2873" s="76"/>
      <c r="J2873" s="53"/>
    </row>
    <row r="2874" spans="2:10" x14ac:dyDescent="0.25">
      <c r="B2874" s="35"/>
      <c r="C2874" s="76"/>
      <c r="J2874" s="53"/>
    </row>
    <row r="2875" spans="2:10" x14ac:dyDescent="0.25">
      <c r="B2875" s="35"/>
      <c r="C2875" s="76"/>
      <c r="J2875" s="53"/>
    </row>
    <row r="2876" spans="2:10" x14ac:dyDescent="0.25">
      <c r="B2876" s="35"/>
      <c r="C2876" s="76"/>
      <c r="J2876" s="53"/>
    </row>
    <row r="2877" spans="2:10" x14ac:dyDescent="0.25">
      <c r="B2877" s="35"/>
      <c r="C2877" s="76"/>
      <c r="J2877" s="53"/>
    </row>
    <row r="2878" spans="2:10" x14ac:dyDescent="0.25">
      <c r="B2878" s="35"/>
      <c r="C2878" s="76"/>
      <c r="J2878" s="53"/>
    </row>
    <row r="2879" spans="2:10" x14ac:dyDescent="0.25">
      <c r="B2879" s="35"/>
      <c r="C2879" s="76"/>
      <c r="J2879" s="53"/>
    </row>
    <row r="2880" spans="2:10" x14ac:dyDescent="0.25">
      <c r="B2880" s="35"/>
      <c r="C2880" s="76"/>
      <c r="J2880" s="53"/>
    </row>
    <row r="2881" spans="2:10" x14ac:dyDescent="0.25">
      <c r="B2881" s="35"/>
      <c r="C2881" s="76"/>
      <c r="J2881" s="53"/>
    </row>
    <row r="2882" spans="2:10" x14ac:dyDescent="0.25">
      <c r="B2882" s="35"/>
      <c r="C2882" s="76"/>
      <c r="J2882" s="53"/>
    </row>
    <row r="2883" spans="2:10" x14ac:dyDescent="0.25">
      <c r="B2883" s="35"/>
      <c r="C2883" s="76"/>
      <c r="J2883" s="53"/>
    </row>
    <row r="2884" spans="2:10" x14ac:dyDescent="0.25">
      <c r="B2884" s="35"/>
      <c r="C2884" s="76"/>
      <c r="J2884" s="53"/>
    </row>
    <row r="2885" spans="2:10" x14ac:dyDescent="0.25">
      <c r="B2885" s="35"/>
      <c r="C2885" s="76"/>
      <c r="J2885" s="53"/>
    </row>
    <row r="2886" spans="2:10" x14ac:dyDescent="0.25">
      <c r="B2886" s="35"/>
      <c r="C2886" s="76"/>
      <c r="J2886" s="53"/>
    </row>
    <row r="2887" spans="2:10" x14ac:dyDescent="0.25">
      <c r="B2887" s="35"/>
      <c r="C2887" s="76"/>
      <c r="J2887" s="53"/>
    </row>
    <row r="2888" spans="2:10" x14ac:dyDescent="0.25">
      <c r="B2888" s="35"/>
      <c r="C2888" s="76"/>
      <c r="J2888" s="53"/>
    </row>
    <row r="2889" spans="2:10" x14ac:dyDescent="0.25">
      <c r="B2889" s="35"/>
      <c r="C2889" s="76"/>
      <c r="J2889" s="53"/>
    </row>
    <row r="2890" spans="2:10" x14ac:dyDescent="0.25">
      <c r="B2890" s="35"/>
      <c r="C2890" s="76"/>
      <c r="J2890" s="53"/>
    </row>
    <row r="2891" spans="2:10" x14ac:dyDescent="0.25">
      <c r="B2891" s="35"/>
      <c r="C2891" s="76"/>
      <c r="J2891" s="53"/>
    </row>
    <row r="2892" spans="2:10" x14ac:dyDescent="0.25">
      <c r="B2892" s="35"/>
      <c r="C2892" s="76"/>
      <c r="J2892" s="53"/>
    </row>
    <row r="2893" spans="2:10" x14ac:dyDescent="0.25">
      <c r="B2893" s="35"/>
      <c r="C2893" s="76"/>
      <c r="J2893" s="53"/>
    </row>
    <row r="2894" spans="2:10" x14ac:dyDescent="0.25">
      <c r="B2894" s="35"/>
      <c r="C2894" s="76"/>
      <c r="J2894" s="53"/>
    </row>
    <row r="2895" spans="2:10" x14ac:dyDescent="0.25">
      <c r="B2895" s="35"/>
      <c r="C2895" s="76"/>
      <c r="J2895" s="53"/>
    </row>
    <row r="2896" spans="2:10" x14ac:dyDescent="0.25">
      <c r="B2896" s="35"/>
      <c r="C2896" s="76"/>
      <c r="J2896" s="53"/>
    </row>
    <row r="2897" spans="2:10" x14ac:dyDescent="0.25">
      <c r="B2897" s="35"/>
      <c r="C2897" s="76"/>
      <c r="J2897" s="53"/>
    </row>
    <row r="2898" spans="2:10" x14ac:dyDescent="0.25">
      <c r="B2898" s="35"/>
      <c r="C2898" s="76"/>
      <c r="J2898" s="53"/>
    </row>
    <row r="2899" spans="2:10" x14ac:dyDescent="0.25">
      <c r="B2899" s="35"/>
      <c r="C2899" s="76"/>
      <c r="J2899" s="53"/>
    </row>
    <row r="2900" spans="2:10" x14ac:dyDescent="0.25">
      <c r="B2900" s="35"/>
      <c r="C2900" s="76"/>
      <c r="J2900" s="53"/>
    </row>
    <row r="2901" spans="2:10" x14ac:dyDescent="0.25">
      <c r="B2901" s="35"/>
      <c r="C2901" s="76"/>
      <c r="J2901" s="53"/>
    </row>
    <row r="2902" spans="2:10" x14ac:dyDescent="0.25">
      <c r="C2902" s="76"/>
      <c r="J2902" s="53"/>
    </row>
    <row r="2903" spans="2:10" x14ac:dyDescent="0.25">
      <c r="C2903" s="76"/>
      <c r="J2903" s="53"/>
    </row>
    <row r="2904" spans="2:10" x14ac:dyDescent="0.25">
      <c r="C2904" s="76"/>
      <c r="J2904" s="53"/>
    </row>
    <row r="2905" spans="2:10" x14ac:dyDescent="0.25">
      <c r="C2905" s="76"/>
      <c r="J2905" s="53"/>
    </row>
    <row r="2906" spans="2:10" x14ac:dyDescent="0.25">
      <c r="C2906" s="76"/>
      <c r="J2906" s="53"/>
    </row>
    <row r="2907" spans="2:10" x14ac:dyDescent="0.25">
      <c r="C2907" s="76"/>
      <c r="J2907" s="53"/>
    </row>
    <row r="2908" spans="2:10" x14ac:dyDescent="0.25">
      <c r="C2908" s="76"/>
      <c r="J2908" s="53"/>
    </row>
    <row r="2909" spans="2:10" x14ac:dyDescent="0.25">
      <c r="C2909" s="76"/>
      <c r="J2909" s="53"/>
    </row>
    <row r="2910" spans="2:10" x14ac:dyDescent="0.25">
      <c r="C2910" s="76"/>
      <c r="J2910" s="53"/>
    </row>
    <row r="2911" spans="2:10" x14ac:dyDescent="0.25">
      <c r="C2911" s="76"/>
      <c r="J2911" s="53"/>
    </row>
    <row r="2912" spans="2:10" x14ac:dyDescent="0.25">
      <c r="C2912" s="76"/>
      <c r="J2912" s="53"/>
    </row>
    <row r="2913" spans="3:10" x14ac:dyDescent="0.25">
      <c r="C2913" s="76"/>
      <c r="J2913" s="53"/>
    </row>
    <row r="2914" spans="3:10" x14ac:dyDescent="0.25">
      <c r="C2914" s="76"/>
      <c r="J2914" s="53"/>
    </row>
    <row r="2915" spans="3:10" x14ac:dyDescent="0.25">
      <c r="C2915" s="76"/>
      <c r="J2915" s="53"/>
    </row>
    <row r="2916" spans="3:10" x14ac:dyDescent="0.25">
      <c r="C2916" s="76"/>
      <c r="J2916" s="53"/>
    </row>
    <row r="2917" spans="3:10" x14ac:dyDescent="0.25">
      <c r="C2917" s="76"/>
      <c r="J2917" s="53"/>
    </row>
    <row r="2918" spans="3:10" x14ac:dyDescent="0.25">
      <c r="C2918" s="76"/>
      <c r="J2918" s="53"/>
    </row>
    <row r="2919" spans="3:10" x14ac:dyDescent="0.25">
      <c r="C2919" s="76"/>
      <c r="J2919" s="53"/>
    </row>
    <row r="2920" spans="3:10" x14ac:dyDescent="0.25">
      <c r="C2920" s="76"/>
      <c r="J2920" s="53"/>
    </row>
    <row r="2921" spans="3:10" x14ac:dyDescent="0.25">
      <c r="C2921" s="76"/>
      <c r="J2921" s="53"/>
    </row>
    <row r="2922" spans="3:10" x14ac:dyDescent="0.25">
      <c r="C2922" s="76"/>
      <c r="J2922" s="53"/>
    </row>
    <row r="2923" spans="3:10" x14ac:dyDescent="0.25">
      <c r="C2923" s="76"/>
      <c r="J2923" s="53"/>
    </row>
    <row r="2924" spans="3:10" x14ac:dyDescent="0.25">
      <c r="C2924" s="76"/>
      <c r="J2924" s="53"/>
    </row>
    <row r="2925" spans="3:10" x14ac:dyDescent="0.25">
      <c r="C2925" s="76"/>
      <c r="J2925" s="53"/>
    </row>
    <row r="2926" spans="3:10" x14ac:dyDescent="0.25">
      <c r="C2926" s="76"/>
      <c r="J2926" s="53"/>
    </row>
    <row r="2927" spans="3:10" x14ac:dyDescent="0.25">
      <c r="C2927" s="76"/>
      <c r="J2927" s="53"/>
    </row>
    <row r="2928" spans="3:10" x14ac:dyDescent="0.25">
      <c r="C2928" s="76"/>
      <c r="J2928" s="53"/>
    </row>
    <row r="2929" spans="3:10" x14ac:dyDescent="0.25">
      <c r="C2929" s="76"/>
      <c r="J2929" s="53"/>
    </row>
    <row r="2930" spans="3:10" x14ac:dyDescent="0.25">
      <c r="C2930" s="76"/>
      <c r="J2930" s="53"/>
    </row>
    <row r="2931" spans="3:10" x14ac:dyDescent="0.25">
      <c r="C2931" s="76"/>
      <c r="J2931" s="53"/>
    </row>
    <row r="2932" spans="3:10" x14ac:dyDescent="0.25">
      <c r="C2932" s="76"/>
      <c r="J2932" s="53"/>
    </row>
    <row r="2933" spans="3:10" x14ac:dyDescent="0.25">
      <c r="C2933" s="76"/>
      <c r="J2933" s="53"/>
    </row>
    <row r="2934" spans="3:10" x14ac:dyDescent="0.25">
      <c r="C2934" s="76"/>
      <c r="J2934" s="53"/>
    </row>
    <row r="2935" spans="3:10" x14ac:dyDescent="0.25">
      <c r="C2935" s="76"/>
      <c r="J2935" s="53"/>
    </row>
    <row r="2936" spans="3:10" x14ac:dyDescent="0.25">
      <c r="C2936" s="76"/>
      <c r="J2936" s="53"/>
    </row>
    <row r="2937" spans="3:10" x14ac:dyDescent="0.25">
      <c r="C2937" s="76"/>
      <c r="J2937" s="53"/>
    </row>
    <row r="2938" spans="3:10" x14ac:dyDescent="0.25">
      <c r="C2938" s="76"/>
      <c r="J2938" s="53"/>
    </row>
    <row r="2939" spans="3:10" x14ac:dyDescent="0.25">
      <c r="C2939" s="76"/>
      <c r="J2939" s="53"/>
    </row>
    <row r="2940" spans="3:10" x14ac:dyDescent="0.25">
      <c r="C2940" s="76"/>
      <c r="J2940" s="53"/>
    </row>
    <row r="2941" spans="3:10" x14ac:dyDescent="0.25">
      <c r="C2941" s="76"/>
      <c r="J2941" s="53"/>
    </row>
    <row r="2942" spans="3:10" x14ac:dyDescent="0.25">
      <c r="C2942" s="76"/>
      <c r="J2942" s="53"/>
    </row>
    <row r="2943" spans="3:10" x14ac:dyDescent="0.25">
      <c r="C2943" s="76"/>
      <c r="J2943" s="53"/>
    </row>
    <row r="2944" spans="3:10" x14ac:dyDescent="0.25">
      <c r="C2944" s="76"/>
      <c r="J2944" s="53"/>
    </row>
    <row r="2945" spans="3:10" x14ac:dyDescent="0.25">
      <c r="C2945" s="76"/>
      <c r="J2945" s="53"/>
    </row>
    <row r="2946" spans="3:10" x14ac:dyDescent="0.25">
      <c r="C2946" s="76"/>
      <c r="J2946" s="53"/>
    </row>
    <row r="2947" spans="3:10" x14ac:dyDescent="0.25">
      <c r="C2947" s="76"/>
      <c r="J2947" s="53"/>
    </row>
    <row r="2948" spans="3:10" x14ac:dyDescent="0.25">
      <c r="C2948" s="76"/>
      <c r="J2948" s="53"/>
    </row>
    <row r="2949" spans="3:10" x14ac:dyDescent="0.25">
      <c r="C2949" s="76"/>
      <c r="J2949" s="53"/>
    </row>
    <row r="2950" spans="3:10" x14ac:dyDescent="0.25">
      <c r="C2950" s="76"/>
      <c r="J2950" s="53"/>
    </row>
    <row r="2951" spans="3:10" x14ac:dyDescent="0.25">
      <c r="C2951" s="76"/>
      <c r="J2951" s="53"/>
    </row>
    <row r="2952" spans="3:10" x14ac:dyDescent="0.25">
      <c r="C2952" s="76"/>
      <c r="J2952" s="53"/>
    </row>
    <row r="2953" spans="3:10" x14ac:dyDescent="0.25">
      <c r="C2953" s="76"/>
      <c r="J2953" s="53"/>
    </row>
    <row r="2954" spans="3:10" x14ac:dyDescent="0.25">
      <c r="C2954" s="76"/>
      <c r="J2954" s="53"/>
    </row>
    <row r="2955" spans="3:10" x14ac:dyDescent="0.25">
      <c r="C2955" s="76"/>
      <c r="J2955" s="53"/>
    </row>
    <row r="2956" spans="3:10" x14ac:dyDescent="0.25">
      <c r="C2956" s="76"/>
      <c r="J2956" s="53"/>
    </row>
    <row r="2957" spans="3:10" x14ac:dyDescent="0.25">
      <c r="C2957" s="76"/>
      <c r="J2957" s="53"/>
    </row>
    <row r="2958" spans="3:10" x14ac:dyDescent="0.25">
      <c r="C2958" s="76"/>
      <c r="J2958" s="53"/>
    </row>
    <row r="2959" spans="3:10" x14ac:dyDescent="0.25">
      <c r="C2959" s="76"/>
      <c r="J2959" s="53"/>
    </row>
    <row r="2960" spans="3:10" x14ac:dyDescent="0.25">
      <c r="C2960" s="76"/>
      <c r="J2960" s="53"/>
    </row>
    <row r="2961" spans="3:10" x14ac:dyDescent="0.25">
      <c r="C2961" s="76"/>
      <c r="J2961" s="53"/>
    </row>
    <row r="2962" spans="3:10" x14ac:dyDescent="0.25">
      <c r="C2962" s="76"/>
      <c r="J2962" s="53"/>
    </row>
    <row r="2963" spans="3:10" x14ac:dyDescent="0.25">
      <c r="C2963" s="76"/>
      <c r="J2963" s="53"/>
    </row>
    <row r="2964" spans="3:10" x14ac:dyDescent="0.25">
      <c r="C2964" s="76"/>
      <c r="J2964" s="53"/>
    </row>
    <row r="2965" spans="3:10" x14ac:dyDescent="0.25">
      <c r="C2965" s="76"/>
      <c r="J2965" s="53"/>
    </row>
    <row r="2966" spans="3:10" x14ac:dyDescent="0.25">
      <c r="C2966" s="76"/>
      <c r="J2966" s="53"/>
    </row>
    <row r="2967" spans="3:10" x14ac:dyDescent="0.25">
      <c r="C2967" s="76"/>
      <c r="J2967" s="53"/>
    </row>
    <row r="2968" spans="3:10" x14ac:dyDescent="0.25">
      <c r="C2968" s="76"/>
      <c r="J2968" s="53"/>
    </row>
    <row r="2969" spans="3:10" x14ac:dyDescent="0.25">
      <c r="C2969" s="76"/>
      <c r="J2969" s="53"/>
    </row>
    <row r="2970" spans="3:10" x14ac:dyDescent="0.25">
      <c r="C2970" s="76"/>
      <c r="J2970" s="53"/>
    </row>
    <row r="2971" spans="3:10" x14ac:dyDescent="0.25">
      <c r="C2971" s="76"/>
      <c r="J2971" s="53"/>
    </row>
    <row r="2972" spans="3:10" x14ac:dyDescent="0.25">
      <c r="C2972" s="76"/>
      <c r="J2972" s="53"/>
    </row>
    <row r="2973" spans="3:10" x14ac:dyDescent="0.25">
      <c r="C2973" s="76"/>
      <c r="J2973" s="53"/>
    </row>
    <row r="2974" spans="3:10" x14ac:dyDescent="0.25">
      <c r="C2974" s="76"/>
      <c r="J2974" s="53"/>
    </row>
    <row r="2975" spans="3:10" x14ac:dyDescent="0.25">
      <c r="C2975" s="76"/>
      <c r="J2975" s="53"/>
    </row>
    <row r="2976" spans="3:10" x14ac:dyDescent="0.25">
      <c r="C2976" s="76"/>
      <c r="J2976" s="53"/>
    </row>
    <row r="2977" spans="3:10" x14ac:dyDescent="0.25">
      <c r="C2977" s="76"/>
      <c r="J2977" s="53"/>
    </row>
    <row r="2978" spans="3:10" x14ac:dyDescent="0.25">
      <c r="C2978" s="76"/>
      <c r="J2978" s="53"/>
    </row>
    <row r="2979" spans="3:10" x14ac:dyDescent="0.25">
      <c r="C2979" s="76"/>
      <c r="J2979" s="53"/>
    </row>
    <row r="2980" spans="3:10" x14ac:dyDescent="0.25">
      <c r="C2980" s="76"/>
      <c r="J2980" s="53"/>
    </row>
    <row r="2981" spans="3:10" x14ac:dyDescent="0.25">
      <c r="C2981" s="76"/>
      <c r="J2981" s="53"/>
    </row>
    <row r="2982" spans="3:10" x14ac:dyDescent="0.25">
      <c r="C2982" s="76"/>
      <c r="J2982" s="53"/>
    </row>
    <row r="2983" spans="3:10" x14ac:dyDescent="0.25">
      <c r="C2983" s="76"/>
      <c r="J2983" s="53"/>
    </row>
    <row r="2984" spans="3:10" x14ac:dyDescent="0.25">
      <c r="C2984" s="76"/>
      <c r="J2984" s="53"/>
    </row>
    <row r="2985" spans="3:10" x14ac:dyDescent="0.25">
      <c r="C2985" s="76"/>
      <c r="J2985" s="53"/>
    </row>
    <row r="2986" spans="3:10" x14ac:dyDescent="0.25">
      <c r="C2986" s="76"/>
      <c r="J2986" s="53"/>
    </row>
    <row r="2987" spans="3:10" x14ac:dyDescent="0.25">
      <c r="C2987" s="76"/>
      <c r="J2987" s="53"/>
    </row>
    <row r="2988" spans="3:10" x14ac:dyDescent="0.25">
      <c r="C2988" s="76"/>
      <c r="J2988" s="53"/>
    </row>
    <row r="2989" spans="3:10" x14ac:dyDescent="0.25">
      <c r="C2989" s="76"/>
      <c r="J2989" s="53"/>
    </row>
    <row r="2990" spans="3:10" x14ac:dyDescent="0.25">
      <c r="C2990" s="76"/>
      <c r="J2990" s="53"/>
    </row>
    <row r="2991" spans="3:10" x14ac:dyDescent="0.25">
      <c r="C2991" s="76"/>
      <c r="J2991" s="53"/>
    </row>
    <row r="2992" spans="3:10" x14ac:dyDescent="0.25">
      <c r="C2992" s="76"/>
      <c r="J2992" s="53"/>
    </row>
    <row r="2993" spans="3:10" x14ac:dyDescent="0.25">
      <c r="C2993" s="76"/>
      <c r="J2993" s="53"/>
    </row>
    <row r="2994" spans="3:10" x14ac:dyDescent="0.25">
      <c r="C2994" s="76"/>
      <c r="J2994" s="53"/>
    </row>
    <row r="2995" spans="3:10" x14ac:dyDescent="0.25">
      <c r="C2995" s="76"/>
      <c r="J2995" s="53"/>
    </row>
    <row r="2996" spans="3:10" x14ac:dyDescent="0.25">
      <c r="C2996" s="76"/>
      <c r="J2996" s="53"/>
    </row>
    <row r="2997" spans="3:10" x14ac:dyDescent="0.25">
      <c r="C2997" s="76"/>
      <c r="J2997" s="53"/>
    </row>
    <row r="2998" spans="3:10" x14ac:dyDescent="0.25">
      <c r="C2998" s="76"/>
      <c r="J2998" s="53"/>
    </row>
    <row r="2999" spans="3:10" x14ac:dyDescent="0.25">
      <c r="C2999" s="76"/>
      <c r="J2999" s="53"/>
    </row>
    <row r="3000" spans="3:10" x14ac:dyDescent="0.25">
      <c r="C3000" s="76"/>
      <c r="J3000" s="53"/>
    </row>
    <row r="3001" spans="3:10" x14ac:dyDescent="0.25">
      <c r="C3001" s="76"/>
      <c r="J3001" s="53"/>
    </row>
    <row r="3002" spans="3:10" x14ac:dyDescent="0.25">
      <c r="C3002" s="76"/>
      <c r="J3002" s="53"/>
    </row>
    <row r="3003" spans="3:10" x14ac:dyDescent="0.25">
      <c r="C3003" s="76"/>
      <c r="J3003" s="53"/>
    </row>
    <row r="3004" spans="3:10" x14ac:dyDescent="0.25">
      <c r="C3004" s="76"/>
      <c r="J3004" s="53"/>
    </row>
    <row r="3005" spans="3:10" x14ac:dyDescent="0.25">
      <c r="C3005" s="76"/>
      <c r="J3005" s="53"/>
    </row>
    <row r="3006" spans="3:10" x14ac:dyDescent="0.25">
      <c r="C3006" s="76"/>
      <c r="J3006" s="53"/>
    </row>
    <row r="3007" spans="3:10" x14ac:dyDescent="0.25">
      <c r="C3007" s="76"/>
      <c r="J3007" s="53"/>
    </row>
    <row r="3008" spans="3:10" x14ac:dyDescent="0.25">
      <c r="C3008" s="76"/>
      <c r="J3008" s="53"/>
    </row>
    <row r="3009" spans="3:10" x14ac:dyDescent="0.25">
      <c r="C3009" s="76"/>
      <c r="J3009" s="53"/>
    </row>
    <row r="3010" spans="3:10" x14ac:dyDescent="0.25">
      <c r="C3010" s="76"/>
      <c r="J3010" s="53"/>
    </row>
    <row r="3011" spans="3:10" x14ac:dyDescent="0.25">
      <c r="C3011" s="76"/>
      <c r="J3011" s="53"/>
    </row>
    <row r="3012" spans="3:10" x14ac:dyDescent="0.25">
      <c r="C3012" s="76"/>
      <c r="J3012" s="53"/>
    </row>
    <row r="3013" spans="3:10" x14ac:dyDescent="0.25">
      <c r="C3013" s="76"/>
      <c r="J3013" s="53"/>
    </row>
    <row r="3014" spans="3:10" x14ac:dyDescent="0.25">
      <c r="C3014" s="76"/>
      <c r="J3014" s="53"/>
    </row>
    <row r="3015" spans="3:10" x14ac:dyDescent="0.25">
      <c r="C3015" s="76"/>
      <c r="J3015" s="53"/>
    </row>
    <row r="3016" spans="3:10" x14ac:dyDescent="0.25">
      <c r="C3016" s="76"/>
      <c r="J3016" s="53"/>
    </row>
    <row r="3017" spans="3:10" x14ac:dyDescent="0.25">
      <c r="C3017" s="76"/>
      <c r="J3017" s="53"/>
    </row>
    <row r="3018" spans="3:10" x14ac:dyDescent="0.25">
      <c r="C3018" s="76"/>
      <c r="J3018" s="53"/>
    </row>
    <row r="3019" spans="3:10" x14ac:dyDescent="0.25">
      <c r="C3019" s="76"/>
      <c r="J3019" s="53"/>
    </row>
    <row r="3020" spans="3:10" x14ac:dyDescent="0.25">
      <c r="C3020" s="76"/>
      <c r="J3020" s="53"/>
    </row>
    <row r="3021" spans="3:10" x14ac:dyDescent="0.25">
      <c r="C3021" s="76"/>
      <c r="J3021" s="53"/>
    </row>
    <row r="3022" spans="3:10" x14ac:dyDescent="0.25">
      <c r="C3022" s="76"/>
      <c r="J3022" s="53"/>
    </row>
    <row r="3023" spans="3:10" x14ac:dyDescent="0.25">
      <c r="C3023" s="76"/>
      <c r="J3023" s="53"/>
    </row>
    <row r="3024" spans="3:10" x14ac:dyDescent="0.25">
      <c r="C3024" s="76"/>
      <c r="J3024" s="53"/>
    </row>
    <row r="3025" spans="3:10" x14ac:dyDescent="0.25">
      <c r="C3025" s="76"/>
      <c r="J3025" s="53"/>
    </row>
    <row r="3026" spans="3:10" x14ac:dyDescent="0.25">
      <c r="C3026" s="76"/>
      <c r="J3026" s="53"/>
    </row>
    <row r="3027" spans="3:10" x14ac:dyDescent="0.25">
      <c r="C3027" s="76"/>
      <c r="J3027" s="53"/>
    </row>
    <row r="3028" spans="3:10" x14ac:dyDescent="0.25">
      <c r="C3028" s="76"/>
      <c r="J3028" s="53"/>
    </row>
    <row r="3029" spans="3:10" x14ac:dyDescent="0.25">
      <c r="C3029" s="76"/>
      <c r="J3029" s="53"/>
    </row>
    <row r="3030" spans="3:10" x14ac:dyDescent="0.25">
      <c r="C3030" s="76"/>
      <c r="J3030" s="53"/>
    </row>
    <row r="3031" spans="3:10" x14ac:dyDescent="0.25">
      <c r="C3031" s="76"/>
      <c r="J3031" s="53"/>
    </row>
    <row r="3032" spans="3:10" x14ac:dyDescent="0.25">
      <c r="C3032" s="76"/>
      <c r="J3032" s="53"/>
    </row>
    <row r="3033" spans="3:10" x14ac:dyDescent="0.25">
      <c r="C3033" s="76"/>
      <c r="J3033" s="53"/>
    </row>
    <row r="3034" spans="3:10" x14ac:dyDescent="0.25">
      <c r="C3034" s="76"/>
      <c r="J3034" s="53"/>
    </row>
    <row r="3035" spans="3:10" x14ac:dyDescent="0.25">
      <c r="C3035" s="76"/>
      <c r="J3035" s="53"/>
    </row>
    <row r="3036" spans="3:10" x14ac:dyDescent="0.25">
      <c r="C3036" s="76"/>
      <c r="J3036" s="53"/>
    </row>
    <row r="3037" spans="3:10" x14ac:dyDescent="0.25">
      <c r="C3037" s="76"/>
      <c r="J3037" s="53"/>
    </row>
    <row r="3038" spans="3:10" x14ac:dyDescent="0.25">
      <c r="C3038" s="76"/>
      <c r="J3038" s="53"/>
    </row>
    <row r="3039" spans="3:10" x14ac:dyDescent="0.25">
      <c r="C3039" s="76"/>
      <c r="J3039" s="53"/>
    </row>
    <row r="3040" spans="3:10" x14ac:dyDescent="0.25">
      <c r="C3040" s="76"/>
      <c r="J3040" s="53"/>
    </row>
    <row r="3041" spans="3:10" x14ac:dyDescent="0.25">
      <c r="C3041" s="76"/>
      <c r="J3041" s="53"/>
    </row>
    <row r="3042" spans="3:10" x14ac:dyDescent="0.25">
      <c r="C3042" s="76"/>
      <c r="J3042" s="53"/>
    </row>
    <row r="3043" spans="3:10" x14ac:dyDescent="0.25">
      <c r="C3043" s="76"/>
      <c r="J3043" s="53"/>
    </row>
    <row r="3044" spans="3:10" x14ac:dyDescent="0.25">
      <c r="C3044" s="76"/>
      <c r="J3044" s="53"/>
    </row>
    <row r="3045" spans="3:10" x14ac:dyDescent="0.25">
      <c r="C3045" s="76"/>
      <c r="J3045" s="53"/>
    </row>
    <row r="3046" spans="3:10" x14ac:dyDescent="0.25">
      <c r="C3046" s="76"/>
      <c r="J3046" s="53"/>
    </row>
    <row r="3047" spans="3:10" x14ac:dyDescent="0.25">
      <c r="C3047" s="76"/>
      <c r="J3047" s="53"/>
    </row>
    <row r="3048" spans="3:10" x14ac:dyDescent="0.25">
      <c r="C3048" s="76"/>
      <c r="J3048" s="53"/>
    </row>
    <row r="3049" spans="3:10" x14ac:dyDescent="0.25">
      <c r="C3049" s="76"/>
      <c r="J3049" s="53"/>
    </row>
    <row r="3050" spans="3:10" x14ac:dyDescent="0.25">
      <c r="C3050" s="76"/>
      <c r="J3050" s="53"/>
    </row>
    <row r="3051" spans="3:10" x14ac:dyDescent="0.25">
      <c r="C3051" s="76"/>
      <c r="J3051" s="53"/>
    </row>
    <row r="3052" spans="3:10" x14ac:dyDescent="0.25">
      <c r="C3052" s="76"/>
      <c r="J3052" s="53"/>
    </row>
    <row r="3053" spans="3:10" x14ac:dyDescent="0.25">
      <c r="C3053" s="76"/>
      <c r="J3053" s="53"/>
    </row>
    <row r="3054" spans="3:10" x14ac:dyDescent="0.25">
      <c r="C3054" s="76"/>
      <c r="J3054" s="53"/>
    </row>
    <row r="3055" spans="3:10" x14ac:dyDescent="0.25">
      <c r="C3055" s="76"/>
      <c r="J3055" s="53"/>
    </row>
    <row r="3056" spans="3:10" x14ac:dyDescent="0.25">
      <c r="C3056" s="76"/>
      <c r="J3056" s="53"/>
    </row>
    <row r="3057" spans="3:10" x14ac:dyDescent="0.25">
      <c r="C3057" s="76"/>
      <c r="J3057" s="53"/>
    </row>
    <row r="3058" spans="3:10" x14ac:dyDescent="0.25">
      <c r="C3058" s="76"/>
      <c r="J3058" s="53"/>
    </row>
    <row r="3059" spans="3:10" x14ac:dyDescent="0.25">
      <c r="C3059" s="76"/>
      <c r="J3059" s="53"/>
    </row>
    <row r="3060" spans="3:10" x14ac:dyDescent="0.25">
      <c r="C3060" s="76"/>
      <c r="J3060" s="53"/>
    </row>
    <row r="3061" spans="3:10" x14ac:dyDescent="0.25">
      <c r="C3061" s="76"/>
      <c r="J3061" s="53"/>
    </row>
    <row r="3062" spans="3:10" x14ac:dyDescent="0.25">
      <c r="C3062" s="76"/>
      <c r="J3062" s="53"/>
    </row>
    <row r="3063" spans="3:10" x14ac:dyDescent="0.25">
      <c r="C3063" s="76"/>
      <c r="J3063" s="53"/>
    </row>
    <row r="3064" spans="3:10" x14ac:dyDescent="0.25">
      <c r="C3064" s="76"/>
      <c r="J3064" s="53"/>
    </row>
    <row r="3065" spans="3:10" x14ac:dyDescent="0.25">
      <c r="C3065" s="76"/>
      <c r="J3065" s="53"/>
    </row>
    <row r="3066" spans="3:10" x14ac:dyDescent="0.25">
      <c r="C3066" s="76"/>
      <c r="J3066" s="53"/>
    </row>
    <row r="3067" spans="3:10" x14ac:dyDescent="0.25">
      <c r="C3067" s="76"/>
      <c r="J3067" s="53"/>
    </row>
    <row r="3068" spans="3:10" x14ac:dyDescent="0.25">
      <c r="C3068" s="76"/>
      <c r="J3068" s="53"/>
    </row>
    <row r="3069" spans="3:10" x14ac:dyDescent="0.25">
      <c r="C3069" s="76"/>
      <c r="J3069" s="53"/>
    </row>
    <row r="3070" spans="3:10" x14ac:dyDescent="0.25">
      <c r="C3070" s="76"/>
      <c r="J3070" s="53"/>
    </row>
    <row r="3071" spans="3:10" x14ac:dyDescent="0.25">
      <c r="C3071" s="76"/>
      <c r="J3071" s="53"/>
    </row>
    <row r="3072" spans="3:10" x14ac:dyDescent="0.25">
      <c r="C3072" s="76"/>
      <c r="J3072" s="53"/>
    </row>
    <row r="3073" spans="3:10" x14ac:dyDescent="0.25">
      <c r="C3073" s="76"/>
      <c r="J3073" s="53"/>
    </row>
    <row r="3074" spans="3:10" x14ac:dyDescent="0.25">
      <c r="C3074" s="76"/>
      <c r="J3074" s="53"/>
    </row>
    <row r="3075" spans="3:10" x14ac:dyDescent="0.25">
      <c r="C3075" s="76"/>
      <c r="J3075" s="53"/>
    </row>
    <row r="3076" spans="3:10" x14ac:dyDescent="0.25">
      <c r="C3076" s="76"/>
      <c r="J3076" s="53"/>
    </row>
    <row r="3077" spans="3:10" x14ac:dyDescent="0.25">
      <c r="C3077" s="76"/>
      <c r="J3077" s="53"/>
    </row>
    <row r="3078" spans="3:10" x14ac:dyDescent="0.25">
      <c r="C3078" s="76"/>
      <c r="J3078" s="53"/>
    </row>
    <row r="3079" spans="3:10" x14ac:dyDescent="0.25">
      <c r="C3079" s="76"/>
      <c r="J3079" s="53"/>
    </row>
    <row r="3080" spans="3:10" x14ac:dyDescent="0.25">
      <c r="C3080" s="76"/>
      <c r="J3080" s="53"/>
    </row>
    <row r="3081" spans="3:10" x14ac:dyDescent="0.25">
      <c r="C3081" s="76"/>
      <c r="J3081" s="53"/>
    </row>
    <row r="3082" spans="3:10" x14ac:dyDescent="0.25">
      <c r="C3082" s="76"/>
      <c r="J3082" s="53"/>
    </row>
    <row r="3083" spans="3:10" x14ac:dyDescent="0.25">
      <c r="C3083" s="76"/>
      <c r="J3083" s="53"/>
    </row>
    <row r="3084" spans="3:10" x14ac:dyDescent="0.25">
      <c r="C3084" s="76"/>
      <c r="J3084" s="53"/>
    </row>
    <row r="3085" spans="3:10" x14ac:dyDescent="0.25">
      <c r="C3085" s="76"/>
      <c r="J3085" s="53"/>
    </row>
    <row r="3086" spans="3:10" x14ac:dyDescent="0.25">
      <c r="C3086" s="76"/>
      <c r="J3086" s="53"/>
    </row>
    <row r="3087" spans="3:10" x14ac:dyDescent="0.25">
      <c r="C3087" s="76"/>
      <c r="J3087" s="53"/>
    </row>
    <row r="3088" spans="3:10" x14ac:dyDescent="0.25">
      <c r="C3088" s="76"/>
      <c r="J3088" s="53"/>
    </row>
    <row r="3089" spans="3:10" x14ac:dyDescent="0.25">
      <c r="C3089" s="76"/>
      <c r="J3089" s="53"/>
    </row>
    <row r="3090" spans="3:10" x14ac:dyDescent="0.25">
      <c r="C3090" s="76"/>
      <c r="J3090" s="53"/>
    </row>
    <row r="3091" spans="3:10" x14ac:dyDescent="0.25">
      <c r="C3091" s="76"/>
      <c r="J3091" s="53"/>
    </row>
    <row r="3092" spans="3:10" x14ac:dyDescent="0.25">
      <c r="C3092" s="76"/>
      <c r="J3092" s="53"/>
    </row>
    <row r="3093" spans="3:10" x14ac:dyDescent="0.25">
      <c r="C3093" s="76"/>
      <c r="J3093" s="53"/>
    </row>
    <row r="3094" spans="3:10" x14ac:dyDescent="0.25">
      <c r="C3094" s="76"/>
      <c r="J3094" s="53"/>
    </row>
    <row r="3095" spans="3:10" x14ac:dyDescent="0.25">
      <c r="C3095" s="76"/>
      <c r="J3095" s="53"/>
    </row>
    <row r="3096" spans="3:10" x14ac:dyDescent="0.25">
      <c r="C3096" s="76"/>
      <c r="J3096" s="53"/>
    </row>
    <row r="3097" spans="3:10" x14ac:dyDescent="0.25">
      <c r="C3097" s="76"/>
      <c r="J3097" s="53"/>
    </row>
    <row r="3098" spans="3:10" x14ac:dyDescent="0.25">
      <c r="C3098" s="76"/>
      <c r="J3098" s="53"/>
    </row>
    <row r="3099" spans="3:10" x14ac:dyDescent="0.25">
      <c r="C3099" s="76"/>
      <c r="J3099" s="53"/>
    </row>
    <row r="3100" spans="3:10" x14ac:dyDescent="0.25">
      <c r="C3100" s="76"/>
      <c r="J3100" s="53"/>
    </row>
    <row r="3101" spans="3:10" x14ac:dyDescent="0.25">
      <c r="C3101" s="76"/>
      <c r="J3101" s="53"/>
    </row>
    <row r="3102" spans="3:10" x14ac:dyDescent="0.25">
      <c r="C3102" s="76"/>
      <c r="J3102" s="53"/>
    </row>
    <row r="3103" spans="3:10" x14ac:dyDescent="0.25">
      <c r="C3103" s="76"/>
      <c r="J3103" s="53"/>
    </row>
    <row r="3104" spans="3:10" x14ac:dyDescent="0.25">
      <c r="C3104" s="76"/>
      <c r="J3104" s="53"/>
    </row>
    <row r="3105" spans="3:10" x14ac:dyDescent="0.25">
      <c r="C3105" s="76"/>
      <c r="J3105" s="53"/>
    </row>
    <row r="3106" spans="3:10" x14ac:dyDescent="0.25">
      <c r="C3106" s="76"/>
      <c r="J3106" s="53"/>
    </row>
    <row r="3107" spans="3:10" x14ac:dyDescent="0.25">
      <c r="C3107" s="76"/>
      <c r="J3107" s="53"/>
    </row>
    <row r="3108" spans="3:10" x14ac:dyDescent="0.25">
      <c r="C3108" s="76"/>
      <c r="J3108" s="53"/>
    </row>
    <row r="3109" spans="3:10" x14ac:dyDescent="0.25">
      <c r="C3109" s="76"/>
      <c r="J3109" s="53"/>
    </row>
    <row r="3110" spans="3:10" x14ac:dyDescent="0.25">
      <c r="C3110" s="76"/>
      <c r="J3110" s="53"/>
    </row>
    <row r="3111" spans="3:10" x14ac:dyDescent="0.25">
      <c r="C3111" s="76"/>
      <c r="J3111" s="53"/>
    </row>
    <row r="3112" spans="3:10" x14ac:dyDescent="0.25">
      <c r="C3112" s="76"/>
      <c r="J3112" s="53"/>
    </row>
    <row r="3113" spans="3:10" x14ac:dyDescent="0.25">
      <c r="C3113" s="76"/>
      <c r="J3113" s="53"/>
    </row>
    <row r="3114" spans="3:10" x14ac:dyDescent="0.25">
      <c r="C3114" s="76"/>
      <c r="J3114" s="53"/>
    </row>
    <row r="3115" spans="3:10" x14ac:dyDescent="0.25">
      <c r="C3115" s="76"/>
      <c r="J3115" s="53"/>
    </row>
    <row r="3116" spans="3:10" x14ac:dyDescent="0.25">
      <c r="C3116" s="76"/>
      <c r="J3116" s="53"/>
    </row>
    <row r="3117" spans="3:10" x14ac:dyDescent="0.25">
      <c r="C3117" s="76"/>
      <c r="J3117" s="53"/>
    </row>
    <row r="3118" spans="3:10" x14ac:dyDescent="0.25">
      <c r="C3118" s="76"/>
      <c r="J3118" s="53"/>
    </row>
    <row r="3119" spans="3:10" x14ac:dyDescent="0.25">
      <c r="C3119" s="76"/>
      <c r="J3119" s="53"/>
    </row>
    <row r="3120" spans="3:10" x14ac:dyDescent="0.25">
      <c r="C3120" s="76"/>
      <c r="J3120" s="53"/>
    </row>
    <row r="3121" spans="3:10" x14ac:dyDescent="0.25">
      <c r="C3121" s="76"/>
      <c r="J3121" s="53"/>
    </row>
    <row r="3122" spans="3:10" x14ac:dyDescent="0.25">
      <c r="C3122" s="76"/>
      <c r="J3122" s="53"/>
    </row>
    <row r="3123" spans="3:10" x14ac:dyDescent="0.25">
      <c r="C3123" s="76"/>
      <c r="J3123" s="53"/>
    </row>
    <row r="3124" spans="3:10" x14ac:dyDescent="0.25">
      <c r="C3124" s="76"/>
      <c r="J3124" s="53"/>
    </row>
    <row r="3125" spans="3:10" x14ac:dyDescent="0.25">
      <c r="C3125" s="76"/>
      <c r="J3125" s="53"/>
    </row>
    <row r="3126" spans="3:10" x14ac:dyDescent="0.25">
      <c r="C3126" s="76"/>
      <c r="J3126" s="53"/>
    </row>
    <row r="3127" spans="3:10" x14ac:dyDescent="0.25">
      <c r="C3127" s="76"/>
      <c r="J3127" s="53"/>
    </row>
    <row r="3128" spans="3:10" x14ac:dyDescent="0.25">
      <c r="C3128" s="76"/>
      <c r="J3128" s="53"/>
    </row>
    <row r="3129" spans="3:10" x14ac:dyDescent="0.25">
      <c r="C3129" s="76"/>
      <c r="J3129" s="53"/>
    </row>
    <row r="3130" spans="3:10" x14ac:dyDescent="0.25">
      <c r="C3130" s="76"/>
      <c r="J3130" s="53"/>
    </row>
    <row r="3131" spans="3:10" x14ac:dyDescent="0.25">
      <c r="C3131" s="76"/>
      <c r="J3131" s="53"/>
    </row>
    <row r="3132" spans="3:10" x14ac:dyDescent="0.25">
      <c r="C3132" s="76"/>
      <c r="J3132" s="53"/>
    </row>
    <row r="3133" spans="3:10" x14ac:dyDescent="0.25">
      <c r="C3133" s="76"/>
      <c r="J3133" s="53"/>
    </row>
    <row r="3134" spans="3:10" x14ac:dyDescent="0.25">
      <c r="C3134" s="76"/>
      <c r="J3134" s="53"/>
    </row>
    <row r="3135" spans="3:10" x14ac:dyDescent="0.25">
      <c r="C3135" s="76"/>
      <c r="J3135" s="53"/>
    </row>
    <row r="3136" spans="3:10" x14ac:dyDescent="0.25">
      <c r="C3136" s="76"/>
      <c r="J3136" s="53"/>
    </row>
    <row r="3137" spans="3:10" x14ac:dyDescent="0.25">
      <c r="C3137" s="76"/>
      <c r="J3137" s="53"/>
    </row>
    <row r="3138" spans="3:10" x14ac:dyDescent="0.25">
      <c r="C3138" s="76"/>
      <c r="J3138" s="53"/>
    </row>
    <row r="3139" spans="3:10" x14ac:dyDescent="0.25">
      <c r="C3139" s="76"/>
      <c r="J3139" s="53"/>
    </row>
    <row r="3140" spans="3:10" x14ac:dyDescent="0.25">
      <c r="C3140" s="76"/>
      <c r="J3140" s="53"/>
    </row>
    <row r="3141" spans="3:10" x14ac:dyDescent="0.25">
      <c r="C3141" s="76"/>
      <c r="J3141" s="53"/>
    </row>
    <row r="3142" spans="3:10" x14ac:dyDescent="0.25">
      <c r="C3142" s="76"/>
      <c r="J3142" s="53"/>
    </row>
    <row r="3143" spans="3:10" x14ac:dyDescent="0.25">
      <c r="C3143" s="76"/>
      <c r="J3143" s="53"/>
    </row>
    <row r="3144" spans="3:10" x14ac:dyDescent="0.25">
      <c r="C3144" s="76"/>
      <c r="J3144" s="53"/>
    </row>
    <row r="3145" spans="3:10" x14ac:dyDescent="0.25">
      <c r="C3145" s="76"/>
      <c r="J3145" s="53"/>
    </row>
    <row r="3146" spans="3:10" x14ac:dyDescent="0.25">
      <c r="C3146" s="76"/>
      <c r="J3146" s="53"/>
    </row>
    <row r="3147" spans="3:10" x14ac:dyDescent="0.25">
      <c r="C3147" s="76"/>
      <c r="J3147" s="53"/>
    </row>
    <row r="3148" spans="3:10" x14ac:dyDescent="0.25">
      <c r="C3148" s="76"/>
      <c r="J3148" s="53"/>
    </row>
    <row r="3149" spans="3:10" x14ac:dyDescent="0.25">
      <c r="C3149" s="76"/>
      <c r="J3149" s="53"/>
    </row>
    <row r="3150" spans="3:10" x14ac:dyDescent="0.25">
      <c r="C3150" s="76"/>
      <c r="J3150" s="53"/>
    </row>
    <row r="3151" spans="3:10" x14ac:dyDescent="0.25">
      <c r="C3151" s="76"/>
      <c r="J3151" s="53"/>
    </row>
    <row r="3152" spans="3:10" x14ac:dyDescent="0.25">
      <c r="C3152" s="76"/>
      <c r="J3152" s="53"/>
    </row>
    <row r="3153" spans="3:10" x14ac:dyDescent="0.25">
      <c r="C3153" s="76"/>
      <c r="J3153" s="53"/>
    </row>
    <row r="3154" spans="3:10" x14ac:dyDescent="0.25">
      <c r="C3154" s="76"/>
      <c r="J3154" s="53"/>
    </row>
    <row r="3155" spans="3:10" x14ac:dyDescent="0.25">
      <c r="C3155" s="76"/>
      <c r="J3155" s="53"/>
    </row>
    <row r="3156" spans="3:10" x14ac:dyDescent="0.25">
      <c r="C3156" s="76"/>
      <c r="J3156" s="53"/>
    </row>
    <row r="3157" spans="3:10" x14ac:dyDescent="0.25">
      <c r="C3157" s="76"/>
      <c r="J3157" s="53"/>
    </row>
    <row r="3158" spans="3:10" x14ac:dyDescent="0.25">
      <c r="C3158" s="76"/>
      <c r="J3158" s="53"/>
    </row>
    <row r="3159" spans="3:10" x14ac:dyDescent="0.25">
      <c r="C3159" s="76"/>
      <c r="J3159" s="53"/>
    </row>
    <row r="3160" spans="3:10" x14ac:dyDescent="0.25">
      <c r="C3160" s="76"/>
      <c r="J3160" s="53"/>
    </row>
    <row r="3161" spans="3:10" x14ac:dyDescent="0.25">
      <c r="C3161" s="76"/>
      <c r="J3161" s="53"/>
    </row>
    <row r="3162" spans="3:10" x14ac:dyDescent="0.25">
      <c r="C3162" s="76"/>
      <c r="J3162" s="53"/>
    </row>
    <row r="3163" spans="3:10" x14ac:dyDescent="0.25">
      <c r="C3163" s="76"/>
      <c r="J3163" s="53"/>
    </row>
    <row r="3164" spans="3:10" x14ac:dyDescent="0.25">
      <c r="C3164" s="76"/>
      <c r="J3164" s="53"/>
    </row>
    <row r="3165" spans="3:10" x14ac:dyDescent="0.25">
      <c r="C3165" s="76"/>
      <c r="J3165" s="53"/>
    </row>
    <row r="3166" spans="3:10" x14ac:dyDescent="0.25">
      <c r="C3166" s="76"/>
      <c r="J3166" s="53"/>
    </row>
    <row r="3167" spans="3:10" x14ac:dyDescent="0.25">
      <c r="C3167" s="76"/>
      <c r="J3167" s="53"/>
    </row>
    <row r="3168" spans="3:10" x14ac:dyDescent="0.25">
      <c r="C3168" s="76"/>
      <c r="J3168" s="53"/>
    </row>
    <row r="3169" spans="3:10" x14ac:dyDescent="0.25">
      <c r="C3169" s="76"/>
      <c r="J3169" s="53"/>
    </row>
    <row r="3170" spans="3:10" x14ac:dyDescent="0.25">
      <c r="C3170" s="76"/>
      <c r="J3170" s="53"/>
    </row>
    <row r="3171" spans="3:10" x14ac:dyDescent="0.25">
      <c r="C3171" s="76"/>
      <c r="J3171" s="53"/>
    </row>
    <row r="3172" spans="3:10" x14ac:dyDescent="0.25">
      <c r="C3172" s="76"/>
      <c r="J3172" s="53"/>
    </row>
    <row r="3173" spans="3:10" x14ac:dyDescent="0.25">
      <c r="C3173" s="76"/>
      <c r="J3173" s="53"/>
    </row>
    <row r="3174" spans="3:10" x14ac:dyDescent="0.25">
      <c r="C3174" s="76"/>
      <c r="J3174" s="53"/>
    </row>
    <row r="3175" spans="3:10" x14ac:dyDescent="0.25">
      <c r="C3175" s="76"/>
      <c r="J3175" s="53"/>
    </row>
    <row r="3176" spans="3:10" x14ac:dyDescent="0.25">
      <c r="C3176" s="76"/>
      <c r="J3176" s="53"/>
    </row>
    <row r="3177" spans="3:10" x14ac:dyDescent="0.25">
      <c r="C3177" s="76"/>
      <c r="J3177" s="53"/>
    </row>
    <row r="3178" spans="3:10" x14ac:dyDescent="0.25">
      <c r="C3178" s="76"/>
      <c r="J3178" s="53"/>
    </row>
    <row r="3179" spans="3:10" x14ac:dyDescent="0.25">
      <c r="C3179" s="76"/>
      <c r="J3179" s="53"/>
    </row>
    <row r="3180" spans="3:10" x14ac:dyDescent="0.25">
      <c r="C3180" s="76"/>
      <c r="J3180" s="53"/>
    </row>
    <row r="3181" spans="3:10" x14ac:dyDescent="0.25">
      <c r="C3181" s="76"/>
      <c r="J3181" s="53"/>
    </row>
    <row r="3182" spans="3:10" x14ac:dyDescent="0.25">
      <c r="C3182" s="76"/>
      <c r="J3182" s="53"/>
    </row>
    <row r="3183" spans="3:10" x14ac:dyDescent="0.25">
      <c r="C3183" s="76"/>
      <c r="J3183" s="53"/>
    </row>
    <row r="3184" spans="3:10" x14ac:dyDescent="0.25">
      <c r="C3184" s="76"/>
      <c r="J3184" s="53"/>
    </row>
    <row r="3185" spans="3:10" x14ac:dyDescent="0.25">
      <c r="C3185" s="76"/>
      <c r="J3185" s="53"/>
    </row>
    <row r="3186" spans="3:10" x14ac:dyDescent="0.25">
      <c r="C3186" s="76"/>
      <c r="J3186" s="53"/>
    </row>
    <row r="3187" spans="3:10" x14ac:dyDescent="0.25">
      <c r="C3187" s="76"/>
      <c r="J3187" s="53"/>
    </row>
    <row r="3188" spans="3:10" x14ac:dyDescent="0.25">
      <c r="C3188" s="76"/>
      <c r="J3188" s="53"/>
    </row>
    <row r="3189" spans="3:10" x14ac:dyDescent="0.25">
      <c r="C3189" s="76"/>
      <c r="J3189" s="53"/>
    </row>
    <row r="3190" spans="3:10" x14ac:dyDescent="0.25">
      <c r="C3190" s="76"/>
      <c r="J3190" s="53"/>
    </row>
    <row r="3191" spans="3:10" x14ac:dyDescent="0.25">
      <c r="C3191" s="76"/>
      <c r="J3191" s="53"/>
    </row>
    <row r="3192" spans="3:10" x14ac:dyDescent="0.25">
      <c r="C3192" s="76"/>
      <c r="J3192" s="53"/>
    </row>
    <row r="3193" spans="3:10" x14ac:dyDescent="0.25">
      <c r="C3193" s="76"/>
      <c r="J3193" s="53"/>
    </row>
    <row r="3194" spans="3:10" x14ac:dyDescent="0.25">
      <c r="C3194" s="76"/>
      <c r="J3194" s="53"/>
    </row>
    <row r="3195" spans="3:10" x14ac:dyDescent="0.25">
      <c r="C3195" s="76"/>
      <c r="J3195" s="53"/>
    </row>
    <row r="3196" spans="3:10" x14ac:dyDescent="0.25">
      <c r="C3196" s="76"/>
      <c r="J3196" s="53"/>
    </row>
    <row r="3197" spans="3:10" x14ac:dyDescent="0.25">
      <c r="C3197" s="76"/>
      <c r="J3197" s="53"/>
    </row>
    <row r="3198" spans="3:10" x14ac:dyDescent="0.25">
      <c r="C3198" s="76"/>
      <c r="J3198" s="53"/>
    </row>
    <row r="3199" spans="3:10" x14ac:dyDescent="0.25">
      <c r="C3199" s="76"/>
      <c r="J3199" s="53"/>
    </row>
    <row r="3200" spans="3:10" x14ac:dyDescent="0.25">
      <c r="C3200" s="76"/>
      <c r="J3200" s="53"/>
    </row>
    <row r="3201" spans="3:10" x14ac:dyDescent="0.25">
      <c r="C3201" s="76"/>
      <c r="J3201" s="53"/>
    </row>
    <row r="3202" spans="3:10" x14ac:dyDescent="0.25">
      <c r="C3202" s="76"/>
      <c r="J3202" s="53"/>
    </row>
    <row r="3203" spans="3:10" x14ac:dyDescent="0.25">
      <c r="C3203" s="76"/>
      <c r="J3203" s="53"/>
    </row>
    <row r="3204" spans="3:10" x14ac:dyDescent="0.25">
      <c r="C3204" s="76"/>
      <c r="J3204" s="53"/>
    </row>
    <row r="3205" spans="3:10" x14ac:dyDescent="0.25">
      <c r="C3205" s="76"/>
      <c r="J3205" s="53"/>
    </row>
    <row r="3206" spans="3:10" x14ac:dyDescent="0.25">
      <c r="C3206" s="76"/>
      <c r="J3206" s="53"/>
    </row>
    <row r="3207" spans="3:10" x14ac:dyDescent="0.25">
      <c r="C3207" s="76"/>
      <c r="J3207" s="53"/>
    </row>
    <row r="3208" spans="3:10" x14ac:dyDescent="0.25">
      <c r="C3208" s="76"/>
      <c r="J3208" s="53"/>
    </row>
    <row r="3209" spans="3:10" x14ac:dyDescent="0.25">
      <c r="C3209" s="76"/>
      <c r="J3209" s="53"/>
    </row>
    <row r="3210" spans="3:10" x14ac:dyDescent="0.25">
      <c r="C3210" s="76"/>
      <c r="J3210" s="53"/>
    </row>
    <row r="3211" spans="3:10" x14ac:dyDescent="0.25">
      <c r="C3211" s="76"/>
      <c r="J3211" s="53"/>
    </row>
    <row r="3212" spans="3:10" x14ac:dyDescent="0.25">
      <c r="C3212" s="76"/>
      <c r="J3212" s="53"/>
    </row>
    <row r="3213" spans="3:10" x14ac:dyDescent="0.25">
      <c r="C3213" s="76"/>
      <c r="J3213" s="53"/>
    </row>
    <row r="3214" spans="3:10" x14ac:dyDescent="0.25">
      <c r="C3214" s="76"/>
      <c r="J3214" s="53"/>
    </row>
    <row r="3215" spans="3:10" x14ac:dyDescent="0.25">
      <c r="C3215" s="76"/>
      <c r="J3215" s="53"/>
    </row>
    <row r="3216" spans="3:10" x14ac:dyDescent="0.25">
      <c r="C3216" s="76"/>
      <c r="J3216" s="53"/>
    </row>
    <row r="3217" spans="3:10" x14ac:dyDescent="0.25">
      <c r="C3217" s="76"/>
      <c r="J3217" s="53"/>
    </row>
    <row r="3218" spans="3:10" x14ac:dyDescent="0.25">
      <c r="C3218" s="76"/>
      <c r="J3218" s="53"/>
    </row>
    <row r="3219" spans="3:10" x14ac:dyDescent="0.25">
      <c r="C3219" s="76"/>
      <c r="J3219" s="53"/>
    </row>
    <row r="3220" spans="3:10" x14ac:dyDescent="0.25">
      <c r="C3220" s="76"/>
      <c r="J3220" s="53"/>
    </row>
    <row r="3221" spans="3:10" x14ac:dyDescent="0.25">
      <c r="C3221" s="76"/>
      <c r="J3221" s="53"/>
    </row>
    <row r="3222" spans="3:10" x14ac:dyDescent="0.25">
      <c r="C3222" s="76"/>
      <c r="J3222" s="53"/>
    </row>
    <row r="3223" spans="3:10" x14ac:dyDescent="0.25">
      <c r="C3223" s="76"/>
      <c r="J3223" s="53"/>
    </row>
    <row r="3224" spans="3:10" x14ac:dyDescent="0.25">
      <c r="C3224" s="76"/>
      <c r="J3224" s="53"/>
    </row>
    <row r="3225" spans="3:10" x14ac:dyDescent="0.25">
      <c r="C3225" s="76"/>
      <c r="J3225" s="53"/>
    </row>
    <row r="3226" spans="3:10" x14ac:dyDescent="0.25">
      <c r="C3226" s="76"/>
      <c r="J3226" s="53"/>
    </row>
    <row r="3227" spans="3:10" x14ac:dyDescent="0.25">
      <c r="C3227" s="76"/>
      <c r="J3227" s="53"/>
    </row>
    <row r="3228" spans="3:10" x14ac:dyDescent="0.25">
      <c r="C3228" s="76"/>
      <c r="J3228" s="53"/>
    </row>
    <row r="3229" spans="3:10" x14ac:dyDescent="0.25">
      <c r="C3229" s="76"/>
      <c r="J3229" s="53"/>
    </row>
    <row r="3230" spans="3:10" x14ac:dyDescent="0.25">
      <c r="C3230" s="76"/>
      <c r="J3230" s="53"/>
    </row>
    <row r="3231" spans="3:10" x14ac:dyDescent="0.25">
      <c r="C3231" s="76"/>
      <c r="J3231" s="53"/>
    </row>
    <row r="3232" spans="3:10" x14ac:dyDescent="0.25">
      <c r="C3232" s="76"/>
      <c r="J3232" s="53"/>
    </row>
    <row r="3233" spans="3:10" x14ac:dyDescent="0.25">
      <c r="C3233" s="76"/>
      <c r="J3233" s="53"/>
    </row>
    <row r="3234" spans="3:10" x14ac:dyDescent="0.25">
      <c r="C3234" s="76"/>
      <c r="J3234" s="53"/>
    </row>
    <row r="3235" spans="3:10" x14ac:dyDescent="0.25">
      <c r="C3235" s="76"/>
      <c r="J3235" s="53"/>
    </row>
    <row r="3236" spans="3:10" x14ac:dyDescent="0.25">
      <c r="C3236" s="76"/>
      <c r="J3236" s="53"/>
    </row>
    <row r="3237" spans="3:10" x14ac:dyDescent="0.25">
      <c r="C3237" s="76"/>
      <c r="J3237" s="53"/>
    </row>
    <row r="3238" spans="3:10" x14ac:dyDescent="0.25">
      <c r="C3238" s="76"/>
      <c r="J3238" s="53"/>
    </row>
    <row r="3239" spans="3:10" x14ac:dyDescent="0.25">
      <c r="C3239" s="76"/>
      <c r="J3239" s="53"/>
    </row>
    <row r="3240" spans="3:10" x14ac:dyDescent="0.25">
      <c r="C3240" s="76"/>
      <c r="J3240" s="53"/>
    </row>
    <row r="3241" spans="3:10" x14ac:dyDescent="0.25">
      <c r="C3241" s="76"/>
      <c r="J3241" s="53"/>
    </row>
    <row r="3242" spans="3:10" x14ac:dyDescent="0.25">
      <c r="C3242" s="76"/>
      <c r="J3242" s="53"/>
    </row>
    <row r="3243" spans="3:10" x14ac:dyDescent="0.25">
      <c r="C3243" s="76"/>
      <c r="J3243" s="53"/>
    </row>
    <row r="3244" spans="3:10" x14ac:dyDescent="0.25">
      <c r="C3244" s="76"/>
      <c r="J3244" s="53"/>
    </row>
    <row r="3245" spans="3:10" x14ac:dyDescent="0.25">
      <c r="C3245" s="76"/>
      <c r="J3245" s="53"/>
    </row>
    <row r="3246" spans="3:10" x14ac:dyDescent="0.25">
      <c r="C3246" s="76"/>
      <c r="J3246" s="53"/>
    </row>
    <row r="3247" spans="3:10" x14ac:dyDescent="0.25">
      <c r="C3247" s="76"/>
      <c r="J3247" s="53"/>
    </row>
    <row r="3248" spans="3:10" x14ac:dyDescent="0.25">
      <c r="C3248" s="76"/>
      <c r="J3248" s="53"/>
    </row>
    <row r="3249" spans="3:10" x14ac:dyDescent="0.25">
      <c r="C3249" s="76"/>
      <c r="J3249" s="53"/>
    </row>
    <row r="3250" spans="3:10" x14ac:dyDescent="0.25">
      <c r="C3250" s="76"/>
      <c r="J3250" s="53"/>
    </row>
    <row r="3251" spans="3:10" x14ac:dyDescent="0.25">
      <c r="C3251" s="76"/>
      <c r="J3251" s="53"/>
    </row>
    <row r="3252" spans="3:10" x14ac:dyDescent="0.25">
      <c r="C3252" s="76"/>
      <c r="J3252" s="53"/>
    </row>
    <row r="3253" spans="3:10" x14ac:dyDescent="0.25">
      <c r="C3253" s="76"/>
      <c r="J3253" s="53"/>
    </row>
    <row r="3254" spans="3:10" x14ac:dyDescent="0.25">
      <c r="C3254" s="76"/>
      <c r="J3254" s="53"/>
    </row>
    <row r="3255" spans="3:10" x14ac:dyDescent="0.25">
      <c r="C3255" s="76"/>
      <c r="J3255" s="53"/>
    </row>
    <row r="3256" spans="3:10" x14ac:dyDescent="0.25">
      <c r="C3256" s="76"/>
      <c r="J3256" s="53"/>
    </row>
    <row r="3257" spans="3:10" x14ac:dyDescent="0.25">
      <c r="C3257" s="76"/>
      <c r="J3257" s="53"/>
    </row>
    <row r="3258" spans="3:10" x14ac:dyDescent="0.25">
      <c r="C3258" s="76"/>
      <c r="J3258" s="53"/>
    </row>
    <row r="3259" spans="3:10" x14ac:dyDescent="0.25">
      <c r="C3259" s="76"/>
      <c r="J3259" s="53"/>
    </row>
    <row r="3260" spans="3:10" x14ac:dyDescent="0.25">
      <c r="C3260" s="76"/>
      <c r="J3260" s="53"/>
    </row>
    <row r="3261" spans="3:10" x14ac:dyDescent="0.25">
      <c r="C3261" s="76"/>
      <c r="J3261" s="53"/>
    </row>
    <row r="3262" spans="3:10" x14ac:dyDescent="0.25">
      <c r="C3262" s="76"/>
      <c r="J3262" s="53"/>
    </row>
    <row r="3263" spans="3:10" x14ac:dyDescent="0.25">
      <c r="C3263" s="76"/>
      <c r="J3263" s="53"/>
    </row>
    <row r="3264" spans="3:10" x14ac:dyDescent="0.25">
      <c r="C3264" s="76"/>
      <c r="J3264" s="53"/>
    </row>
    <row r="3265" spans="3:10" x14ac:dyDescent="0.25">
      <c r="C3265" s="76"/>
      <c r="J3265" s="53"/>
    </row>
    <row r="3266" spans="3:10" x14ac:dyDescent="0.25">
      <c r="C3266" s="76"/>
      <c r="J3266" s="53"/>
    </row>
    <row r="3267" spans="3:10" x14ac:dyDescent="0.25">
      <c r="C3267" s="76"/>
      <c r="J3267" s="53"/>
    </row>
    <row r="3268" spans="3:10" x14ac:dyDescent="0.25">
      <c r="C3268" s="76"/>
      <c r="J3268" s="53"/>
    </row>
    <row r="3269" spans="3:10" x14ac:dyDescent="0.25">
      <c r="C3269" s="76"/>
      <c r="J3269" s="53"/>
    </row>
    <row r="3270" spans="3:10" x14ac:dyDescent="0.25">
      <c r="C3270" s="76"/>
      <c r="J3270" s="53"/>
    </row>
    <row r="3271" spans="3:10" x14ac:dyDescent="0.25">
      <c r="C3271" s="76"/>
      <c r="J3271" s="53"/>
    </row>
    <row r="3272" spans="3:10" x14ac:dyDescent="0.25">
      <c r="C3272" s="76"/>
      <c r="J3272" s="53"/>
    </row>
    <row r="3273" spans="3:10" x14ac:dyDescent="0.25">
      <c r="C3273" s="76"/>
      <c r="J3273" s="53"/>
    </row>
    <row r="3274" spans="3:10" x14ac:dyDescent="0.25">
      <c r="C3274" s="76"/>
      <c r="J3274" s="53"/>
    </row>
    <row r="3275" spans="3:10" x14ac:dyDescent="0.25">
      <c r="C3275" s="76"/>
      <c r="J3275" s="53"/>
    </row>
    <row r="3276" spans="3:10" x14ac:dyDescent="0.25">
      <c r="C3276" s="76"/>
      <c r="J3276" s="53"/>
    </row>
    <row r="3277" spans="3:10" x14ac:dyDescent="0.25">
      <c r="C3277" s="76"/>
      <c r="J3277" s="53"/>
    </row>
    <row r="3278" spans="3:10" x14ac:dyDescent="0.25">
      <c r="C3278" s="76"/>
      <c r="J3278" s="53"/>
    </row>
    <row r="3279" spans="3:10" x14ac:dyDescent="0.25">
      <c r="C3279" s="76"/>
      <c r="J3279" s="53"/>
    </row>
    <row r="3280" spans="3:10" x14ac:dyDescent="0.25">
      <c r="C3280" s="76"/>
      <c r="J3280" s="53"/>
    </row>
    <row r="3281" spans="3:10" x14ac:dyDescent="0.25">
      <c r="C3281" s="76"/>
      <c r="J3281" s="53"/>
    </row>
    <row r="3282" spans="3:10" x14ac:dyDescent="0.25">
      <c r="C3282" s="76"/>
      <c r="J3282" s="53"/>
    </row>
    <row r="3283" spans="3:10" x14ac:dyDescent="0.25">
      <c r="C3283" s="76"/>
      <c r="J3283" s="53"/>
    </row>
    <row r="3284" spans="3:10" x14ac:dyDescent="0.25">
      <c r="C3284" s="76"/>
      <c r="J3284" s="53"/>
    </row>
    <row r="3285" spans="3:10" x14ac:dyDescent="0.25">
      <c r="C3285" s="76"/>
      <c r="J3285" s="53"/>
    </row>
    <row r="3286" spans="3:10" x14ac:dyDescent="0.25">
      <c r="C3286" s="76"/>
      <c r="J3286" s="53"/>
    </row>
    <row r="3287" spans="3:10" x14ac:dyDescent="0.25">
      <c r="C3287" s="76"/>
      <c r="J3287" s="53"/>
    </row>
    <row r="3288" spans="3:10" x14ac:dyDescent="0.25">
      <c r="C3288" s="76"/>
      <c r="J3288" s="53"/>
    </row>
    <row r="3289" spans="3:10" x14ac:dyDescent="0.25">
      <c r="C3289" s="76"/>
      <c r="J3289" s="53"/>
    </row>
    <row r="3290" spans="3:10" x14ac:dyDescent="0.25">
      <c r="C3290" s="76"/>
      <c r="J3290" s="53"/>
    </row>
    <row r="3291" spans="3:10" x14ac:dyDescent="0.25">
      <c r="C3291" s="76"/>
      <c r="J3291" s="53"/>
    </row>
    <row r="3292" spans="3:10" x14ac:dyDescent="0.25">
      <c r="C3292" s="76"/>
      <c r="J3292" s="53"/>
    </row>
    <row r="3293" spans="3:10" x14ac:dyDescent="0.25">
      <c r="C3293" s="76"/>
      <c r="J3293" s="53"/>
    </row>
    <row r="3294" spans="3:10" x14ac:dyDescent="0.25">
      <c r="C3294" s="76"/>
      <c r="J3294" s="53"/>
    </row>
    <row r="3295" spans="3:10" x14ac:dyDescent="0.25">
      <c r="C3295" s="76"/>
      <c r="J3295" s="53"/>
    </row>
    <row r="3296" spans="3:10" x14ac:dyDescent="0.25">
      <c r="C3296" s="76"/>
      <c r="J3296" s="53"/>
    </row>
    <row r="3297" spans="3:10" x14ac:dyDescent="0.25">
      <c r="C3297" s="76"/>
      <c r="J3297" s="53"/>
    </row>
    <row r="3298" spans="3:10" x14ac:dyDescent="0.25">
      <c r="C3298" s="76"/>
      <c r="J3298" s="53"/>
    </row>
    <row r="3299" spans="3:10" x14ac:dyDescent="0.25">
      <c r="C3299" s="76"/>
      <c r="J3299" s="53"/>
    </row>
    <row r="3300" spans="3:10" x14ac:dyDescent="0.25">
      <c r="C3300" s="76"/>
      <c r="J3300" s="53"/>
    </row>
    <row r="3301" spans="3:10" x14ac:dyDescent="0.25">
      <c r="C3301" s="76"/>
      <c r="J3301" s="53"/>
    </row>
    <row r="3302" spans="3:10" x14ac:dyDescent="0.25">
      <c r="C3302" s="76"/>
      <c r="J3302" s="53"/>
    </row>
    <row r="3303" spans="3:10" x14ac:dyDescent="0.25">
      <c r="C3303" s="76"/>
      <c r="J3303" s="53"/>
    </row>
    <row r="3304" spans="3:10" x14ac:dyDescent="0.25">
      <c r="C3304" s="76"/>
      <c r="J3304" s="53"/>
    </row>
    <row r="3305" spans="3:10" x14ac:dyDescent="0.25">
      <c r="C3305" s="76"/>
      <c r="J3305" s="53"/>
    </row>
    <row r="3306" spans="3:10" x14ac:dyDescent="0.25">
      <c r="C3306" s="76"/>
      <c r="J3306" s="53"/>
    </row>
    <row r="3307" spans="3:10" x14ac:dyDescent="0.25">
      <c r="C3307" s="76"/>
      <c r="J3307" s="53"/>
    </row>
    <row r="3308" spans="3:10" x14ac:dyDescent="0.25">
      <c r="C3308" s="76"/>
      <c r="J3308" s="53"/>
    </row>
    <row r="3309" spans="3:10" x14ac:dyDescent="0.25">
      <c r="C3309" s="76"/>
      <c r="J3309" s="53"/>
    </row>
    <row r="3310" spans="3:10" x14ac:dyDescent="0.25">
      <c r="C3310" s="76"/>
      <c r="J3310" s="53"/>
    </row>
    <row r="3311" spans="3:10" x14ac:dyDescent="0.25">
      <c r="C3311" s="76"/>
      <c r="J3311" s="53"/>
    </row>
    <row r="3312" spans="3:10" x14ac:dyDescent="0.25">
      <c r="C3312" s="76"/>
      <c r="J3312" s="53"/>
    </row>
    <row r="3313" spans="3:10" x14ac:dyDescent="0.25">
      <c r="C3313" s="76"/>
      <c r="J3313" s="53"/>
    </row>
    <row r="3314" spans="3:10" x14ac:dyDescent="0.25">
      <c r="C3314" s="76"/>
      <c r="J3314" s="53"/>
    </row>
    <row r="3315" spans="3:10" x14ac:dyDescent="0.25">
      <c r="C3315" s="76"/>
      <c r="J3315" s="53"/>
    </row>
    <row r="3316" spans="3:10" x14ac:dyDescent="0.25">
      <c r="C3316" s="76"/>
      <c r="J3316" s="53"/>
    </row>
    <row r="3317" spans="3:10" x14ac:dyDescent="0.25">
      <c r="C3317" s="76"/>
      <c r="J3317" s="53"/>
    </row>
    <row r="3318" spans="3:10" x14ac:dyDescent="0.25">
      <c r="C3318" s="76"/>
      <c r="J3318" s="53"/>
    </row>
    <row r="3319" spans="3:10" x14ac:dyDescent="0.25">
      <c r="C3319" s="76"/>
      <c r="J3319" s="53"/>
    </row>
    <row r="3320" spans="3:10" x14ac:dyDescent="0.25">
      <c r="C3320" s="76"/>
      <c r="J3320" s="53"/>
    </row>
    <row r="3321" spans="3:10" x14ac:dyDescent="0.25">
      <c r="C3321" s="76"/>
      <c r="J3321" s="53"/>
    </row>
    <row r="3322" spans="3:10" x14ac:dyDescent="0.25">
      <c r="C3322" s="76"/>
      <c r="J3322" s="53"/>
    </row>
    <row r="3323" spans="3:10" x14ac:dyDescent="0.25">
      <c r="C3323" s="76"/>
      <c r="J3323" s="53"/>
    </row>
    <row r="3324" spans="3:10" x14ac:dyDescent="0.25">
      <c r="C3324" s="76"/>
      <c r="J3324" s="53"/>
    </row>
    <row r="3325" spans="3:10" x14ac:dyDescent="0.25">
      <c r="C3325" s="76"/>
      <c r="J3325" s="53"/>
    </row>
    <row r="3326" spans="3:10" x14ac:dyDescent="0.25">
      <c r="C3326" s="76"/>
      <c r="J3326" s="53"/>
    </row>
    <row r="3327" spans="3:10" x14ac:dyDescent="0.25">
      <c r="C3327" s="76"/>
      <c r="J3327" s="53"/>
    </row>
    <row r="3328" spans="3:10" x14ac:dyDescent="0.25">
      <c r="C3328" s="76"/>
      <c r="J3328" s="53"/>
    </row>
    <row r="3329" spans="3:10" x14ac:dyDescent="0.25">
      <c r="C3329" s="76"/>
      <c r="J3329" s="53"/>
    </row>
    <row r="3330" spans="3:10" x14ac:dyDescent="0.25">
      <c r="C3330" s="76"/>
      <c r="J3330" s="53"/>
    </row>
    <row r="3331" spans="3:10" x14ac:dyDescent="0.25">
      <c r="C3331" s="76"/>
      <c r="J3331" s="53"/>
    </row>
    <row r="3332" spans="3:10" x14ac:dyDescent="0.25">
      <c r="C3332" s="76"/>
      <c r="J3332" s="53"/>
    </row>
    <row r="3333" spans="3:10" x14ac:dyDescent="0.25">
      <c r="C3333" s="76"/>
      <c r="J3333" s="53"/>
    </row>
    <row r="3334" spans="3:10" x14ac:dyDescent="0.25">
      <c r="C3334" s="76"/>
      <c r="J3334" s="53"/>
    </row>
    <row r="3335" spans="3:10" x14ac:dyDescent="0.25">
      <c r="C3335" s="76"/>
      <c r="J3335" s="53"/>
    </row>
    <row r="3336" spans="3:10" x14ac:dyDescent="0.25">
      <c r="C3336" s="76"/>
      <c r="J3336" s="53"/>
    </row>
    <row r="3337" spans="3:10" x14ac:dyDescent="0.25">
      <c r="C3337" s="76"/>
      <c r="J3337" s="53"/>
    </row>
    <row r="3338" spans="3:10" x14ac:dyDescent="0.25">
      <c r="C3338" s="76"/>
      <c r="J3338" s="53"/>
    </row>
    <row r="3339" spans="3:10" x14ac:dyDescent="0.25">
      <c r="C3339" s="76"/>
      <c r="J3339" s="53"/>
    </row>
    <row r="3340" spans="3:10" x14ac:dyDescent="0.25">
      <c r="C3340" s="76"/>
      <c r="J3340" s="53"/>
    </row>
    <row r="3341" spans="3:10" x14ac:dyDescent="0.25">
      <c r="C3341" s="76"/>
      <c r="J3341" s="53"/>
    </row>
    <row r="3342" spans="3:10" x14ac:dyDescent="0.25">
      <c r="C3342" s="76"/>
      <c r="J3342" s="53"/>
    </row>
    <row r="3343" spans="3:10" x14ac:dyDescent="0.25">
      <c r="C3343" s="76"/>
      <c r="J3343" s="53"/>
    </row>
    <row r="3344" spans="3:10" x14ac:dyDescent="0.25">
      <c r="C3344" s="76"/>
      <c r="J3344" s="53"/>
    </row>
    <row r="3345" spans="3:10" x14ac:dyDescent="0.25">
      <c r="C3345" s="76"/>
      <c r="J3345" s="53"/>
    </row>
    <row r="3346" spans="3:10" x14ac:dyDescent="0.25">
      <c r="C3346" s="76"/>
      <c r="J3346" s="53"/>
    </row>
    <row r="3347" spans="3:10" x14ac:dyDescent="0.25">
      <c r="C3347" s="76"/>
      <c r="J3347" s="53"/>
    </row>
    <row r="3348" spans="3:10" x14ac:dyDescent="0.25">
      <c r="C3348" s="76"/>
      <c r="J3348" s="53"/>
    </row>
    <row r="3349" spans="3:10" x14ac:dyDescent="0.25">
      <c r="C3349" s="76"/>
      <c r="J3349" s="53"/>
    </row>
    <row r="3350" spans="3:10" x14ac:dyDescent="0.25">
      <c r="C3350" s="76"/>
      <c r="J3350" s="53"/>
    </row>
    <row r="3351" spans="3:10" x14ac:dyDescent="0.25">
      <c r="C3351" s="76"/>
      <c r="J3351" s="53"/>
    </row>
    <row r="3352" spans="3:10" x14ac:dyDescent="0.25">
      <c r="C3352" s="76"/>
      <c r="J3352" s="53"/>
    </row>
    <row r="3353" spans="3:10" x14ac:dyDescent="0.25">
      <c r="C3353" s="76"/>
      <c r="J3353" s="53"/>
    </row>
    <row r="3354" spans="3:10" x14ac:dyDescent="0.25">
      <c r="C3354" s="76"/>
      <c r="J3354" s="53"/>
    </row>
    <row r="3355" spans="3:10" x14ac:dyDescent="0.25">
      <c r="C3355" s="76"/>
      <c r="J3355" s="53"/>
    </row>
    <row r="3356" spans="3:10" x14ac:dyDescent="0.25">
      <c r="C3356" s="76"/>
      <c r="J3356" s="53"/>
    </row>
    <row r="3357" spans="3:10" x14ac:dyDescent="0.25">
      <c r="C3357" s="76"/>
      <c r="J3357" s="53"/>
    </row>
    <row r="3358" spans="3:10" x14ac:dyDescent="0.25">
      <c r="C3358" s="76"/>
      <c r="J3358" s="53"/>
    </row>
    <row r="3359" spans="3:10" x14ac:dyDescent="0.25">
      <c r="C3359" s="76"/>
      <c r="J3359" s="53"/>
    </row>
    <row r="3360" spans="3:10" x14ac:dyDescent="0.25">
      <c r="C3360" s="76"/>
      <c r="J3360" s="53"/>
    </row>
    <row r="3361" spans="3:10" x14ac:dyDescent="0.25">
      <c r="C3361" s="76"/>
      <c r="J3361" s="53"/>
    </row>
    <row r="3362" spans="3:10" x14ac:dyDescent="0.25">
      <c r="C3362" s="76"/>
      <c r="J3362" s="53"/>
    </row>
    <row r="3363" spans="3:10" x14ac:dyDescent="0.25">
      <c r="C3363" s="76"/>
      <c r="J3363" s="53"/>
    </row>
    <row r="3364" spans="3:10" x14ac:dyDescent="0.25">
      <c r="C3364" s="76"/>
      <c r="J3364" s="53"/>
    </row>
    <row r="3365" spans="3:10" x14ac:dyDescent="0.25">
      <c r="C3365" s="76"/>
      <c r="J3365" s="53"/>
    </row>
    <row r="3366" spans="3:10" x14ac:dyDescent="0.25">
      <c r="C3366" s="76"/>
      <c r="J3366" s="53"/>
    </row>
    <row r="3367" spans="3:10" x14ac:dyDescent="0.25">
      <c r="C3367" s="76"/>
      <c r="J3367" s="53"/>
    </row>
    <row r="3368" spans="3:10" x14ac:dyDescent="0.25">
      <c r="C3368" s="76"/>
      <c r="J3368" s="53"/>
    </row>
    <row r="3369" spans="3:10" x14ac:dyDescent="0.25">
      <c r="C3369" s="76"/>
      <c r="J3369" s="53"/>
    </row>
    <row r="3370" spans="3:10" x14ac:dyDescent="0.25">
      <c r="C3370" s="76"/>
      <c r="J3370" s="53"/>
    </row>
    <row r="3371" spans="3:10" x14ac:dyDescent="0.25">
      <c r="C3371" s="76"/>
      <c r="J3371" s="53"/>
    </row>
    <row r="3372" spans="3:10" x14ac:dyDescent="0.25">
      <c r="C3372" s="76"/>
      <c r="J3372" s="53"/>
    </row>
    <row r="3373" spans="3:10" x14ac:dyDescent="0.25">
      <c r="C3373" s="76"/>
      <c r="J3373" s="53"/>
    </row>
    <row r="3374" spans="3:10" x14ac:dyDescent="0.25">
      <c r="C3374" s="76"/>
      <c r="J3374" s="53"/>
    </row>
    <row r="3375" spans="3:10" x14ac:dyDescent="0.25">
      <c r="C3375" s="76"/>
      <c r="J3375" s="53"/>
    </row>
    <row r="3376" spans="3:10" x14ac:dyDescent="0.25">
      <c r="C3376" s="76"/>
      <c r="J3376" s="53"/>
    </row>
    <row r="3377" spans="3:10" x14ac:dyDescent="0.25">
      <c r="C3377" s="76"/>
      <c r="J3377" s="53"/>
    </row>
    <row r="3378" spans="3:10" x14ac:dyDescent="0.25">
      <c r="C3378" s="76"/>
      <c r="J3378" s="53"/>
    </row>
    <row r="3379" spans="3:10" x14ac:dyDescent="0.25">
      <c r="C3379" s="76"/>
      <c r="J3379" s="53"/>
    </row>
    <row r="3380" spans="3:10" x14ac:dyDescent="0.25">
      <c r="C3380" s="76"/>
      <c r="J3380" s="53"/>
    </row>
    <row r="3381" spans="3:10" x14ac:dyDescent="0.25">
      <c r="C3381" s="76"/>
      <c r="J3381" s="53"/>
    </row>
    <row r="3382" spans="3:10" x14ac:dyDescent="0.25">
      <c r="C3382" s="76"/>
      <c r="J3382" s="53"/>
    </row>
    <row r="3383" spans="3:10" x14ac:dyDescent="0.25">
      <c r="C3383" s="76"/>
      <c r="J3383" s="53"/>
    </row>
    <row r="3384" spans="3:10" x14ac:dyDescent="0.25">
      <c r="C3384" s="76"/>
      <c r="J3384" s="53"/>
    </row>
    <row r="3385" spans="3:10" x14ac:dyDescent="0.25">
      <c r="C3385" s="76"/>
      <c r="J3385" s="53"/>
    </row>
    <row r="3386" spans="3:10" x14ac:dyDescent="0.25">
      <c r="C3386" s="76"/>
      <c r="J3386" s="53"/>
    </row>
    <row r="3387" spans="3:10" x14ac:dyDescent="0.25">
      <c r="C3387" s="76"/>
      <c r="J3387" s="53"/>
    </row>
    <row r="3388" spans="3:10" x14ac:dyDescent="0.25">
      <c r="C3388" s="76"/>
      <c r="J3388" s="53"/>
    </row>
    <row r="3389" spans="3:10" x14ac:dyDescent="0.25">
      <c r="C3389" s="76"/>
      <c r="J3389" s="53"/>
    </row>
    <row r="3390" spans="3:10" x14ac:dyDescent="0.25">
      <c r="C3390" s="76"/>
      <c r="J3390" s="53"/>
    </row>
    <row r="3391" spans="3:10" x14ac:dyDescent="0.25">
      <c r="C3391" s="76"/>
      <c r="J3391" s="53"/>
    </row>
    <row r="3392" spans="3:10" x14ac:dyDescent="0.25">
      <c r="C3392" s="76"/>
      <c r="J3392" s="53"/>
    </row>
    <row r="3393" spans="3:10" x14ac:dyDescent="0.25">
      <c r="C3393" s="76"/>
      <c r="J3393" s="53"/>
    </row>
    <row r="3394" spans="3:10" x14ac:dyDescent="0.25">
      <c r="C3394" s="76"/>
      <c r="J3394" s="53"/>
    </row>
    <row r="3395" spans="3:10" x14ac:dyDescent="0.25">
      <c r="C3395" s="76"/>
      <c r="J3395" s="53"/>
    </row>
    <row r="3396" spans="3:10" x14ac:dyDescent="0.25">
      <c r="C3396" s="76"/>
      <c r="J3396" s="53"/>
    </row>
    <row r="3397" spans="3:10" x14ac:dyDescent="0.25">
      <c r="C3397" s="76"/>
      <c r="J3397" s="53"/>
    </row>
    <row r="3398" spans="3:10" x14ac:dyDescent="0.25">
      <c r="C3398" s="76"/>
      <c r="J3398" s="53"/>
    </row>
    <row r="3399" spans="3:10" x14ac:dyDescent="0.25">
      <c r="C3399" s="76"/>
      <c r="J3399" s="53"/>
    </row>
    <row r="3400" spans="3:10" x14ac:dyDescent="0.25">
      <c r="C3400" s="76"/>
      <c r="J3400" s="53"/>
    </row>
    <row r="3401" spans="3:10" x14ac:dyDescent="0.25">
      <c r="C3401" s="76"/>
      <c r="J3401" s="53"/>
    </row>
    <row r="3402" spans="3:10" x14ac:dyDescent="0.25">
      <c r="C3402" s="76"/>
      <c r="J3402" s="53"/>
    </row>
    <row r="3403" spans="3:10" x14ac:dyDescent="0.25">
      <c r="C3403" s="76"/>
      <c r="J3403" s="53"/>
    </row>
    <row r="3404" spans="3:10" x14ac:dyDescent="0.25">
      <c r="C3404" s="76"/>
      <c r="J3404" s="53"/>
    </row>
    <row r="3405" spans="3:10" x14ac:dyDescent="0.25">
      <c r="C3405" s="76"/>
      <c r="J3405" s="53"/>
    </row>
    <row r="3406" spans="3:10" x14ac:dyDescent="0.25">
      <c r="C3406" s="76"/>
      <c r="J3406" s="53"/>
    </row>
    <row r="3407" spans="3:10" x14ac:dyDescent="0.25">
      <c r="C3407" s="76"/>
      <c r="J3407" s="53"/>
    </row>
    <row r="3408" spans="3:10" x14ac:dyDescent="0.25">
      <c r="C3408" s="76"/>
      <c r="J3408" s="53"/>
    </row>
    <row r="3409" spans="3:10" x14ac:dyDescent="0.25">
      <c r="C3409" s="76"/>
      <c r="J3409" s="53"/>
    </row>
    <row r="3410" spans="3:10" x14ac:dyDescent="0.25">
      <c r="C3410" s="76"/>
      <c r="J3410" s="53"/>
    </row>
    <row r="3411" spans="3:10" x14ac:dyDescent="0.25">
      <c r="C3411" s="76"/>
      <c r="J3411" s="53"/>
    </row>
    <row r="3412" spans="3:10" x14ac:dyDescent="0.25">
      <c r="C3412" s="76"/>
      <c r="J3412" s="53"/>
    </row>
    <row r="3413" spans="3:10" x14ac:dyDescent="0.25">
      <c r="C3413" s="76"/>
      <c r="J3413" s="53"/>
    </row>
    <row r="3414" spans="3:10" x14ac:dyDescent="0.25">
      <c r="C3414" s="76"/>
      <c r="J3414" s="53"/>
    </row>
    <row r="3415" spans="3:10" x14ac:dyDescent="0.25">
      <c r="C3415" s="76"/>
      <c r="J3415" s="53"/>
    </row>
    <row r="3416" spans="3:10" x14ac:dyDescent="0.25">
      <c r="C3416" s="76"/>
      <c r="J3416" s="53"/>
    </row>
    <row r="3417" spans="3:10" x14ac:dyDescent="0.25">
      <c r="C3417" s="76"/>
      <c r="J3417" s="53"/>
    </row>
    <row r="3418" spans="3:10" x14ac:dyDescent="0.25">
      <c r="C3418" s="76"/>
      <c r="J3418" s="53"/>
    </row>
    <row r="3419" spans="3:10" x14ac:dyDescent="0.25">
      <c r="C3419" s="76"/>
      <c r="J3419" s="53"/>
    </row>
    <row r="3420" spans="3:10" x14ac:dyDescent="0.25">
      <c r="C3420" s="76"/>
      <c r="J3420" s="53"/>
    </row>
    <row r="3421" spans="3:10" x14ac:dyDescent="0.25">
      <c r="C3421" s="76"/>
      <c r="J3421" s="53"/>
    </row>
    <row r="3422" spans="3:10" x14ac:dyDescent="0.25">
      <c r="C3422" s="76"/>
      <c r="J3422" s="53"/>
    </row>
    <row r="3423" spans="3:10" x14ac:dyDescent="0.25">
      <c r="C3423" s="76"/>
      <c r="J3423" s="53"/>
    </row>
    <row r="3424" spans="3:10" x14ac:dyDescent="0.25">
      <c r="C3424" s="76"/>
      <c r="J3424" s="53"/>
    </row>
    <row r="3425" spans="3:10" x14ac:dyDescent="0.25">
      <c r="C3425" s="76"/>
      <c r="J3425" s="53"/>
    </row>
    <row r="3426" spans="3:10" x14ac:dyDescent="0.25">
      <c r="C3426" s="76"/>
      <c r="J3426" s="53"/>
    </row>
    <row r="3427" spans="3:10" x14ac:dyDescent="0.25">
      <c r="C3427" s="76"/>
      <c r="J3427" s="53"/>
    </row>
    <row r="3428" spans="3:10" x14ac:dyDescent="0.25">
      <c r="C3428" s="76"/>
      <c r="J3428" s="53"/>
    </row>
    <row r="3429" spans="3:10" x14ac:dyDescent="0.25">
      <c r="C3429" s="76"/>
      <c r="J3429" s="53"/>
    </row>
    <row r="3430" spans="3:10" x14ac:dyDescent="0.25">
      <c r="C3430" s="76"/>
      <c r="J3430" s="53"/>
    </row>
    <row r="3431" spans="3:10" x14ac:dyDescent="0.25">
      <c r="C3431" s="76"/>
      <c r="J3431" s="53"/>
    </row>
    <row r="3432" spans="3:10" x14ac:dyDescent="0.25">
      <c r="C3432" s="76"/>
      <c r="J3432" s="53"/>
    </row>
    <row r="3433" spans="3:10" x14ac:dyDescent="0.25">
      <c r="C3433" s="76"/>
      <c r="J3433" s="53"/>
    </row>
    <row r="3434" spans="3:10" x14ac:dyDescent="0.25">
      <c r="C3434" s="76"/>
      <c r="J3434" s="53"/>
    </row>
    <row r="3435" spans="3:10" x14ac:dyDescent="0.25">
      <c r="C3435" s="76"/>
      <c r="J3435" s="53"/>
    </row>
    <row r="3436" spans="3:10" x14ac:dyDescent="0.25">
      <c r="C3436" s="76"/>
      <c r="J3436" s="53"/>
    </row>
    <row r="3437" spans="3:10" x14ac:dyDescent="0.25">
      <c r="C3437" s="76"/>
      <c r="J3437" s="53"/>
    </row>
    <row r="3438" spans="3:10" x14ac:dyDescent="0.25">
      <c r="C3438" s="76"/>
      <c r="J3438" s="53"/>
    </row>
    <row r="3439" spans="3:10" x14ac:dyDescent="0.25">
      <c r="C3439" s="76"/>
      <c r="J3439" s="53"/>
    </row>
    <row r="3440" spans="3:10" x14ac:dyDescent="0.25">
      <c r="C3440" s="76"/>
      <c r="J3440" s="53"/>
    </row>
    <row r="3441" spans="3:10" x14ac:dyDescent="0.25">
      <c r="C3441" s="76"/>
      <c r="J3441" s="53"/>
    </row>
    <row r="3442" spans="3:10" x14ac:dyDescent="0.25">
      <c r="C3442" s="76"/>
      <c r="J3442" s="53"/>
    </row>
    <row r="3443" spans="3:10" x14ac:dyDescent="0.25">
      <c r="C3443" s="76"/>
      <c r="J3443" s="53"/>
    </row>
    <row r="3444" spans="3:10" x14ac:dyDescent="0.25">
      <c r="C3444" s="76"/>
      <c r="J3444" s="53"/>
    </row>
    <row r="3445" spans="3:10" x14ac:dyDescent="0.25">
      <c r="C3445" s="76"/>
      <c r="J3445" s="53"/>
    </row>
    <row r="3446" spans="3:10" x14ac:dyDescent="0.25">
      <c r="C3446" s="76"/>
      <c r="J3446" s="53"/>
    </row>
    <row r="3447" spans="3:10" x14ac:dyDescent="0.25">
      <c r="C3447" s="76"/>
      <c r="J3447" s="53"/>
    </row>
    <row r="3448" spans="3:10" x14ac:dyDescent="0.25">
      <c r="C3448" s="76"/>
      <c r="J3448" s="53"/>
    </row>
    <row r="3449" spans="3:10" x14ac:dyDescent="0.25">
      <c r="C3449" s="76"/>
      <c r="J3449" s="53"/>
    </row>
    <row r="3450" spans="3:10" x14ac:dyDescent="0.25">
      <c r="C3450" s="76"/>
      <c r="J3450" s="53"/>
    </row>
    <row r="3451" spans="3:10" x14ac:dyDescent="0.25">
      <c r="C3451" s="76"/>
      <c r="J3451" s="53"/>
    </row>
    <row r="3452" spans="3:10" x14ac:dyDescent="0.25">
      <c r="C3452" s="76"/>
      <c r="J3452" s="53"/>
    </row>
    <row r="3453" spans="3:10" x14ac:dyDescent="0.25">
      <c r="C3453" s="76"/>
      <c r="J3453" s="53"/>
    </row>
    <row r="3454" spans="3:10" x14ac:dyDescent="0.25">
      <c r="C3454" s="76"/>
      <c r="J3454" s="53"/>
    </row>
    <row r="3455" spans="3:10" x14ac:dyDescent="0.25">
      <c r="C3455" s="76"/>
      <c r="J3455" s="53"/>
    </row>
    <row r="3456" spans="3:10" x14ac:dyDescent="0.25">
      <c r="C3456" s="76"/>
      <c r="J3456" s="53"/>
    </row>
    <row r="3457" spans="3:10" x14ac:dyDescent="0.25">
      <c r="C3457" s="76"/>
      <c r="J3457" s="53"/>
    </row>
    <row r="3458" spans="3:10" x14ac:dyDescent="0.25">
      <c r="C3458" s="76"/>
      <c r="J3458" s="53"/>
    </row>
    <row r="3459" spans="3:10" x14ac:dyDescent="0.25">
      <c r="C3459" s="76"/>
      <c r="J3459" s="53"/>
    </row>
    <row r="3460" spans="3:10" x14ac:dyDescent="0.25">
      <c r="C3460" s="76"/>
      <c r="J3460" s="53"/>
    </row>
    <row r="3461" spans="3:10" x14ac:dyDescent="0.25">
      <c r="C3461" s="76"/>
      <c r="J3461" s="53"/>
    </row>
    <row r="3462" spans="3:10" x14ac:dyDescent="0.25">
      <c r="C3462" s="76"/>
      <c r="J3462" s="53"/>
    </row>
    <row r="3463" spans="3:10" x14ac:dyDescent="0.25">
      <c r="C3463" s="76"/>
      <c r="J3463" s="53"/>
    </row>
    <row r="3464" spans="3:10" x14ac:dyDescent="0.25">
      <c r="C3464" s="76"/>
      <c r="J3464" s="53"/>
    </row>
    <row r="3465" spans="3:10" x14ac:dyDescent="0.25">
      <c r="C3465" s="76"/>
      <c r="J3465" s="53"/>
    </row>
    <row r="3466" spans="3:10" x14ac:dyDescent="0.25">
      <c r="C3466" s="76"/>
      <c r="J3466" s="53"/>
    </row>
    <row r="3467" spans="3:10" x14ac:dyDescent="0.25">
      <c r="C3467" s="76"/>
      <c r="J3467" s="53"/>
    </row>
    <row r="3468" spans="3:10" x14ac:dyDescent="0.25">
      <c r="C3468" s="76"/>
      <c r="J3468" s="53"/>
    </row>
    <row r="3469" spans="3:10" x14ac:dyDescent="0.25">
      <c r="C3469" s="76"/>
      <c r="J3469" s="53"/>
    </row>
    <row r="3470" spans="3:10" x14ac:dyDescent="0.25">
      <c r="C3470" s="76"/>
      <c r="J3470" s="53"/>
    </row>
    <row r="3471" spans="3:10" x14ac:dyDescent="0.25">
      <c r="C3471" s="76"/>
      <c r="J3471" s="53"/>
    </row>
    <row r="3472" spans="3:10" x14ac:dyDescent="0.25">
      <c r="C3472" s="76"/>
      <c r="J3472" s="53"/>
    </row>
    <row r="3473" spans="3:10" x14ac:dyDescent="0.25">
      <c r="C3473" s="76"/>
      <c r="J3473" s="53"/>
    </row>
    <row r="3474" spans="3:10" x14ac:dyDescent="0.25">
      <c r="C3474" s="76"/>
      <c r="J3474" s="53"/>
    </row>
    <row r="3475" spans="3:10" x14ac:dyDescent="0.25">
      <c r="C3475" s="76"/>
      <c r="J3475" s="53"/>
    </row>
    <row r="3476" spans="3:10" x14ac:dyDescent="0.25">
      <c r="C3476" s="76"/>
      <c r="J3476" s="53"/>
    </row>
    <row r="3477" spans="3:10" x14ac:dyDescent="0.25">
      <c r="C3477" s="76"/>
      <c r="J3477" s="53"/>
    </row>
    <row r="3478" spans="3:10" x14ac:dyDescent="0.25">
      <c r="C3478" s="76"/>
      <c r="J3478" s="53"/>
    </row>
    <row r="3479" spans="3:10" x14ac:dyDescent="0.25">
      <c r="C3479" s="76"/>
      <c r="J3479" s="53"/>
    </row>
    <row r="3480" spans="3:10" x14ac:dyDescent="0.25">
      <c r="C3480" s="76"/>
      <c r="J3480" s="53"/>
    </row>
    <row r="3481" spans="3:10" x14ac:dyDescent="0.25">
      <c r="C3481" s="76"/>
      <c r="J3481" s="53"/>
    </row>
    <row r="3482" spans="3:10" x14ac:dyDescent="0.25">
      <c r="C3482" s="76"/>
      <c r="J3482" s="53"/>
    </row>
    <row r="3483" spans="3:10" x14ac:dyDescent="0.25">
      <c r="C3483" s="76"/>
      <c r="J3483" s="53"/>
    </row>
    <row r="3484" spans="3:10" x14ac:dyDescent="0.25">
      <c r="C3484" s="76"/>
      <c r="J3484" s="53"/>
    </row>
    <row r="3485" spans="3:10" x14ac:dyDescent="0.25">
      <c r="C3485" s="76"/>
      <c r="J3485" s="53"/>
    </row>
    <row r="3486" spans="3:10" x14ac:dyDescent="0.25">
      <c r="C3486" s="76"/>
      <c r="J3486" s="53"/>
    </row>
    <row r="3487" spans="3:10" x14ac:dyDescent="0.25">
      <c r="C3487" s="76"/>
      <c r="J3487" s="53"/>
    </row>
    <row r="3488" spans="3:10" x14ac:dyDescent="0.25">
      <c r="C3488" s="76"/>
      <c r="J3488" s="53"/>
    </row>
    <row r="3489" spans="3:10" x14ac:dyDescent="0.25">
      <c r="C3489" s="76"/>
      <c r="J3489" s="53"/>
    </row>
    <row r="3490" spans="3:10" x14ac:dyDescent="0.25">
      <c r="C3490" s="76"/>
      <c r="J3490" s="53"/>
    </row>
    <row r="3491" spans="3:10" x14ac:dyDescent="0.25">
      <c r="C3491" s="76"/>
      <c r="J3491" s="53"/>
    </row>
    <row r="3492" spans="3:10" x14ac:dyDescent="0.25">
      <c r="C3492" s="76"/>
      <c r="J3492" s="53"/>
    </row>
    <row r="3493" spans="3:10" x14ac:dyDescent="0.25">
      <c r="C3493" s="76"/>
      <c r="J3493" s="53"/>
    </row>
    <row r="3494" spans="3:10" x14ac:dyDescent="0.25">
      <c r="C3494" s="76"/>
      <c r="J3494" s="53"/>
    </row>
    <row r="3495" spans="3:10" x14ac:dyDescent="0.25">
      <c r="C3495" s="76"/>
      <c r="J3495" s="53"/>
    </row>
    <row r="3496" spans="3:10" x14ac:dyDescent="0.25">
      <c r="C3496" s="76"/>
      <c r="J3496" s="53"/>
    </row>
    <row r="3497" spans="3:10" x14ac:dyDescent="0.25">
      <c r="C3497" s="76"/>
      <c r="J3497" s="53"/>
    </row>
    <row r="3498" spans="3:10" x14ac:dyDescent="0.25">
      <c r="C3498" s="76"/>
      <c r="J3498" s="53"/>
    </row>
    <row r="3499" spans="3:10" x14ac:dyDescent="0.25">
      <c r="C3499" s="76"/>
      <c r="J3499" s="53"/>
    </row>
    <row r="3500" spans="3:10" x14ac:dyDescent="0.25">
      <c r="C3500" s="76"/>
      <c r="J3500" s="53"/>
    </row>
    <row r="3501" spans="3:10" x14ac:dyDescent="0.25">
      <c r="C3501" s="76"/>
      <c r="J3501" s="53"/>
    </row>
    <row r="3502" spans="3:10" x14ac:dyDescent="0.25">
      <c r="C3502" s="76"/>
      <c r="J3502" s="53"/>
    </row>
    <row r="3503" spans="3:10" x14ac:dyDescent="0.25">
      <c r="C3503" s="76"/>
      <c r="J3503" s="53"/>
    </row>
    <row r="3504" spans="3:10" x14ac:dyDescent="0.25">
      <c r="C3504" s="76"/>
      <c r="J3504" s="53"/>
    </row>
    <row r="3505" spans="3:10" x14ac:dyDescent="0.25">
      <c r="C3505" s="76"/>
      <c r="J3505" s="53"/>
    </row>
    <row r="3506" spans="3:10" x14ac:dyDescent="0.25">
      <c r="C3506" s="76"/>
      <c r="J3506" s="53"/>
    </row>
    <row r="3507" spans="3:10" x14ac:dyDescent="0.25">
      <c r="C3507" s="76"/>
      <c r="J3507" s="53"/>
    </row>
    <row r="3508" spans="3:10" x14ac:dyDescent="0.25">
      <c r="C3508" s="76"/>
      <c r="J3508" s="53"/>
    </row>
    <row r="3509" spans="3:10" x14ac:dyDescent="0.25">
      <c r="C3509" s="76"/>
      <c r="J3509" s="53"/>
    </row>
    <row r="3510" spans="3:10" x14ac:dyDescent="0.25">
      <c r="C3510" s="76"/>
      <c r="J3510" s="53"/>
    </row>
    <row r="3511" spans="3:10" x14ac:dyDescent="0.25">
      <c r="C3511" s="76"/>
      <c r="J3511" s="53"/>
    </row>
    <row r="3512" spans="3:10" x14ac:dyDescent="0.25">
      <c r="C3512" s="76"/>
      <c r="J3512" s="53"/>
    </row>
    <row r="3513" spans="3:10" x14ac:dyDescent="0.25">
      <c r="C3513" s="76"/>
      <c r="J3513" s="53"/>
    </row>
    <row r="3514" spans="3:10" x14ac:dyDescent="0.25">
      <c r="C3514" s="76"/>
      <c r="J3514" s="53"/>
    </row>
    <row r="3515" spans="3:10" x14ac:dyDescent="0.25">
      <c r="C3515" s="76"/>
      <c r="J3515" s="53"/>
    </row>
    <row r="3516" spans="3:10" x14ac:dyDescent="0.25">
      <c r="C3516" s="76"/>
      <c r="J3516" s="53"/>
    </row>
    <row r="3517" spans="3:10" x14ac:dyDescent="0.25">
      <c r="C3517" s="76"/>
      <c r="J3517" s="53"/>
    </row>
    <row r="3518" spans="3:10" x14ac:dyDescent="0.25">
      <c r="C3518" s="76"/>
      <c r="J3518" s="53"/>
    </row>
    <row r="3519" spans="3:10" x14ac:dyDescent="0.25">
      <c r="C3519" s="76"/>
      <c r="J3519" s="53"/>
    </row>
    <row r="3520" spans="3:10" x14ac:dyDescent="0.25">
      <c r="C3520" s="76"/>
      <c r="J3520" s="53"/>
    </row>
    <row r="3521" spans="3:10" x14ac:dyDescent="0.25">
      <c r="C3521" s="76"/>
      <c r="J3521" s="53"/>
    </row>
    <row r="3522" spans="3:10" x14ac:dyDescent="0.25">
      <c r="C3522" s="76"/>
      <c r="J3522" s="53"/>
    </row>
    <row r="3523" spans="3:10" x14ac:dyDescent="0.25">
      <c r="C3523" s="76"/>
      <c r="J3523" s="53"/>
    </row>
    <row r="3524" spans="3:10" x14ac:dyDescent="0.25">
      <c r="C3524" s="76"/>
      <c r="J3524" s="53"/>
    </row>
    <row r="3525" spans="3:10" x14ac:dyDescent="0.25">
      <c r="C3525" s="76"/>
      <c r="J3525" s="53"/>
    </row>
    <row r="3526" spans="3:10" x14ac:dyDescent="0.25">
      <c r="C3526" s="76"/>
      <c r="J3526" s="53"/>
    </row>
    <row r="3527" spans="3:10" x14ac:dyDescent="0.25">
      <c r="C3527" s="76"/>
      <c r="J3527" s="53"/>
    </row>
    <row r="3528" spans="3:10" x14ac:dyDescent="0.25">
      <c r="C3528" s="76"/>
      <c r="J3528" s="53"/>
    </row>
    <row r="3529" spans="3:10" x14ac:dyDescent="0.25">
      <c r="C3529" s="76"/>
      <c r="J3529" s="53"/>
    </row>
    <row r="3530" spans="3:10" x14ac:dyDescent="0.25">
      <c r="C3530" s="76"/>
      <c r="J3530" s="53"/>
    </row>
    <row r="3531" spans="3:10" x14ac:dyDescent="0.25">
      <c r="C3531" s="76"/>
      <c r="J3531" s="53"/>
    </row>
    <row r="3532" spans="3:10" x14ac:dyDescent="0.25">
      <c r="C3532" s="76"/>
      <c r="J3532" s="53"/>
    </row>
    <row r="3533" spans="3:10" x14ac:dyDescent="0.25">
      <c r="C3533" s="76"/>
      <c r="J3533" s="53"/>
    </row>
    <row r="3534" spans="3:10" x14ac:dyDescent="0.25">
      <c r="C3534" s="76"/>
      <c r="J3534" s="53"/>
    </row>
    <row r="3535" spans="3:10" x14ac:dyDescent="0.25">
      <c r="C3535" s="76"/>
      <c r="J3535" s="53"/>
    </row>
    <row r="3536" spans="3:10" x14ac:dyDescent="0.25">
      <c r="C3536" s="76"/>
      <c r="J3536" s="53"/>
    </row>
    <row r="3537" spans="3:10" x14ac:dyDescent="0.25">
      <c r="C3537" s="76"/>
      <c r="J3537" s="53"/>
    </row>
    <row r="3538" spans="3:10" x14ac:dyDescent="0.25">
      <c r="C3538" s="76"/>
      <c r="J3538" s="53"/>
    </row>
    <row r="3539" spans="3:10" x14ac:dyDescent="0.25">
      <c r="C3539" s="76"/>
      <c r="J3539" s="53"/>
    </row>
    <row r="3540" spans="3:10" x14ac:dyDescent="0.25">
      <c r="C3540" s="76"/>
      <c r="J3540" s="53"/>
    </row>
    <row r="3541" spans="3:10" x14ac:dyDescent="0.25">
      <c r="C3541" s="76"/>
      <c r="J3541" s="53"/>
    </row>
    <row r="3542" spans="3:10" x14ac:dyDescent="0.25">
      <c r="C3542" s="76"/>
      <c r="J3542" s="53"/>
    </row>
    <row r="3543" spans="3:10" x14ac:dyDescent="0.25">
      <c r="C3543" s="76"/>
      <c r="J3543" s="53"/>
    </row>
    <row r="3544" spans="3:10" x14ac:dyDescent="0.25">
      <c r="C3544" s="76"/>
      <c r="J3544" s="53"/>
    </row>
    <row r="3545" spans="3:10" x14ac:dyDescent="0.25">
      <c r="C3545" s="76"/>
      <c r="J3545" s="53"/>
    </row>
    <row r="3546" spans="3:10" x14ac:dyDescent="0.25">
      <c r="C3546" s="76"/>
      <c r="J3546" s="53"/>
    </row>
    <row r="3547" spans="3:10" x14ac:dyDescent="0.25">
      <c r="C3547" s="76"/>
      <c r="J3547" s="53"/>
    </row>
    <row r="3548" spans="3:10" x14ac:dyDescent="0.25">
      <c r="C3548" s="76"/>
      <c r="J3548" s="53"/>
    </row>
    <row r="3549" spans="3:10" x14ac:dyDescent="0.25">
      <c r="C3549" s="76"/>
      <c r="J3549" s="53"/>
    </row>
    <row r="3550" spans="3:10" x14ac:dyDescent="0.25">
      <c r="C3550" s="76"/>
      <c r="J3550" s="53"/>
    </row>
    <row r="3551" spans="3:10" x14ac:dyDescent="0.25">
      <c r="C3551" s="76"/>
      <c r="J3551" s="53"/>
    </row>
    <row r="3552" spans="3:10" x14ac:dyDescent="0.25">
      <c r="C3552" s="76"/>
      <c r="J3552" s="53"/>
    </row>
    <row r="3553" spans="3:10" x14ac:dyDescent="0.25">
      <c r="C3553" s="76"/>
      <c r="J3553" s="53"/>
    </row>
    <row r="3554" spans="3:10" x14ac:dyDescent="0.25">
      <c r="C3554" s="76"/>
      <c r="J3554" s="53"/>
    </row>
    <row r="3555" spans="3:10" x14ac:dyDescent="0.25">
      <c r="C3555" s="76"/>
      <c r="J3555" s="53"/>
    </row>
    <row r="3556" spans="3:10" x14ac:dyDescent="0.25">
      <c r="C3556" s="76"/>
      <c r="J3556" s="53"/>
    </row>
    <row r="3557" spans="3:10" x14ac:dyDescent="0.25">
      <c r="C3557" s="76"/>
      <c r="J3557" s="53"/>
    </row>
    <row r="3558" spans="3:10" x14ac:dyDescent="0.25">
      <c r="C3558" s="76"/>
      <c r="J3558" s="53"/>
    </row>
    <row r="3559" spans="3:10" x14ac:dyDescent="0.25">
      <c r="C3559" s="76"/>
      <c r="J3559" s="53"/>
    </row>
    <row r="3560" spans="3:10" x14ac:dyDescent="0.25">
      <c r="C3560" s="76"/>
      <c r="J3560" s="53"/>
    </row>
    <row r="3561" spans="3:10" x14ac:dyDescent="0.25">
      <c r="C3561" s="76"/>
      <c r="J3561" s="53"/>
    </row>
    <row r="3562" spans="3:10" x14ac:dyDescent="0.25">
      <c r="C3562" s="76"/>
      <c r="J3562" s="53"/>
    </row>
    <row r="3563" spans="3:10" x14ac:dyDescent="0.25">
      <c r="C3563" s="76"/>
      <c r="J3563" s="53"/>
    </row>
    <row r="3564" spans="3:10" x14ac:dyDescent="0.25">
      <c r="C3564" s="76"/>
      <c r="J3564" s="53"/>
    </row>
    <row r="3565" spans="3:10" x14ac:dyDescent="0.25">
      <c r="C3565" s="76"/>
      <c r="J3565" s="53"/>
    </row>
    <row r="3566" spans="3:10" x14ac:dyDescent="0.25">
      <c r="C3566" s="76"/>
      <c r="J3566" s="53"/>
    </row>
    <row r="3567" spans="3:10" x14ac:dyDescent="0.25">
      <c r="C3567" s="76"/>
      <c r="J3567" s="53"/>
    </row>
    <row r="3568" spans="3:10" x14ac:dyDescent="0.25">
      <c r="C3568" s="76"/>
      <c r="J3568" s="53"/>
    </row>
    <row r="3569" spans="3:10" x14ac:dyDescent="0.25">
      <c r="C3569" s="76"/>
      <c r="J3569" s="53"/>
    </row>
    <row r="3570" spans="3:10" x14ac:dyDescent="0.25">
      <c r="C3570" s="76"/>
      <c r="J3570" s="53"/>
    </row>
    <row r="3571" spans="3:10" x14ac:dyDescent="0.25">
      <c r="C3571" s="76"/>
      <c r="J3571" s="53"/>
    </row>
    <row r="3572" spans="3:10" x14ac:dyDescent="0.25">
      <c r="C3572" s="76"/>
      <c r="J3572" s="53"/>
    </row>
    <row r="3573" spans="3:10" x14ac:dyDescent="0.25">
      <c r="C3573" s="76"/>
      <c r="J3573" s="53"/>
    </row>
    <row r="3574" spans="3:10" x14ac:dyDescent="0.25">
      <c r="C3574" s="76"/>
      <c r="J3574" s="53"/>
    </row>
    <row r="3575" spans="3:10" x14ac:dyDescent="0.25">
      <c r="C3575" s="76"/>
      <c r="J3575" s="53"/>
    </row>
    <row r="3576" spans="3:10" x14ac:dyDescent="0.25">
      <c r="C3576" s="76"/>
      <c r="J3576" s="53"/>
    </row>
    <row r="3577" spans="3:10" x14ac:dyDescent="0.25">
      <c r="C3577" s="76"/>
      <c r="J3577" s="53"/>
    </row>
    <row r="3578" spans="3:10" x14ac:dyDescent="0.25">
      <c r="C3578" s="76"/>
      <c r="J3578" s="53"/>
    </row>
    <row r="3579" spans="3:10" x14ac:dyDescent="0.25">
      <c r="C3579" s="76"/>
      <c r="J3579" s="53"/>
    </row>
    <row r="3580" spans="3:10" x14ac:dyDescent="0.25">
      <c r="C3580" s="76"/>
      <c r="J3580" s="53"/>
    </row>
    <row r="3581" spans="3:10" x14ac:dyDescent="0.25">
      <c r="C3581" s="76"/>
      <c r="J3581" s="53"/>
    </row>
    <row r="3582" spans="3:10" x14ac:dyDescent="0.25">
      <c r="C3582" s="76"/>
      <c r="J3582" s="53"/>
    </row>
    <row r="3583" spans="3:10" x14ac:dyDescent="0.25">
      <c r="C3583" s="76"/>
      <c r="J3583" s="53"/>
    </row>
    <row r="3584" spans="3:10" x14ac:dyDescent="0.25">
      <c r="C3584" s="76"/>
      <c r="J3584" s="53"/>
    </row>
    <row r="3585" spans="3:10" x14ac:dyDescent="0.25">
      <c r="C3585" s="76"/>
      <c r="J3585" s="53"/>
    </row>
    <row r="3586" spans="3:10" x14ac:dyDescent="0.25">
      <c r="C3586" s="76"/>
      <c r="J3586" s="53"/>
    </row>
    <row r="3587" spans="3:10" x14ac:dyDescent="0.25">
      <c r="C3587" s="76"/>
      <c r="J3587" s="53"/>
    </row>
    <row r="3588" spans="3:10" x14ac:dyDescent="0.25">
      <c r="C3588" s="76"/>
      <c r="J3588" s="53"/>
    </row>
    <row r="3589" spans="3:10" x14ac:dyDescent="0.25">
      <c r="C3589" s="76"/>
      <c r="J3589" s="53"/>
    </row>
    <row r="3590" spans="3:10" x14ac:dyDescent="0.25">
      <c r="C3590" s="76"/>
      <c r="J3590" s="53"/>
    </row>
    <row r="3591" spans="3:10" x14ac:dyDescent="0.25">
      <c r="C3591" s="76"/>
      <c r="J3591" s="53"/>
    </row>
    <row r="3592" spans="3:10" x14ac:dyDescent="0.25">
      <c r="C3592" s="76"/>
      <c r="J3592" s="53"/>
    </row>
    <row r="3593" spans="3:10" x14ac:dyDescent="0.25">
      <c r="C3593" s="76"/>
      <c r="J3593" s="53"/>
    </row>
    <row r="3594" spans="3:10" x14ac:dyDescent="0.25">
      <c r="C3594" s="76"/>
      <c r="J3594" s="53"/>
    </row>
    <row r="3595" spans="3:10" x14ac:dyDescent="0.25">
      <c r="C3595" s="76"/>
      <c r="J3595" s="53"/>
    </row>
    <row r="3596" spans="3:10" x14ac:dyDescent="0.25">
      <c r="C3596" s="76"/>
      <c r="J3596" s="53"/>
    </row>
    <row r="3597" spans="3:10" x14ac:dyDescent="0.25">
      <c r="C3597" s="76"/>
      <c r="J3597" s="53"/>
    </row>
    <row r="3598" spans="3:10" x14ac:dyDescent="0.25">
      <c r="C3598" s="76"/>
      <c r="J3598" s="53"/>
    </row>
    <row r="3599" spans="3:10" x14ac:dyDescent="0.25">
      <c r="C3599" s="76"/>
      <c r="J3599" s="53"/>
    </row>
    <row r="3600" spans="3:10" x14ac:dyDescent="0.25">
      <c r="C3600" s="76"/>
      <c r="J3600" s="53"/>
    </row>
    <row r="3601" spans="3:10" x14ac:dyDescent="0.25">
      <c r="C3601" s="76"/>
      <c r="J3601" s="53"/>
    </row>
    <row r="3602" spans="3:10" x14ac:dyDescent="0.25">
      <c r="C3602" s="76"/>
      <c r="J3602" s="53"/>
    </row>
    <row r="3603" spans="3:10" x14ac:dyDescent="0.25">
      <c r="C3603" s="76"/>
      <c r="J3603" s="53"/>
    </row>
    <row r="3604" spans="3:10" x14ac:dyDescent="0.25">
      <c r="C3604" s="76"/>
      <c r="J3604" s="53"/>
    </row>
    <row r="3605" spans="3:10" x14ac:dyDescent="0.25">
      <c r="C3605" s="76"/>
      <c r="J3605" s="53"/>
    </row>
    <row r="3606" spans="3:10" x14ac:dyDescent="0.25">
      <c r="C3606" s="76"/>
      <c r="J3606" s="53"/>
    </row>
    <row r="3607" spans="3:10" x14ac:dyDescent="0.25">
      <c r="C3607" s="76"/>
      <c r="J3607" s="53"/>
    </row>
    <row r="3608" spans="3:10" x14ac:dyDescent="0.25">
      <c r="C3608" s="76"/>
      <c r="J3608" s="53"/>
    </row>
    <row r="3609" spans="3:10" x14ac:dyDescent="0.25">
      <c r="C3609" s="76"/>
      <c r="J3609" s="53"/>
    </row>
    <row r="3610" spans="3:10" x14ac:dyDescent="0.25">
      <c r="C3610" s="76"/>
      <c r="J3610" s="53"/>
    </row>
    <row r="3611" spans="3:10" x14ac:dyDescent="0.25">
      <c r="C3611" s="76"/>
      <c r="J3611" s="53"/>
    </row>
    <row r="3612" spans="3:10" x14ac:dyDescent="0.25">
      <c r="C3612" s="76"/>
      <c r="J3612" s="53"/>
    </row>
    <row r="3613" spans="3:10" x14ac:dyDescent="0.25">
      <c r="C3613" s="76"/>
      <c r="J3613" s="53"/>
    </row>
    <row r="3614" spans="3:10" x14ac:dyDescent="0.25">
      <c r="C3614" s="76"/>
      <c r="J3614" s="53"/>
    </row>
    <row r="3615" spans="3:10" x14ac:dyDescent="0.25">
      <c r="C3615" s="76"/>
      <c r="J3615" s="53"/>
    </row>
    <row r="3616" spans="3:10" x14ac:dyDescent="0.25">
      <c r="C3616" s="76"/>
      <c r="J3616" s="53"/>
    </row>
    <row r="3617" spans="3:10" x14ac:dyDescent="0.25">
      <c r="C3617" s="76"/>
      <c r="J3617" s="53"/>
    </row>
    <row r="3618" spans="3:10" x14ac:dyDescent="0.25">
      <c r="C3618" s="76"/>
      <c r="J3618" s="53"/>
    </row>
    <row r="3619" spans="3:10" x14ac:dyDescent="0.25">
      <c r="C3619" s="76"/>
      <c r="J3619" s="53"/>
    </row>
    <row r="3620" spans="3:10" x14ac:dyDescent="0.25">
      <c r="C3620" s="76"/>
      <c r="J3620" s="53"/>
    </row>
    <row r="3621" spans="3:10" x14ac:dyDescent="0.25">
      <c r="C3621" s="76"/>
      <c r="J3621" s="53"/>
    </row>
    <row r="3622" spans="3:10" x14ac:dyDescent="0.25">
      <c r="C3622" s="76"/>
      <c r="J3622" s="53"/>
    </row>
    <row r="3623" spans="3:10" x14ac:dyDescent="0.25">
      <c r="C3623" s="76"/>
      <c r="J3623" s="53"/>
    </row>
    <row r="3624" spans="3:10" x14ac:dyDescent="0.25">
      <c r="C3624" s="76"/>
      <c r="J3624" s="53"/>
    </row>
    <row r="3625" spans="3:10" x14ac:dyDescent="0.25">
      <c r="C3625" s="76"/>
      <c r="J3625" s="53"/>
    </row>
    <row r="3626" spans="3:10" x14ac:dyDescent="0.25">
      <c r="C3626" s="76"/>
      <c r="J3626" s="53"/>
    </row>
    <row r="3627" spans="3:10" x14ac:dyDescent="0.25">
      <c r="C3627" s="76"/>
      <c r="J3627" s="53"/>
    </row>
    <row r="3628" spans="3:10" x14ac:dyDescent="0.25">
      <c r="C3628" s="76"/>
      <c r="J3628" s="53"/>
    </row>
    <row r="3629" spans="3:10" x14ac:dyDescent="0.25">
      <c r="C3629" s="76"/>
      <c r="J3629" s="53"/>
    </row>
    <row r="3630" spans="3:10" x14ac:dyDescent="0.25">
      <c r="C3630" s="76"/>
      <c r="J3630" s="53"/>
    </row>
    <row r="3631" spans="3:10" x14ac:dyDescent="0.25">
      <c r="C3631" s="76"/>
      <c r="J3631" s="53"/>
    </row>
    <row r="3632" spans="3:10" x14ac:dyDescent="0.25">
      <c r="C3632" s="76"/>
      <c r="J3632" s="53"/>
    </row>
    <row r="3633" spans="3:10" x14ac:dyDescent="0.25">
      <c r="C3633" s="76"/>
      <c r="J3633" s="53"/>
    </row>
    <row r="3634" spans="3:10" x14ac:dyDescent="0.25">
      <c r="C3634" s="76"/>
      <c r="J3634" s="53"/>
    </row>
    <row r="3635" spans="3:10" x14ac:dyDescent="0.25">
      <c r="C3635" s="76"/>
      <c r="J3635" s="53"/>
    </row>
    <row r="3636" spans="3:10" x14ac:dyDescent="0.25">
      <c r="C3636" s="76"/>
      <c r="J3636" s="53"/>
    </row>
    <row r="3637" spans="3:10" x14ac:dyDescent="0.25">
      <c r="C3637" s="76"/>
      <c r="J3637" s="53"/>
    </row>
    <row r="3638" spans="3:10" x14ac:dyDescent="0.25">
      <c r="C3638" s="76"/>
      <c r="J3638" s="53"/>
    </row>
    <row r="3639" spans="3:10" x14ac:dyDescent="0.25">
      <c r="C3639" s="76"/>
      <c r="J3639" s="53"/>
    </row>
    <row r="3640" spans="3:10" x14ac:dyDescent="0.25">
      <c r="C3640" s="76"/>
      <c r="J3640" s="53"/>
    </row>
    <row r="3641" spans="3:10" x14ac:dyDescent="0.25">
      <c r="C3641" s="76"/>
      <c r="J3641" s="53"/>
    </row>
    <row r="3642" spans="3:10" x14ac:dyDescent="0.25">
      <c r="C3642" s="76"/>
      <c r="J3642" s="53"/>
    </row>
    <row r="3643" spans="3:10" x14ac:dyDescent="0.25">
      <c r="C3643" s="76"/>
      <c r="J3643" s="53"/>
    </row>
    <row r="3644" spans="3:10" x14ac:dyDescent="0.25">
      <c r="C3644" s="76"/>
      <c r="J3644" s="53"/>
    </row>
    <row r="3645" spans="3:10" x14ac:dyDescent="0.25">
      <c r="C3645" s="76"/>
      <c r="J3645" s="53"/>
    </row>
    <row r="3646" spans="3:10" x14ac:dyDescent="0.25">
      <c r="C3646" s="76"/>
      <c r="J3646" s="53"/>
    </row>
    <row r="3647" spans="3:10" x14ac:dyDescent="0.25">
      <c r="C3647" s="76"/>
      <c r="J3647" s="53"/>
    </row>
    <row r="3648" spans="3:10" x14ac:dyDescent="0.25">
      <c r="C3648" s="76"/>
      <c r="J3648" s="53"/>
    </row>
    <row r="3649" spans="3:10" x14ac:dyDescent="0.25">
      <c r="C3649" s="76"/>
      <c r="J3649" s="53"/>
    </row>
    <row r="3650" spans="3:10" x14ac:dyDescent="0.25">
      <c r="C3650" s="76"/>
      <c r="J3650" s="53"/>
    </row>
    <row r="3651" spans="3:10" x14ac:dyDescent="0.25">
      <c r="C3651" s="76"/>
      <c r="J3651" s="53"/>
    </row>
    <row r="3652" spans="3:10" x14ac:dyDescent="0.25">
      <c r="C3652" s="76"/>
      <c r="J3652" s="53"/>
    </row>
    <row r="3653" spans="3:10" x14ac:dyDescent="0.25">
      <c r="C3653" s="76"/>
      <c r="J3653" s="53"/>
    </row>
    <row r="3654" spans="3:10" x14ac:dyDescent="0.25">
      <c r="C3654" s="76"/>
      <c r="J3654" s="53"/>
    </row>
    <row r="3655" spans="3:10" x14ac:dyDescent="0.25">
      <c r="C3655" s="76"/>
    </row>
    <row r="3656" spans="3:10" x14ac:dyDescent="0.25">
      <c r="C3656" s="76"/>
    </row>
    <row r="3657" spans="3:10" x14ac:dyDescent="0.25">
      <c r="C3657" s="76"/>
    </row>
    <row r="3658" spans="3:10" x14ac:dyDescent="0.25">
      <c r="C3658" s="76"/>
    </row>
    <row r="3659" spans="3:10" x14ac:dyDescent="0.25">
      <c r="C3659" s="76"/>
    </row>
    <row r="3660" spans="3:10" x14ac:dyDescent="0.25">
      <c r="C3660" s="76"/>
    </row>
    <row r="3661" spans="3:10" x14ac:dyDescent="0.25">
      <c r="C3661" s="76"/>
    </row>
    <row r="3662" spans="3:10" x14ac:dyDescent="0.25">
      <c r="C3662" s="76"/>
    </row>
    <row r="3663" spans="3:10" x14ac:dyDescent="0.25">
      <c r="C3663" s="76"/>
    </row>
    <row r="3664" spans="3:10" x14ac:dyDescent="0.25">
      <c r="C3664" s="76"/>
    </row>
    <row r="3665" spans="3:3" x14ac:dyDescent="0.25">
      <c r="C3665" s="76"/>
    </row>
    <row r="3666" spans="3:3" x14ac:dyDescent="0.25">
      <c r="C3666" s="76"/>
    </row>
    <row r="3667" spans="3:3" x14ac:dyDescent="0.25">
      <c r="C3667" s="76"/>
    </row>
    <row r="3668" spans="3:3" x14ac:dyDescent="0.25">
      <c r="C3668" s="76"/>
    </row>
    <row r="3669" spans="3:3" x14ac:dyDescent="0.25">
      <c r="C3669" s="76"/>
    </row>
    <row r="3670" spans="3:3" x14ac:dyDescent="0.25">
      <c r="C3670" s="76"/>
    </row>
    <row r="3671" spans="3:3" x14ac:dyDescent="0.25">
      <c r="C3671" s="76"/>
    </row>
    <row r="3672" spans="3:3" x14ac:dyDescent="0.25">
      <c r="C3672" s="76"/>
    </row>
    <row r="3673" spans="3:3" x14ac:dyDescent="0.25">
      <c r="C3673" s="76"/>
    </row>
    <row r="3674" spans="3:3" x14ac:dyDescent="0.25">
      <c r="C3674" s="76"/>
    </row>
    <row r="3675" spans="3:3" x14ac:dyDescent="0.25">
      <c r="C3675" s="76"/>
    </row>
    <row r="3676" spans="3:3" x14ac:dyDescent="0.25">
      <c r="C3676" s="76"/>
    </row>
    <row r="3677" spans="3:3" x14ac:dyDescent="0.25">
      <c r="C3677" s="76"/>
    </row>
    <row r="3678" spans="3:3" x14ac:dyDescent="0.25">
      <c r="C3678" s="76"/>
    </row>
    <row r="3679" spans="3:3" x14ac:dyDescent="0.25">
      <c r="C3679" s="76"/>
    </row>
    <row r="3680" spans="3:3" x14ac:dyDescent="0.25">
      <c r="C3680" s="76"/>
    </row>
    <row r="3681" spans="3:3" x14ac:dyDescent="0.25">
      <c r="C3681" s="76"/>
    </row>
    <row r="3682" spans="3:3" x14ac:dyDescent="0.25">
      <c r="C3682" s="76"/>
    </row>
    <row r="3683" spans="3:3" x14ac:dyDescent="0.25">
      <c r="C3683" s="76"/>
    </row>
    <row r="3684" spans="3:3" x14ac:dyDescent="0.25">
      <c r="C3684" s="76"/>
    </row>
    <row r="3685" spans="3:3" x14ac:dyDescent="0.25">
      <c r="C3685" s="76"/>
    </row>
    <row r="3686" spans="3:3" x14ac:dyDescent="0.25">
      <c r="C3686" s="76"/>
    </row>
    <row r="3687" spans="3:3" x14ac:dyDescent="0.25">
      <c r="C3687" s="76"/>
    </row>
    <row r="3688" spans="3:3" x14ac:dyDescent="0.25">
      <c r="C3688" s="76"/>
    </row>
    <row r="3689" spans="3:3" x14ac:dyDescent="0.25">
      <c r="C3689" s="76"/>
    </row>
    <row r="3690" spans="3:3" x14ac:dyDescent="0.25">
      <c r="C3690" s="76"/>
    </row>
    <row r="3691" spans="3:3" x14ac:dyDescent="0.25">
      <c r="C3691" s="76"/>
    </row>
    <row r="3692" spans="3:3" x14ac:dyDescent="0.25">
      <c r="C3692" s="76"/>
    </row>
    <row r="3693" spans="3:3" x14ac:dyDescent="0.25">
      <c r="C3693" s="76"/>
    </row>
    <row r="3694" spans="3:3" x14ac:dyDescent="0.25">
      <c r="C3694" s="76"/>
    </row>
    <row r="3695" spans="3:3" x14ac:dyDescent="0.25">
      <c r="C3695" s="76"/>
    </row>
    <row r="3696" spans="3:3" x14ac:dyDescent="0.25">
      <c r="C3696" s="76"/>
    </row>
    <row r="3697" spans="3:3" x14ac:dyDescent="0.25">
      <c r="C3697" s="76"/>
    </row>
    <row r="3698" spans="3:3" x14ac:dyDescent="0.25">
      <c r="C3698" s="76"/>
    </row>
    <row r="3699" spans="3:3" x14ac:dyDescent="0.25">
      <c r="C3699" s="76"/>
    </row>
    <row r="3700" spans="3:3" x14ac:dyDescent="0.25">
      <c r="C3700" s="76"/>
    </row>
    <row r="3701" spans="3:3" x14ac:dyDescent="0.25">
      <c r="C3701" s="76"/>
    </row>
    <row r="3702" spans="3:3" x14ac:dyDescent="0.25">
      <c r="C3702" s="76"/>
    </row>
    <row r="3703" spans="3:3" x14ac:dyDescent="0.25">
      <c r="C3703" s="76"/>
    </row>
    <row r="3704" spans="3:3" x14ac:dyDescent="0.25">
      <c r="C3704" s="76"/>
    </row>
    <row r="3705" spans="3:3" x14ac:dyDescent="0.25">
      <c r="C3705" s="76"/>
    </row>
    <row r="3706" spans="3:3" x14ac:dyDescent="0.25">
      <c r="C3706" s="76"/>
    </row>
    <row r="3707" spans="3:3" x14ac:dyDescent="0.25">
      <c r="C3707" s="76"/>
    </row>
    <row r="3708" spans="3:3" x14ac:dyDescent="0.25">
      <c r="C3708" s="76"/>
    </row>
    <row r="3709" spans="3:3" x14ac:dyDescent="0.25">
      <c r="C3709" s="76"/>
    </row>
    <row r="3710" spans="3:3" x14ac:dyDescent="0.25">
      <c r="C3710" s="76"/>
    </row>
    <row r="3711" spans="3:3" x14ac:dyDescent="0.25">
      <c r="C3711" s="76"/>
    </row>
    <row r="3712" spans="3:3" x14ac:dyDescent="0.25">
      <c r="C3712" s="76"/>
    </row>
    <row r="3713" spans="3:3" x14ac:dyDescent="0.25">
      <c r="C3713" s="76"/>
    </row>
    <row r="3714" spans="3:3" x14ac:dyDescent="0.25">
      <c r="C3714" s="76"/>
    </row>
    <row r="3715" spans="3:3" x14ac:dyDescent="0.25">
      <c r="C3715" s="76"/>
    </row>
    <row r="3716" spans="3:3" x14ac:dyDescent="0.25">
      <c r="C3716" s="76"/>
    </row>
    <row r="3717" spans="3:3" x14ac:dyDescent="0.25">
      <c r="C3717" s="76"/>
    </row>
    <row r="3718" spans="3:3" x14ac:dyDescent="0.25">
      <c r="C3718" s="76"/>
    </row>
    <row r="3719" spans="3:3" x14ac:dyDescent="0.25">
      <c r="C3719" s="76"/>
    </row>
    <row r="3720" spans="3:3" x14ac:dyDescent="0.25">
      <c r="C3720" s="76"/>
    </row>
    <row r="3721" spans="3:3" x14ac:dyDescent="0.25">
      <c r="C3721" s="76"/>
    </row>
    <row r="3722" spans="3:3" x14ac:dyDescent="0.25">
      <c r="C3722" s="76"/>
    </row>
    <row r="3723" spans="3:3" x14ac:dyDescent="0.25">
      <c r="C3723" s="76"/>
    </row>
    <row r="3724" spans="3:3" x14ac:dyDescent="0.25">
      <c r="C3724" s="76"/>
    </row>
    <row r="3725" spans="3:3" x14ac:dyDescent="0.25">
      <c r="C3725" s="76"/>
    </row>
    <row r="3726" spans="3:3" x14ac:dyDescent="0.25">
      <c r="C3726" s="76"/>
    </row>
    <row r="3727" spans="3:3" x14ac:dyDescent="0.25">
      <c r="C3727" s="76"/>
    </row>
    <row r="3728" spans="3:3" x14ac:dyDescent="0.25">
      <c r="C3728" s="76"/>
    </row>
    <row r="3729" spans="3:3" x14ac:dyDescent="0.25">
      <c r="C3729" s="76"/>
    </row>
    <row r="3730" spans="3:3" x14ac:dyDescent="0.25">
      <c r="C3730" s="76"/>
    </row>
    <row r="3731" spans="3:3" x14ac:dyDescent="0.25">
      <c r="C3731" s="76"/>
    </row>
    <row r="3732" spans="3:3" x14ac:dyDescent="0.25">
      <c r="C3732" s="76"/>
    </row>
    <row r="3733" spans="3:3" x14ac:dyDescent="0.25">
      <c r="C3733" s="76"/>
    </row>
    <row r="3734" spans="3:3" x14ac:dyDescent="0.25">
      <c r="C3734" s="76"/>
    </row>
    <row r="3735" spans="3:3" x14ac:dyDescent="0.25">
      <c r="C3735" s="76"/>
    </row>
    <row r="3736" spans="3:3" x14ac:dyDescent="0.25">
      <c r="C3736" s="76"/>
    </row>
    <row r="3737" spans="3:3" x14ac:dyDescent="0.25">
      <c r="C3737" s="76"/>
    </row>
    <row r="3738" spans="3:3" x14ac:dyDescent="0.25">
      <c r="C3738" s="76"/>
    </row>
    <row r="3739" spans="3:3" x14ac:dyDescent="0.25">
      <c r="C3739" s="76"/>
    </row>
    <row r="3740" spans="3:3" x14ac:dyDescent="0.25">
      <c r="C3740" s="76"/>
    </row>
    <row r="3741" spans="3:3" x14ac:dyDescent="0.25">
      <c r="C3741" s="76"/>
    </row>
    <row r="3742" spans="3:3" x14ac:dyDescent="0.25">
      <c r="C3742" s="76"/>
    </row>
    <row r="3743" spans="3:3" x14ac:dyDescent="0.25">
      <c r="C3743" s="76"/>
    </row>
    <row r="3744" spans="3:3" x14ac:dyDescent="0.25">
      <c r="C3744" s="76"/>
    </row>
    <row r="3745" spans="3:3" x14ac:dyDescent="0.25">
      <c r="C3745" s="76"/>
    </row>
    <row r="3746" spans="3:3" x14ac:dyDescent="0.25">
      <c r="C3746" s="76"/>
    </row>
    <row r="3747" spans="3:3" x14ac:dyDescent="0.25">
      <c r="C3747" s="76"/>
    </row>
    <row r="3748" spans="3:3" x14ac:dyDescent="0.25">
      <c r="C3748" s="76"/>
    </row>
    <row r="3749" spans="3:3" x14ac:dyDescent="0.25">
      <c r="C3749" s="76"/>
    </row>
    <row r="3750" spans="3:3" x14ac:dyDescent="0.25">
      <c r="C3750" s="76"/>
    </row>
    <row r="3751" spans="3:3" x14ac:dyDescent="0.25">
      <c r="C3751" s="76"/>
    </row>
    <row r="3752" spans="3:3" x14ac:dyDescent="0.25">
      <c r="C3752" s="76"/>
    </row>
    <row r="3753" spans="3:3" x14ac:dyDescent="0.25">
      <c r="C3753" s="76"/>
    </row>
    <row r="3754" spans="3:3" x14ac:dyDescent="0.25">
      <c r="C3754" s="76"/>
    </row>
    <row r="3755" spans="3:3" x14ac:dyDescent="0.25">
      <c r="C3755" s="76"/>
    </row>
    <row r="3756" spans="3:3" x14ac:dyDescent="0.25">
      <c r="C3756" s="76"/>
    </row>
    <row r="3757" spans="3:3" x14ac:dyDescent="0.25">
      <c r="C3757" s="76"/>
    </row>
    <row r="3758" spans="3:3" x14ac:dyDescent="0.25">
      <c r="C3758" s="76"/>
    </row>
    <row r="3759" spans="3:3" x14ac:dyDescent="0.25">
      <c r="C3759" s="76"/>
    </row>
    <row r="3760" spans="3:3" x14ac:dyDescent="0.25">
      <c r="C3760" s="76"/>
    </row>
    <row r="3761" spans="3:3" x14ac:dyDescent="0.25">
      <c r="C3761" s="76"/>
    </row>
    <row r="3762" spans="3:3" x14ac:dyDescent="0.25">
      <c r="C3762" s="76"/>
    </row>
    <row r="3763" spans="3:3" x14ac:dyDescent="0.25">
      <c r="C3763" s="76"/>
    </row>
    <row r="3764" spans="3:3" x14ac:dyDescent="0.25">
      <c r="C3764" s="76"/>
    </row>
    <row r="3765" spans="3:3" x14ac:dyDescent="0.25">
      <c r="C3765" s="76"/>
    </row>
    <row r="3766" spans="3:3" x14ac:dyDescent="0.25">
      <c r="C3766" s="76"/>
    </row>
    <row r="3767" spans="3:3" x14ac:dyDescent="0.25">
      <c r="C3767" s="76"/>
    </row>
    <row r="3768" spans="3:3" x14ac:dyDescent="0.25">
      <c r="C3768" s="76"/>
    </row>
    <row r="3769" spans="3:3" x14ac:dyDescent="0.25">
      <c r="C3769" s="76"/>
    </row>
    <row r="3770" spans="3:3" x14ac:dyDescent="0.25">
      <c r="C3770" s="76"/>
    </row>
    <row r="3771" spans="3:3" x14ac:dyDescent="0.25">
      <c r="C3771" s="76"/>
    </row>
    <row r="3772" spans="3:3" x14ac:dyDescent="0.25">
      <c r="C3772" s="76"/>
    </row>
    <row r="3773" spans="3:3" x14ac:dyDescent="0.25">
      <c r="C3773" s="76"/>
    </row>
    <row r="3774" spans="3:3" x14ac:dyDescent="0.25">
      <c r="C3774" s="76"/>
    </row>
    <row r="3775" spans="3:3" x14ac:dyDescent="0.25">
      <c r="C3775" s="76"/>
    </row>
    <row r="3776" spans="3:3" x14ac:dyDescent="0.25">
      <c r="C3776" s="76"/>
    </row>
    <row r="3777" spans="3:3" x14ac:dyDescent="0.25">
      <c r="C3777" s="76"/>
    </row>
    <row r="3778" spans="3:3" x14ac:dyDescent="0.25">
      <c r="C3778" s="76"/>
    </row>
    <row r="3779" spans="3:3" x14ac:dyDescent="0.25">
      <c r="C3779" s="76"/>
    </row>
    <row r="3780" spans="3:3" x14ac:dyDescent="0.25">
      <c r="C3780" s="76"/>
    </row>
    <row r="3781" spans="3:3" x14ac:dyDescent="0.25">
      <c r="C3781" s="76"/>
    </row>
    <row r="3782" spans="3:3" x14ac:dyDescent="0.25">
      <c r="C3782" s="76"/>
    </row>
    <row r="3783" spans="3:3" x14ac:dyDescent="0.25">
      <c r="C3783" s="76"/>
    </row>
    <row r="3784" spans="3:3" x14ac:dyDescent="0.25">
      <c r="C3784" s="76"/>
    </row>
    <row r="3785" spans="3:3" x14ac:dyDescent="0.25">
      <c r="C3785" s="76"/>
    </row>
    <row r="3786" spans="3:3" x14ac:dyDescent="0.25">
      <c r="C3786" s="76"/>
    </row>
    <row r="3787" spans="3:3" x14ac:dyDescent="0.25">
      <c r="C3787" s="76"/>
    </row>
    <row r="3788" spans="3:3" x14ac:dyDescent="0.25">
      <c r="C3788" s="76"/>
    </row>
    <row r="3789" spans="3:3" x14ac:dyDescent="0.25">
      <c r="C3789" s="76"/>
    </row>
    <row r="3790" spans="3:3" x14ac:dyDescent="0.25">
      <c r="C3790" s="76"/>
    </row>
    <row r="3791" spans="3:3" x14ac:dyDescent="0.25">
      <c r="C3791" s="76"/>
    </row>
    <row r="3792" spans="3:3" x14ac:dyDescent="0.25">
      <c r="C3792" s="76"/>
    </row>
    <row r="3793" spans="3:3" x14ac:dyDescent="0.25">
      <c r="C3793" s="76"/>
    </row>
    <row r="3794" spans="3:3" x14ac:dyDescent="0.25">
      <c r="C3794" s="76"/>
    </row>
    <row r="3795" spans="3:3" x14ac:dyDescent="0.25">
      <c r="C3795" s="76"/>
    </row>
    <row r="3796" spans="3:3" x14ac:dyDescent="0.25">
      <c r="C3796" s="76"/>
    </row>
    <row r="3797" spans="3:3" x14ac:dyDescent="0.25">
      <c r="C3797" s="76"/>
    </row>
    <row r="3798" spans="3:3" x14ac:dyDescent="0.25">
      <c r="C3798" s="76"/>
    </row>
    <row r="3799" spans="3:3" x14ac:dyDescent="0.25">
      <c r="C3799" s="76"/>
    </row>
    <row r="3800" spans="3:3" x14ac:dyDescent="0.25">
      <c r="C3800" s="76"/>
    </row>
    <row r="3801" spans="3:3" x14ac:dyDescent="0.25">
      <c r="C3801" s="76"/>
    </row>
    <row r="3802" spans="3:3" x14ac:dyDescent="0.25">
      <c r="C3802" s="76"/>
    </row>
    <row r="3803" spans="3:3" x14ac:dyDescent="0.25">
      <c r="C3803" s="76"/>
    </row>
    <row r="3804" spans="3:3" x14ac:dyDescent="0.25">
      <c r="C3804" s="76"/>
    </row>
    <row r="3805" spans="3:3" x14ac:dyDescent="0.25">
      <c r="C3805" s="76"/>
    </row>
    <row r="3806" spans="3:3" x14ac:dyDescent="0.25">
      <c r="C3806" s="76"/>
    </row>
    <row r="3807" spans="3:3" x14ac:dyDescent="0.25">
      <c r="C3807" s="76"/>
    </row>
    <row r="3808" spans="3:3" x14ac:dyDescent="0.25">
      <c r="C3808" s="76"/>
    </row>
    <row r="3809" spans="3:3" x14ac:dyDescent="0.25">
      <c r="C3809" s="76"/>
    </row>
    <row r="3810" spans="3:3" x14ac:dyDescent="0.25">
      <c r="C3810" s="76"/>
    </row>
    <row r="3811" spans="3:3" x14ac:dyDescent="0.25">
      <c r="C3811" s="76"/>
    </row>
    <row r="3812" spans="3:3" x14ac:dyDescent="0.25">
      <c r="C3812" s="76"/>
    </row>
    <row r="3813" spans="3:3" x14ac:dyDescent="0.25">
      <c r="C3813" s="76"/>
    </row>
    <row r="3814" spans="3:3" x14ac:dyDescent="0.25">
      <c r="C3814" s="76"/>
    </row>
    <row r="3815" spans="3:3" x14ac:dyDescent="0.25">
      <c r="C3815" s="76"/>
    </row>
    <row r="3816" spans="3:3" x14ac:dyDescent="0.25">
      <c r="C3816" s="76"/>
    </row>
    <row r="3817" spans="3:3" x14ac:dyDescent="0.25">
      <c r="C3817" s="76"/>
    </row>
    <row r="3818" spans="3:3" x14ac:dyDescent="0.25">
      <c r="C3818" s="76"/>
    </row>
    <row r="3819" spans="3:3" x14ac:dyDescent="0.25">
      <c r="C3819" s="76"/>
    </row>
    <row r="3820" spans="3:3" x14ac:dyDescent="0.25">
      <c r="C3820" s="76"/>
    </row>
    <row r="3821" spans="3:3" x14ac:dyDescent="0.25">
      <c r="C3821" s="76"/>
    </row>
    <row r="3822" spans="3:3" x14ac:dyDescent="0.25">
      <c r="C3822" s="76"/>
    </row>
    <row r="3823" spans="3:3" x14ac:dyDescent="0.25">
      <c r="C3823" s="76"/>
    </row>
    <row r="3824" spans="3:3" x14ac:dyDescent="0.25">
      <c r="C3824" s="76"/>
    </row>
    <row r="3825" spans="3:3" x14ac:dyDescent="0.25">
      <c r="C3825" s="76"/>
    </row>
    <row r="3826" spans="3:3" x14ac:dyDescent="0.25">
      <c r="C3826" s="76"/>
    </row>
    <row r="3827" spans="3:3" x14ac:dyDescent="0.25">
      <c r="C3827" s="76"/>
    </row>
    <row r="3828" spans="3:3" x14ac:dyDescent="0.25">
      <c r="C3828" s="76"/>
    </row>
    <row r="3829" spans="3:3" x14ac:dyDescent="0.25">
      <c r="C3829" s="76"/>
    </row>
    <row r="3830" spans="3:3" x14ac:dyDescent="0.25">
      <c r="C3830" s="76"/>
    </row>
    <row r="3831" spans="3:3" x14ac:dyDescent="0.25">
      <c r="C3831" s="76"/>
    </row>
    <row r="3832" spans="3:3" x14ac:dyDescent="0.25">
      <c r="C3832" s="76"/>
    </row>
    <row r="3833" spans="3:3" x14ac:dyDescent="0.25">
      <c r="C3833" s="76"/>
    </row>
    <row r="3834" spans="3:3" x14ac:dyDescent="0.25">
      <c r="C3834" s="76"/>
    </row>
    <row r="3835" spans="3:3" x14ac:dyDescent="0.25">
      <c r="C3835" s="76"/>
    </row>
    <row r="3836" spans="3:3" x14ac:dyDescent="0.25">
      <c r="C3836" s="76"/>
    </row>
    <row r="3837" spans="3:3" x14ac:dyDescent="0.25">
      <c r="C3837" s="76"/>
    </row>
    <row r="3838" spans="3:3" x14ac:dyDescent="0.25">
      <c r="C3838" s="76"/>
    </row>
    <row r="3839" spans="3:3" x14ac:dyDescent="0.25">
      <c r="C3839" s="76"/>
    </row>
    <row r="3840" spans="3:3" x14ac:dyDescent="0.25">
      <c r="C3840" s="76"/>
    </row>
    <row r="3841" spans="3:3" x14ac:dyDescent="0.25">
      <c r="C3841" s="76"/>
    </row>
    <row r="3842" spans="3:3" x14ac:dyDescent="0.25">
      <c r="C3842" s="76"/>
    </row>
    <row r="3843" spans="3:3" x14ac:dyDescent="0.25">
      <c r="C3843" s="76"/>
    </row>
    <row r="3844" spans="3:3" x14ac:dyDescent="0.25">
      <c r="C3844" s="76"/>
    </row>
    <row r="3845" spans="3:3" x14ac:dyDescent="0.25">
      <c r="C3845" s="76"/>
    </row>
    <row r="3846" spans="3:3" x14ac:dyDescent="0.25">
      <c r="C3846" s="76"/>
    </row>
    <row r="3847" spans="3:3" x14ac:dyDescent="0.25">
      <c r="C3847" s="76"/>
    </row>
    <row r="3848" spans="3:3" x14ac:dyDescent="0.25">
      <c r="C3848" s="76"/>
    </row>
    <row r="3849" spans="3:3" x14ac:dyDescent="0.25">
      <c r="C3849" s="76"/>
    </row>
    <row r="3850" spans="3:3" x14ac:dyDescent="0.25">
      <c r="C3850" s="76"/>
    </row>
    <row r="3851" spans="3:3" x14ac:dyDescent="0.25">
      <c r="C3851" s="76"/>
    </row>
    <row r="3852" spans="3:3" x14ac:dyDescent="0.25">
      <c r="C3852" s="76"/>
    </row>
    <row r="3853" spans="3:3" x14ac:dyDescent="0.25">
      <c r="C3853" s="76"/>
    </row>
    <row r="3854" spans="3:3" x14ac:dyDescent="0.25">
      <c r="C3854" s="76"/>
    </row>
    <row r="3855" spans="3:3" x14ac:dyDescent="0.25">
      <c r="C3855" s="76"/>
    </row>
    <row r="3856" spans="3:3" x14ac:dyDescent="0.25">
      <c r="C3856" s="76"/>
    </row>
    <row r="3857" spans="3:3" x14ac:dyDescent="0.25">
      <c r="C3857" s="76"/>
    </row>
    <row r="3858" spans="3:3" x14ac:dyDescent="0.25">
      <c r="C3858" s="76"/>
    </row>
    <row r="3859" spans="3:3" x14ac:dyDescent="0.25">
      <c r="C3859" s="76"/>
    </row>
    <row r="3860" spans="3:3" x14ac:dyDescent="0.25">
      <c r="C3860" s="76"/>
    </row>
    <row r="3861" spans="3:3" x14ac:dyDescent="0.25">
      <c r="C3861" s="76"/>
    </row>
    <row r="3862" spans="3:3" x14ac:dyDescent="0.25">
      <c r="C3862" s="76"/>
    </row>
    <row r="3863" spans="3:3" x14ac:dyDescent="0.25">
      <c r="C3863" s="76"/>
    </row>
    <row r="3864" spans="3:3" x14ac:dyDescent="0.25">
      <c r="C3864" s="76"/>
    </row>
    <row r="3865" spans="3:3" x14ac:dyDescent="0.25">
      <c r="C3865" s="76"/>
    </row>
    <row r="3866" spans="3:3" x14ac:dyDescent="0.25">
      <c r="C3866" s="76"/>
    </row>
    <row r="3867" spans="3:3" x14ac:dyDescent="0.25">
      <c r="C3867" s="76"/>
    </row>
    <row r="3868" spans="3:3" x14ac:dyDescent="0.25">
      <c r="C3868" s="76"/>
    </row>
    <row r="3869" spans="3:3" x14ac:dyDescent="0.25">
      <c r="C3869" s="76"/>
    </row>
    <row r="3870" spans="3:3" x14ac:dyDescent="0.25">
      <c r="C3870" s="76"/>
    </row>
    <row r="3871" spans="3:3" x14ac:dyDescent="0.25">
      <c r="C3871" s="76"/>
    </row>
    <row r="3872" spans="3:3" x14ac:dyDescent="0.25">
      <c r="C3872" s="76"/>
    </row>
    <row r="3873" spans="3:3" x14ac:dyDescent="0.25">
      <c r="C3873" s="76"/>
    </row>
    <row r="3874" spans="3:3" x14ac:dyDescent="0.25">
      <c r="C3874" s="76"/>
    </row>
    <row r="3875" spans="3:3" x14ac:dyDescent="0.25">
      <c r="C3875" s="76"/>
    </row>
    <row r="3876" spans="3:3" x14ac:dyDescent="0.25">
      <c r="C3876" s="76"/>
    </row>
    <row r="3877" spans="3:3" x14ac:dyDescent="0.25">
      <c r="C3877" s="76"/>
    </row>
    <row r="3878" spans="3:3" x14ac:dyDescent="0.25">
      <c r="C3878" s="76"/>
    </row>
    <row r="3879" spans="3:3" x14ac:dyDescent="0.25">
      <c r="C3879" s="76"/>
    </row>
    <row r="3880" spans="3:3" x14ac:dyDescent="0.25">
      <c r="C3880" s="76"/>
    </row>
    <row r="3881" spans="3:3" x14ac:dyDescent="0.25">
      <c r="C3881" s="76"/>
    </row>
    <row r="3882" spans="3:3" x14ac:dyDescent="0.25">
      <c r="C3882" s="76"/>
    </row>
    <row r="3883" spans="3:3" x14ac:dyDescent="0.25">
      <c r="C3883" s="76"/>
    </row>
    <row r="3884" spans="3:3" x14ac:dyDescent="0.25">
      <c r="C3884" s="76"/>
    </row>
    <row r="3885" spans="3:3" x14ac:dyDescent="0.25">
      <c r="C3885" s="76"/>
    </row>
    <row r="3886" spans="3:3" x14ac:dyDescent="0.25">
      <c r="C3886" s="76"/>
    </row>
    <row r="3887" spans="3:3" x14ac:dyDescent="0.25">
      <c r="C3887" s="76"/>
    </row>
    <row r="3888" spans="3:3" x14ac:dyDescent="0.25">
      <c r="C3888" s="76"/>
    </row>
    <row r="3889" spans="3:3" x14ac:dyDescent="0.25">
      <c r="C3889" s="76"/>
    </row>
    <row r="3890" spans="3:3" x14ac:dyDescent="0.25">
      <c r="C3890" s="76"/>
    </row>
    <row r="3891" spans="3:3" x14ac:dyDescent="0.25">
      <c r="C3891" s="76"/>
    </row>
    <row r="3892" spans="3:3" x14ac:dyDescent="0.25">
      <c r="C3892" s="76"/>
    </row>
    <row r="3893" spans="3:3" x14ac:dyDescent="0.25">
      <c r="C3893" s="76"/>
    </row>
    <row r="3894" spans="3:3" x14ac:dyDescent="0.25">
      <c r="C3894" s="76"/>
    </row>
    <row r="3895" spans="3:3" x14ac:dyDescent="0.25">
      <c r="C3895" s="76"/>
    </row>
  </sheetData>
  <sortState xmlns:xlrd2="http://schemas.microsoft.com/office/spreadsheetml/2017/richdata2" ref="A2:I3895">
    <sortCondition descending="1" ref="C2:C3895"/>
  </sortState>
  <conditionalFormatting sqref="C2:C3895">
    <cfRule type="cellIs" dxfId="0" priority="1" operator="between">
      <formula>2</formula>
      <formula>5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19"/>
  <sheetViews>
    <sheetView workbookViewId="0">
      <selection activeCell="F21" sqref="F21"/>
    </sheetView>
  </sheetViews>
  <sheetFormatPr defaultRowHeight="15" x14ac:dyDescent="0.25"/>
  <sheetData>
    <row r="2" spans="1:7" x14ac:dyDescent="0.25">
      <c r="A2" s="39" t="s">
        <v>129</v>
      </c>
    </row>
    <row r="4" spans="1:7" x14ac:dyDescent="0.25">
      <c r="A4" t="s">
        <v>130</v>
      </c>
    </row>
    <row r="5" spans="1:7" x14ac:dyDescent="0.25">
      <c r="A5" s="19" t="s">
        <v>50</v>
      </c>
      <c r="B5" s="19" t="s">
        <v>51</v>
      </c>
    </row>
    <row r="6" spans="1:7" x14ac:dyDescent="0.25">
      <c r="A6" s="19" t="s">
        <v>55</v>
      </c>
      <c r="B6" s="19" t="s">
        <v>56</v>
      </c>
      <c r="D6" t="s">
        <v>131</v>
      </c>
    </row>
    <row r="7" spans="1:7" x14ac:dyDescent="0.25">
      <c r="A7" s="19"/>
      <c r="B7" s="19"/>
    </row>
    <row r="8" spans="1:7" x14ac:dyDescent="0.25">
      <c r="A8" s="36">
        <v>0.72</v>
      </c>
      <c r="B8" s="32">
        <f>1-pww</f>
        <v>0.25</v>
      </c>
    </row>
    <row r="9" spans="1:7" x14ac:dyDescent="0.25">
      <c r="A9" s="32">
        <f>1-pdd</f>
        <v>0.39</v>
      </c>
      <c r="B9" s="36">
        <v>0.62</v>
      </c>
    </row>
    <row r="11" spans="1:7" x14ac:dyDescent="0.25">
      <c r="A11" t="s">
        <v>132</v>
      </c>
    </row>
    <row r="13" spans="1:7" x14ac:dyDescent="0.25">
      <c r="A13" t="s">
        <v>133</v>
      </c>
    </row>
    <row r="14" spans="1:7" x14ac:dyDescent="0.25">
      <c r="A14" t="s">
        <v>134</v>
      </c>
    </row>
    <row r="15" spans="1:7" x14ac:dyDescent="0.25">
      <c r="A15" t="s">
        <v>135</v>
      </c>
      <c r="F15">
        <f>(1-0.43)*365</f>
        <v>208.05</v>
      </c>
      <c r="G15" t="s">
        <v>136</v>
      </c>
    </row>
    <row r="16" spans="1:7" x14ac:dyDescent="0.25">
      <c r="A16" t="s">
        <v>137</v>
      </c>
      <c r="D16" t="s">
        <v>138</v>
      </c>
      <c r="E16" s="52">
        <f>817/F15</f>
        <v>3.9269406392694064</v>
      </c>
      <c r="F16" t="s">
        <v>61</v>
      </c>
    </row>
    <row r="17" spans="1:3" x14ac:dyDescent="0.25">
      <c r="A17" t="s">
        <v>139</v>
      </c>
      <c r="C17" s="4">
        <f>1/E16</f>
        <v>0.25465116279069766</v>
      </c>
    </row>
    <row r="19" spans="1:3" x14ac:dyDescent="0.25">
      <c r="A19" t="s">
        <v>140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6b47fd-91c6-4a84-b96c-c1223b077cf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918CD54BD0E1419FDAB876726D3D9D" ma:contentTypeVersion="10" ma:contentTypeDescription="Create a new document." ma:contentTypeScope="" ma:versionID="34a6fe54f927a91d5902a2c4ee519cd8">
  <xsd:schema xmlns:xsd="http://www.w3.org/2001/XMLSchema" xmlns:xs="http://www.w3.org/2001/XMLSchema" xmlns:p="http://schemas.microsoft.com/office/2006/metadata/properties" xmlns:ns3="726b47fd-91c6-4a84-b96c-c1223b077cf6" targetNamespace="http://schemas.microsoft.com/office/2006/metadata/properties" ma:root="true" ma:fieldsID="c0c8eb3905e9ac0f2aadf46008f37180" ns3:_="">
    <xsd:import namespace="726b47fd-91c6-4a84-b96c-c1223b077cf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b47fd-91c6-4a84-b96c-c1223b07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BB5F2-4516-4779-BF5D-2DAE4C3AC3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273BE0-EC22-451C-8D56-DFBF61DC192C}">
  <ds:schemaRefs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726b47fd-91c6-4a84-b96c-c1223b077cf6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4316A59-21DA-4CFE-A042-626E0AD5C7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6b47fd-91c6-4a84-b96c-c1223b077c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READ ME</vt:lpstr>
      <vt:lpstr>markov model</vt:lpstr>
      <vt:lpstr>Output analysis</vt:lpstr>
      <vt:lpstr>Calc transition matrix</vt:lpstr>
      <vt:lpstr>Solutions</vt:lpstr>
      <vt:lpstr>codes</vt:lpstr>
      <vt:lpstr>lambda</vt:lpstr>
      <vt:lpstr>moddata</vt:lpstr>
      <vt:lpstr>obsdata</vt:lpstr>
      <vt:lpstr>pdd</vt:lpstr>
      <vt:lpstr>pdw</vt:lpstr>
      <vt:lpstr>pwd</vt:lpstr>
      <vt:lpstr>pww</vt:lpstr>
      <vt:lpstr>rainout</vt:lpstr>
    </vt:vector>
  </TitlesOfParts>
  <Manager/>
  <Company>Newcastle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Kilsby</dc:creator>
  <cp:keywords/>
  <dc:description/>
  <cp:lastModifiedBy>Angus Robinson (UG)</cp:lastModifiedBy>
  <cp:revision/>
  <dcterms:created xsi:type="dcterms:W3CDTF">2009-11-25T17:01:27Z</dcterms:created>
  <dcterms:modified xsi:type="dcterms:W3CDTF">2026-04-21T14:49:16Z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0x0101003E918CD54BD0E1419FDAB876726D3D9D</vt:lpwstr>
  </property>
</Properties>
</file>
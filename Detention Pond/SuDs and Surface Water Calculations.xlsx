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16638_newcastle_ac_uk/Documents/"/>
    </mc:Choice>
  </mc:AlternateContent>
  <xr:revisionPtr revIDLastSave="0" documentId="8_{0654FF3E-2BF2-4390-80CF-B8AC3DB1B8D3}" xr6:coauthVersionLast="47" xr6:coauthVersionMax="47" xr10:uidLastSave="{00000000-0000-0000-0000-000000000000}"/>
  <bookViews>
    <workbookView xWindow="19200" yWindow="0" windowWidth="19200" windowHeight="21000" xr2:uid="{036AA00D-3956-4502-962B-862413792F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" l="1"/>
  <c r="G70" i="1"/>
  <c r="G71" i="1" s="1"/>
  <c r="G69" i="1"/>
  <c r="G68" i="1"/>
  <c r="C87" i="1"/>
  <c r="C88" i="1" s="1"/>
  <c r="C61" i="1"/>
  <c r="C62" i="1" s="1"/>
  <c r="K34" i="1"/>
  <c r="K26" i="1"/>
  <c r="E43" i="1"/>
  <c r="E34" i="1"/>
  <c r="E26" i="1"/>
</calcChain>
</file>

<file path=xl/sharedStrings.xml><?xml version="1.0" encoding="utf-8"?>
<sst xmlns="http://schemas.openxmlformats.org/spreadsheetml/2006/main" count="232" uniqueCount="57">
  <si>
    <t>Retention Pond in front of building</t>
  </si>
  <si>
    <r>
      <t>V = (h/3) × (A₁ + A₂ + √(A₁ × A₂))</t>
    </r>
    <r>
      <rPr>
        <sz val="14"/>
        <color theme="1"/>
        <rFont val="Arial"/>
        <family val="2"/>
      </rPr>
      <t>,</t>
    </r>
  </si>
  <si>
    <t xml:space="preserve">Slopes </t>
  </si>
  <si>
    <t>Maximum Depth</t>
  </si>
  <si>
    <t>m</t>
  </si>
  <si>
    <t>Maximum Standing Depth</t>
  </si>
  <si>
    <t xml:space="preserve">Overall volume of pond </t>
  </si>
  <si>
    <t>Top of pond</t>
  </si>
  <si>
    <t>Length</t>
  </si>
  <si>
    <t>Width</t>
  </si>
  <si>
    <t>Top of water at standing depth</t>
  </si>
  <si>
    <t>Bottom of pond</t>
  </si>
  <si>
    <t>Area of top of pond</t>
  </si>
  <si>
    <t>m^2</t>
  </si>
  <si>
    <t>Area of top of standing water</t>
  </si>
  <si>
    <t>Area of bottom of pond</t>
  </si>
  <si>
    <t>Volume of excess water storage</t>
  </si>
  <si>
    <t>m^3</t>
  </si>
  <si>
    <t>Volume of pond</t>
  </si>
  <si>
    <t>Vollume of standing water</t>
  </si>
  <si>
    <t>Catchment Areas</t>
  </si>
  <si>
    <t>Catchment 1</t>
  </si>
  <si>
    <t>Catchment 4</t>
  </si>
  <si>
    <t>Catchment Area</t>
  </si>
  <si>
    <t>Rainfall Intensity</t>
  </si>
  <si>
    <t>mm/hr</t>
  </si>
  <si>
    <t>m/hr</t>
  </si>
  <si>
    <t>Runoff Coefficient</t>
  </si>
  <si>
    <t xml:space="preserve">Surface Runoff </t>
  </si>
  <si>
    <t>m^3/hr</t>
  </si>
  <si>
    <t>m^3/s</t>
  </si>
  <si>
    <t>Catchment 2</t>
  </si>
  <si>
    <t>Catchment 5</t>
  </si>
  <si>
    <t>Catchment 3</t>
  </si>
  <si>
    <t>Swale Calculations</t>
  </si>
  <si>
    <t>Swale 1</t>
  </si>
  <si>
    <t>Swale 4</t>
  </si>
  <si>
    <t>Dimensions</t>
  </si>
  <si>
    <t>Depth</t>
  </si>
  <si>
    <t>Bottom Length</t>
  </si>
  <si>
    <t>Top Length</t>
  </si>
  <si>
    <t xml:space="preserve">Wetted Perimeter </t>
  </si>
  <si>
    <t>Cross-sectional Area</t>
  </si>
  <si>
    <t>Hydraulic Radius</t>
  </si>
  <si>
    <t>Slope</t>
  </si>
  <si>
    <t>Mannings Coefficient</t>
  </si>
  <si>
    <t xml:space="preserve">Flow </t>
  </si>
  <si>
    <t>Swale 2</t>
  </si>
  <si>
    <t>Swale 5</t>
  </si>
  <si>
    <t>Swale 3</t>
  </si>
  <si>
    <t>Wetted Perimeter=</t>
  </si>
  <si>
    <t>Velocity Checks</t>
  </si>
  <si>
    <t>Q</t>
  </si>
  <si>
    <t>A</t>
  </si>
  <si>
    <t>V</t>
  </si>
  <si>
    <t>m/s</t>
  </si>
  <si>
    <t>V = Q /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</si>
</sst>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38</xdr:row>
      <xdr:rowOff>104776</xdr:rowOff>
    </xdr:from>
    <xdr:to>
      <xdr:col>11</xdr:col>
      <xdr:colOff>28575</xdr:colOff>
      <xdr:row>46</xdr:row>
      <xdr:rowOff>118380</xdr:rowOff>
    </xdr:to>
    <xdr:pic>
      <xdr:nvPicPr>
        <xdr:cNvPr id="2" name="Picture 1" descr="Rational Equation Calculation Q Cia - Tessshebaylo">
          <a:extLst>
            <a:ext uri="{FF2B5EF4-FFF2-40B4-BE49-F238E27FC236}">
              <a16:creationId xmlns:a16="http://schemas.microsoft.com/office/drawing/2014/main" id="{994F2A5D-C09A-12E2-9AF2-6EF9C156E4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215"/>
        <a:stretch>
          <a:fillRect/>
        </a:stretch>
      </xdr:blipFill>
      <xdr:spPr bwMode="auto">
        <a:xfrm>
          <a:off x="6657975" y="7343776"/>
          <a:ext cx="3019425" cy="1537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77</xdr:row>
      <xdr:rowOff>161925</xdr:rowOff>
    </xdr:from>
    <xdr:to>
      <xdr:col>7</xdr:col>
      <xdr:colOff>1123950</xdr:colOff>
      <xdr:row>82</xdr:row>
      <xdr:rowOff>162816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DB01F7-74F7-B178-217A-CF5812955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0" y="14830425"/>
          <a:ext cx="4524375" cy="95339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83</xdr:row>
      <xdr:rowOff>76200</xdr:rowOff>
    </xdr:from>
    <xdr:to>
      <xdr:col>6</xdr:col>
      <xdr:colOff>0</xdr:colOff>
      <xdr:row>85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A22628-A6BF-1A4B-75D7-640208D5B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3022" b="24368"/>
        <a:stretch>
          <a:fillRect/>
        </a:stretch>
      </xdr:blipFill>
      <xdr:spPr>
        <a:xfrm>
          <a:off x="5438775" y="15887700"/>
          <a:ext cx="1295400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90</xdr:row>
      <xdr:rowOff>161925</xdr:rowOff>
    </xdr:from>
    <xdr:to>
      <xdr:col>7</xdr:col>
      <xdr:colOff>351938</xdr:colOff>
      <xdr:row>92</xdr:row>
      <xdr:rowOff>171401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AEA008-92BD-F22E-F1C0-7EDDAF11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9075" y="17306925"/>
          <a:ext cx="3895238" cy="3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86</xdr:row>
      <xdr:rowOff>9525</xdr:rowOff>
    </xdr:from>
    <xdr:to>
      <xdr:col>5</xdr:col>
      <xdr:colOff>1104590</xdr:colOff>
      <xdr:row>89</xdr:row>
      <xdr:rowOff>114215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CEF934-0485-D157-4250-FB8FA4A9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7650" y="16392525"/>
          <a:ext cx="2476190" cy="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4D73-03DA-4D03-AC04-E87B57DB335B}">
  <dimension ref="B2:L110"/>
  <sheetViews>
    <sheetView tabSelected="1" workbookViewId="0">
      <selection activeCell="K18" sqref="K18"/>
    </sheetView>
  </sheetViews>
  <sheetFormatPr defaultRowHeight="15"/>
  <cols>
    <col min="2" max="2" width="28" customWidth="1"/>
    <col min="3" max="3" width="17.42578125" customWidth="1"/>
    <col min="5" max="5" width="23.42578125" customWidth="1"/>
    <col min="6" max="6" width="19.5703125" customWidth="1"/>
    <col min="7" max="7" width="12.5703125" customWidth="1"/>
    <col min="8" max="8" width="17.5703125" customWidth="1"/>
  </cols>
  <sheetData>
    <row r="2" spans="2:7">
      <c r="B2" s="2" t="s">
        <v>0</v>
      </c>
      <c r="C2" s="3"/>
      <c r="D2" s="3"/>
      <c r="E2" s="3"/>
      <c r="F2" s="3"/>
      <c r="G2" s="4"/>
    </row>
    <row r="3" spans="2:7" ht="18">
      <c r="B3" s="5"/>
      <c r="E3" s="10" t="s">
        <v>1</v>
      </c>
      <c r="G3" s="6"/>
    </row>
    <row r="4" spans="2:7">
      <c r="B4" s="5" t="s">
        <v>2</v>
      </c>
      <c r="C4" s="1">
        <v>4.4444444444444446E-2</v>
      </c>
      <c r="G4" s="6"/>
    </row>
    <row r="5" spans="2:7">
      <c r="B5" s="5" t="s">
        <v>3</v>
      </c>
      <c r="C5">
        <v>1.2</v>
      </c>
      <c r="D5" t="s">
        <v>4</v>
      </c>
      <c r="G5" s="6"/>
    </row>
    <row r="6" spans="2:7">
      <c r="B6" s="5" t="s">
        <v>5</v>
      </c>
      <c r="C6">
        <v>1</v>
      </c>
      <c r="D6" t="s">
        <v>4</v>
      </c>
      <c r="G6" s="6"/>
    </row>
    <row r="7" spans="2:7">
      <c r="B7" s="5"/>
      <c r="E7" t="s">
        <v>6</v>
      </c>
      <c r="G7" s="6"/>
    </row>
    <row r="8" spans="2:7">
      <c r="B8" s="5" t="s">
        <v>7</v>
      </c>
      <c r="E8" t="s">
        <v>7</v>
      </c>
      <c r="G8" s="6"/>
    </row>
    <row r="9" spans="2:7">
      <c r="B9" s="5" t="s">
        <v>8</v>
      </c>
      <c r="C9">
        <v>22</v>
      </c>
      <c r="D9" t="s">
        <v>4</v>
      </c>
      <c r="E9" t="s">
        <v>8</v>
      </c>
      <c r="F9">
        <v>22</v>
      </c>
      <c r="G9" s="6" t="s">
        <v>4</v>
      </c>
    </row>
    <row r="10" spans="2:7">
      <c r="B10" s="5" t="s">
        <v>9</v>
      </c>
      <c r="C10">
        <v>10</v>
      </c>
      <c r="D10" t="s">
        <v>4</v>
      </c>
      <c r="E10" t="s">
        <v>9</v>
      </c>
      <c r="F10">
        <v>10</v>
      </c>
      <c r="G10" s="6" t="s">
        <v>4</v>
      </c>
    </row>
    <row r="11" spans="2:7">
      <c r="B11" s="5"/>
      <c r="G11" s="6"/>
    </row>
    <row r="12" spans="2:7">
      <c r="B12" s="5" t="s">
        <v>10</v>
      </c>
      <c r="E12" t="s">
        <v>11</v>
      </c>
      <c r="G12" s="6"/>
    </row>
    <row r="13" spans="2:7">
      <c r="B13" s="5" t="s">
        <v>8</v>
      </c>
      <c r="C13">
        <v>20.399999999999999</v>
      </c>
      <c r="D13" t="s">
        <v>4</v>
      </c>
      <c r="E13" t="s">
        <v>8</v>
      </c>
      <c r="F13">
        <v>12.4</v>
      </c>
      <c r="G13" s="6" t="s">
        <v>4</v>
      </c>
    </row>
    <row r="14" spans="2:7">
      <c r="B14" s="5" t="s">
        <v>9</v>
      </c>
      <c r="C14">
        <v>8.4</v>
      </c>
      <c r="D14" t="s">
        <v>4</v>
      </c>
      <c r="E14" t="s">
        <v>9</v>
      </c>
      <c r="F14">
        <v>0.4</v>
      </c>
      <c r="G14" s="6" t="s">
        <v>4</v>
      </c>
    </row>
    <row r="15" spans="2:7">
      <c r="B15" s="5"/>
      <c r="G15" s="6"/>
    </row>
    <row r="16" spans="2:7">
      <c r="B16" s="5" t="s">
        <v>12</v>
      </c>
      <c r="C16">
        <v>220</v>
      </c>
      <c r="D16" t="s">
        <v>13</v>
      </c>
      <c r="E16" t="s">
        <v>12</v>
      </c>
      <c r="F16">
        <v>220</v>
      </c>
      <c r="G16" s="6" t="s">
        <v>13</v>
      </c>
    </row>
    <row r="17" spans="2:12">
      <c r="B17" s="5" t="s">
        <v>14</v>
      </c>
      <c r="C17">
        <v>171.36</v>
      </c>
      <c r="D17" t="s">
        <v>13</v>
      </c>
      <c r="E17" t="s">
        <v>15</v>
      </c>
      <c r="F17">
        <v>4.96</v>
      </c>
      <c r="G17" s="6" t="s">
        <v>13</v>
      </c>
    </row>
    <row r="18" spans="2:12">
      <c r="B18" s="5"/>
      <c r="G18" s="6"/>
    </row>
    <row r="19" spans="2:12">
      <c r="B19" s="5" t="s">
        <v>16</v>
      </c>
      <c r="C19">
        <v>39.034854549999999</v>
      </c>
      <c r="D19" t="s">
        <v>17</v>
      </c>
      <c r="E19" t="s">
        <v>18</v>
      </c>
      <c r="F19">
        <v>103.197</v>
      </c>
      <c r="G19" s="6" t="s">
        <v>17</v>
      </c>
    </row>
    <row r="20" spans="2:12">
      <c r="B20" s="7"/>
      <c r="C20" s="8"/>
      <c r="D20" s="8"/>
      <c r="E20" s="8" t="s">
        <v>19</v>
      </c>
      <c r="F20" s="8">
        <v>64.162499999999994</v>
      </c>
      <c r="G20" s="9" t="s">
        <v>17</v>
      </c>
    </row>
    <row r="22" spans="2:12">
      <c r="B22" s="2" t="s">
        <v>20</v>
      </c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2:12">
      <c r="B23" s="5"/>
      <c r="L23" s="6"/>
    </row>
    <row r="24" spans="2:12">
      <c r="B24" s="5" t="s">
        <v>21</v>
      </c>
      <c r="H24" t="s">
        <v>22</v>
      </c>
      <c r="L24" s="6"/>
    </row>
    <row r="25" spans="2:12">
      <c r="B25" s="5" t="s">
        <v>23</v>
      </c>
      <c r="C25">
        <v>9000</v>
      </c>
      <c r="D25" t="s">
        <v>13</v>
      </c>
      <c r="H25" t="s">
        <v>23</v>
      </c>
      <c r="I25">
        <v>3800</v>
      </c>
      <c r="J25" t="s">
        <v>13</v>
      </c>
      <c r="L25" s="6"/>
    </row>
    <row r="26" spans="2:12">
      <c r="B26" s="5" t="s">
        <v>24</v>
      </c>
      <c r="C26">
        <v>97.5</v>
      </c>
      <c r="D26" t="s">
        <v>25</v>
      </c>
      <c r="E26">
        <f xml:space="preserve"> 0.0975</f>
        <v>9.7500000000000003E-2</v>
      </c>
      <c r="F26" t="s">
        <v>26</v>
      </c>
      <c r="H26" t="s">
        <v>24</v>
      </c>
      <c r="I26">
        <v>97.5</v>
      </c>
      <c r="J26" t="s">
        <v>25</v>
      </c>
      <c r="K26">
        <f xml:space="preserve"> 0.0975</f>
        <v>9.7500000000000003E-2</v>
      </c>
      <c r="L26" s="6" t="s">
        <v>26</v>
      </c>
    </row>
    <row r="27" spans="2:12">
      <c r="B27" s="5" t="s">
        <v>27</v>
      </c>
      <c r="C27">
        <v>0.8</v>
      </c>
      <c r="H27" t="s">
        <v>27</v>
      </c>
      <c r="I27">
        <v>0.8</v>
      </c>
      <c r="L27" s="6"/>
    </row>
    <row r="28" spans="2:12">
      <c r="B28" s="5"/>
      <c r="L28" s="6"/>
    </row>
    <row r="29" spans="2:12">
      <c r="B29" s="5" t="s">
        <v>28</v>
      </c>
      <c r="C29">
        <v>702</v>
      </c>
      <c r="D29" t="s">
        <v>29</v>
      </c>
      <c r="H29" t="s">
        <v>28</v>
      </c>
      <c r="I29">
        <v>296.39999999999998</v>
      </c>
      <c r="J29" t="s">
        <v>29</v>
      </c>
      <c r="L29" s="6"/>
    </row>
    <row r="30" spans="2:12">
      <c r="B30" s="5"/>
      <c r="C30">
        <v>0.19500000000000001</v>
      </c>
      <c r="D30" t="s">
        <v>30</v>
      </c>
      <c r="I30">
        <v>8.233E-2</v>
      </c>
      <c r="J30" t="s">
        <v>30</v>
      </c>
      <c r="L30" s="6"/>
    </row>
    <row r="31" spans="2:12">
      <c r="B31" s="5"/>
      <c r="L31" s="6"/>
    </row>
    <row r="32" spans="2:12">
      <c r="B32" s="5" t="s">
        <v>31</v>
      </c>
      <c r="H32" t="s">
        <v>32</v>
      </c>
      <c r="L32" s="6"/>
    </row>
    <row r="33" spans="2:12">
      <c r="B33" s="5" t="s">
        <v>23</v>
      </c>
      <c r="C33">
        <v>14250</v>
      </c>
      <c r="D33" t="s">
        <v>13</v>
      </c>
      <c r="H33" t="s">
        <v>23</v>
      </c>
      <c r="I33">
        <v>12400</v>
      </c>
      <c r="J33" t="s">
        <v>13</v>
      </c>
      <c r="L33" s="6"/>
    </row>
    <row r="34" spans="2:12">
      <c r="B34" s="5" t="s">
        <v>24</v>
      </c>
      <c r="C34">
        <v>97.5</v>
      </c>
      <c r="D34" t="s">
        <v>25</v>
      </c>
      <c r="E34">
        <f xml:space="preserve"> 0.0975</f>
        <v>9.7500000000000003E-2</v>
      </c>
      <c r="F34" t="s">
        <v>26</v>
      </c>
      <c r="H34" t="s">
        <v>24</v>
      </c>
      <c r="I34">
        <v>97.5</v>
      </c>
      <c r="J34" t="s">
        <v>25</v>
      </c>
      <c r="K34">
        <f xml:space="preserve"> 0.0975</f>
        <v>9.7500000000000003E-2</v>
      </c>
      <c r="L34" s="6" t="s">
        <v>26</v>
      </c>
    </row>
    <row r="35" spans="2:12">
      <c r="B35" s="5" t="s">
        <v>27</v>
      </c>
      <c r="C35">
        <v>0.8</v>
      </c>
      <c r="H35" t="s">
        <v>27</v>
      </c>
      <c r="I35">
        <v>0.8</v>
      </c>
      <c r="L35" s="6"/>
    </row>
    <row r="36" spans="2:12">
      <c r="B36" s="5"/>
      <c r="L36" s="6"/>
    </row>
    <row r="37" spans="2:12">
      <c r="B37" s="5" t="s">
        <v>28</v>
      </c>
      <c r="C37">
        <v>1111.5</v>
      </c>
      <c r="D37" t="s">
        <v>29</v>
      </c>
      <c r="H37" t="s">
        <v>28</v>
      </c>
      <c r="I37">
        <v>967.5</v>
      </c>
      <c r="J37" t="s">
        <v>29</v>
      </c>
      <c r="L37" s="6"/>
    </row>
    <row r="38" spans="2:12">
      <c r="B38" s="5"/>
      <c r="C38">
        <v>0.30875000000000002</v>
      </c>
      <c r="D38" t="s">
        <v>30</v>
      </c>
      <c r="I38">
        <v>0.26866666700000003</v>
      </c>
      <c r="J38" t="s">
        <v>30</v>
      </c>
      <c r="L38" s="6"/>
    </row>
    <row r="39" spans="2:12">
      <c r="B39" s="5"/>
      <c r="L39" s="6"/>
    </row>
    <row r="40" spans="2:12">
      <c r="B40" s="5"/>
      <c r="L40" s="6"/>
    </row>
    <row r="41" spans="2:12">
      <c r="B41" s="5" t="s">
        <v>33</v>
      </c>
      <c r="L41" s="6"/>
    </row>
    <row r="42" spans="2:12">
      <c r="B42" s="5" t="s">
        <v>23</v>
      </c>
      <c r="C42">
        <v>8000</v>
      </c>
      <c r="D42" t="s">
        <v>13</v>
      </c>
      <c r="L42" s="6"/>
    </row>
    <row r="43" spans="2:12">
      <c r="B43" s="5" t="s">
        <v>24</v>
      </c>
      <c r="C43">
        <v>97.5</v>
      </c>
      <c r="D43" t="s">
        <v>25</v>
      </c>
      <c r="E43">
        <f xml:space="preserve"> 0.0975</f>
        <v>9.7500000000000003E-2</v>
      </c>
      <c r="F43" t="s">
        <v>26</v>
      </c>
      <c r="L43" s="6"/>
    </row>
    <row r="44" spans="2:12">
      <c r="B44" s="5" t="s">
        <v>27</v>
      </c>
      <c r="C44">
        <v>0.8</v>
      </c>
      <c r="L44" s="6"/>
    </row>
    <row r="45" spans="2:12">
      <c r="B45" s="5"/>
      <c r="L45" s="6"/>
    </row>
    <row r="46" spans="2:12">
      <c r="B46" s="5" t="s">
        <v>28</v>
      </c>
      <c r="C46">
        <v>624</v>
      </c>
      <c r="D46" t="s">
        <v>29</v>
      </c>
      <c r="L46" s="6"/>
    </row>
    <row r="47" spans="2:12">
      <c r="B47" s="7"/>
      <c r="C47" s="8">
        <v>0.17333333300000001</v>
      </c>
      <c r="D47" s="8" t="s">
        <v>30</v>
      </c>
      <c r="E47" s="8"/>
      <c r="F47" s="8"/>
      <c r="G47" s="8"/>
      <c r="H47" s="8"/>
      <c r="I47" s="8"/>
      <c r="J47" s="8"/>
      <c r="K47" s="8"/>
      <c r="L47" s="9"/>
    </row>
    <row r="49" spans="2:8">
      <c r="B49" s="2" t="s">
        <v>34</v>
      </c>
      <c r="C49" s="3"/>
      <c r="D49" s="3"/>
      <c r="E49" s="3"/>
      <c r="F49" s="3"/>
      <c r="G49" s="3"/>
      <c r="H49" s="4"/>
    </row>
    <row r="50" spans="2:8">
      <c r="B50" s="5"/>
      <c r="H50" s="6"/>
    </row>
    <row r="51" spans="2:8">
      <c r="B51" s="5" t="s">
        <v>35</v>
      </c>
      <c r="F51" t="s">
        <v>36</v>
      </c>
      <c r="H51" s="6"/>
    </row>
    <row r="52" spans="2:8">
      <c r="B52" s="5" t="s">
        <v>37</v>
      </c>
      <c r="F52" t="s">
        <v>37</v>
      </c>
      <c r="H52" s="6"/>
    </row>
    <row r="53" spans="2:8">
      <c r="B53" s="5" t="s">
        <v>38</v>
      </c>
      <c r="C53">
        <v>0.5</v>
      </c>
      <c r="D53" t="s">
        <v>4</v>
      </c>
      <c r="F53" t="s">
        <v>38</v>
      </c>
      <c r="G53">
        <v>0.4</v>
      </c>
      <c r="H53" s="6" t="s">
        <v>4</v>
      </c>
    </row>
    <row r="54" spans="2:8">
      <c r="B54" s="5" t="s">
        <v>39</v>
      </c>
      <c r="C54">
        <v>0.5</v>
      </c>
      <c r="D54" t="s">
        <v>4</v>
      </c>
      <c r="F54" t="s">
        <v>39</v>
      </c>
      <c r="G54">
        <v>0.5</v>
      </c>
      <c r="H54" s="6" t="s">
        <v>4</v>
      </c>
    </row>
    <row r="55" spans="2:8">
      <c r="B55" s="5" t="s">
        <v>40</v>
      </c>
      <c r="C55">
        <v>4.5</v>
      </c>
      <c r="D55" t="s">
        <v>4</v>
      </c>
      <c r="F55" t="s">
        <v>40</v>
      </c>
      <c r="G55">
        <v>4.4000000000000004</v>
      </c>
      <c r="H55" s="6" t="s">
        <v>4</v>
      </c>
    </row>
    <row r="56" spans="2:8">
      <c r="B56" s="5" t="s">
        <v>41</v>
      </c>
      <c r="C56">
        <v>4.6231056260000001</v>
      </c>
      <c r="D56" t="s">
        <v>4</v>
      </c>
      <c r="F56" t="s">
        <v>41</v>
      </c>
      <c r="G56">
        <v>4.5231056256176609</v>
      </c>
      <c r="H56" s="6" t="s">
        <v>4</v>
      </c>
    </row>
    <row r="57" spans="2:8">
      <c r="B57" s="5" t="s">
        <v>42</v>
      </c>
      <c r="C57">
        <v>1.25</v>
      </c>
      <c r="D57" t="s">
        <v>13</v>
      </c>
      <c r="F57" t="s">
        <v>42</v>
      </c>
      <c r="G57">
        <v>0.84000000000000008</v>
      </c>
      <c r="H57" s="6" t="s">
        <v>13</v>
      </c>
    </row>
    <row r="58" spans="2:8">
      <c r="B58" s="5" t="s">
        <v>43</v>
      </c>
      <c r="C58">
        <v>0.270381017</v>
      </c>
      <c r="D58" t="s">
        <v>4</v>
      </c>
      <c r="F58" t="s">
        <v>43</v>
      </c>
      <c r="G58">
        <v>0.18571310721608283</v>
      </c>
      <c r="H58" s="6" t="s">
        <v>4</v>
      </c>
    </row>
    <row r="59" spans="2:8">
      <c r="B59" s="5" t="s">
        <v>44</v>
      </c>
      <c r="C59">
        <v>0.03</v>
      </c>
      <c r="F59" t="s">
        <v>44</v>
      </c>
      <c r="G59">
        <v>0.03</v>
      </c>
      <c r="H59" s="6"/>
    </row>
    <row r="60" spans="2:8">
      <c r="B60" s="5" t="s">
        <v>45</v>
      </c>
      <c r="C60">
        <v>0.35</v>
      </c>
      <c r="F60" t="s">
        <v>45</v>
      </c>
      <c r="G60">
        <v>0.35</v>
      </c>
      <c r="H60" s="6"/>
    </row>
    <row r="61" spans="2:8">
      <c r="B61" s="5" t="s">
        <v>46</v>
      </c>
      <c r="C61">
        <f>(1/C60)*C57*C58^(2/3)*C59^(1/2)</f>
        <v>0.25865451328326705</v>
      </c>
      <c r="D61" t="s">
        <v>30</v>
      </c>
      <c r="F61" t="s">
        <v>46</v>
      </c>
      <c r="G61">
        <v>0.13531114632711128</v>
      </c>
      <c r="H61" s="6" t="s">
        <v>30</v>
      </c>
    </row>
    <row r="62" spans="2:8">
      <c r="B62" s="5" t="s">
        <v>46</v>
      </c>
      <c r="C62">
        <f>C61*3600</f>
        <v>931.15624781976135</v>
      </c>
      <c r="D62" t="s">
        <v>29</v>
      </c>
      <c r="F62" t="s">
        <v>46</v>
      </c>
      <c r="G62">
        <v>487.1201267776006</v>
      </c>
      <c r="H62" s="6" t="s">
        <v>29</v>
      </c>
    </row>
    <row r="63" spans="2:8">
      <c r="B63" s="5"/>
      <c r="H63" s="6"/>
    </row>
    <row r="64" spans="2:8">
      <c r="B64" s="5" t="s">
        <v>47</v>
      </c>
      <c r="F64" t="s">
        <v>48</v>
      </c>
      <c r="H64" s="6"/>
    </row>
    <row r="65" spans="2:8">
      <c r="B65" s="5" t="s">
        <v>37</v>
      </c>
      <c r="F65" t="s">
        <v>37</v>
      </c>
      <c r="H65" s="6"/>
    </row>
    <row r="66" spans="2:8">
      <c r="B66" s="5" t="s">
        <v>38</v>
      </c>
      <c r="C66">
        <v>0.55000000000000004</v>
      </c>
      <c r="D66" t="s">
        <v>4</v>
      </c>
      <c r="F66" t="s">
        <v>38</v>
      </c>
      <c r="G66">
        <v>0.55000000000000004</v>
      </c>
      <c r="H66" s="6" t="s">
        <v>4</v>
      </c>
    </row>
    <row r="67" spans="2:8">
      <c r="B67" s="5" t="s">
        <v>39</v>
      </c>
      <c r="C67">
        <v>0.5</v>
      </c>
      <c r="D67" t="s">
        <v>4</v>
      </c>
      <c r="F67" t="s">
        <v>39</v>
      </c>
      <c r="G67">
        <v>0.5</v>
      </c>
      <c r="H67" s="6" t="s">
        <v>4</v>
      </c>
    </row>
    <row r="68" spans="2:8">
      <c r="B68" s="5" t="s">
        <v>40</v>
      </c>
      <c r="C68">
        <v>4.55</v>
      </c>
      <c r="D68" t="s">
        <v>4</v>
      </c>
      <c r="F68" t="s">
        <v>40</v>
      </c>
      <c r="G68">
        <f>G66+2*(4*G67)</f>
        <v>4.55</v>
      </c>
      <c r="H68" s="6" t="s">
        <v>4</v>
      </c>
    </row>
    <row r="69" spans="2:8">
      <c r="B69" s="5" t="s">
        <v>41</v>
      </c>
      <c r="C69">
        <v>4.6731100000000003</v>
      </c>
      <c r="D69" t="s">
        <v>4</v>
      </c>
      <c r="F69" t="s">
        <v>41</v>
      </c>
      <c r="G69">
        <f>G66+2*(G67)*(1+4^2)^(1/2)</f>
        <v>4.6731056256176604</v>
      </c>
      <c r="H69" s="6" t="s">
        <v>4</v>
      </c>
    </row>
    <row r="70" spans="2:8">
      <c r="B70" s="5" t="s">
        <v>42</v>
      </c>
      <c r="C70">
        <v>1.4850000000000001</v>
      </c>
      <c r="D70" t="s">
        <v>13</v>
      </c>
      <c r="F70" t="s">
        <v>42</v>
      </c>
      <c r="G70">
        <f>(G67+(G66*4))*G66</f>
        <v>1.4850000000000003</v>
      </c>
      <c r="H70" s="6" t="s">
        <v>13</v>
      </c>
    </row>
    <row r="71" spans="2:8">
      <c r="B71" s="5" t="s">
        <v>43</v>
      </c>
      <c r="C71">
        <v>0.31778000000000001</v>
      </c>
      <c r="D71" t="s">
        <v>4</v>
      </c>
      <c r="F71" t="s">
        <v>43</v>
      </c>
      <c r="G71">
        <f>G70/G69</f>
        <v>0.31777582596449933</v>
      </c>
      <c r="H71" s="6" t="s">
        <v>4</v>
      </c>
    </row>
    <row r="72" spans="2:8">
      <c r="B72" s="5" t="s">
        <v>44</v>
      </c>
      <c r="C72">
        <v>0.03</v>
      </c>
      <c r="F72" t="s">
        <v>44</v>
      </c>
      <c r="G72">
        <v>0.03</v>
      </c>
      <c r="H72" s="6"/>
    </row>
    <row r="73" spans="2:8">
      <c r="B73" s="5" t="s">
        <v>45</v>
      </c>
      <c r="C73">
        <v>0.35</v>
      </c>
      <c r="F73" t="s">
        <v>45</v>
      </c>
      <c r="G73">
        <v>0.35</v>
      </c>
      <c r="H73" s="6"/>
    </row>
    <row r="74" spans="2:8">
      <c r="B74" s="5" t="s">
        <v>46</v>
      </c>
      <c r="C74">
        <v>0.34222000000000002</v>
      </c>
      <c r="D74" t="s">
        <v>30</v>
      </c>
      <c r="F74" t="s">
        <v>46</v>
      </c>
      <c r="G74">
        <v>0.34221544599999998</v>
      </c>
      <c r="H74" s="6" t="s">
        <v>30</v>
      </c>
    </row>
    <row r="75" spans="2:8">
      <c r="B75" s="5" t="s">
        <v>46</v>
      </c>
      <c r="C75">
        <v>1231.98</v>
      </c>
      <c r="D75" t="s">
        <v>29</v>
      </c>
      <c r="F75" t="s">
        <v>46</v>
      </c>
      <c r="G75">
        <v>1231.9756050000001</v>
      </c>
      <c r="H75" s="6" t="s">
        <v>29</v>
      </c>
    </row>
    <row r="76" spans="2:8">
      <c r="B76" s="5"/>
    </row>
    <row r="77" spans="2:8">
      <c r="B77" s="5" t="s">
        <v>49</v>
      </c>
      <c r="H77" s="6"/>
    </row>
    <row r="78" spans="2:8">
      <c r="B78" s="5" t="s">
        <v>37</v>
      </c>
      <c r="H78" s="6"/>
    </row>
    <row r="79" spans="2:8">
      <c r="B79" s="5" t="s">
        <v>38</v>
      </c>
      <c r="C79">
        <v>0.5</v>
      </c>
      <c r="D79" t="s">
        <v>4</v>
      </c>
      <c r="H79" s="6"/>
    </row>
    <row r="80" spans="2:8">
      <c r="B80" s="5" t="s">
        <v>39</v>
      </c>
      <c r="C80">
        <v>0.5</v>
      </c>
      <c r="D80" t="s">
        <v>4</v>
      </c>
      <c r="H80" s="6"/>
    </row>
    <row r="81" spans="2:8">
      <c r="B81" s="5" t="s">
        <v>40</v>
      </c>
      <c r="C81">
        <v>4.5</v>
      </c>
      <c r="D81" t="s">
        <v>4</v>
      </c>
      <c r="H81" s="6"/>
    </row>
    <row r="82" spans="2:8">
      <c r="B82" s="5" t="s">
        <v>41</v>
      </c>
      <c r="C82">
        <v>4.6231056260000001</v>
      </c>
      <c r="D82" t="s">
        <v>4</v>
      </c>
      <c r="H82" s="6"/>
    </row>
    <row r="83" spans="2:8">
      <c r="B83" s="5" t="s">
        <v>42</v>
      </c>
      <c r="C83">
        <v>1.25</v>
      </c>
      <c r="D83" t="s">
        <v>13</v>
      </c>
      <c r="H83" s="6"/>
    </row>
    <row r="84" spans="2:8">
      <c r="B84" s="5" t="s">
        <v>43</v>
      </c>
      <c r="C84">
        <v>0.270381017</v>
      </c>
      <c r="D84" t="s">
        <v>4</v>
      </c>
      <c r="E84" t="s">
        <v>50</v>
      </c>
      <c r="H84" s="6"/>
    </row>
    <row r="85" spans="2:8">
      <c r="B85" s="5" t="s">
        <v>44</v>
      </c>
      <c r="C85">
        <v>0.03</v>
      </c>
      <c r="H85" s="6"/>
    </row>
    <row r="86" spans="2:8">
      <c r="B86" s="5" t="s">
        <v>45</v>
      </c>
      <c r="C86">
        <v>0.35</v>
      </c>
      <c r="H86" s="6"/>
    </row>
    <row r="87" spans="2:8">
      <c r="B87" s="5" t="s">
        <v>46</v>
      </c>
      <c r="C87">
        <f>(1/C86)*C83*C84^(2/3)*C85^(1/2)</f>
        <v>0.25865451328326705</v>
      </c>
      <c r="D87" t="s">
        <v>30</v>
      </c>
      <c r="H87" s="6"/>
    </row>
    <row r="88" spans="2:8">
      <c r="B88" s="5" t="s">
        <v>46</v>
      </c>
      <c r="C88">
        <f>C87*3600</f>
        <v>931.15624781976135</v>
      </c>
      <c r="D88" t="s">
        <v>29</v>
      </c>
      <c r="H88" s="6"/>
    </row>
    <row r="89" spans="2:8">
      <c r="B89" s="5"/>
      <c r="H89" s="6"/>
    </row>
    <row r="90" spans="2:8">
      <c r="B90" s="5"/>
      <c r="H90" s="6"/>
    </row>
    <row r="91" spans="2:8">
      <c r="B91" s="5"/>
      <c r="H91" s="6"/>
    </row>
    <row r="92" spans="2:8">
      <c r="B92" s="5"/>
      <c r="H92" s="6"/>
    </row>
    <row r="93" spans="2:8">
      <c r="B93" s="7"/>
      <c r="C93" s="8"/>
      <c r="D93" s="8"/>
      <c r="E93" s="8"/>
      <c r="F93" s="8"/>
      <c r="G93" s="8"/>
      <c r="H93" s="9"/>
    </row>
    <row r="95" spans="2:8">
      <c r="B95" s="2" t="s">
        <v>51</v>
      </c>
      <c r="C95" s="3"/>
      <c r="D95" s="3"/>
      <c r="E95" s="3"/>
      <c r="F95" s="3"/>
      <c r="G95" s="3"/>
      <c r="H95" s="4"/>
    </row>
    <row r="96" spans="2:8">
      <c r="B96" s="5"/>
      <c r="H96" s="6"/>
    </row>
    <row r="97" spans="2:8">
      <c r="B97" s="5" t="s">
        <v>35</v>
      </c>
      <c r="F97" t="s">
        <v>36</v>
      </c>
      <c r="H97" s="6"/>
    </row>
    <row r="98" spans="2:8">
      <c r="B98" s="5" t="s">
        <v>52</v>
      </c>
      <c r="C98">
        <v>0.25865451328326705</v>
      </c>
      <c r="D98" t="s">
        <v>30</v>
      </c>
      <c r="F98" t="s">
        <v>52</v>
      </c>
      <c r="G98">
        <v>0.13531114632711128</v>
      </c>
      <c r="H98" s="6" t="s">
        <v>30</v>
      </c>
    </row>
    <row r="99" spans="2:8">
      <c r="B99" s="5" t="s">
        <v>53</v>
      </c>
      <c r="C99">
        <v>1.25</v>
      </c>
      <c r="D99" t="s">
        <v>13</v>
      </c>
      <c r="F99" t="s">
        <v>53</v>
      </c>
      <c r="G99">
        <v>0.84</v>
      </c>
      <c r="H99" s="6" t="s">
        <v>13</v>
      </c>
    </row>
    <row r="100" spans="2:8">
      <c r="B100" s="5" t="s">
        <v>54</v>
      </c>
      <c r="C100">
        <v>0.20692361054352143</v>
      </c>
      <c r="D100" t="s">
        <v>55</v>
      </c>
      <c r="F100" t="s">
        <v>54</v>
      </c>
      <c r="G100">
        <v>0.16108469800846578</v>
      </c>
      <c r="H100" s="6" t="s">
        <v>55</v>
      </c>
    </row>
    <row r="101" spans="2:8">
      <c r="B101" s="5"/>
      <c r="H101" s="6"/>
    </row>
    <row r="102" spans="2:8">
      <c r="B102" s="5" t="s">
        <v>47</v>
      </c>
      <c r="F102" t="s">
        <v>48</v>
      </c>
      <c r="H102" s="6"/>
    </row>
    <row r="103" spans="2:8">
      <c r="B103" s="5" t="s">
        <v>52</v>
      </c>
      <c r="C103">
        <v>0.34222000000000002</v>
      </c>
      <c r="D103" t="s">
        <v>30</v>
      </c>
      <c r="F103" t="s">
        <v>52</v>
      </c>
      <c r="G103">
        <v>0.34222000000000002</v>
      </c>
      <c r="H103" s="6" t="s">
        <v>30</v>
      </c>
    </row>
    <row r="104" spans="2:8">
      <c r="B104" s="5" t="s">
        <v>53</v>
      </c>
      <c r="C104">
        <v>1.4850000000000001</v>
      </c>
      <c r="D104" t="s">
        <v>13</v>
      </c>
      <c r="F104" t="s">
        <v>53</v>
      </c>
      <c r="G104">
        <f>(G101+(G100*4))*G100</f>
        <v>0.10379311972991448</v>
      </c>
      <c r="H104" s="6" t="s">
        <v>13</v>
      </c>
    </row>
    <row r="105" spans="2:8">
      <c r="B105" s="5" t="s">
        <v>54</v>
      </c>
      <c r="C105">
        <v>0.23044811168328827</v>
      </c>
      <c r="D105" t="s">
        <v>55</v>
      </c>
      <c r="F105" t="s">
        <v>54</v>
      </c>
      <c r="G105">
        <v>0.23044811168328827</v>
      </c>
      <c r="H105" s="6" t="s">
        <v>55</v>
      </c>
    </row>
    <row r="106" spans="2:8">
      <c r="B106" s="5"/>
      <c r="H106" s="6"/>
    </row>
    <row r="107" spans="2:8">
      <c r="B107" s="5" t="s">
        <v>49</v>
      </c>
      <c r="H107" s="6"/>
    </row>
    <row r="108" spans="2:8">
      <c r="B108" s="5" t="s">
        <v>52</v>
      </c>
      <c r="C108">
        <v>0.25865451328326705</v>
      </c>
      <c r="D108" t="s">
        <v>30</v>
      </c>
      <c r="H108" s="6"/>
    </row>
    <row r="109" spans="2:8">
      <c r="B109" s="5" t="s">
        <v>53</v>
      </c>
      <c r="C109">
        <v>1.25</v>
      </c>
      <c r="D109" t="s">
        <v>13</v>
      </c>
      <c r="F109" t="s">
        <v>56</v>
      </c>
      <c r="H109" s="6"/>
    </row>
    <row r="110" spans="2:8">
      <c r="B110" s="7" t="s">
        <v>54</v>
      </c>
      <c r="C110" s="8">
        <v>0.20692361054352143</v>
      </c>
      <c r="D110" s="8" t="s">
        <v>55</v>
      </c>
      <c r="E110" s="8"/>
      <c r="F110" s="8"/>
      <c r="G110" s="8"/>
      <c r="H110" s="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fb341-816f-4414-bb08-834ba17b1448">
      <Terms xmlns="http://schemas.microsoft.com/office/infopath/2007/PartnerControls"/>
    </lcf76f155ced4ddcb4097134ff3c332f>
    <TaxCatchAll xmlns="c9ae77ec-4000-4735-843d-c47494e55a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DAA209F5AFF94DAD1D20B7FB41641C" ma:contentTypeVersion="10" ma:contentTypeDescription="Create a new document." ma:contentTypeScope="" ma:versionID="da011fa9acda9f531db319967b9702b1">
  <xsd:schema xmlns:xsd="http://www.w3.org/2001/XMLSchema" xmlns:xs="http://www.w3.org/2001/XMLSchema" xmlns:p="http://schemas.microsoft.com/office/2006/metadata/properties" xmlns:ns2="e1efb341-816f-4414-bb08-834ba17b1448" xmlns:ns3="c9ae77ec-4000-4735-843d-c47494e55a56" targetNamespace="http://schemas.microsoft.com/office/2006/metadata/properties" ma:root="true" ma:fieldsID="9b55f4be0ff38e2f4eae7342e386d2a2" ns2:_="" ns3:_="">
    <xsd:import namespace="e1efb341-816f-4414-bb08-834ba17b1448"/>
    <xsd:import namespace="c9ae77ec-4000-4735-843d-c47494e55a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fb341-816f-4414-bb08-834ba17b1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e77ec-4000-4735-843d-c47494e55a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dcb580-c8f8-4b3e-a4ef-951178fe6dfa}" ma:internalName="TaxCatchAll" ma:showField="CatchAllData" ma:web="c9ae77ec-4000-4735-843d-c47494e55a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3EE61B-C07F-4FD7-9B9E-73F7C780CF3F}"/>
</file>

<file path=customXml/itemProps2.xml><?xml version="1.0" encoding="utf-8"?>
<ds:datastoreItem xmlns:ds="http://schemas.openxmlformats.org/officeDocument/2006/customXml" ds:itemID="{070B6C0E-F620-4752-A23A-808DD36CA626}"/>
</file>

<file path=customXml/itemProps3.xml><?xml version="1.0" encoding="utf-8"?>
<ds:datastoreItem xmlns:ds="http://schemas.openxmlformats.org/officeDocument/2006/customXml" ds:itemID="{57B5C881-54D1-4CD9-9344-1FCCCBEEA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Parkinson (UG)</dc:creator>
  <cp:keywords/>
  <dc:description/>
  <cp:lastModifiedBy>Tom Parkinson (UG)</cp:lastModifiedBy>
  <cp:revision/>
  <dcterms:created xsi:type="dcterms:W3CDTF">2026-04-24T16:18:15Z</dcterms:created>
  <dcterms:modified xsi:type="dcterms:W3CDTF">2026-04-28T12:12:01Z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0x010100D2DAA209F5AFF94DAD1D20B7FB41641C</vt:lpwstr>
  </property>
  <property fmtid="{D5CDD505-2E9C-101B-9397-08002B2CF9AE}" pid="3" name="MediaServiceImageTags">
    <vt:lpwstr/>
  </property>
</Properties>
</file>